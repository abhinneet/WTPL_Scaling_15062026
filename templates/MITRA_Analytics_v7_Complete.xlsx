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Ishika Chauhan\Downloads\"/>
    </mc:Choice>
  </mc:AlternateContent>
  <xr:revisionPtr revIDLastSave="0" documentId="13_ncr:1_{C8DCD29F-7BEF-45DC-9934-14F0C2CFFC1E}" xr6:coauthVersionLast="47" xr6:coauthVersionMax="47" xr10:uidLastSave="{00000000-0000-0000-0000-000000000000}"/>
  <bookViews>
    <workbookView xWindow="-108" yWindow="-108" windowWidth="23256" windowHeight="12456" firstSheet="27" activeTab="32" xr2:uid="{00000000-000D-0000-FFFF-FFFF00000000}"/>
  </bookViews>
  <sheets>
    <sheet name="00. Instructions" sheetId="1" r:id="rId1"/>
    <sheet name="02. State Selector" sheetId="2" r:id="rId2"/>
    <sheet name="03. Reach &amp; Engagement" sheetId="3" r:id="rId3"/>
    <sheet name="04. Learning Outcomes" sheetId="4" r:id="rId4"/>
    <sheet name="05. District Drilldown" sheetId="5" r:id="rId5"/>
    <sheet name="06. Quiz Performance" sheetId="6" r:id="rId6"/>
    <sheet name="07. Curriculum Tracker" sheetId="7" r:id="rId7"/>
    <sheet name="08. Quiz Bank Tracker" sheetId="8" r:id="rId8"/>
    <sheet name="09. Compliance &amp; Alerts" sheetId="9" r:id="rId9"/>
    <sheet name="10. Govt KPI Summary" sheetId="10" r:id="rId10"/>
    <sheet name="11. School &amp; Block Reach" sheetId="11" r:id="rId11"/>
    <sheet name="S1. Session &amp; Engagement" sheetId="12" r:id="rId12"/>
    <sheet name="S2. Cohort &amp; Equity" sheetId="13" r:id="rId13"/>
    <sheet name="S3. Geographic &amp; Geofence" sheetId="14" r:id="rId14"/>
    <sheet name="S4. Device &amp; Connectivity" sheetId="15" r:id="rId15"/>
    <sheet name="S5. Language &amp; Accessibility" sheetId="16" r:id="rId16"/>
    <sheet name="S6. Notification &amp; Reengagement" sheetId="17" r:id="rId17"/>
    <sheet name="S7. CDN &amp; Content Sync" sheetId="18" r:id="rId18"/>
    <sheet name="S8. Predictive &amp; Churn" sheetId="19" r:id="rId19"/>
    <sheet name="S9. Feedback &amp; Sentiment" sheetId="20" r:id="rId20"/>
    <sheet name="S10. Platform Health &amp; SLA" sheetId="21" r:id="rId21"/>
    <sheet name="S11. Advertisement Analytics" sheetId="22" r:id="rId22"/>
    <sheet name="S12. Teacher &amp; Dashboard" sheetId="23" r:id="rId23"/>
    <sheet name="RAW_DISTRICT" sheetId="24" r:id="rId24"/>
    <sheet name="RAW_AR_CONTENT" sheetId="25" r:id="rId25"/>
    <sheet name="RAW_QUIZ" sheetId="26" r:id="rId26"/>
    <sheet name="RAW_SESSION" sheetId="27" r:id="rId27"/>
    <sheet name="RAW_LANGUAGE" sheetId="28" r:id="rId28"/>
    <sheet name="RAW_NOTIFICATION" sheetId="29" r:id="rId29"/>
    <sheet name="RAW_DEVICE" sheetId="30" r:id="rId30"/>
    <sheet name="RAW_FEEDBACK" sheetId="31" r:id="rId31"/>
    <sheet name="RAW_CDN" sheetId="32" r:id="rId32"/>
    <sheet name="RAW_ADS" sheetId="33" r:id="rId33"/>
    <sheet name="REF" sheetId="34" state="hidden" r:id="rId34"/>
  </sheets>
  <definedNames>
    <definedName name="_xlnm._FilterDatabase" localSheetId="6" hidden="1">'07. Curriculum Tracker'!$A$4:$R$544</definedName>
    <definedName name="_xlnm._FilterDatabase" localSheetId="7" hidden="1">'08. Quiz Bank Tracker'!$A$4:$Q$364</definedName>
    <definedName name="_xlnm._FilterDatabase" localSheetId="31" hidden="1">RAW_CDN!$A$3:$M$39</definedName>
    <definedName name="_xlnm._FilterDatabase" localSheetId="29" hidden="1">RAW_DEVICE!$A$3:$R$39</definedName>
    <definedName name="_xlnm._FilterDatabase" localSheetId="30" hidden="1">RAW_FEEDBACK!$A$3:$N$54</definedName>
    <definedName name="_xlnm._FilterDatabase" localSheetId="27" hidden="1">RAW_LANGUAGE!$A$3:$P$39</definedName>
    <definedName name="_xlnm._FilterDatabase" localSheetId="28" hidden="1">RAW_NOTIFICATION!$A$3:$N$363</definedName>
    <definedName name="_xlnm._FilterDatabase" localSheetId="26" hidden="1">RAW_SESSION!$A$3:$R$39</definedName>
    <definedName name="ScopeType">'02. State Selector'!$C$5</definedName>
    <definedName name="SelectedScope">'02. State Selector'!$D$4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745" i="24" l="1"/>
  <c r="V744" i="24"/>
  <c r="V743" i="24"/>
  <c r="V742" i="24"/>
  <c r="V741" i="24"/>
  <c r="V740" i="24"/>
  <c r="V739" i="24"/>
  <c r="V738" i="24"/>
  <c r="V737" i="24"/>
  <c r="V736" i="24"/>
  <c r="V735" i="24"/>
  <c r="V734" i="24"/>
  <c r="V733" i="24"/>
  <c r="V732" i="24"/>
  <c r="V731" i="24"/>
  <c r="V730" i="24"/>
  <c r="V729" i="24"/>
  <c r="V728" i="24"/>
  <c r="V727" i="24"/>
  <c r="V726" i="24"/>
  <c r="V725" i="24"/>
  <c r="V724" i="24"/>
  <c r="V723" i="24"/>
  <c r="V722" i="24"/>
  <c r="V721" i="24"/>
  <c r="V720" i="24"/>
  <c r="V719" i="24"/>
  <c r="V718" i="24"/>
  <c r="V717" i="24"/>
  <c r="V716" i="24"/>
  <c r="V715" i="24"/>
  <c r="V714" i="24"/>
  <c r="V713" i="24"/>
  <c r="V712" i="24"/>
  <c r="V711" i="24"/>
  <c r="V710" i="24"/>
  <c r="V709" i="24"/>
  <c r="V708" i="24"/>
  <c r="V707" i="24"/>
  <c r="V706" i="24"/>
  <c r="V705" i="24"/>
  <c r="V704" i="24"/>
  <c r="V703" i="24"/>
  <c r="V702" i="24"/>
  <c r="V701" i="24"/>
  <c r="V700" i="24"/>
  <c r="V699" i="24"/>
  <c r="V698" i="24"/>
  <c r="V697" i="24"/>
  <c r="V696" i="24"/>
  <c r="V695" i="24"/>
  <c r="V694" i="24"/>
  <c r="V693" i="24"/>
  <c r="V692" i="24"/>
  <c r="V691" i="24"/>
  <c r="V690" i="24"/>
  <c r="V689" i="24"/>
  <c r="V688" i="24"/>
  <c r="V687" i="24"/>
  <c r="V686" i="24"/>
  <c r="V685" i="24"/>
  <c r="V684" i="24"/>
  <c r="V683" i="24"/>
  <c r="V682" i="24"/>
  <c r="V681" i="24"/>
  <c r="V680" i="24"/>
  <c r="V679" i="24"/>
  <c r="V678" i="24"/>
  <c r="V677" i="24"/>
  <c r="V676" i="24"/>
  <c r="V675" i="24"/>
  <c r="V674" i="24"/>
  <c r="V673" i="24"/>
  <c r="V672" i="24"/>
  <c r="V671" i="24"/>
  <c r="V670" i="24"/>
  <c r="V669" i="24"/>
  <c r="V668" i="24"/>
  <c r="V667" i="24"/>
  <c r="V666" i="24"/>
  <c r="V665" i="24"/>
  <c r="V664" i="24"/>
  <c r="V663" i="24"/>
  <c r="V662" i="24"/>
  <c r="V661" i="24"/>
  <c r="V660" i="24"/>
  <c r="V659" i="24"/>
  <c r="V658" i="24"/>
  <c r="V657" i="24"/>
  <c r="V656" i="24"/>
  <c r="V655" i="24"/>
  <c r="V654" i="24"/>
  <c r="V653" i="24"/>
  <c r="V652" i="24"/>
  <c r="V651" i="24"/>
  <c r="V650" i="24"/>
  <c r="V649" i="24"/>
  <c r="V648" i="24"/>
  <c r="V647" i="24"/>
  <c r="V646" i="24"/>
  <c r="V645" i="24"/>
  <c r="V644" i="24"/>
  <c r="V643" i="24"/>
  <c r="V642" i="24"/>
  <c r="V641" i="24"/>
  <c r="V640" i="24"/>
  <c r="V639" i="24"/>
  <c r="V638" i="24"/>
  <c r="V637" i="24"/>
  <c r="V636" i="24"/>
  <c r="V635" i="24"/>
  <c r="V634" i="24"/>
  <c r="V633" i="24"/>
  <c r="V632" i="24"/>
  <c r="V631" i="24"/>
  <c r="V630" i="24"/>
  <c r="V629" i="24"/>
  <c r="V628" i="24"/>
  <c r="V627" i="24"/>
  <c r="V626" i="24"/>
  <c r="V625" i="24"/>
  <c r="V624" i="24"/>
  <c r="V623" i="24"/>
  <c r="V622" i="24"/>
  <c r="V621" i="24"/>
  <c r="V620" i="24"/>
  <c r="V619" i="24"/>
  <c r="V618" i="24"/>
  <c r="V617" i="24"/>
  <c r="V616" i="24"/>
  <c r="V615" i="24"/>
  <c r="V614" i="24"/>
  <c r="V613" i="24"/>
  <c r="V612" i="24"/>
  <c r="V611" i="24"/>
  <c r="V610" i="24"/>
  <c r="V609" i="24"/>
  <c r="V608" i="24"/>
  <c r="V607" i="24"/>
  <c r="V606" i="24"/>
  <c r="V605" i="24"/>
  <c r="V604" i="24"/>
  <c r="V603" i="24"/>
  <c r="V602" i="24"/>
  <c r="V601" i="24"/>
  <c r="V600" i="24"/>
  <c r="V599" i="24"/>
  <c r="V598" i="24"/>
  <c r="V597" i="24"/>
  <c r="V596" i="24"/>
  <c r="V595" i="24"/>
  <c r="V594" i="24"/>
  <c r="V593" i="24"/>
  <c r="V592" i="24"/>
  <c r="V591" i="24"/>
  <c r="V590" i="24"/>
  <c r="V589" i="24"/>
  <c r="V588" i="24"/>
  <c r="V587" i="24"/>
  <c r="V586" i="24"/>
  <c r="V585" i="24"/>
  <c r="V584" i="24"/>
  <c r="V583" i="24"/>
  <c r="V582" i="24"/>
  <c r="V581" i="24"/>
  <c r="V580" i="24"/>
  <c r="V579" i="24"/>
  <c r="V578" i="24"/>
  <c r="V577" i="24"/>
  <c r="V576" i="24"/>
  <c r="V575" i="24"/>
  <c r="V574" i="24"/>
  <c r="V573" i="24"/>
  <c r="V572" i="24"/>
  <c r="V571" i="24"/>
  <c r="V570" i="24"/>
  <c r="V569" i="24"/>
  <c r="V568" i="24"/>
  <c r="V567" i="24"/>
  <c r="V566" i="24"/>
  <c r="V565" i="24"/>
  <c r="V564" i="24"/>
  <c r="V563" i="24"/>
  <c r="V562" i="24"/>
  <c r="V561" i="24"/>
  <c r="V560" i="24"/>
  <c r="V559" i="24"/>
  <c r="V558" i="24"/>
  <c r="V557" i="24"/>
  <c r="V556" i="24"/>
  <c r="V555" i="24"/>
  <c r="V554" i="24"/>
  <c r="V553" i="24"/>
  <c r="V552" i="24"/>
  <c r="V551" i="24"/>
  <c r="V550" i="24"/>
  <c r="V549" i="24"/>
  <c r="V548" i="24"/>
  <c r="V547" i="24"/>
  <c r="V546" i="24"/>
  <c r="V545" i="24"/>
  <c r="V544" i="24"/>
  <c r="V543" i="24"/>
  <c r="V542" i="24"/>
  <c r="V541" i="24"/>
  <c r="V540" i="24"/>
  <c r="V539" i="24"/>
  <c r="V538" i="24"/>
  <c r="V537" i="24"/>
  <c r="V536" i="24"/>
  <c r="V535" i="24"/>
  <c r="V534" i="24"/>
  <c r="V533" i="24"/>
  <c r="V532" i="24"/>
  <c r="V531" i="24"/>
  <c r="V530" i="24"/>
  <c r="V529" i="24"/>
  <c r="V528" i="24"/>
  <c r="V527" i="24"/>
  <c r="V526" i="24"/>
  <c r="V525" i="24"/>
  <c r="V524" i="24"/>
  <c r="V523" i="24"/>
  <c r="V522" i="24"/>
  <c r="V521" i="24"/>
  <c r="V520" i="24"/>
  <c r="V519" i="24"/>
  <c r="V518" i="24"/>
  <c r="V517" i="24"/>
  <c r="V516" i="24"/>
  <c r="V515" i="24"/>
  <c r="V514" i="24"/>
  <c r="V513" i="24"/>
  <c r="V512" i="24"/>
  <c r="V511" i="24"/>
  <c r="V510" i="24"/>
  <c r="V509" i="24"/>
  <c r="V508" i="24"/>
  <c r="V507" i="24"/>
  <c r="V506" i="24"/>
  <c r="V505" i="24"/>
  <c r="V504" i="24"/>
  <c r="V503" i="24"/>
  <c r="V502" i="24"/>
  <c r="V501" i="24"/>
  <c r="V500" i="24"/>
  <c r="V499" i="24"/>
  <c r="V498" i="24"/>
  <c r="V497" i="24"/>
  <c r="V496" i="24"/>
  <c r="V495" i="24"/>
  <c r="V494" i="24"/>
  <c r="V493" i="24"/>
  <c r="V492" i="24"/>
  <c r="V491" i="24"/>
  <c r="V490" i="24"/>
  <c r="V489" i="24"/>
  <c r="V488" i="24"/>
  <c r="V487" i="24"/>
  <c r="V486" i="24"/>
  <c r="V485" i="24"/>
  <c r="V484" i="24"/>
  <c r="V483" i="24"/>
  <c r="V482" i="24"/>
  <c r="V481" i="24"/>
  <c r="V480" i="24"/>
  <c r="V479" i="24"/>
  <c r="V478" i="24"/>
  <c r="V477" i="24"/>
  <c r="V476" i="24"/>
  <c r="V475" i="24"/>
  <c r="V474" i="24"/>
  <c r="V473" i="24"/>
  <c r="V472" i="24"/>
  <c r="V471" i="24"/>
  <c r="V470" i="24"/>
  <c r="V469" i="24"/>
  <c r="V468" i="24"/>
  <c r="V467" i="24"/>
  <c r="V466" i="24"/>
  <c r="V465" i="24"/>
  <c r="V464" i="24"/>
  <c r="V463" i="24"/>
  <c r="V462" i="24"/>
  <c r="V461" i="24"/>
  <c r="V460" i="24"/>
  <c r="V459" i="24"/>
  <c r="V458" i="24"/>
  <c r="V457" i="24"/>
  <c r="V456" i="24"/>
  <c r="V455" i="24"/>
  <c r="V454" i="24"/>
  <c r="V453" i="24"/>
  <c r="V452" i="24"/>
  <c r="V451" i="24"/>
  <c r="V450" i="24"/>
  <c r="V449" i="24"/>
  <c r="V448" i="24"/>
  <c r="V447" i="24"/>
  <c r="V446" i="24"/>
  <c r="V445" i="24"/>
  <c r="V444" i="24"/>
  <c r="V443" i="24"/>
  <c r="V442" i="24"/>
  <c r="V441" i="24"/>
  <c r="V440" i="24"/>
  <c r="V439" i="24"/>
  <c r="V438" i="24"/>
  <c r="V437" i="24"/>
  <c r="V436" i="24"/>
  <c r="V435" i="24"/>
  <c r="V434" i="24"/>
  <c r="V433" i="24"/>
  <c r="V432" i="24"/>
  <c r="V431" i="24"/>
  <c r="V430" i="24"/>
  <c r="V429" i="24"/>
  <c r="V428" i="24"/>
  <c r="V427" i="24"/>
  <c r="V426" i="24"/>
  <c r="V425" i="24"/>
  <c r="V424" i="24"/>
  <c r="V423" i="24"/>
  <c r="V422" i="24"/>
  <c r="V421" i="24"/>
  <c r="V420" i="24"/>
  <c r="V419" i="24"/>
  <c r="V418" i="24"/>
  <c r="V417" i="24"/>
  <c r="V416" i="24"/>
  <c r="V415" i="24"/>
  <c r="V414" i="24"/>
  <c r="V413" i="24"/>
  <c r="V412" i="24"/>
  <c r="V411" i="24"/>
  <c r="V410" i="24"/>
  <c r="V409" i="24"/>
  <c r="V408" i="24"/>
  <c r="V407" i="24"/>
  <c r="V406" i="24"/>
  <c r="V405" i="24"/>
  <c r="V404" i="24"/>
  <c r="V403" i="24"/>
  <c r="V402" i="24"/>
  <c r="V401" i="24"/>
  <c r="V400" i="24"/>
  <c r="V399" i="24"/>
  <c r="V398" i="24"/>
  <c r="V397" i="24"/>
  <c r="V396" i="24"/>
  <c r="V395" i="24"/>
  <c r="V394" i="24"/>
  <c r="V393" i="24"/>
  <c r="V392" i="24"/>
  <c r="V391" i="24"/>
  <c r="V390" i="24"/>
  <c r="V389" i="24"/>
  <c r="V388" i="24"/>
  <c r="V387" i="24"/>
  <c r="V386" i="24"/>
  <c r="V385" i="24"/>
  <c r="V384" i="24"/>
  <c r="V383" i="24"/>
  <c r="V382" i="24"/>
  <c r="V381" i="24"/>
  <c r="V380" i="24"/>
  <c r="V379" i="24"/>
  <c r="V378" i="24"/>
  <c r="V377" i="24"/>
  <c r="V376" i="24"/>
  <c r="V375" i="24"/>
  <c r="V374" i="24"/>
  <c r="V373" i="24"/>
  <c r="V372" i="24"/>
  <c r="V371" i="24"/>
  <c r="V370" i="24"/>
  <c r="V369" i="24"/>
  <c r="V368" i="24"/>
  <c r="V367" i="24"/>
  <c r="V366" i="24"/>
  <c r="V365" i="24"/>
  <c r="V364" i="24"/>
  <c r="V363" i="24"/>
  <c r="V362" i="24"/>
  <c r="V361" i="24"/>
  <c r="V360" i="24"/>
  <c r="V359" i="24"/>
  <c r="V358" i="24"/>
  <c r="V357" i="24"/>
  <c r="V356" i="24"/>
  <c r="V355" i="24"/>
  <c r="V354" i="24"/>
  <c r="V353" i="24"/>
  <c r="V352" i="24"/>
  <c r="V351" i="24"/>
  <c r="V350" i="24"/>
  <c r="V349" i="24"/>
  <c r="V348" i="24"/>
  <c r="V347" i="24"/>
  <c r="V346" i="24"/>
  <c r="V345" i="24"/>
  <c r="V344" i="24"/>
  <c r="V343" i="24"/>
  <c r="V342" i="24"/>
  <c r="V341" i="24"/>
  <c r="V340" i="24"/>
  <c r="V339" i="24"/>
  <c r="V338" i="24"/>
  <c r="V337" i="24"/>
  <c r="V336" i="24"/>
  <c r="V335" i="24"/>
  <c r="V334" i="24"/>
  <c r="V333" i="24"/>
  <c r="V332" i="24"/>
  <c r="V331" i="24"/>
  <c r="V330" i="24"/>
  <c r="V329" i="24"/>
  <c r="V328" i="24"/>
  <c r="V327" i="24"/>
  <c r="V326" i="24"/>
  <c r="V325" i="24"/>
  <c r="V324" i="24"/>
  <c r="V323" i="24"/>
  <c r="V322" i="24"/>
  <c r="V321" i="24"/>
  <c r="V320" i="24"/>
  <c r="V319" i="24"/>
  <c r="V318" i="24"/>
  <c r="V317" i="24"/>
  <c r="V316" i="24"/>
  <c r="V315" i="24"/>
  <c r="V314" i="24"/>
  <c r="V313" i="24"/>
  <c r="V312" i="24"/>
  <c r="V311" i="24"/>
  <c r="V310" i="24"/>
  <c r="V309" i="24"/>
  <c r="V308" i="24"/>
  <c r="V307" i="24"/>
  <c r="V306" i="24"/>
  <c r="V305" i="24"/>
  <c r="V304" i="24"/>
  <c r="V303" i="24"/>
  <c r="V302" i="24"/>
  <c r="V301" i="24"/>
  <c r="V300" i="24"/>
  <c r="V299" i="24"/>
  <c r="V298" i="24"/>
  <c r="V297" i="24"/>
  <c r="V296" i="24"/>
  <c r="V295" i="24"/>
  <c r="V294" i="24"/>
  <c r="V293" i="24"/>
  <c r="V292" i="24"/>
  <c r="V291" i="24"/>
  <c r="V290" i="24"/>
  <c r="V289" i="24"/>
  <c r="V288" i="24"/>
  <c r="V287" i="24"/>
  <c r="V286" i="24"/>
  <c r="V285" i="24"/>
  <c r="V284" i="24"/>
  <c r="V283" i="24"/>
  <c r="V282" i="24"/>
  <c r="V281" i="24"/>
  <c r="V280" i="24"/>
  <c r="V279" i="24"/>
  <c r="V278" i="24"/>
  <c r="V277" i="24"/>
  <c r="V276" i="24"/>
  <c r="V275" i="24"/>
  <c r="V274" i="24"/>
  <c r="V273" i="24"/>
  <c r="V272" i="24"/>
  <c r="V271" i="24"/>
  <c r="V270" i="24"/>
  <c r="V269" i="24"/>
  <c r="V268" i="24"/>
  <c r="V267" i="24"/>
  <c r="V266" i="24"/>
  <c r="V265" i="24"/>
  <c r="V264" i="24"/>
  <c r="V263" i="24"/>
  <c r="V262" i="24"/>
  <c r="V261" i="24"/>
  <c r="V260" i="24"/>
  <c r="V259" i="24"/>
  <c r="V258" i="24"/>
  <c r="V257" i="24"/>
  <c r="V256" i="24"/>
  <c r="V255" i="24"/>
  <c r="V254" i="24"/>
  <c r="V253" i="24"/>
  <c r="V252" i="24"/>
  <c r="V251" i="24"/>
  <c r="V250" i="24"/>
  <c r="V249" i="24"/>
  <c r="V248" i="24"/>
  <c r="V247" i="24"/>
  <c r="V246" i="24"/>
  <c r="V245" i="24"/>
  <c r="V244" i="24"/>
  <c r="V243" i="24"/>
  <c r="V242" i="24"/>
  <c r="V241" i="24"/>
  <c r="V240" i="24"/>
  <c r="V239" i="24"/>
  <c r="V238" i="24"/>
  <c r="V237" i="24"/>
  <c r="V236" i="24"/>
  <c r="V235" i="24"/>
  <c r="V234" i="24"/>
  <c r="V233" i="24"/>
  <c r="V232" i="24"/>
  <c r="V231" i="24"/>
  <c r="V230" i="24"/>
  <c r="V229" i="24"/>
  <c r="V228" i="24"/>
  <c r="V227" i="24"/>
  <c r="V226" i="24"/>
  <c r="V225" i="24"/>
  <c r="V224" i="24"/>
  <c r="V223" i="24"/>
  <c r="V222" i="24"/>
  <c r="V221" i="24"/>
  <c r="V220" i="24"/>
  <c r="V219" i="24"/>
  <c r="V218" i="24"/>
  <c r="V217" i="24"/>
  <c r="V216" i="24"/>
  <c r="V215" i="24"/>
  <c r="V214" i="24"/>
  <c r="V213" i="24"/>
  <c r="V212" i="24"/>
  <c r="V211" i="24"/>
  <c r="V210" i="24"/>
  <c r="V209" i="24"/>
  <c r="V208" i="24"/>
  <c r="V207" i="24"/>
  <c r="V206" i="24"/>
  <c r="V205" i="24"/>
  <c r="V204" i="24"/>
  <c r="V203" i="24"/>
  <c r="V202" i="24"/>
  <c r="V201" i="24"/>
  <c r="V200" i="24"/>
  <c r="V199" i="24"/>
  <c r="V198" i="24"/>
  <c r="V197" i="24"/>
  <c r="V196" i="24"/>
  <c r="V195" i="24"/>
  <c r="V194" i="24"/>
  <c r="V193" i="24"/>
  <c r="V192" i="24"/>
  <c r="V191" i="24"/>
  <c r="V190" i="24"/>
  <c r="V189" i="24"/>
  <c r="V188" i="24"/>
  <c r="V187" i="24"/>
  <c r="V186" i="24"/>
  <c r="V185" i="24"/>
  <c r="V184" i="24"/>
  <c r="V183" i="24"/>
  <c r="V182" i="24"/>
  <c r="V181" i="24"/>
  <c r="V180" i="24"/>
  <c r="V179" i="24"/>
  <c r="V178" i="24"/>
  <c r="V177" i="24"/>
  <c r="V176" i="24"/>
  <c r="V175" i="24"/>
  <c r="V174" i="24"/>
  <c r="V173" i="24"/>
  <c r="V172" i="24"/>
  <c r="V171" i="24"/>
  <c r="V170" i="24"/>
  <c r="V169" i="24"/>
  <c r="V168" i="24"/>
  <c r="V167" i="24"/>
  <c r="V166" i="24"/>
  <c r="V165" i="24"/>
  <c r="V164" i="24"/>
  <c r="V163" i="24"/>
  <c r="V162" i="24"/>
  <c r="V161" i="24"/>
  <c r="V160" i="24"/>
  <c r="V159" i="24"/>
  <c r="V158" i="24"/>
  <c r="V157" i="24"/>
  <c r="V156" i="24"/>
  <c r="V155" i="24"/>
  <c r="V154" i="24"/>
  <c r="V153" i="24"/>
  <c r="V152" i="24"/>
  <c r="V151" i="24"/>
  <c r="V150" i="24"/>
  <c r="V149" i="24"/>
  <c r="V148" i="24"/>
  <c r="V147" i="24"/>
  <c r="V146" i="24"/>
  <c r="V145" i="24"/>
  <c r="V144" i="24"/>
  <c r="V143" i="24"/>
  <c r="V142" i="24"/>
  <c r="V141" i="24"/>
  <c r="V140" i="24"/>
  <c r="V139" i="24"/>
  <c r="V138" i="24"/>
  <c r="V137" i="24"/>
  <c r="V136" i="24"/>
  <c r="V135" i="24"/>
  <c r="V134" i="24"/>
  <c r="V133" i="24"/>
  <c r="V132" i="24"/>
  <c r="V131" i="24"/>
  <c r="V130" i="24"/>
  <c r="V129" i="24"/>
  <c r="V128" i="24"/>
  <c r="V127" i="24"/>
  <c r="V126" i="24"/>
  <c r="V125" i="24"/>
  <c r="V124" i="24"/>
  <c r="V123" i="24"/>
  <c r="V122" i="24"/>
  <c r="V121" i="24"/>
  <c r="V120" i="24"/>
  <c r="V119" i="24"/>
  <c r="V118" i="24"/>
  <c r="V117" i="24"/>
  <c r="V116" i="24"/>
  <c r="V115" i="24"/>
  <c r="V114" i="24"/>
  <c r="V113" i="24"/>
  <c r="V112" i="24"/>
  <c r="V111" i="24"/>
  <c r="V110" i="24"/>
  <c r="V109" i="24"/>
  <c r="V108" i="24"/>
  <c r="V107" i="24"/>
  <c r="V106" i="24"/>
  <c r="V105" i="24"/>
  <c r="V104" i="24"/>
  <c r="V103" i="24"/>
  <c r="V102" i="24"/>
  <c r="V101" i="24"/>
  <c r="V100" i="24"/>
  <c r="V99" i="24"/>
  <c r="V98" i="24"/>
  <c r="V97" i="24"/>
  <c r="V96" i="24"/>
  <c r="V95" i="24"/>
  <c r="V94" i="24"/>
  <c r="V93" i="24"/>
  <c r="V92" i="24"/>
  <c r="V91" i="24"/>
  <c r="V90" i="24"/>
  <c r="V89" i="24"/>
  <c r="V88" i="24"/>
  <c r="V87" i="24"/>
  <c r="V86" i="24"/>
  <c r="V85" i="24"/>
  <c r="V84" i="24"/>
  <c r="V83" i="24"/>
  <c r="V82" i="24"/>
  <c r="V81" i="24"/>
  <c r="V80" i="24"/>
  <c r="V79" i="24"/>
  <c r="V78" i="24"/>
  <c r="V77" i="24"/>
  <c r="V76" i="24"/>
  <c r="V75" i="24"/>
  <c r="V74" i="24"/>
  <c r="V73" i="24"/>
  <c r="V72" i="24"/>
  <c r="V71" i="24"/>
  <c r="V70" i="24"/>
  <c r="V69" i="24"/>
  <c r="V68" i="24"/>
  <c r="V67" i="24"/>
  <c r="V66" i="24"/>
  <c r="V65" i="24"/>
  <c r="V64" i="24"/>
  <c r="V63" i="24"/>
  <c r="V62" i="24"/>
  <c r="V61" i="24"/>
  <c r="V60" i="24"/>
  <c r="V59" i="24"/>
  <c r="V58" i="24"/>
  <c r="V57" i="24"/>
  <c r="V56" i="24"/>
  <c r="V55" i="24"/>
  <c r="V54" i="24"/>
  <c r="V53" i="24"/>
  <c r="V52" i="24"/>
  <c r="V51" i="24"/>
  <c r="V50" i="24"/>
  <c r="V49" i="24"/>
  <c r="V48" i="24"/>
  <c r="V47" i="24"/>
  <c r="V46" i="24"/>
  <c r="V45" i="24"/>
  <c r="V44" i="24"/>
  <c r="V43" i="24"/>
  <c r="V42" i="24"/>
  <c r="V41" i="24"/>
  <c r="V40" i="24"/>
  <c r="V39" i="24"/>
  <c r="V38" i="24"/>
  <c r="V37" i="24"/>
  <c r="V36" i="24"/>
  <c r="V35" i="24"/>
  <c r="V34" i="24"/>
  <c r="V33" i="24"/>
  <c r="V32" i="24"/>
  <c r="V31" i="24"/>
  <c r="V30" i="24"/>
  <c r="V29" i="24"/>
  <c r="V28" i="24"/>
  <c r="V27" i="24"/>
  <c r="V26" i="24"/>
  <c r="V25" i="24"/>
  <c r="V24" i="24"/>
  <c r="V23" i="24"/>
  <c r="V22" i="24"/>
  <c r="V21" i="24"/>
  <c r="V20" i="24"/>
  <c r="V19" i="24"/>
  <c r="V18" i="24"/>
  <c r="V17" i="24"/>
  <c r="V16" i="24"/>
  <c r="V15" i="24"/>
  <c r="V14" i="24"/>
  <c r="V13" i="24"/>
  <c r="V12" i="24"/>
  <c r="V11" i="24"/>
  <c r="V10" i="24"/>
  <c r="V9" i="24"/>
  <c r="V8" i="24"/>
  <c r="V7" i="24"/>
  <c r="V6" i="24"/>
  <c r="V5" i="24"/>
  <c r="V4" i="24"/>
  <c r="I54" i="23"/>
  <c r="D54" i="23"/>
  <c r="C54" i="23"/>
  <c r="I53" i="23"/>
  <c r="D53" i="23"/>
  <c r="C53" i="23"/>
  <c r="I52" i="23"/>
  <c r="D52" i="23"/>
  <c r="C52" i="23"/>
  <c r="I51" i="23"/>
  <c r="D51" i="23"/>
  <c r="C51" i="23"/>
  <c r="I50" i="23"/>
  <c r="D50" i="23"/>
  <c r="C50" i="23"/>
  <c r="I49" i="23"/>
  <c r="D49" i="23"/>
  <c r="C49" i="23"/>
  <c r="I48" i="23"/>
  <c r="D48" i="23"/>
  <c r="C48" i="23"/>
  <c r="I47" i="23"/>
  <c r="D47" i="23"/>
  <c r="C47" i="23"/>
  <c r="I46" i="23"/>
  <c r="D46" i="23"/>
  <c r="C46" i="23"/>
  <c r="I45" i="23"/>
  <c r="D45" i="23"/>
  <c r="C45" i="23"/>
  <c r="I44" i="23"/>
  <c r="D44" i="23"/>
  <c r="C44" i="23"/>
  <c r="I43" i="23"/>
  <c r="D43" i="23"/>
  <c r="C43" i="23"/>
  <c r="I42" i="23"/>
  <c r="D42" i="23"/>
  <c r="C42" i="23"/>
  <c r="I41" i="23"/>
  <c r="D41" i="23"/>
  <c r="C41" i="23"/>
  <c r="I40" i="23"/>
  <c r="D40" i="23"/>
  <c r="C40" i="23"/>
  <c r="I39" i="23"/>
  <c r="D39" i="23"/>
  <c r="C39" i="23"/>
  <c r="I38" i="23"/>
  <c r="D38" i="23"/>
  <c r="C38" i="23"/>
  <c r="I37" i="23"/>
  <c r="D37" i="23"/>
  <c r="C37" i="23"/>
  <c r="I36" i="23"/>
  <c r="D36" i="23"/>
  <c r="C36" i="23"/>
  <c r="I35" i="23"/>
  <c r="D35" i="23"/>
  <c r="C35" i="23"/>
  <c r="I34" i="23"/>
  <c r="D34" i="23"/>
  <c r="C34" i="23"/>
  <c r="I33" i="23"/>
  <c r="D33" i="23"/>
  <c r="C33" i="23"/>
  <c r="I32" i="23"/>
  <c r="D32" i="23"/>
  <c r="C32" i="23"/>
  <c r="I31" i="23"/>
  <c r="D31" i="23"/>
  <c r="C31" i="23"/>
  <c r="I30" i="23"/>
  <c r="D30" i="23"/>
  <c r="C30" i="23"/>
  <c r="I29" i="23"/>
  <c r="D29" i="23"/>
  <c r="C29" i="23"/>
  <c r="I28" i="23"/>
  <c r="D28" i="23"/>
  <c r="C28" i="23"/>
  <c r="I27" i="23"/>
  <c r="D27" i="23"/>
  <c r="C27" i="23"/>
  <c r="I26" i="23"/>
  <c r="D26" i="23"/>
  <c r="C26" i="23"/>
  <c r="I25" i="23"/>
  <c r="D25" i="23"/>
  <c r="C25" i="23"/>
  <c r="I24" i="23"/>
  <c r="D24" i="23"/>
  <c r="C24" i="23"/>
  <c r="I23" i="23"/>
  <c r="D23" i="23"/>
  <c r="C23" i="23"/>
  <c r="I22" i="23"/>
  <c r="D22" i="23"/>
  <c r="C22" i="23"/>
  <c r="I21" i="23"/>
  <c r="D21" i="23"/>
  <c r="C21" i="23"/>
  <c r="I20" i="23"/>
  <c r="D20" i="23"/>
  <c r="C20" i="23"/>
  <c r="I19" i="23"/>
  <c r="D19" i="23"/>
  <c r="C19" i="23"/>
  <c r="A2" i="23"/>
  <c r="E59" i="22"/>
  <c r="D59" i="22"/>
  <c r="C59" i="22"/>
  <c r="E58" i="22"/>
  <c r="D58" i="22"/>
  <c r="C58" i="22"/>
  <c r="E57" i="22"/>
  <c r="D57" i="22"/>
  <c r="C57" i="22"/>
  <c r="E56" i="22"/>
  <c r="D56" i="22"/>
  <c r="C56" i="22"/>
  <c r="E55" i="22"/>
  <c r="D55" i="22"/>
  <c r="C55" i="22"/>
  <c r="E54" i="22"/>
  <c r="D54" i="22"/>
  <c r="C54" i="22"/>
  <c r="E53" i="22"/>
  <c r="D53" i="22"/>
  <c r="C53" i="22"/>
  <c r="E52" i="22"/>
  <c r="D52" i="22"/>
  <c r="C52" i="22"/>
  <c r="E51" i="22"/>
  <c r="D51" i="22"/>
  <c r="C51" i="22"/>
  <c r="E50" i="22"/>
  <c r="D50" i="22"/>
  <c r="C50" i="22"/>
  <c r="E49" i="22"/>
  <c r="D49" i="22"/>
  <c r="C49" i="22"/>
  <c r="E48" i="22"/>
  <c r="D48" i="22"/>
  <c r="C48" i="22"/>
  <c r="E47" i="22"/>
  <c r="D47" i="22"/>
  <c r="C47" i="22"/>
  <c r="E46" i="22"/>
  <c r="D46" i="22"/>
  <c r="C46" i="22"/>
  <c r="E45" i="22"/>
  <c r="D45" i="22"/>
  <c r="C45" i="22"/>
  <c r="E44" i="22"/>
  <c r="D44" i="22"/>
  <c r="C44" i="22"/>
  <c r="E43" i="22"/>
  <c r="D43" i="22"/>
  <c r="C43" i="22"/>
  <c r="E42" i="22"/>
  <c r="D42" i="22"/>
  <c r="C42" i="22"/>
  <c r="E41" i="22"/>
  <c r="D41" i="22"/>
  <c r="C41" i="22"/>
  <c r="E40" i="22"/>
  <c r="D40" i="22"/>
  <c r="C40" i="22"/>
  <c r="E39" i="22"/>
  <c r="D39" i="22"/>
  <c r="C39" i="22"/>
  <c r="E38" i="22"/>
  <c r="D38" i="22"/>
  <c r="C38" i="22"/>
  <c r="E37" i="22"/>
  <c r="D37" i="22"/>
  <c r="C37" i="22"/>
  <c r="E36" i="22"/>
  <c r="D36" i="22"/>
  <c r="C36" i="22"/>
  <c r="E35" i="22"/>
  <c r="D35" i="22"/>
  <c r="C35" i="22"/>
  <c r="E34" i="22"/>
  <c r="D34" i="22"/>
  <c r="C34" i="22"/>
  <c r="E33" i="22"/>
  <c r="D33" i="22"/>
  <c r="C33" i="22"/>
  <c r="E32" i="22"/>
  <c r="D32" i="22"/>
  <c r="C32" i="22"/>
  <c r="E31" i="22"/>
  <c r="D31" i="22"/>
  <c r="C31" i="22"/>
  <c r="E30" i="22"/>
  <c r="D30" i="22"/>
  <c r="C30" i="22"/>
  <c r="E29" i="22"/>
  <c r="D29" i="22"/>
  <c r="C29" i="22"/>
  <c r="E28" i="22"/>
  <c r="D28" i="22"/>
  <c r="C28" i="22"/>
  <c r="E27" i="22"/>
  <c r="D27" i="22"/>
  <c r="C27" i="22"/>
  <c r="E26" i="22"/>
  <c r="D26" i="22"/>
  <c r="C26" i="22"/>
  <c r="E25" i="22"/>
  <c r="D25" i="22"/>
  <c r="C25" i="22"/>
  <c r="E24" i="22"/>
  <c r="D24" i="22"/>
  <c r="C24" i="22"/>
  <c r="L20" i="22"/>
  <c r="K20" i="22"/>
  <c r="J20" i="22"/>
  <c r="I20" i="22"/>
  <c r="H20" i="22"/>
  <c r="G20" i="22"/>
  <c r="F20" i="22"/>
  <c r="E20" i="22"/>
  <c r="D20" i="22"/>
  <c r="C20" i="22"/>
  <c r="B20" i="22"/>
  <c r="A20" i="22"/>
  <c r="L19" i="22"/>
  <c r="K19" i="22"/>
  <c r="J19" i="22"/>
  <c r="I19" i="22"/>
  <c r="H19" i="22"/>
  <c r="G19" i="22"/>
  <c r="F19" i="22"/>
  <c r="E19" i="22"/>
  <c r="D19" i="22"/>
  <c r="C19" i="22"/>
  <c r="B19" i="22"/>
  <c r="A19" i="22"/>
  <c r="L18" i="22"/>
  <c r="K18" i="22"/>
  <c r="J18" i="22"/>
  <c r="I18" i="22"/>
  <c r="H18" i="22"/>
  <c r="G18" i="22"/>
  <c r="F18" i="22"/>
  <c r="E18" i="22"/>
  <c r="D18" i="22"/>
  <c r="C18" i="22"/>
  <c r="B18" i="22"/>
  <c r="A18" i="22"/>
  <c r="L17" i="22"/>
  <c r="K17" i="22"/>
  <c r="J17" i="22"/>
  <c r="I17" i="22"/>
  <c r="H17" i="22"/>
  <c r="G17" i="22"/>
  <c r="F17" i="22"/>
  <c r="E17" i="22"/>
  <c r="D17" i="22"/>
  <c r="C17" i="22"/>
  <c r="B17" i="22"/>
  <c r="A17" i="22"/>
  <c r="L16" i="22"/>
  <c r="K16" i="22"/>
  <c r="J16" i="22"/>
  <c r="I16" i="22"/>
  <c r="H16" i="22"/>
  <c r="G16" i="22"/>
  <c r="F16" i="22"/>
  <c r="E16" i="22"/>
  <c r="D16" i="22"/>
  <c r="C16" i="22"/>
  <c r="B16" i="22"/>
  <c r="A16" i="22"/>
  <c r="L15" i="22"/>
  <c r="K15" i="22"/>
  <c r="J15" i="22"/>
  <c r="I15" i="22"/>
  <c r="H15" i="22"/>
  <c r="G15" i="22"/>
  <c r="F15" i="22"/>
  <c r="E15" i="22"/>
  <c r="D15" i="22"/>
  <c r="C15" i="22"/>
  <c r="B15" i="22"/>
  <c r="A15" i="22"/>
  <c r="L14" i="22"/>
  <c r="K14" i="22"/>
  <c r="J14" i="22"/>
  <c r="I14" i="22"/>
  <c r="H14" i="22"/>
  <c r="G14" i="22"/>
  <c r="F14" i="22"/>
  <c r="E14" i="22"/>
  <c r="D14" i="22"/>
  <c r="C14" i="22"/>
  <c r="B14" i="22"/>
  <c r="A14" i="22"/>
  <c r="L13" i="22"/>
  <c r="K13" i="22"/>
  <c r="J13" i="22"/>
  <c r="I13" i="22"/>
  <c r="H13" i="22"/>
  <c r="G13" i="22"/>
  <c r="F13" i="22"/>
  <c r="E13" i="22"/>
  <c r="D13" i="22"/>
  <c r="C13" i="22"/>
  <c r="B13" i="22"/>
  <c r="A13" i="22"/>
  <c r="L12" i="22"/>
  <c r="K12" i="22"/>
  <c r="J12" i="22"/>
  <c r="I12" i="22"/>
  <c r="H12" i="22"/>
  <c r="G12" i="22"/>
  <c r="F12" i="22"/>
  <c r="E12" i="22"/>
  <c r="D12" i="22"/>
  <c r="C12" i="22"/>
  <c r="B12" i="22"/>
  <c r="A12" i="22"/>
  <c r="L11" i="22"/>
  <c r="K11" i="22"/>
  <c r="J11" i="22"/>
  <c r="I11" i="22"/>
  <c r="H11" i="22"/>
  <c r="G11" i="22"/>
  <c r="F11" i="22"/>
  <c r="E11" i="22"/>
  <c r="D11" i="22"/>
  <c r="C11" i="22"/>
  <c r="B11" i="22"/>
  <c r="A11" i="22"/>
  <c r="L10" i="22"/>
  <c r="K10" i="22"/>
  <c r="J10" i="22"/>
  <c r="I10" i="22"/>
  <c r="H10" i="22"/>
  <c r="G10" i="22"/>
  <c r="F10" i="22"/>
  <c r="E10" i="22"/>
  <c r="D10" i="22"/>
  <c r="C10" i="22"/>
  <c r="B10" i="22"/>
  <c r="A10" i="22"/>
  <c r="L9" i="22"/>
  <c r="K9" i="22"/>
  <c r="J9" i="22"/>
  <c r="I9" i="22"/>
  <c r="H9" i="22"/>
  <c r="G9" i="22"/>
  <c r="F9" i="22"/>
  <c r="E9" i="22"/>
  <c r="D9" i="22"/>
  <c r="C9" i="22"/>
  <c r="B9" i="22"/>
  <c r="A9" i="22"/>
  <c r="L8" i="22"/>
  <c r="K8" i="22"/>
  <c r="J8" i="22"/>
  <c r="I8" i="22"/>
  <c r="H8" i="22"/>
  <c r="G8" i="22"/>
  <c r="F8" i="22"/>
  <c r="E8" i="22"/>
  <c r="D8" i="22"/>
  <c r="C8" i="22"/>
  <c r="B8" i="22"/>
  <c r="A8" i="22"/>
  <c r="L7" i="22"/>
  <c r="K7" i="22"/>
  <c r="J7" i="22"/>
  <c r="I7" i="22"/>
  <c r="H7" i="22"/>
  <c r="G7" i="22"/>
  <c r="F7" i="22"/>
  <c r="E7" i="22"/>
  <c r="D7" i="22"/>
  <c r="C7" i="22"/>
  <c r="B7" i="22"/>
  <c r="A7" i="22"/>
  <c r="L6" i="22"/>
  <c r="K6" i="22"/>
  <c r="J6" i="22"/>
  <c r="I6" i="22"/>
  <c r="H6" i="22"/>
  <c r="G6" i="22"/>
  <c r="F6" i="22"/>
  <c r="E6" i="22"/>
  <c r="D6" i="22"/>
  <c r="C6" i="22"/>
  <c r="B6" i="22"/>
  <c r="A6" i="22"/>
  <c r="A2" i="22"/>
  <c r="A2" i="21"/>
  <c r="I81" i="20"/>
  <c r="I80" i="20"/>
  <c r="I79" i="20"/>
  <c r="I78" i="20"/>
  <c r="I77" i="20"/>
  <c r="I76" i="20"/>
  <c r="I75" i="20"/>
  <c r="I74" i="20"/>
  <c r="G59" i="20"/>
  <c r="F59" i="20"/>
  <c r="E59" i="20"/>
  <c r="D59" i="20"/>
  <c r="C59" i="20"/>
  <c r="G58" i="20"/>
  <c r="F58" i="20"/>
  <c r="E58" i="20"/>
  <c r="D58" i="20"/>
  <c r="C58" i="20"/>
  <c r="G57" i="20"/>
  <c r="F57" i="20"/>
  <c r="E57" i="20"/>
  <c r="D57" i="20"/>
  <c r="C57" i="20"/>
  <c r="G56" i="20"/>
  <c r="F56" i="20"/>
  <c r="E56" i="20"/>
  <c r="D56" i="20"/>
  <c r="C56" i="20"/>
  <c r="G55" i="20"/>
  <c r="F55" i="20"/>
  <c r="E55" i="20"/>
  <c r="D55" i="20"/>
  <c r="C55" i="20"/>
  <c r="G54" i="20"/>
  <c r="F54" i="20"/>
  <c r="E54" i="20"/>
  <c r="D54" i="20"/>
  <c r="C54" i="20"/>
  <c r="G53" i="20"/>
  <c r="F53" i="20"/>
  <c r="E53" i="20"/>
  <c r="D53" i="20"/>
  <c r="C53" i="20"/>
  <c r="G52" i="20"/>
  <c r="F52" i="20"/>
  <c r="E52" i="20"/>
  <c r="D52" i="20"/>
  <c r="C52" i="20"/>
  <c r="G51" i="20"/>
  <c r="F51" i="20"/>
  <c r="E51" i="20"/>
  <c r="D51" i="20"/>
  <c r="C51" i="20"/>
  <c r="G50" i="20"/>
  <c r="F50" i="20"/>
  <c r="E50" i="20"/>
  <c r="D50" i="20"/>
  <c r="C50" i="20"/>
  <c r="G49" i="20"/>
  <c r="F49" i="20"/>
  <c r="E49" i="20"/>
  <c r="D49" i="20"/>
  <c r="C49" i="20"/>
  <c r="G48" i="20"/>
  <c r="F48" i="20"/>
  <c r="E48" i="20"/>
  <c r="D48" i="20"/>
  <c r="C48" i="20"/>
  <c r="G47" i="20"/>
  <c r="F47" i="20"/>
  <c r="E47" i="20"/>
  <c r="D47" i="20"/>
  <c r="C47" i="20"/>
  <c r="G46" i="20"/>
  <c r="F46" i="20"/>
  <c r="E46" i="20"/>
  <c r="D46" i="20"/>
  <c r="C46" i="20"/>
  <c r="G45" i="20"/>
  <c r="F45" i="20"/>
  <c r="E45" i="20"/>
  <c r="D45" i="20"/>
  <c r="C45" i="20"/>
  <c r="G44" i="20"/>
  <c r="F44" i="20"/>
  <c r="E44" i="20"/>
  <c r="D44" i="20"/>
  <c r="C44" i="20"/>
  <c r="G43" i="20"/>
  <c r="F43" i="20"/>
  <c r="E43" i="20"/>
  <c r="D43" i="20"/>
  <c r="C43" i="20"/>
  <c r="G42" i="20"/>
  <c r="F42" i="20"/>
  <c r="E42" i="20"/>
  <c r="D42" i="20"/>
  <c r="C42" i="20"/>
  <c r="G41" i="20"/>
  <c r="F41" i="20"/>
  <c r="E41" i="20"/>
  <c r="D41" i="20"/>
  <c r="C41" i="20"/>
  <c r="G40" i="20"/>
  <c r="F40" i="20"/>
  <c r="E40" i="20"/>
  <c r="D40" i="20"/>
  <c r="C40" i="20"/>
  <c r="G39" i="20"/>
  <c r="F39" i="20"/>
  <c r="E39" i="20"/>
  <c r="D39" i="20"/>
  <c r="C39" i="20"/>
  <c r="G38" i="20"/>
  <c r="F38" i="20"/>
  <c r="E38" i="20"/>
  <c r="D38" i="20"/>
  <c r="C38" i="20"/>
  <c r="G37" i="20"/>
  <c r="F37" i="20"/>
  <c r="E37" i="20"/>
  <c r="D37" i="20"/>
  <c r="C37" i="20"/>
  <c r="G36" i="20"/>
  <c r="F36" i="20"/>
  <c r="E36" i="20"/>
  <c r="D36" i="20"/>
  <c r="C36" i="20"/>
  <c r="G35" i="20"/>
  <c r="F35" i="20"/>
  <c r="E35" i="20"/>
  <c r="D35" i="20"/>
  <c r="C35" i="20"/>
  <c r="G34" i="20"/>
  <c r="F34" i="20"/>
  <c r="E34" i="20"/>
  <c r="D34" i="20"/>
  <c r="C34" i="20"/>
  <c r="G33" i="20"/>
  <c r="F33" i="20"/>
  <c r="E33" i="20"/>
  <c r="D33" i="20"/>
  <c r="C33" i="20"/>
  <c r="G32" i="20"/>
  <c r="F32" i="20"/>
  <c r="E32" i="20"/>
  <c r="D32" i="20"/>
  <c r="C32" i="20"/>
  <c r="G31" i="20"/>
  <c r="F31" i="20"/>
  <c r="E31" i="20"/>
  <c r="D31" i="20"/>
  <c r="C31" i="20"/>
  <c r="G30" i="20"/>
  <c r="F30" i="20"/>
  <c r="E30" i="20"/>
  <c r="D30" i="20"/>
  <c r="C30" i="20"/>
  <c r="G29" i="20"/>
  <c r="F29" i="20"/>
  <c r="E29" i="20"/>
  <c r="D29" i="20"/>
  <c r="C29" i="20"/>
  <c r="G28" i="20"/>
  <c r="F28" i="20"/>
  <c r="E28" i="20"/>
  <c r="D28" i="20"/>
  <c r="C28" i="20"/>
  <c r="G27" i="20"/>
  <c r="F27" i="20"/>
  <c r="E27" i="20"/>
  <c r="D27" i="20"/>
  <c r="C27" i="20"/>
  <c r="G26" i="20"/>
  <c r="F26" i="20"/>
  <c r="E26" i="20"/>
  <c r="D26" i="20"/>
  <c r="C26" i="20"/>
  <c r="G25" i="20"/>
  <c r="F25" i="20"/>
  <c r="E25" i="20"/>
  <c r="D25" i="20"/>
  <c r="C25" i="20"/>
  <c r="G24" i="20"/>
  <c r="F24" i="20"/>
  <c r="E24" i="20"/>
  <c r="D24" i="20"/>
  <c r="C24" i="20"/>
  <c r="J20" i="20"/>
  <c r="I20" i="20"/>
  <c r="H20" i="20"/>
  <c r="G20" i="20"/>
  <c r="F20" i="20"/>
  <c r="E20" i="20"/>
  <c r="D20" i="20"/>
  <c r="J19" i="20"/>
  <c r="I19" i="20"/>
  <c r="H19" i="20"/>
  <c r="G19" i="20"/>
  <c r="F19" i="20"/>
  <c r="E19" i="20"/>
  <c r="D19" i="20"/>
  <c r="J18" i="20"/>
  <c r="I18" i="20"/>
  <c r="H18" i="20"/>
  <c r="G18" i="20"/>
  <c r="F18" i="20"/>
  <c r="E18" i="20"/>
  <c r="D18" i="20"/>
  <c r="J17" i="20"/>
  <c r="I17" i="20"/>
  <c r="H17" i="20"/>
  <c r="G17" i="20"/>
  <c r="F17" i="20"/>
  <c r="E17" i="20"/>
  <c r="D17" i="20"/>
  <c r="J16" i="20"/>
  <c r="I16" i="20"/>
  <c r="H16" i="20"/>
  <c r="G16" i="20"/>
  <c r="F16" i="20"/>
  <c r="E16" i="20"/>
  <c r="D16" i="20"/>
  <c r="J15" i="20"/>
  <c r="I15" i="20"/>
  <c r="H15" i="20"/>
  <c r="G15" i="20"/>
  <c r="F15" i="20"/>
  <c r="E15" i="20"/>
  <c r="D15" i="20"/>
  <c r="J14" i="20"/>
  <c r="I14" i="20"/>
  <c r="H14" i="20"/>
  <c r="G14" i="20"/>
  <c r="F14" i="20"/>
  <c r="E14" i="20"/>
  <c r="D14" i="20"/>
  <c r="J13" i="20"/>
  <c r="I13" i="20"/>
  <c r="H13" i="20"/>
  <c r="G13" i="20"/>
  <c r="F13" i="20"/>
  <c r="E13" i="20"/>
  <c r="D13" i="20"/>
  <c r="J12" i="20"/>
  <c r="I12" i="20"/>
  <c r="H12" i="20"/>
  <c r="G12" i="20"/>
  <c r="F12" i="20"/>
  <c r="E12" i="20"/>
  <c r="D12" i="20"/>
  <c r="J11" i="20"/>
  <c r="I11" i="20"/>
  <c r="H11" i="20"/>
  <c r="G11" i="20"/>
  <c r="F11" i="20"/>
  <c r="E11" i="20"/>
  <c r="D11" i="20"/>
  <c r="J10" i="20"/>
  <c r="I10" i="20"/>
  <c r="H10" i="20"/>
  <c r="G10" i="20"/>
  <c r="F10" i="20"/>
  <c r="E10" i="20"/>
  <c r="D10" i="20"/>
  <c r="J9" i="20"/>
  <c r="I9" i="20"/>
  <c r="H9" i="20"/>
  <c r="G9" i="20"/>
  <c r="F9" i="20"/>
  <c r="E9" i="20"/>
  <c r="D9" i="20"/>
  <c r="J8" i="20"/>
  <c r="I8" i="20"/>
  <c r="H8" i="20"/>
  <c r="G8" i="20"/>
  <c r="F8" i="20"/>
  <c r="E8" i="20"/>
  <c r="D8" i="20"/>
  <c r="J7" i="20"/>
  <c r="I7" i="20"/>
  <c r="H7" i="20"/>
  <c r="G7" i="20"/>
  <c r="F7" i="20"/>
  <c r="E7" i="20"/>
  <c r="D7" i="20"/>
  <c r="J6" i="20"/>
  <c r="I6" i="20"/>
  <c r="H6" i="20"/>
  <c r="G6" i="20"/>
  <c r="F6" i="20"/>
  <c r="E6" i="20"/>
  <c r="D6" i="20"/>
  <c r="A2" i="20"/>
  <c r="F63" i="19"/>
  <c r="F62" i="19"/>
  <c r="F61" i="19"/>
  <c r="F60" i="19"/>
  <c r="F59" i="19"/>
  <c r="F58" i="19"/>
  <c r="F57" i="19"/>
  <c r="F56" i="19"/>
  <c r="F55" i="19"/>
  <c r="F54" i="19"/>
  <c r="K50" i="19"/>
  <c r="J50" i="19"/>
  <c r="I50" i="19"/>
  <c r="H50" i="19"/>
  <c r="K49" i="19"/>
  <c r="J49" i="19"/>
  <c r="I49" i="19"/>
  <c r="H49" i="19"/>
  <c r="K48" i="19"/>
  <c r="J48" i="19"/>
  <c r="I48" i="19"/>
  <c r="H48" i="19"/>
  <c r="K47" i="19"/>
  <c r="J47" i="19"/>
  <c r="I47" i="19"/>
  <c r="H47" i="19"/>
  <c r="K46" i="19"/>
  <c r="J46" i="19"/>
  <c r="I46" i="19"/>
  <c r="H46" i="19"/>
  <c r="K45" i="19"/>
  <c r="J45" i="19"/>
  <c r="I45" i="19"/>
  <c r="H45" i="19"/>
  <c r="K44" i="19"/>
  <c r="J44" i="19"/>
  <c r="I44" i="19"/>
  <c r="H44" i="19"/>
  <c r="K43" i="19"/>
  <c r="J43" i="19"/>
  <c r="I43" i="19"/>
  <c r="H43" i="19"/>
  <c r="K42" i="19"/>
  <c r="J42" i="19"/>
  <c r="I42" i="19"/>
  <c r="H42" i="19"/>
  <c r="K41" i="19"/>
  <c r="J41" i="19"/>
  <c r="I41" i="19"/>
  <c r="H41" i="19"/>
  <c r="K40" i="19"/>
  <c r="J40" i="19"/>
  <c r="I40" i="19"/>
  <c r="H40" i="19"/>
  <c r="K39" i="19"/>
  <c r="J39" i="19"/>
  <c r="I39" i="19"/>
  <c r="H39" i="19"/>
  <c r="F35" i="19"/>
  <c r="C35" i="19"/>
  <c r="B35" i="19"/>
  <c r="F34" i="19"/>
  <c r="C34" i="19"/>
  <c r="B34" i="19"/>
  <c r="F33" i="19"/>
  <c r="C33" i="19"/>
  <c r="B33" i="19"/>
  <c r="F32" i="19"/>
  <c r="C32" i="19"/>
  <c r="B32" i="19"/>
  <c r="F31" i="19"/>
  <c r="C31" i="19"/>
  <c r="B31" i="19"/>
  <c r="F30" i="19"/>
  <c r="C30" i="19"/>
  <c r="B30" i="19"/>
  <c r="F29" i="19"/>
  <c r="C29" i="19"/>
  <c r="B29" i="19"/>
  <c r="F28" i="19"/>
  <c r="C28" i="19"/>
  <c r="B28" i="19"/>
  <c r="F27" i="19"/>
  <c r="C27" i="19"/>
  <c r="B27" i="19"/>
  <c r="F26" i="19"/>
  <c r="C26" i="19"/>
  <c r="B26" i="19"/>
  <c r="F25" i="19"/>
  <c r="C25" i="19"/>
  <c r="B25" i="19"/>
  <c r="F24" i="19"/>
  <c r="C24" i="19"/>
  <c r="B24" i="19"/>
  <c r="F23" i="19"/>
  <c r="C23" i="19"/>
  <c r="B23" i="19"/>
  <c r="F22" i="19"/>
  <c r="C22" i="19"/>
  <c r="B22" i="19"/>
  <c r="F21" i="19"/>
  <c r="C21" i="19"/>
  <c r="B21" i="19"/>
  <c r="F20" i="19"/>
  <c r="C20" i="19"/>
  <c r="B20" i="19"/>
  <c r="F19" i="19"/>
  <c r="C19" i="19"/>
  <c r="B19" i="19"/>
  <c r="F18" i="19"/>
  <c r="C18" i="19"/>
  <c r="B18" i="19"/>
  <c r="F17" i="19"/>
  <c r="C17" i="19"/>
  <c r="B17" i="19"/>
  <c r="F16" i="19"/>
  <c r="C16" i="19"/>
  <c r="B16" i="19"/>
  <c r="F15" i="19"/>
  <c r="C15" i="19"/>
  <c r="B15" i="19"/>
  <c r="F14" i="19"/>
  <c r="C14" i="19"/>
  <c r="B14" i="19"/>
  <c r="F13" i="19"/>
  <c r="C13" i="19"/>
  <c r="B13" i="19"/>
  <c r="F12" i="19"/>
  <c r="C12" i="19"/>
  <c r="B12" i="19"/>
  <c r="F11" i="19"/>
  <c r="C11" i="19"/>
  <c r="B11" i="19"/>
  <c r="F10" i="19"/>
  <c r="C10" i="19"/>
  <c r="B10" i="19"/>
  <c r="F9" i="19"/>
  <c r="C9" i="19"/>
  <c r="B9" i="19"/>
  <c r="F8" i="19"/>
  <c r="C8" i="19"/>
  <c r="B8" i="19"/>
  <c r="F7" i="19"/>
  <c r="C7" i="19"/>
  <c r="B7" i="19"/>
  <c r="F6" i="19"/>
  <c r="C6" i="19"/>
  <c r="B6" i="19"/>
  <c r="A2" i="19"/>
  <c r="F53" i="18"/>
  <c r="D53" i="18"/>
  <c r="C53" i="18"/>
  <c r="F52" i="18"/>
  <c r="D52" i="18"/>
  <c r="C52" i="18"/>
  <c r="F51" i="18"/>
  <c r="D51" i="18"/>
  <c r="C51" i="18"/>
  <c r="F50" i="18"/>
  <c r="D50" i="18"/>
  <c r="C50" i="18"/>
  <c r="F49" i="18"/>
  <c r="D49" i="18"/>
  <c r="C49" i="18"/>
  <c r="F48" i="18"/>
  <c r="D48" i="18"/>
  <c r="C48" i="18"/>
  <c r="F47" i="18"/>
  <c r="D47" i="18"/>
  <c r="C47" i="18"/>
  <c r="F46" i="18"/>
  <c r="D46" i="18"/>
  <c r="C46" i="18"/>
  <c r="F45" i="18"/>
  <c r="D45" i="18"/>
  <c r="C45" i="18"/>
  <c r="F44" i="18"/>
  <c r="D44" i="18"/>
  <c r="C44" i="18"/>
  <c r="F43" i="18"/>
  <c r="D43" i="18"/>
  <c r="C43" i="18"/>
  <c r="F42" i="18"/>
  <c r="D42" i="18"/>
  <c r="C42" i="18"/>
  <c r="F41" i="18"/>
  <c r="D41" i="18"/>
  <c r="C41" i="18"/>
  <c r="F40" i="18"/>
  <c r="D40" i="18"/>
  <c r="C40" i="18"/>
  <c r="F39" i="18"/>
  <c r="D39" i="18"/>
  <c r="C39" i="18"/>
  <c r="F38" i="18"/>
  <c r="D38" i="18"/>
  <c r="C38" i="18"/>
  <c r="F37" i="18"/>
  <c r="D37" i="18"/>
  <c r="C37" i="18"/>
  <c r="F36" i="18"/>
  <c r="D36" i="18"/>
  <c r="C36" i="18"/>
  <c r="F35" i="18"/>
  <c r="D35" i="18"/>
  <c r="C35" i="18"/>
  <c r="F34" i="18"/>
  <c r="D34" i="18"/>
  <c r="C34" i="18"/>
  <c r="F33" i="18"/>
  <c r="D33" i="18"/>
  <c r="C33" i="18"/>
  <c r="F32" i="18"/>
  <c r="D32" i="18"/>
  <c r="C32" i="18"/>
  <c r="F31" i="18"/>
  <c r="D31" i="18"/>
  <c r="C31" i="18"/>
  <c r="F30" i="18"/>
  <c r="D30" i="18"/>
  <c r="C30" i="18"/>
  <c r="F29" i="18"/>
  <c r="D29" i="18"/>
  <c r="C29" i="18"/>
  <c r="F28" i="18"/>
  <c r="D28" i="18"/>
  <c r="C28" i="18"/>
  <c r="F27" i="18"/>
  <c r="D27" i="18"/>
  <c r="C27" i="18"/>
  <c r="F26" i="18"/>
  <c r="D26" i="18"/>
  <c r="C26" i="18"/>
  <c r="F25" i="18"/>
  <c r="D25" i="18"/>
  <c r="C25" i="18"/>
  <c r="F24" i="18"/>
  <c r="D24" i="18"/>
  <c r="C24" i="18"/>
  <c r="F23" i="18"/>
  <c r="D23" i="18"/>
  <c r="C23" i="18"/>
  <c r="F22" i="18"/>
  <c r="D22" i="18"/>
  <c r="C22" i="18"/>
  <c r="F21" i="18"/>
  <c r="D21" i="18"/>
  <c r="C21" i="18"/>
  <c r="F20" i="18"/>
  <c r="D20" i="18"/>
  <c r="C20" i="18"/>
  <c r="F19" i="18"/>
  <c r="D19" i="18"/>
  <c r="C19" i="18"/>
  <c r="F18" i="18"/>
  <c r="D18" i="18"/>
  <c r="C18" i="18"/>
  <c r="C14" i="18"/>
  <c r="C13" i="18"/>
  <c r="C12" i="18"/>
  <c r="C11" i="18"/>
  <c r="C10" i="18"/>
  <c r="C9" i="18"/>
  <c r="C8" i="18"/>
  <c r="C7" i="18"/>
  <c r="C6" i="18"/>
  <c r="A2" i="18"/>
  <c r="D62" i="17"/>
  <c r="C62" i="17"/>
  <c r="D61" i="17"/>
  <c r="C61" i="17"/>
  <c r="D60" i="17"/>
  <c r="C60" i="17"/>
  <c r="D59" i="17"/>
  <c r="C59" i="17"/>
  <c r="D58" i="17"/>
  <c r="C58" i="17"/>
  <c r="D57" i="17"/>
  <c r="C57" i="17"/>
  <c r="D56" i="17"/>
  <c r="C56" i="17"/>
  <c r="D55" i="17"/>
  <c r="C55" i="17"/>
  <c r="D54" i="17"/>
  <c r="C54" i="17"/>
  <c r="D53" i="17"/>
  <c r="C53" i="17"/>
  <c r="D52" i="17"/>
  <c r="C52" i="17"/>
  <c r="D51" i="17"/>
  <c r="C51" i="17"/>
  <c r="D50" i="17"/>
  <c r="C50" i="17"/>
  <c r="D49" i="17"/>
  <c r="C49" i="17"/>
  <c r="D48" i="17"/>
  <c r="C48" i="17"/>
  <c r="D47" i="17"/>
  <c r="C47" i="17"/>
  <c r="D46" i="17"/>
  <c r="C46" i="17"/>
  <c r="D45" i="17"/>
  <c r="C45" i="17"/>
  <c r="D44" i="17"/>
  <c r="C44" i="17"/>
  <c r="D43" i="17"/>
  <c r="C43" i="17"/>
  <c r="D42" i="17"/>
  <c r="C42" i="17"/>
  <c r="D41" i="17"/>
  <c r="C41" i="17"/>
  <c r="D40" i="17"/>
  <c r="C40" i="17"/>
  <c r="D39" i="17"/>
  <c r="C39" i="17"/>
  <c r="D38" i="17"/>
  <c r="C38" i="17"/>
  <c r="D37" i="17"/>
  <c r="C37" i="17"/>
  <c r="D36" i="17"/>
  <c r="C36" i="17"/>
  <c r="D35" i="17"/>
  <c r="C35" i="17"/>
  <c r="D34" i="17"/>
  <c r="C34" i="17"/>
  <c r="D33" i="17"/>
  <c r="C33" i="17"/>
  <c r="D32" i="17"/>
  <c r="C32" i="17"/>
  <c r="D31" i="17"/>
  <c r="C31" i="17"/>
  <c r="D30" i="17"/>
  <c r="C30" i="17"/>
  <c r="D29" i="17"/>
  <c r="C29" i="17"/>
  <c r="D28" i="17"/>
  <c r="C28" i="17"/>
  <c r="D27" i="17"/>
  <c r="C27" i="17"/>
  <c r="E23" i="17"/>
  <c r="E22" i="17"/>
  <c r="E21" i="17"/>
  <c r="E20" i="17"/>
  <c r="E19" i="17"/>
  <c r="I15" i="17"/>
  <c r="H15" i="17"/>
  <c r="G15" i="17"/>
  <c r="F15" i="17"/>
  <c r="D15" i="17"/>
  <c r="C15" i="17"/>
  <c r="I14" i="17"/>
  <c r="H14" i="17"/>
  <c r="G14" i="17"/>
  <c r="F14" i="17"/>
  <c r="D14" i="17"/>
  <c r="C14" i="17"/>
  <c r="I13" i="17"/>
  <c r="H13" i="17"/>
  <c r="G13" i="17"/>
  <c r="F13" i="17"/>
  <c r="D13" i="17"/>
  <c r="C13" i="17"/>
  <c r="I12" i="17"/>
  <c r="H12" i="17"/>
  <c r="G12" i="17"/>
  <c r="F12" i="17"/>
  <c r="D12" i="17"/>
  <c r="C12" i="17"/>
  <c r="I11" i="17"/>
  <c r="H11" i="17"/>
  <c r="G11" i="17"/>
  <c r="F11" i="17"/>
  <c r="D11" i="17"/>
  <c r="C11" i="17"/>
  <c r="I10" i="17"/>
  <c r="H10" i="17"/>
  <c r="G10" i="17"/>
  <c r="F10" i="17"/>
  <c r="D10" i="17"/>
  <c r="C10" i="17"/>
  <c r="I9" i="17"/>
  <c r="H9" i="17"/>
  <c r="G9" i="17"/>
  <c r="F9" i="17"/>
  <c r="D9" i="17"/>
  <c r="C9" i="17"/>
  <c r="I8" i="17"/>
  <c r="H8" i="17"/>
  <c r="G8" i="17"/>
  <c r="F8" i="17"/>
  <c r="D8" i="17"/>
  <c r="C8" i="17"/>
  <c r="I7" i="17"/>
  <c r="H7" i="17"/>
  <c r="G7" i="17"/>
  <c r="F7" i="17"/>
  <c r="D7" i="17"/>
  <c r="C7" i="17"/>
  <c r="I6" i="17"/>
  <c r="H6" i="17"/>
  <c r="G6" i="17"/>
  <c r="F6" i="17"/>
  <c r="D6" i="17"/>
  <c r="C6" i="17"/>
  <c r="A2" i="17"/>
  <c r="C63" i="16"/>
  <c r="C62" i="16"/>
  <c r="C61" i="16"/>
  <c r="C59" i="16"/>
  <c r="C58" i="16"/>
  <c r="C57" i="16"/>
  <c r="C56" i="16"/>
  <c r="C55" i="16"/>
  <c r="C54" i="16"/>
  <c r="C53" i="16"/>
  <c r="I41" i="16"/>
  <c r="H41" i="16"/>
  <c r="G41" i="16"/>
  <c r="F41" i="16"/>
  <c r="E41" i="16"/>
  <c r="D41" i="16"/>
  <c r="C41" i="16"/>
  <c r="I40" i="16"/>
  <c r="H40" i="16"/>
  <c r="G40" i="16"/>
  <c r="F40" i="16"/>
  <c r="E40" i="16"/>
  <c r="D40" i="16"/>
  <c r="C40" i="16"/>
  <c r="I39" i="16"/>
  <c r="H39" i="16"/>
  <c r="G39" i="16"/>
  <c r="F39" i="16"/>
  <c r="E39" i="16"/>
  <c r="D39" i="16"/>
  <c r="C39" i="16"/>
  <c r="I38" i="16"/>
  <c r="H38" i="16"/>
  <c r="G38" i="16"/>
  <c r="F38" i="16"/>
  <c r="E38" i="16"/>
  <c r="D38" i="16"/>
  <c r="C38" i="16"/>
  <c r="I37" i="16"/>
  <c r="H37" i="16"/>
  <c r="G37" i="16"/>
  <c r="F37" i="16"/>
  <c r="E37" i="16"/>
  <c r="D37" i="16"/>
  <c r="C37" i="16"/>
  <c r="I36" i="16"/>
  <c r="H36" i="16"/>
  <c r="G36" i="16"/>
  <c r="F36" i="16"/>
  <c r="E36" i="16"/>
  <c r="D36" i="16"/>
  <c r="C36" i="16"/>
  <c r="I35" i="16"/>
  <c r="H35" i="16"/>
  <c r="G35" i="16"/>
  <c r="F35" i="16"/>
  <c r="E35" i="16"/>
  <c r="D35" i="16"/>
  <c r="C35" i="16"/>
  <c r="I34" i="16"/>
  <c r="H34" i="16"/>
  <c r="G34" i="16"/>
  <c r="F34" i="16"/>
  <c r="E34" i="16"/>
  <c r="D34" i="16"/>
  <c r="C34" i="16"/>
  <c r="I33" i="16"/>
  <c r="H33" i="16"/>
  <c r="G33" i="16"/>
  <c r="F33" i="16"/>
  <c r="E33" i="16"/>
  <c r="D33" i="16"/>
  <c r="C33" i="16"/>
  <c r="I32" i="16"/>
  <c r="H32" i="16"/>
  <c r="G32" i="16"/>
  <c r="F32" i="16"/>
  <c r="E32" i="16"/>
  <c r="D32" i="16"/>
  <c r="C32" i="16"/>
  <c r="I31" i="16"/>
  <c r="H31" i="16"/>
  <c r="G31" i="16"/>
  <c r="F31" i="16"/>
  <c r="E31" i="16"/>
  <c r="D31" i="16"/>
  <c r="C31" i="16"/>
  <c r="I30" i="16"/>
  <c r="H30" i="16"/>
  <c r="G30" i="16"/>
  <c r="F30" i="16"/>
  <c r="E30" i="16"/>
  <c r="D30" i="16"/>
  <c r="C30" i="16"/>
  <c r="I29" i="16"/>
  <c r="H29" i="16"/>
  <c r="G29" i="16"/>
  <c r="F29" i="16"/>
  <c r="E29" i="16"/>
  <c r="D29" i="16"/>
  <c r="C29" i="16"/>
  <c r="I28" i="16"/>
  <c r="H28" i="16"/>
  <c r="G28" i="16"/>
  <c r="F28" i="16"/>
  <c r="E28" i="16"/>
  <c r="D28" i="16"/>
  <c r="C28" i="16"/>
  <c r="I27" i="16"/>
  <c r="H27" i="16"/>
  <c r="G27" i="16"/>
  <c r="F27" i="16"/>
  <c r="E27" i="16"/>
  <c r="D27" i="16"/>
  <c r="C27" i="16"/>
  <c r="I26" i="16"/>
  <c r="H26" i="16"/>
  <c r="G26" i="16"/>
  <c r="F26" i="16"/>
  <c r="E26" i="16"/>
  <c r="D26" i="16"/>
  <c r="C26" i="16"/>
  <c r="I25" i="16"/>
  <c r="H25" i="16"/>
  <c r="G25" i="16"/>
  <c r="F25" i="16"/>
  <c r="E25" i="16"/>
  <c r="D25" i="16"/>
  <c r="C25" i="16"/>
  <c r="I24" i="16"/>
  <c r="H24" i="16"/>
  <c r="G24" i="16"/>
  <c r="F24" i="16"/>
  <c r="E24" i="16"/>
  <c r="D24" i="16"/>
  <c r="C24" i="16"/>
  <c r="I23" i="16"/>
  <c r="H23" i="16"/>
  <c r="G23" i="16"/>
  <c r="F23" i="16"/>
  <c r="E23" i="16"/>
  <c r="D23" i="16"/>
  <c r="C23" i="16"/>
  <c r="I22" i="16"/>
  <c r="H22" i="16"/>
  <c r="G22" i="16"/>
  <c r="F22" i="16"/>
  <c r="E22" i="16"/>
  <c r="D22" i="16"/>
  <c r="C22" i="16"/>
  <c r="I21" i="16"/>
  <c r="H21" i="16"/>
  <c r="G21" i="16"/>
  <c r="F21" i="16"/>
  <c r="E21" i="16"/>
  <c r="D21" i="16"/>
  <c r="C21" i="16"/>
  <c r="I20" i="16"/>
  <c r="H20" i="16"/>
  <c r="G20" i="16"/>
  <c r="F20" i="16"/>
  <c r="E20" i="16"/>
  <c r="D20" i="16"/>
  <c r="C20" i="16"/>
  <c r="I19" i="16"/>
  <c r="H19" i="16"/>
  <c r="G19" i="16"/>
  <c r="F19" i="16"/>
  <c r="E19" i="16"/>
  <c r="D19" i="16"/>
  <c r="C19" i="16"/>
  <c r="I18" i="16"/>
  <c r="H18" i="16"/>
  <c r="G18" i="16"/>
  <c r="F18" i="16"/>
  <c r="E18" i="16"/>
  <c r="D18" i="16"/>
  <c r="C18" i="16"/>
  <c r="I17" i="16"/>
  <c r="H17" i="16"/>
  <c r="G17" i="16"/>
  <c r="F17" i="16"/>
  <c r="E17" i="16"/>
  <c r="D17" i="16"/>
  <c r="C17" i="16"/>
  <c r="I16" i="16"/>
  <c r="H16" i="16"/>
  <c r="G16" i="16"/>
  <c r="F16" i="16"/>
  <c r="E16" i="16"/>
  <c r="D16" i="16"/>
  <c r="C16" i="16"/>
  <c r="I15" i="16"/>
  <c r="H15" i="16"/>
  <c r="G15" i="16"/>
  <c r="F15" i="16"/>
  <c r="E15" i="16"/>
  <c r="D15" i="16"/>
  <c r="C15" i="16"/>
  <c r="I14" i="16"/>
  <c r="H14" i="16"/>
  <c r="G14" i="16"/>
  <c r="F14" i="16"/>
  <c r="E14" i="16"/>
  <c r="D14" i="16"/>
  <c r="C14" i="16"/>
  <c r="I13" i="16"/>
  <c r="H13" i="16"/>
  <c r="G13" i="16"/>
  <c r="F13" i="16"/>
  <c r="E13" i="16"/>
  <c r="D13" i="16"/>
  <c r="C13" i="16"/>
  <c r="I12" i="16"/>
  <c r="H12" i="16"/>
  <c r="G12" i="16"/>
  <c r="F12" i="16"/>
  <c r="E12" i="16"/>
  <c r="D12" i="16"/>
  <c r="C12" i="16"/>
  <c r="I11" i="16"/>
  <c r="H11" i="16"/>
  <c r="G11" i="16"/>
  <c r="F11" i="16"/>
  <c r="E11" i="16"/>
  <c r="D11" i="16"/>
  <c r="C11" i="16"/>
  <c r="I10" i="16"/>
  <c r="H10" i="16"/>
  <c r="G10" i="16"/>
  <c r="F10" i="16"/>
  <c r="E10" i="16"/>
  <c r="D10" i="16"/>
  <c r="C10" i="16"/>
  <c r="I9" i="16"/>
  <c r="H9" i="16"/>
  <c r="G9" i="16"/>
  <c r="F9" i="16"/>
  <c r="E9" i="16"/>
  <c r="D9" i="16"/>
  <c r="C9" i="16"/>
  <c r="I8" i="16"/>
  <c r="H8" i="16"/>
  <c r="G8" i="16"/>
  <c r="F8" i="16"/>
  <c r="E8" i="16"/>
  <c r="D8" i="16"/>
  <c r="C8" i="16"/>
  <c r="I7" i="16"/>
  <c r="H7" i="16"/>
  <c r="G7" i="16"/>
  <c r="F7" i="16"/>
  <c r="E7" i="16"/>
  <c r="D7" i="16"/>
  <c r="C7" i="16"/>
  <c r="I6" i="16"/>
  <c r="H6" i="16"/>
  <c r="G6" i="16"/>
  <c r="F6" i="16"/>
  <c r="E6" i="16"/>
  <c r="D6" i="16"/>
  <c r="C6" i="16"/>
  <c r="A2" i="16"/>
  <c r="I59" i="15"/>
  <c r="H59" i="15"/>
  <c r="G59" i="15"/>
  <c r="F59" i="15"/>
  <c r="E59" i="15"/>
  <c r="D59" i="15"/>
  <c r="C59" i="15"/>
  <c r="I58" i="15"/>
  <c r="H58" i="15"/>
  <c r="G58" i="15"/>
  <c r="F58" i="15"/>
  <c r="E58" i="15"/>
  <c r="D58" i="15"/>
  <c r="C58" i="15"/>
  <c r="I57" i="15"/>
  <c r="H57" i="15"/>
  <c r="G57" i="15"/>
  <c r="F57" i="15"/>
  <c r="E57" i="15"/>
  <c r="D57" i="15"/>
  <c r="C57" i="15"/>
  <c r="I56" i="15"/>
  <c r="H56" i="15"/>
  <c r="G56" i="15"/>
  <c r="F56" i="15"/>
  <c r="E56" i="15"/>
  <c r="D56" i="15"/>
  <c r="C56" i="15"/>
  <c r="I55" i="15"/>
  <c r="H55" i="15"/>
  <c r="G55" i="15"/>
  <c r="F55" i="15"/>
  <c r="E55" i="15"/>
  <c r="D55" i="15"/>
  <c r="C55" i="15"/>
  <c r="I54" i="15"/>
  <c r="H54" i="15"/>
  <c r="G54" i="15"/>
  <c r="F54" i="15"/>
  <c r="E54" i="15"/>
  <c r="D54" i="15"/>
  <c r="C54" i="15"/>
  <c r="I53" i="15"/>
  <c r="H53" i="15"/>
  <c r="G53" i="15"/>
  <c r="F53" i="15"/>
  <c r="E53" i="15"/>
  <c r="D53" i="15"/>
  <c r="C53" i="15"/>
  <c r="I52" i="15"/>
  <c r="H52" i="15"/>
  <c r="G52" i="15"/>
  <c r="F52" i="15"/>
  <c r="E52" i="15"/>
  <c r="D52" i="15"/>
  <c r="C52" i="15"/>
  <c r="I51" i="15"/>
  <c r="H51" i="15"/>
  <c r="G51" i="15"/>
  <c r="F51" i="15"/>
  <c r="E51" i="15"/>
  <c r="D51" i="15"/>
  <c r="C51" i="15"/>
  <c r="I50" i="15"/>
  <c r="H50" i="15"/>
  <c r="G50" i="15"/>
  <c r="F50" i="15"/>
  <c r="E50" i="15"/>
  <c r="D50" i="15"/>
  <c r="C50" i="15"/>
  <c r="I49" i="15"/>
  <c r="H49" i="15"/>
  <c r="G49" i="15"/>
  <c r="F49" i="15"/>
  <c r="E49" i="15"/>
  <c r="D49" i="15"/>
  <c r="C49" i="15"/>
  <c r="I48" i="15"/>
  <c r="H48" i="15"/>
  <c r="G48" i="15"/>
  <c r="F48" i="15"/>
  <c r="E48" i="15"/>
  <c r="D48" i="15"/>
  <c r="C48" i="15"/>
  <c r="I47" i="15"/>
  <c r="H47" i="15"/>
  <c r="G47" i="15"/>
  <c r="F47" i="15"/>
  <c r="E47" i="15"/>
  <c r="D47" i="15"/>
  <c r="C47" i="15"/>
  <c r="I46" i="15"/>
  <c r="H46" i="15"/>
  <c r="G46" i="15"/>
  <c r="F46" i="15"/>
  <c r="E46" i="15"/>
  <c r="D46" i="15"/>
  <c r="C46" i="15"/>
  <c r="I45" i="15"/>
  <c r="H45" i="15"/>
  <c r="G45" i="15"/>
  <c r="F45" i="15"/>
  <c r="E45" i="15"/>
  <c r="D45" i="15"/>
  <c r="C45" i="15"/>
  <c r="I44" i="15"/>
  <c r="H44" i="15"/>
  <c r="G44" i="15"/>
  <c r="F44" i="15"/>
  <c r="E44" i="15"/>
  <c r="D44" i="15"/>
  <c r="C44" i="15"/>
  <c r="I43" i="15"/>
  <c r="H43" i="15"/>
  <c r="G43" i="15"/>
  <c r="F43" i="15"/>
  <c r="E43" i="15"/>
  <c r="D43" i="15"/>
  <c r="C43" i="15"/>
  <c r="I42" i="15"/>
  <c r="H42" i="15"/>
  <c r="G42" i="15"/>
  <c r="F42" i="15"/>
  <c r="E42" i="15"/>
  <c r="D42" i="15"/>
  <c r="C42" i="15"/>
  <c r="I41" i="15"/>
  <c r="H41" i="15"/>
  <c r="G41" i="15"/>
  <c r="F41" i="15"/>
  <c r="E41" i="15"/>
  <c r="D41" i="15"/>
  <c r="C41" i="15"/>
  <c r="I40" i="15"/>
  <c r="H40" i="15"/>
  <c r="G40" i="15"/>
  <c r="F40" i="15"/>
  <c r="E40" i="15"/>
  <c r="D40" i="15"/>
  <c r="C40" i="15"/>
  <c r="I39" i="15"/>
  <c r="H39" i="15"/>
  <c r="G39" i="15"/>
  <c r="F39" i="15"/>
  <c r="E39" i="15"/>
  <c r="D39" i="15"/>
  <c r="C39" i="15"/>
  <c r="I38" i="15"/>
  <c r="H38" i="15"/>
  <c r="G38" i="15"/>
  <c r="F38" i="15"/>
  <c r="E38" i="15"/>
  <c r="D38" i="15"/>
  <c r="C38" i="15"/>
  <c r="I37" i="15"/>
  <c r="H37" i="15"/>
  <c r="G37" i="15"/>
  <c r="F37" i="15"/>
  <c r="E37" i="15"/>
  <c r="D37" i="15"/>
  <c r="C37" i="15"/>
  <c r="I36" i="15"/>
  <c r="H36" i="15"/>
  <c r="G36" i="15"/>
  <c r="F36" i="15"/>
  <c r="E36" i="15"/>
  <c r="D36" i="15"/>
  <c r="C36" i="15"/>
  <c r="I35" i="15"/>
  <c r="H35" i="15"/>
  <c r="G35" i="15"/>
  <c r="F35" i="15"/>
  <c r="E35" i="15"/>
  <c r="D35" i="15"/>
  <c r="C35" i="15"/>
  <c r="I34" i="15"/>
  <c r="H34" i="15"/>
  <c r="G34" i="15"/>
  <c r="F34" i="15"/>
  <c r="E34" i="15"/>
  <c r="D34" i="15"/>
  <c r="C34" i="15"/>
  <c r="I33" i="15"/>
  <c r="H33" i="15"/>
  <c r="G33" i="15"/>
  <c r="F33" i="15"/>
  <c r="E33" i="15"/>
  <c r="D33" i="15"/>
  <c r="C33" i="15"/>
  <c r="I32" i="15"/>
  <c r="H32" i="15"/>
  <c r="G32" i="15"/>
  <c r="F32" i="15"/>
  <c r="E32" i="15"/>
  <c r="D32" i="15"/>
  <c r="C32" i="15"/>
  <c r="I31" i="15"/>
  <c r="H31" i="15"/>
  <c r="G31" i="15"/>
  <c r="F31" i="15"/>
  <c r="E31" i="15"/>
  <c r="D31" i="15"/>
  <c r="C31" i="15"/>
  <c r="I30" i="15"/>
  <c r="H30" i="15"/>
  <c r="G30" i="15"/>
  <c r="F30" i="15"/>
  <c r="E30" i="15"/>
  <c r="D30" i="15"/>
  <c r="C30" i="15"/>
  <c r="I29" i="15"/>
  <c r="H29" i="15"/>
  <c r="G29" i="15"/>
  <c r="F29" i="15"/>
  <c r="E29" i="15"/>
  <c r="D29" i="15"/>
  <c r="C29" i="15"/>
  <c r="I28" i="15"/>
  <c r="H28" i="15"/>
  <c r="G28" i="15"/>
  <c r="F28" i="15"/>
  <c r="E28" i="15"/>
  <c r="D28" i="15"/>
  <c r="C28" i="15"/>
  <c r="I27" i="15"/>
  <c r="H27" i="15"/>
  <c r="G27" i="15"/>
  <c r="F27" i="15"/>
  <c r="E27" i="15"/>
  <c r="D27" i="15"/>
  <c r="C27" i="15"/>
  <c r="I26" i="15"/>
  <c r="H26" i="15"/>
  <c r="G26" i="15"/>
  <c r="F26" i="15"/>
  <c r="E26" i="15"/>
  <c r="D26" i="15"/>
  <c r="C26" i="15"/>
  <c r="I25" i="15"/>
  <c r="H25" i="15"/>
  <c r="G25" i="15"/>
  <c r="F25" i="15"/>
  <c r="E25" i="15"/>
  <c r="D25" i="15"/>
  <c r="C25" i="15"/>
  <c r="I24" i="15"/>
  <c r="H24" i="15"/>
  <c r="G24" i="15"/>
  <c r="F24" i="15"/>
  <c r="E24" i="15"/>
  <c r="D24" i="15"/>
  <c r="C24" i="15"/>
  <c r="C20" i="15"/>
  <c r="C19" i="15"/>
  <c r="C18" i="15"/>
  <c r="C17" i="15"/>
  <c r="C16" i="15"/>
  <c r="C15" i="15"/>
  <c r="C14" i="15"/>
  <c r="C13" i="15"/>
  <c r="C12" i="15"/>
  <c r="C11" i="15"/>
  <c r="C10" i="15"/>
  <c r="C9" i="15"/>
  <c r="C8" i="15"/>
  <c r="C7" i="15"/>
  <c r="C6" i="15"/>
  <c r="A2" i="15"/>
  <c r="G89" i="14"/>
  <c r="F89" i="14"/>
  <c r="E89" i="14"/>
  <c r="G88" i="14"/>
  <c r="F88" i="14"/>
  <c r="E88" i="14"/>
  <c r="G87" i="14"/>
  <c r="F87" i="14"/>
  <c r="E87" i="14"/>
  <c r="G86" i="14"/>
  <c r="F86" i="14"/>
  <c r="E86" i="14"/>
  <c r="G85" i="14"/>
  <c r="F85" i="14"/>
  <c r="E85" i="14"/>
  <c r="G84" i="14"/>
  <c r="F84" i="14"/>
  <c r="E84" i="14"/>
  <c r="G83" i="14"/>
  <c r="F83" i="14"/>
  <c r="E83" i="14"/>
  <c r="G82" i="14"/>
  <c r="F82" i="14"/>
  <c r="E82" i="14"/>
  <c r="G81" i="14"/>
  <c r="F81" i="14"/>
  <c r="E81" i="14"/>
  <c r="G80" i="14"/>
  <c r="F80" i="14"/>
  <c r="E80" i="14"/>
  <c r="G79" i="14"/>
  <c r="F79" i="14"/>
  <c r="E79" i="14"/>
  <c r="G78" i="14"/>
  <c r="F78" i="14"/>
  <c r="E78" i="14"/>
  <c r="G77" i="14"/>
  <c r="F77" i="14"/>
  <c r="E77" i="14"/>
  <c r="G76" i="14"/>
  <c r="F76" i="14"/>
  <c r="E76" i="14"/>
  <c r="G75" i="14"/>
  <c r="F75" i="14"/>
  <c r="E75" i="14"/>
  <c r="G74" i="14"/>
  <c r="F74" i="14"/>
  <c r="E74" i="14"/>
  <c r="G73" i="14"/>
  <c r="F73" i="14"/>
  <c r="E73" i="14"/>
  <c r="G72" i="14"/>
  <c r="F72" i="14"/>
  <c r="E72" i="14"/>
  <c r="G71" i="14"/>
  <c r="F71" i="14"/>
  <c r="E71" i="14"/>
  <c r="G70" i="14"/>
  <c r="F70" i="14"/>
  <c r="E70" i="14"/>
  <c r="G69" i="14"/>
  <c r="F69" i="14"/>
  <c r="E69" i="14"/>
  <c r="G68" i="14"/>
  <c r="F68" i="14"/>
  <c r="E68" i="14"/>
  <c r="G67" i="14"/>
  <c r="F67" i="14"/>
  <c r="E67" i="14"/>
  <c r="G66" i="14"/>
  <c r="F66" i="14"/>
  <c r="E66" i="14"/>
  <c r="G65" i="14"/>
  <c r="F65" i="14"/>
  <c r="E65" i="14"/>
  <c r="G64" i="14"/>
  <c r="F64" i="14"/>
  <c r="E64" i="14"/>
  <c r="G63" i="14"/>
  <c r="F63" i="14"/>
  <c r="E63" i="14"/>
  <c r="F59" i="14"/>
  <c r="D59" i="14"/>
  <c r="F58" i="14"/>
  <c r="D58" i="14"/>
  <c r="F57" i="14"/>
  <c r="D57" i="14"/>
  <c r="F56" i="14"/>
  <c r="D56" i="14"/>
  <c r="F55" i="14"/>
  <c r="D55" i="14"/>
  <c r="F54" i="14"/>
  <c r="D54" i="14"/>
  <c r="F53" i="14"/>
  <c r="D53" i="14"/>
  <c r="F52" i="14"/>
  <c r="D52" i="14"/>
  <c r="F51" i="14"/>
  <c r="D51" i="14"/>
  <c r="F50" i="14"/>
  <c r="D50" i="14"/>
  <c r="F49" i="14"/>
  <c r="D49" i="14"/>
  <c r="F48" i="14"/>
  <c r="D48" i="14"/>
  <c r="F47" i="14"/>
  <c r="D47" i="14"/>
  <c r="F46" i="14"/>
  <c r="D46" i="14"/>
  <c r="F45" i="14"/>
  <c r="D45" i="14"/>
  <c r="J41" i="14"/>
  <c r="I41" i="14"/>
  <c r="H41" i="14"/>
  <c r="F41" i="14"/>
  <c r="E41" i="14"/>
  <c r="D41" i="14"/>
  <c r="C41" i="14"/>
  <c r="J40" i="14"/>
  <c r="I40" i="14"/>
  <c r="H40" i="14"/>
  <c r="F40" i="14"/>
  <c r="E40" i="14"/>
  <c r="D40" i="14"/>
  <c r="C40" i="14"/>
  <c r="J39" i="14"/>
  <c r="I39" i="14"/>
  <c r="H39" i="14"/>
  <c r="F39" i="14"/>
  <c r="E39" i="14"/>
  <c r="D39" i="14"/>
  <c r="C39" i="14"/>
  <c r="J38" i="14"/>
  <c r="I38" i="14"/>
  <c r="H38" i="14"/>
  <c r="F38" i="14"/>
  <c r="E38" i="14"/>
  <c r="D38" i="14"/>
  <c r="C38" i="14"/>
  <c r="J37" i="14"/>
  <c r="I37" i="14"/>
  <c r="H37" i="14"/>
  <c r="F37" i="14"/>
  <c r="E37" i="14"/>
  <c r="D37" i="14"/>
  <c r="C37" i="14"/>
  <c r="J36" i="14"/>
  <c r="I36" i="14"/>
  <c r="H36" i="14"/>
  <c r="F36" i="14"/>
  <c r="E36" i="14"/>
  <c r="D36" i="14"/>
  <c r="C36" i="14"/>
  <c r="J35" i="14"/>
  <c r="I35" i="14"/>
  <c r="H35" i="14"/>
  <c r="F35" i="14"/>
  <c r="E35" i="14"/>
  <c r="D35" i="14"/>
  <c r="C35" i="14"/>
  <c r="J34" i="14"/>
  <c r="I34" i="14"/>
  <c r="H34" i="14"/>
  <c r="F34" i="14"/>
  <c r="E34" i="14"/>
  <c r="D34" i="14"/>
  <c r="C34" i="14"/>
  <c r="J33" i="14"/>
  <c r="I33" i="14"/>
  <c r="H33" i="14"/>
  <c r="F33" i="14"/>
  <c r="E33" i="14"/>
  <c r="D33" i="14"/>
  <c r="C33" i="14"/>
  <c r="J32" i="14"/>
  <c r="I32" i="14"/>
  <c r="H32" i="14"/>
  <c r="F32" i="14"/>
  <c r="E32" i="14"/>
  <c r="D32" i="14"/>
  <c r="C32" i="14"/>
  <c r="J31" i="14"/>
  <c r="I31" i="14"/>
  <c r="H31" i="14"/>
  <c r="F31" i="14"/>
  <c r="E31" i="14"/>
  <c r="D31" i="14"/>
  <c r="C31" i="14"/>
  <c r="J30" i="14"/>
  <c r="I30" i="14"/>
  <c r="H30" i="14"/>
  <c r="F30" i="14"/>
  <c r="E30" i="14"/>
  <c r="D30" i="14"/>
  <c r="C30" i="14"/>
  <c r="J29" i="14"/>
  <c r="I29" i="14"/>
  <c r="H29" i="14"/>
  <c r="F29" i="14"/>
  <c r="E29" i="14"/>
  <c r="D29" i="14"/>
  <c r="C29" i="14"/>
  <c r="J28" i="14"/>
  <c r="I28" i="14"/>
  <c r="H28" i="14"/>
  <c r="F28" i="14"/>
  <c r="E28" i="14"/>
  <c r="D28" i="14"/>
  <c r="C28" i="14"/>
  <c r="J27" i="14"/>
  <c r="I27" i="14"/>
  <c r="H27" i="14"/>
  <c r="F27" i="14"/>
  <c r="E27" i="14"/>
  <c r="D27" i="14"/>
  <c r="C27" i="14"/>
  <c r="J26" i="14"/>
  <c r="I26" i="14"/>
  <c r="H26" i="14"/>
  <c r="F26" i="14"/>
  <c r="E26" i="14"/>
  <c r="D26" i="14"/>
  <c r="C26" i="14"/>
  <c r="J25" i="14"/>
  <c r="I25" i="14"/>
  <c r="H25" i="14"/>
  <c r="F25" i="14"/>
  <c r="E25" i="14"/>
  <c r="D25" i="14"/>
  <c r="C25" i="14"/>
  <c r="J24" i="14"/>
  <c r="I24" i="14"/>
  <c r="H24" i="14"/>
  <c r="F24" i="14"/>
  <c r="E24" i="14"/>
  <c r="D24" i="14"/>
  <c r="C24" i="14"/>
  <c r="J23" i="14"/>
  <c r="I23" i="14"/>
  <c r="H23" i="14"/>
  <c r="F23" i="14"/>
  <c r="E23" i="14"/>
  <c r="D23" i="14"/>
  <c r="C23" i="14"/>
  <c r="J22" i="14"/>
  <c r="I22" i="14"/>
  <c r="H22" i="14"/>
  <c r="F22" i="14"/>
  <c r="E22" i="14"/>
  <c r="D22" i="14"/>
  <c r="C22" i="14"/>
  <c r="J21" i="14"/>
  <c r="I21" i="14"/>
  <c r="H21" i="14"/>
  <c r="F21" i="14"/>
  <c r="E21" i="14"/>
  <c r="D21" i="14"/>
  <c r="C21" i="14"/>
  <c r="J20" i="14"/>
  <c r="I20" i="14"/>
  <c r="H20" i="14"/>
  <c r="F20" i="14"/>
  <c r="E20" i="14"/>
  <c r="D20" i="14"/>
  <c r="C20" i="14"/>
  <c r="J19" i="14"/>
  <c r="I19" i="14"/>
  <c r="H19" i="14"/>
  <c r="F19" i="14"/>
  <c r="E19" i="14"/>
  <c r="D19" i="14"/>
  <c r="C19" i="14"/>
  <c r="J18" i="14"/>
  <c r="I18" i="14"/>
  <c r="H18" i="14"/>
  <c r="F18" i="14"/>
  <c r="E18" i="14"/>
  <c r="D18" i="14"/>
  <c r="C18" i="14"/>
  <c r="J17" i="14"/>
  <c r="I17" i="14"/>
  <c r="H17" i="14"/>
  <c r="F17" i="14"/>
  <c r="E17" i="14"/>
  <c r="D17" i="14"/>
  <c r="C17" i="14"/>
  <c r="J16" i="14"/>
  <c r="I16" i="14"/>
  <c r="H16" i="14"/>
  <c r="F16" i="14"/>
  <c r="E16" i="14"/>
  <c r="D16" i="14"/>
  <c r="C16" i="14"/>
  <c r="J15" i="14"/>
  <c r="I15" i="14"/>
  <c r="H15" i="14"/>
  <c r="F15" i="14"/>
  <c r="E15" i="14"/>
  <c r="D15" i="14"/>
  <c r="C15" i="14"/>
  <c r="J14" i="14"/>
  <c r="I14" i="14"/>
  <c r="H14" i="14"/>
  <c r="F14" i="14"/>
  <c r="E14" i="14"/>
  <c r="D14" i="14"/>
  <c r="C14" i="14"/>
  <c r="J13" i="14"/>
  <c r="I13" i="14"/>
  <c r="H13" i="14"/>
  <c r="F13" i="14"/>
  <c r="E13" i="14"/>
  <c r="D13" i="14"/>
  <c r="C13" i="14"/>
  <c r="J12" i="14"/>
  <c r="I12" i="14"/>
  <c r="H12" i="14"/>
  <c r="F12" i="14"/>
  <c r="E12" i="14"/>
  <c r="D12" i="14"/>
  <c r="C12" i="14"/>
  <c r="J11" i="14"/>
  <c r="I11" i="14"/>
  <c r="H11" i="14"/>
  <c r="F11" i="14"/>
  <c r="E11" i="14"/>
  <c r="D11" i="14"/>
  <c r="C11" i="14"/>
  <c r="J10" i="14"/>
  <c r="I10" i="14"/>
  <c r="H10" i="14"/>
  <c r="F10" i="14"/>
  <c r="E10" i="14"/>
  <c r="D10" i="14"/>
  <c r="C10" i="14"/>
  <c r="J9" i="14"/>
  <c r="I9" i="14"/>
  <c r="H9" i="14"/>
  <c r="F9" i="14"/>
  <c r="E9" i="14"/>
  <c r="D9" i="14"/>
  <c r="C9" i="14"/>
  <c r="J8" i="14"/>
  <c r="I8" i="14"/>
  <c r="H8" i="14"/>
  <c r="F8" i="14"/>
  <c r="E8" i="14"/>
  <c r="D8" i="14"/>
  <c r="C8" i="14"/>
  <c r="J7" i="14"/>
  <c r="I7" i="14"/>
  <c r="H7" i="14"/>
  <c r="F7" i="14"/>
  <c r="E7" i="14"/>
  <c r="D7" i="14"/>
  <c r="C7" i="14"/>
  <c r="J6" i="14"/>
  <c r="I6" i="14"/>
  <c r="H6" i="14"/>
  <c r="F6" i="14"/>
  <c r="E6" i="14"/>
  <c r="D6" i="14"/>
  <c r="C6" i="14"/>
  <c r="A2" i="14"/>
  <c r="I76" i="13" a="1"/>
  <c r="I75" i="13" a="1"/>
  <c r="I75" i="13"/>
  <c r="D32" i="13"/>
  <c r="C32" i="13"/>
  <c r="D31" i="13"/>
  <c r="C31" i="13"/>
  <c r="D30" i="13"/>
  <c r="C30" i="13"/>
  <c r="D29" i="13"/>
  <c r="C29" i="13"/>
  <c r="D9" i="13"/>
  <c r="D7" i="13"/>
  <c r="D6" i="13"/>
  <c r="A2" i="13"/>
  <c r="C18" i="12"/>
  <c r="C17" i="12"/>
  <c r="C16" i="12"/>
  <c r="C15" i="12"/>
  <c r="C14" i="12"/>
  <c r="C13" i="12"/>
  <c r="C12" i="12"/>
  <c r="C11" i="12"/>
  <c r="C10" i="12"/>
  <c r="C9" i="12"/>
  <c r="C8" i="12"/>
  <c r="C7" i="12"/>
  <c r="C6" i="12"/>
  <c r="A2" i="12"/>
  <c r="A2" i="11"/>
  <c r="C26" i="10"/>
  <c r="A2" i="10"/>
  <c r="E13" i="9"/>
  <c r="C13" i="9"/>
  <c r="F9" i="9"/>
  <c r="C9" i="9"/>
  <c r="F8" i="9"/>
  <c r="C8" i="9"/>
  <c r="F7" i="9"/>
  <c r="C7" i="9"/>
  <c r="F6" i="9"/>
  <c r="C6" i="9"/>
  <c r="A2" i="9"/>
  <c r="Q364" i="8"/>
  <c r="P364" i="8"/>
  <c r="O364" i="8"/>
  <c r="N364" i="8"/>
  <c r="M364" i="8"/>
  <c r="L364" i="8"/>
  <c r="K364" i="8"/>
  <c r="J364" i="8"/>
  <c r="I364" i="8"/>
  <c r="H364" i="8"/>
  <c r="G364" i="8"/>
  <c r="F364" i="8"/>
  <c r="E364" i="8"/>
  <c r="D364" i="8"/>
  <c r="C364" i="8"/>
  <c r="B364" i="8"/>
  <c r="A364" i="8"/>
  <c r="Q363" i="8"/>
  <c r="P363" i="8"/>
  <c r="O363" i="8"/>
  <c r="N363" i="8"/>
  <c r="M363" i="8"/>
  <c r="L363" i="8"/>
  <c r="K363" i="8"/>
  <c r="J363" i="8"/>
  <c r="I363" i="8"/>
  <c r="H363" i="8"/>
  <c r="G363" i="8"/>
  <c r="F363" i="8"/>
  <c r="E363" i="8"/>
  <c r="D363" i="8"/>
  <c r="C363" i="8"/>
  <c r="B363" i="8"/>
  <c r="A363" i="8"/>
  <c r="Q362" i="8"/>
  <c r="P362" i="8"/>
  <c r="O362" i="8"/>
  <c r="N362" i="8"/>
  <c r="M362" i="8"/>
  <c r="L362" i="8"/>
  <c r="K362" i="8"/>
  <c r="J362" i="8"/>
  <c r="I362" i="8"/>
  <c r="H362" i="8"/>
  <c r="G362" i="8"/>
  <c r="F362" i="8"/>
  <c r="E362" i="8"/>
  <c r="D362" i="8"/>
  <c r="C362" i="8"/>
  <c r="B362" i="8"/>
  <c r="A362" i="8"/>
  <c r="Q361" i="8"/>
  <c r="P361" i="8"/>
  <c r="O361" i="8"/>
  <c r="N361" i="8"/>
  <c r="M361" i="8"/>
  <c r="L361" i="8"/>
  <c r="K361" i="8"/>
  <c r="J361" i="8"/>
  <c r="I361" i="8"/>
  <c r="H361" i="8"/>
  <c r="G361" i="8"/>
  <c r="F361" i="8"/>
  <c r="E361" i="8"/>
  <c r="D361" i="8"/>
  <c r="C361" i="8"/>
  <c r="B361" i="8"/>
  <c r="A361" i="8"/>
  <c r="Q360" i="8"/>
  <c r="P360" i="8"/>
  <c r="O360" i="8"/>
  <c r="N360" i="8"/>
  <c r="M360" i="8"/>
  <c r="L360" i="8"/>
  <c r="K360" i="8"/>
  <c r="J360" i="8"/>
  <c r="I360" i="8"/>
  <c r="H360" i="8"/>
  <c r="G360" i="8"/>
  <c r="F360" i="8"/>
  <c r="E360" i="8"/>
  <c r="D360" i="8"/>
  <c r="C360" i="8"/>
  <c r="B360" i="8"/>
  <c r="A360" i="8"/>
  <c r="Q359" i="8"/>
  <c r="P359" i="8"/>
  <c r="O359" i="8"/>
  <c r="N359" i="8"/>
  <c r="M359" i="8"/>
  <c r="L359" i="8"/>
  <c r="K359" i="8"/>
  <c r="J359" i="8"/>
  <c r="I359" i="8"/>
  <c r="H359" i="8"/>
  <c r="G359" i="8"/>
  <c r="F359" i="8"/>
  <c r="E359" i="8"/>
  <c r="D359" i="8"/>
  <c r="C359" i="8"/>
  <c r="B359" i="8"/>
  <c r="A359" i="8"/>
  <c r="Q358" i="8"/>
  <c r="P358" i="8"/>
  <c r="O358" i="8"/>
  <c r="N358" i="8"/>
  <c r="M358" i="8"/>
  <c r="L358" i="8"/>
  <c r="K358" i="8"/>
  <c r="J358" i="8"/>
  <c r="I358" i="8"/>
  <c r="H358" i="8"/>
  <c r="G358" i="8"/>
  <c r="F358" i="8"/>
  <c r="E358" i="8"/>
  <c r="D358" i="8"/>
  <c r="C358" i="8"/>
  <c r="B358" i="8"/>
  <c r="A358" i="8"/>
  <c r="Q357" i="8"/>
  <c r="P357" i="8"/>
  <c r="O357" i="8"/>
  <c r="N357" i="8"/>
  <c r="M357" i="8"/>
  <c r="L357" i="8"/>
  <c r="K357" i="8"/>
  <c r="J357" i="8"/>
  <c r="I357" i="8"/>
  <c r="H357" i="8"/>
  <c r="G357" i="8"/>
  <c r="F357" i="8"/>
  <c r="E357" i="8"/>
  <c r="D357" i="8"/>
  <c r="C357" i="8"/>
  <c r="B357" i="8"/>
  <c r="A357" i="8"/>
  <c r="Q356" i="8"/>
  <c r="P356" i="8"/>
  <c r="O356" i="8"/>
  <c r="N356" i="8"/>
  <c r="M356" i="8"/>
  <c r="L356" i="8"/>
  <c r="K356" i="8"/>
  <c r="J356" i="8"/>
  <c r="I356" i="8"/>
  <c r="H356" i="8"/>
  <c r="G356" i="8"/>
  <c r="F356" i="8"/>
  <c r="E356" i="8"/>
  <c r="D356" i="8"/>
  <c r="C356" i="8"/>
  <c r="B356" i="8"/>
  <c r="A356" i="8"/>
  <c r="Q355" i="8"/>
  <c r="P355" i="8"/>
  <c r="O355" i="8"/>
  <c r="N355" i="8"/>
  <c r="M355" i="8"/>
  <c r="L355" i="8"/>
  <c r="K355" i="8"/>
  <c r="J355" i="8"/>
  <c r="I355" i="8"/>
  <c r="H355" i="8"/>
  <c r="G355" i="8"/>
  <c r="F355" i="8"/>
  <c r="E355" i="8"/>
  <c r="D355" i="8"/>
  <c r="C355" i="8"/>
  <c r="B355" i="8"/>
  <c r="A355" i="8"/>
  <c r="Q354" i="8"/>
  <c r="P354" i="8"/>
  <c r="O354" i="8"/>
  <c r="N354" i="8"/>
  <c r="M354" i="8"/>
  <c r="L354" i="8"/>
  <c r="K354" i="8"/>
  <c r="J354" i="8"/>
  <c r="I354" i="8"/>
  <c r="H354" i="8"/>
  <c r="G354" i="8"/>
  <c r="F354" i="8"/>
  <c r="E354" i="8"/>
  <c r="D354" i="8"/>
  <c r="C354" i="8"/>
  <c r="B354" i="8"/>
  <c r="A354" i="8"/>
  <c r="Q353" i="8"/>
  <c r="P353" i="8"/>
  <c r="O353" i="8"/>
  <c r="N353" i="8"/>
  <c r="M353" i="8"/>
  <c r="L353" i="8"/>
  <c r="K353" i="8"/>
  <c r="J353" i="8"/>
  <c r="I353" i="8"/>
  <c r="H353" i="8"/>
  <c r="G353" i="8"/>
  <c r="F353" i="8"/>
  <c r="E353" i="8"/>
  <c r="D353" i="8"/>
  <c r="C353" i="8"/>
  <c r="B353" i="8"/>
  <c r="A353" i="8"/>
  <c r="Q352" i="8"/>
  <c r="P352" i="8"/>
  <c r="O352" i="8"/>
  <c r="N352" i="8"/>
  <c r="M352" i="8"/>
  <c r="L352" i="8"/>
  <c r="K352" i="8"/>
  <c r="J352" i="8"/>
  <c r="I352" i="8"/>
  <c r="H352" i="8"/>
  <c r="G352" i="8"/>
  <c r="F352" i="8"/>
  <c r="E352" i="8"/>
  <c r="D352" i="8"/>
  <c r="C352" i="8"/>
  <c r="B352" i="8"/>
  <c r="A352" i="8"/>
  <c r="Q351" i="8"/>
  <c r="P351" i="8"/>
  <c r="O351" i="8"/>
  <c r="N351" i="8"/>
  <c r="M351" i="8"/>
  <c r="L351" i="8"/>
  <c r="K351" i="8"/>
  <c r="J351" i="8"/>
  <c r="I351" i="8"/>
  <c r="H351" i="8"/>
  <c r="G351" i="8"/>
  <c r="F351" i="8"/>
  <c r="E351" i="8"/>
  <c r="D351" i="8"/>
  <c r="C351" i="8"/>
  <c r="B351" i="8"/>
  <c r="A351" i="8"/>
  <c r="Q350" i="8"/>
  <c r="P350" i="8"/>
  <c r="O350" i="8"/>
  <c r="N350" i="8"/>
  <c r="M350" i="8"/>
  <c r="L350" i="8"/>
  <c r="K350" i="8"/>
  <c r="J350" i="8"/>
  <c r="I350" i="8"/>
  <c r="H350" i="8"/>
  <c r="G350" i="8"/>
  <c r="F350" i="8"/>
  <c r="E350" i="8"/>
  <c r="D350" i="8"/>
  <c r="C350" i="8"/>
  <c r="B350" i="8"/>
  <c r="A350" i="8"/>
  <c r="Q349" i="8"/>
  <c r="P349" i="8"/>
  <c r="O349" i="8"/>
  <c r="N349" i="8"/>
  <c r="M349" i="8"/>
  <c r="L349" i="8"/>
  <c r="K349" i="8"/>
  <c r="J349" i="8"/>
  <c r="I349" i="8"/>
  <c r="H349" i="8"/>
  <c r="G349" i="8"/>
  <c r="F349" i="8"/>
  <c r="E349" i="8"/>
  <c r="D349" i="8"/>
  <c r="C349" i="8"/>
  <c r="B349" i="8"/>
  <c r="A349" i="8"/>
  <c r="Q348" i="8"/>
  <c r="P348" i="8"/>
  <c r="O348" i="8"/>
  <c r="N348" i="8"/>
  <c r="M348" i="8"/>
  <c r="L348" i="8"/>
  <c r="K348" i="8"/>
  <c r="J348" i="8"/>
  <c r="I348" i="8"/>
  <c r="H348" i="8"/>
  <c r="G348" i="8"/>
  <c r="F348" i="8"/>
  <c r="E348" i="8"/>
  <c r="D348" i="8"/>
  <c r="C348" i="8"/>
  <c r="B348" i="8"/>
  <c r="A348" i="8"/>
  <c r="Q347" i="8"/>
  <c r="P347" i="8"/>
  <c r="O347" i="8"/>
  <c r="N347" i="8"/>
  <c r="M347" i="8"/>
  <c r="L347" i="8"/>
  <c r="K347" i="8"/>
  <c r="J347" i="8"/>
  <c r="I347" i="8"/>
  <c r="H347" i="8"/>
  <c r="G347" i="8"/>
  <c r="F347" i="8"/>
  <c r="E347" i="8"/>
  <c r="D347" i="8"/>
  <c r="C347" i="8"/>
  <c r="B347" i="8"/>
  <c r="A347" i="8"/>
  <c r="Q346" i="8"/>
  <c r="P346" i="8"/>
  <c r="O346" i="8"/>
  <c r="N346" i="8"/>
  <c r="M346" i="8"/>
  <c r="L346" i="8"/>
  <c r="K346" i="8"/>
  <c r="J346" i="8"/>
  <c r="I346" i="8"/>
  <c r="H346" i="8"/>
  <c r="G346" i="8"/>
  <c r="F346" i="8"/>
  <c r="E346" i="8"/>
  <c r="D346" i="8"/>
  <c r="C346" i="8"/>
  <c r="B346" i="8"/>
  <c r="A346" i="8"/>
  <c r="Q345" i="8"/>
  <c r="P345" i="8"/>
  <c r="O345" i="8"/>
  <c r="N345" i="8"/>
  <c r="M345" i="8"/>
  <c r="L345" i="8"/>
  <c r="K345" i="8"/>
  <c r="J345" i="8"/>
  <c r="I345" i="8"/>
  <c r="H345" i="8"/>
  <c r="G345" i="8"/>
  <c r="F345" i="8"/>
  <c r="E345" i="8"/>
  <c r="D345" i="8"/>
  <c r="C345" i="8"/>
  <c r="B345" i="8"/>
  <c r="A345" i="8"/>
  <c r="Q344" i="8"/>
  <c r="P344" i="8"/>
  <c r="O344" i="8"/>
  <c r="N344" i="8"/>
  <c r="M344" i="8"/>
  <c r="L344" i="8"/>
  <c r="K344" i="8"/>
  <c r="J344" i="8"/>
  <c r="I344" i="8"/>
  <c r="H344" i="8"/>
  <c r="G344" i="8"/>
  <c r="F344" i="8"/>
  <c r="E344" i="8"/>
  <c r="D344" i="8"/>
  <c r="C344" i="8"/>
  <c r="B344" i="8"/>
  <c r="A344" i="8"/>
  <c r="Q343" i="8"/>
  <c r="P343" i="8"/>
  <c r="O343" i="8"/>
  <c r="N343" i="8"/>
  <c r="M343" i="8"/>
  <c r="L343" i="8"/>
  <c r="K343" i="8"/>
  <c r="J343" i="8"/>
  <c r="I343" i="8"/>
  <c r="H343" i="8"/>
  <c r="G343" i="8"/>
  <c r="F343" i="8"/>
  <c r="E343" i="8"/>
  <c r="D343" i="8"/>
  <c r="C343" i="8"/>
  <c r="B343" i="8"/>
  <c r="A343" i="8"/>
  <c r="Q342" i="8"/>
  <c r="P342" i="8"/>
  <c r="O342" i="8"/>
  <c r="N342" i="8"/>
  <c r="M342" i="8"/>
  <c r="L342" i="8"/>
  <c r="K342" i="8"/>
  <c r="J342" i="8"/>
  <c r="I342" i="8"/>
  <c r="H342" i="8"/>
  <c r="G342" i="8"/>
  <c r="F342" i="8"/>
  <c r="E342" i="8"/>
  <c r="D342" i="8"/>
  <c r="C342" i="8"/>
  <c r="B342" i="8"/>
  <c r="A342" i="8"/>
  <c r="Q341" i="8"/>
  <c r="P341" i="8"/>
  <c r="O341" i="8"/>
  <c r="N341" i="8"/>
  <c r="M341" i="8"/>
  <c r="L341" i="8"/>
  <c r="K341" i="8"/>
  <c r="J341" i="8"/>
  <c r="I341" i="8"/>
  <c r="H341" i="8"/>
  <c r="G341" i="8"/>
  <c r="F341" i="8"/>
  <c r="E341" i="8"/>
  <c r="D341" i="8"/>
  <c r="C341" i="8"/>
  <c r="B341" i="8"/>
  <c r="A341" i="8"/>
  <c r="Q340" i="8"/>
  <c r="P340" i="8"/>
  <c r="O340" i="8"/>
  <c r="N340" i="8"/>
  <c r="M340" i="8"/>
  <c r="L340" i="8"/>
  <c r="K340" i="8"/>
  <c r="J340" i="8"/>
  <c r="I340" i="8"/>
  <c r="H340" i="8"/>
  <c r="G340" i="8"/>
  <c r="F340" i="8"/>
  <c r="E340" i="8"/>
  <c r="D340" i="8"/>
  <c r="C340" i="8"/>
  <c r="B340" i="8"/>
  <c r="A340" i="8"/>
  <c r="Q339" i="8"/>
  <c r="P339" i="8"/>
  <c r="O339" i="8"/>
  <c r="N339" i="8"/>
  <c r="M339" i="8"/>
  <c r="L339" i="8"/>
  <c r="K339" i="8"/>
  <c r="J339" i="8"/>
  <c r="I339" i="8"/>
  <c r="H339" i="8"/>
  <c r="G339" i="8"/>
  <c r="F339" i="8"/>
  <c r="E339" i="8"/>
  <c r="D339" i="8"/>
  <c r="C339" i="8"/>
  <c r="B339" i="8"/>
  <c r="A339" i="8"/>
  <c r="Q338" i="8"/>
  <c r="P338" i="8"/>
  <c r="O338" i="8"/>
  <c r="N338" i="8"/>
  <c r="M338" i="8"/>
  <c r="L338" i="8"/>
  <c r="K338" i="8"/>
  <c r="J338" i="8"/>
  <c r="I338" i="8"/>
  <c r="H338" i="8"/>
  <c r="G338" i="8"/>
  <c r="F338" i="8"/>
  <c r="E338" i="8"/>
  <c r="D338" i="8"/>
  <c r="C338" i="8"/>
  <c r="B338" i="8"/>
  <c r="A338" i="8"/>
  <c r="Q337" i="8"/>
  <c r="P337" i="8"/>
  <c r="O337" i="8"/>
  <c r="N337" i="8"/>
  <c r="M337" i="8"/>
  <c r="L337" i="8"/>
  <c r="K337" i="8"/>
  <c r="J337" i="8"/>
  <c r="I337" i="8"/>
  <c r="H337" i="8"/>
  <c r="G337" i="8"/>
  <c r="F337" i="8"/>
  <c r="E337" i="8"/>
  <c r="D337" i="8"/>
  <c r="C337" i="8"/>
  <c r="B337" i="8"/>
  <c r="A337" i="8"/>
  <c r="Q336" i="8"/>
  <c r="P336" i="8"/>
  <c r="O336" i="8"/>
  <c r="N336" i="8"/>
  <c r="M336" i="8"/>
  <c r="L336" i="8"/>
  <c r="K336" i="8"/>
  <c r="J336" i="8"/>
  <c r="I336" i="8"/>
  <c r="H336" i="8"/>
  <c r="G336" i="8"/>
  <c r="F336" i="8"/>
  <c r="E336" i="8"/>
  <c r="D336" i="8"/>
  <c r="C336" i="8"/>
  <c r="B336" i="8"/>
  <c r="A336" i="8"/>
  <c r="Q335" i="8"/>
  <c r="P335" i="8"/>
  <c r="O335" i="8"/>
  <c r="N335" i="8"/>
  <c r="M335" i="8"/>
  <c r="L335" i="8"/>
  <c r="K335" i="8"/>
  <c r="J335" i="8"/>
  <c r="I335" i="8"/>
  <c r="H335" i="8"/>
  <c r="G335" i="8"/>
  <c r="F335" i="8"/>
  <c r="E335" i="8"/>
  <c r="D335" i="8"/>
  <c r="C335" i="8"/>
  <c r="B335" i="8"/>
  <c r="A335" i="8"/>
  <c r="Q334" i="8"/>
  <c r="P334" i="8"/>
  <c r="O334" i="8"/>
  <c r="N334" i="8"/>
  <c r="M334" i="8"/>
  <c r="L334" i="8"/>
  <c r="K334" i="8"/>
  <c r="J334" i="8"/>
  <c r="I334" i="8"/>
  <c r="H334" i="8"/>
  <c r="G334" i="8"/>
  <c r="F334" i="8"/>
  <c r="E334" i="8"/>
  <c r="D334" i="8"/>
  <c r="C334" i="8"/>
  <c r="B334" i="8"/>
  <c r="A334" i="8"/>
  <c r="Q333" i="8"/>
  <c r="P333" i="8"/>
  <c r="O333" i="8"/>
  <c r="N333" i="8"/>
  <c r="M333" i="8"/>
  <c r="L333" i="8"/>
  <c r="K333" i="8"/>
  <c r="J333" i="8"/>
  <c r="I333" i="8"/>
  <c r="H333" i="8"/>
  <c r="G333" i="8"/>
  <c r="F333" i="8"/>
  <c r="E333" i="8"/>
  <c r="D333" i="8"/>
  <c r="C333" i="8"/>
  <c r="B333" i="8"/>
  <c r="A333" i="8"/>
  <c r="Q332" i="8"/>
  <c r="P332" i="8"/>
  <c r="O332" i="8"/>
  <c r="N332" i="8"/>
  <c r="M332" i="8"/>
  <c r="L332" i="8"/>
  <c r="K332" i="8"/>
  <c r="J332" i="8"/>
  <c r="I332" i="8"/>
  <c r="H332" i="8"/>
  <c r="G332" i="8"/>
  <c r="F332" i="8"/>
  <c r="E332" i="8"/>
  <c r="D332" i="8"/>
  <c r="C332" i="8"/>
  <c r="B332" i="8"/>
  <c r="A332" i="8"/>
  <c r="Q331" i="8"/>
  <c r="P331" i="8"/>
  <c r="O331" i="8"/>
  <c r="N331" i="8"/>
  <c r="M331" i="8"/>
  <c r="L331" i="8"/>
  <c r="K331" i="8"/>
  <c r="J331" i="8"/>
  <c r="I331" i="8"/>
  <c r="H331" i="8"/>
  <c r="G331" i="8"/>
  <c r="F331" i="8"/>
  <c r="E331" i="8"/>
  <c r="D331" i="8"/>
  <c r="C331" i="8"/>
  <c r="B331" i="8"/>
  <c r="A331" i="8"/>
  <c r="Q330" i="8"/>
  <c r="P330" i="8"/>
  <c r="O330" i="8"/>
  <c r="N330" i="8"/>
  <c r="M330" i="8"/>
  <c r="L330" i="8"/>
  <c r="K330" i="8"/>
  <c r="J330" i="8"/>
  <c r="I330" i="8"/>
  <c r="H330" i="8"/>
  <c r="G330" i="8"/>
  <c r="F330" i="8"/>
  <c r="E330" i="8"/>
  <c r="D330" i="8"/>
  <c r="C330" i="8"/>
  <c r="B330" i="8"/>
  <c r="A330" i="8"/>
  <c r="Q329" i="8"/>
  <c r="P329" i="8"/>
  <c r="O329" i="8"/>
  <c r="N329" i="8"/>
  <c r="M329" i="8"/>
  <c r="L329" i="8"/>
  <c r="K329" i="8"/>
  <c r="J329" i="8"/>
  <c r="I329" i="8"/>
  <c r="H329" i="8"/>
  <c r="G329" i="8"/>
  <c r="F329" i="8"/>
  <c r="E329" i="8"/>
  <c r="D329" i="8"/>
  <c r="C329" i="8"/>
  <c r="B329" i="8"/>
  <c r="A329" i="8"/>
  <c r="Q328" i="8"/>
  <c r="P328" i="8"/>
  <c r="O328" i="8"/>
  <c r="N328" i="8"/>
  <c r="M328" i="8"/>
  <c r="L328" i="8"/>
  <c r="K328" i="8"/>
  <c r="J328" i="8"/>
  <c r="I328" i="8"/>
  <c r="H328" i="8"/>
  <c r="G328" i="8"/>
  <c r="F328" i="8"/>
  <c r="E328" i="8"/>
  <c r="D328" i="8"/>
  <c r="C328" i="8"/>
  <c r="B328" i="8"/>
  <c r="A328" i="8"/>
  <c r="Q327" i="8"/>
  <c r="P327" i="8"/>
  <c r="O327" i="8"/>
  <c r="N327" i="8"/>
  <c r="M327" i="8"/>
  <c r="L327" i="8"/>
  <c r="K327" i="8"/>
  <c r="J327" i="8"/>
  <c r="I327" i="8"/>
  <c r="H327" i="8"/>
  <c r="G327" i="8"/>
  <c r="F327" i="8"/>
  <c r="E327" i="8"/>
  <c r="D327" i="8"/>
  <c r="C327" i="8"/>
  <c r="B327" i="8"/>
  <c r="A327" i="8"/>
  <c r="Q326" i="8"/>
  <c r="P326" i="8"/>
  <c r="O326" i="8"/>
  <c r="N326" i="8"/>
  <c r="M326" i="8"/>
  <c r="L326" i="8"/>
  <c r="K326" i="8"/>
  <c r="J326" i="8"/>
  <c r="I326" i="8"/>
  <c r="H326" i="8"/>
  <c r="G326" i="8"/>
  <c r="F326" i="8"/>
  <c r="E326" i="8"/>
  <c r="D326" i="8"/>
  <c r="C326" i="8"/>
  <c r="B326" i="8"/>
  <c r="A326" i="8"/>
  <c r="Q325" i="8"/>
  <c r="P325" i="8"/>
  <c r="O325" i="8"/>
  <c r="N325" i="8"/>
  <c r="M325" i="8"/>
  <c r="L325" i="8"/>
  <c r="K325" i="8"/>
  <c r="J325" i="8"/>
  <c r="I325" i="8"/>
  <c r="H325" i="8"/>
  <c r="G325" i="8"/>
  <c r="F325" i="8"/>
  <c r="E325" i="8"/>
  <c r="D325" i="8"/>
  <c r="C325" i="8"/>
  <c r="B325" i="8"/>
  <c r="A325" i="8"/>
  <c r="Q324" i="8"/>
  <c r="P324" i="8"/>
  <c r="O324" i="8"/>
  <c r="N324" i="8"/>
  <c r="M324" i="8"/>
  <c r="L324" i="8"/>
  <c r="K324" i="8"/>
  <c r="J324" i="8"/>
  <c r="I324" i="8"/>
  <c r="H324" i="8"/>
  <c r="G324" i="8"/>
  <c r="F324" i="8"/>
  <c r="E324" i="8"/>
  <c r="D324" i="8"/>
  <c r="C324" i="8"/>
  <c r="B324" i="8"/>
  <c r="A324" i="8"/>
  <c r="Q323" i="8"/>
  <c r="P323" i="8"/>
  <c r="O323" i="8"/>
  <c r="N323" i="8"/>
  <c r="M323" i="8"/>
  <c r="L323" i="8"/>
  <c r="K323" i="8"/>
  <c r="J323" i="8"/>
  <c r="I323" i="8"/>
  <c r="H323" i="8"/>
  <c r="G323" i="8"/>
  <c r="F323" i="8"/>
  <c r="E323" i="8"/>
  <c r="D323" i="8"/>
  <c r="C323" i="8"/>
  <c r="B323" i="8"/>
  <c r="A323" i="8"/>
  <c r="Q322" i="8"/>
  <c r="P322" i="8"/>
  <c r="O322" i="8"/>
  <c r="N322" i="8"/>
  <c r="M322" i="8"/>
  <c r="L322" i="8"/>
  <c r="K322" i="8"/>
  <c r="J322" i="8"/>
  <c r="I322" i="8"/>
  <c r="H322" i="8"/>
  <c r="G322" i="8"/>
  <c r="F322" i="8"/>
  <c r="E322" i="8"/>
  <c r="D322" i="8"/>
  <c r="C322" i="8"/>
  <c r="B322" i="8"/>
  <c r="A322" i="8"/>
  <c r="Q321" i="8"/>
  <c r="P321" i="8"/>
  <c r="O321" i="8"/>
  <c r="N321" i="8"/>
  <c r="M321" i="8"/>
  <c r="L321" i="8"/>
  <c r="K321" i="8"/>
  <c r="J321" i="8"/>
  <c r="I321" i="8"/>
  <c r="H321" i="8"/>
  <c r="G321" i="8"/>
  <c r="F321" i="8"/>
  <c r="E321" i="8"/>
  <c r="D321" i="8"/>
  <c r="C321" i="8"/>
  <c r="B321" i="8"/>
  <c r="A321" i="8"/>
  <c r="Q320" i="8"/>
  <c r="P320" i="8"/>
  <c r="O320" i="8"/>
  <c r="N320" i="8"/>
  <c r="M320" i="8"/>
  <c r="L320" i="8"/>
  <c r="K320" i="8"/>
  <c r="J320" i="8"/>
  <c r="I320" i="8"/>
  <c r="H320" i="8"/>
  <c r="G320" i="8"/>
  <c r="F320" i="8"/>
  <c r="E320" i="8"/>
  <c r="D320" i="8"/>
  <c r="C320" i="8"/>
  <c r="B320" i="8"/>
  <c r="A320" i="8"/>
  <c r="Q319" i="8"/>
  <c r="P319" i="8"/>
  <c r="O319" i="8"/>
  <c r="N319" i="8"/>
  <c r="M319" i="8"/>
  <c r="L319" i="8"/>
  <c r="K319" i="8"/>
  <c r="J319" i="8"/>
  <c r="I319" i="8"/>
  <c r="H319" i="8"/>
  <c r="G319" i="8"/>
  <c r="F319" i="8"/>
  <c r="E319" i="8"/>
  <c r="D319" i="8"/>
  <c r="C319" i="8"/>
  <c r="B319" i="8"/>
  <c r="A319" i="8"/>
  <c r="Q318" i="8"/>
  <c r="P318" i="8"/>
  <c r="O318" i="8"/>
  <c r="N318" i="8"/>
  <c r="M318" i="8"/>
  <c r="L318" i="8"/>
  <c r="K318" i="8"/>
  <c r="J318" i="8"/>
  <c r="I318" i="8"/>
  <c r="H318" i="8"/>
  <c r="G318" i="8"/>
  <c r="F318" i="8"/>
  <c r="E318" i="8"/>
  <c r="D318" i="8"/>
  <c r="C318" i="8"/>
  <c r="B318" i="8"/>
  <c r="A318" i="8"/>
  <c r="Q317" i="8"/>
  <c r="P317" i="8"/>
  <c r="O317" i="8"/>
  <c r="N317" i="8"/>
  <c r="M317" i="8"/>
  <c r="L317" i="8"/>
  <c r="K317" i="8"/>
  <c r="J317" i="8"/>
  <c r="I317" i="8"/>
  <c r="H317" i="8"/>
  <c r="G317" i="8"/>
  <c r="F317" i="8"/>
  <c r="E317" i="8"/>
  <c r="D317" i="8"/>
  <c r="C317" i="8"/>
  <c r="B317" i="8"/>
  <c r="A317" i="8"/>
  <c r="Q316" i="8"/>
  <c r="P316" i="8"/>
  <c r="O316" i="8"/>
  <c r="N316" i="8"/>
  <c r="M316" i="8"/>
  <c r="L316" i="8"/>
  <c r="K316" i="8"/>
  <c r="J316" i="8"/>
  <c r="I316" i="8"/>
  <c r="H316" i="8"/>
  <c r="G316" i="8"/>
  <c r="F316" i="8"/>
  <c r="E316" i="8"/>
  <c r="D316" i="8"/>
  <c r="C316" i="8"/>
  <c r="B316" i="8"/>
  <c r="A316" i="8"/>
  <c r="Q315" i="8"/>
  <c r="P315" i="8"/>
  <c r="O315" i="8"/>
  <c r="N315" i="8"/>
  <c r="M315" i="8"/>
  <c r="L315" i="8"/>
  <c r="K315" i="8"/>
  <c r="J315" i="8"/>
  <c r="I315" i="8"/>
  <c r="H315" i="8"/>
  <c r="G315" i="8"/>
  <c r="F315" i="8"/>
  <c r="E315" i="8"/>
  <c r="D315" i="8"/>
  <c r="C315" i="8"/>
  <c r="B315" i="8"/>
  <c r="A315" i="8"/>
  <c r="Q314" i="8"/>
  <c r="P314" i="8"/>
  <c r="O314" i="8"/>
  <c r="N314" i="8"/>
  <c r="M314" i="8"/>
  <c r="L314" i="8"/>
  <c r="K314" i="8"/>
  <c r="J314" i="8"/>
  <c r="I314" i="8"/>
  <c r="H314" i="8"/>
  <c r="G314" i="8"/>
  <c r="F314" i="8"/>
  <c r="E314" i="8"/>
  <c r="D314" i="8"/>
  <c r="C314" i="8"/>
  <c r="B314" i="8"/>
  <c r="A314" i="8"/>
  <c r="Q313" i="8"/>
  <c r="P313" i="8"/>
  <c r="O313" i="8"/>
  <c r="N313" i="8"/>
  <c r="M313" i="8"/>
  <c r="L313" i="8"/>
  <c r="K313" i="8"/>
  <c r="J313" i="8"/>
  <c r="I313" i="8"/>
  <c r="H313" i="8"/>
  <c r="G313" i="8"/>
  <c r="F313" i="8"/>
  <c r="E313" i="8"/>
  <c r="D313" i="8"/>
  <c r="C313" i="8"/>
  <c r="B313" i="8"/>
  <c r="A313" i="8"/>
  <c r="Q312" i="8"/>
  <c r="P312" i="8"/>
  <c r="O312" i="8"/>
  <c r="N312" i="8"/>
  <c r="M312" i="8"/>
  <c r="L312" i="8"/>
  <c r="K312" i="8"/>
  <c r="J312" i="8"/>
  <c r="I312" i="8"/>
  <c r="H312" i="8"/>
  <c r="G312" i="8"/>
  <c r="F312" i="8"/>
  <c r="E312" i="8"/>
  <c r="D312" i="8"/>
  <c r="C312" i="8"/>
  <c r="B312" i="8"/>
  <c r="A312" i="8"/>
  <c r="Q311" i="8"/>
  <c r="P311" i="8"/>
  <c r="O311" i="8"/>
  <c r="N311" i="8"/>
  <c r="M311" i="8"/>
  <c r="L311" i="8"/>
  <c r="K311" i="8"/>
  <c r="J311" i="8"/>
  <c r="I311" i="8"/>
  <c r="H311" i="8"/>
  <c r="G311" i="8"/>
  <c r="F311" i="8"/>
  <c r="E311" i="8"/>
  <c r="D311" i="8"/>
  <c r="C311" i="8"/>
  <c r="B311" i="8"/>
  <c r="A311" i="8"/>
  <c r="Q310" i="8"/>
  <c r="P310" i="8"/>
  <c r="O310" i="8"/>
  <c r="N310" i="8"/>
  <c r="M310" i="8"/>
  <c r="L310" i="8"/>
  <c r="K310" i="8"/>
  <c r="J310" i="8"/>
  <c r="I310" i="8"/>
  <c r="H310" i="8"/>
  <c r="G310" i="8"/>
  <c r="F310" i="8"/>
  <c r="E310" i="8"/>
  <c r="D310" i="8"/>
  <c r="C310" i="8"/>
  <c r="B310" i="8"/>
  <c r="A310" i="8"/>
  <c r="Q309" i="8"/>
  <c r="P309" i="8"/>
  <c r="O309" i="8"/>
  <c r="N309" i="8"/>
  <c r="M309" i="8"/>
  <c r="L309" i="8"/>
  <c r="K309" i="8"/>
  <c r="J309" i="8"/>
  <c r="I309" i="8"/>
  <c r="H309" i="8"/>
  <c r="G309" i="8"/>
  <c r="F309" i="8"/>
  <c r="E309" i="8"/>
  <c r="D309" i="8"/>
  <c r="C309" i="8"/>
  <c r="B309" i="8"/>
  <c r="A309" i="8"/>
  <c r="Q308" i="8"/>
  <c r="P308" i="8"/>
  <c r="O308" i="8"/>
  <c r="N308" i="8"/>
  <c r="M308" i="8"/>
  <c r="L308" i="8"/>
  <c r="K308" i="8"/>
  <c r="J308" i="8"/>
  <c r="I308" i="8"/>
  <c r="H308" i="8"/>
  <c r="G308" i="8"/>
  <c r="F308" i="8"/>
  <c r="E308" i="8"/>
  <c r="D308" i="8"/>
  <c r="C308" i="8"/>
  <c r="B308" i="8"/>
  <c r="A308" i="8"/>
  <c r="Q307" i="8"/>
  <c r="P307" i="8"/>
  <c r="O307" i="8"/>
  <c r="N307" i="8"/>
  <c r="M307" i="8"/>
  <c r="L307" i="8"/>
  <c r="K307" i="8"/>
  <c r="J307" i="8"/>
  <c r="I307" i="8"/>
  <c r="H307" i="8"/>
  <c r="G307" i="8"/>
  <c r="F307" i="8"/>
  <c r="E307" i="8"/>
  <c r="D307" i="8"/>
  <c r="C307" i="8"/>
  <c r="B307" i="8"/>
  <c r="A307" i="8"/>
  <c r="Q306" i="8"/>
  <c r="P306" i="8"/>
  <c r="O306" i="8"/>
  <c r="N306" i="8"/>
  <c r="M306" i="8"/>
  <c r="L306" i="8"/>
  <c r="K306" i="8"/>
  <c r="J306" i="8"/>
  <c r="I306" i="8"/>
  <c r="H306" i="8"/>
  <c r="G306" i="8"/>
  <c r="F306" i="8"/>
  <c r="E306" i="8"/>
  <c r="D306" i="8"/>
  <c r="C306" i="8"/>
  <c r="B306" i="8"/>
  <c r="A306" i="8"/>
  <c r="Q305" i="8"/>
  <c r="P305" i="8"/>
  <c r="O305" i="8"/>
  <c r="N305" i="8"/>
  <c r="M305" i="8"/>
  <c r="L305" i="8"/>
  <c r="K305" i="8"/>
  <c r="J305" i="8"/>
  <c r="I305" i="8"/>
  <c r="H305" i="8"/>
  <c r="G305" i="8"/>
  <c r="F305" i="8"/>
  <c r="E305" i="8"/>
  <c r="D305" i="8"/>
  <c r="C305" i="8"/>
  <c r="B305" i="8"/>
  <c r="A305" i="8"/>
  <c r="Q304" i="8"/>
  <c r="P304" i="8"/>
  <c r="O304" i="8"/>
  <c r="N304" i="8"/>
  <c r="M304" i="8"/>
  <c r="L304" i="8"/>
  <c r="K304" i="8"/>
  <c r="J304" i="8"/>
  <c r="I304" i="8"/>
  <c r="H304" i="8"/>
  <c r="G304" i="8"/>
  <c r="F304" i="8"/>
  <c r="E304" i="8"/>
  <c r="D304" i="8"/>
  <c r="C304" i="8"/>
  <c r="B304" i="8"/>
  <c r="A304" i="8"/>
  <c r="Q303" i="8"/>
  <c r="P303" i="8"/>
  <c r="O303" i="8"/>
  <c r="N303" i="8"/>
  <c r="M303" i="8"/>
  <c r="L303" i="8"/>
  <c r="K303" i="8"/>
  <c r="J303" i="8"/>
  <c r="I303" i="8"/>
  <c r="H303" i="8"/>
  <c r="G303" i="8"/>
  <c r="F303" i="8"/>
  <c r="E303" i="8"/>
  <c r="D303" i="8"/>
  <c r="C303" i="8"/>
  <c r="B303" i="8"/>
  <c r="A303" i="8"/>
  <c r="Q302" i="8"/>
  <c r="P302" i="8"/>
  <c r="O302" i="8"/>
  <c r="N302" i="8"/>
  <c r="M302" i="8"/>
  <c r="L302" i="8"/>
  <c r="K302" i="8"/>
  <c r="J302" i="8"/>
  <c r="I302" i="8"/>
  <c r="H302" i="8"/>
  <c r="G302" i="8"/>
  <c r="F302" i="8"/>
  <c r="E302" i="8"/>
  <c r="D302" i="8"/>
  <c r="C302" i="8"/>
  <c r="B302" i="8"/>
  <c r="A302" i="8"/>
  <c r="Q301" i="8"/>
  <c r="P301" i="8"/>
  <c r="O301" i="8"/>
  <c r="N301" i="8"/>
  <c r="M301" i="8"/>
  <c r="L301" i="8"/>
  <c r="K301" i="8"/>
  <c r="J301" i="8"/>
  <c r="I301" i="8"/>
  <c r="H301" i="8"/>
  <c r="G301" i="8"/>
  <c r="F301" i="8"/>
  <c r="E301" i="8"/>
  <c r="D301" i="8"/>
  <c r="C301" i="8"/>
  <c r="B301" i="8"/>
  <c r="A301" i="8"/>
  <c r="Q300" i="8"/>
  <c r="P300" i="8"/>
  <c r="O300" i="8"/>
  <c r="N300" i="8"/>
  <c r="M300" i="8"/>
  <c r="L300" i="8"/>
  <c r="K300" i="8"/>
  <c r="J300" i="8"/>
  <c r="I300" i="8"/>
  <c r="H300" i="8"/>
  <c r="G300" i="8"/>
  <c r="F300" i="8"/>
  <c r="E300" i="8"/>
  <c r="D300" i="8"/>
  <c r="C300" i="8"/>
  <c r="B300" i="8"/>
  <c r="A300" i="8"/>
  <c r="Q299" i="8"/>
  <c r="P299" i="8"/>
  <c r="O299" i="8"/>
  <c r="N299" i="8"/>
  <c r="M299" i="8"/>
  <c r="L299" i="8"/>
  <c r="K299" i="8"/>
  <c r="J299" i="8"/>
  <c r="I299" i="8"/>
  <c r="H299" i="8"/>
  <c r="G299" i="8"/>
  <c r="F299" i="8"/>
  <c r="E299" i="8"/>
  <c r="D299" i="8"/>
  <c r="C299" i="8"/>
  <c r="B299" i="8"/>
  <c r="A299" i="8"/>
  <c r="Q298" i="8"/>
  <c r="P298" i="8"/>
  <c r="O298" i="8"/>
  <c r="N298" i="8"/>
  <c r="M298" i="8"/>
  <c r="L298" i="8"/>
  <c r="K298" i="8"/>
  <c r="J298" i="8"/>
  <c r="I298" i="8"/>
  <c r="H298" i="8"/>
  <c r="G298" i="8"/>
  <c r="F298" i="8"/>
  <c r="E298" i="8"/>
  <c r="D298" i="8"/>
  <c r="C298" i="8"/>
  <c r="B298" i="8"/>
  <c r="A298" i="8"/>
  <c r="Q297" i="8"/>
  <c r="P297" i="8"/>
  <c r="O297" i="8"/>
  <c r="N297" i="8"/>
  <c r="M297" i="8"/>
  <c r="L297" i="8"/>
  <c r="K297" i="8"/>
  <c r="J297" i="8"/>
  <c r="I297" i="8"/>
  <c r="H297" i="8"/>
  <c r="G297" i="8"/>
  <c r="F297" i="8"/>
  <c r="E297" i="8"/>
  <c r="D297" i="8"/>
  <c r="C297" i="8"/>
  <c r="B297" i="8"/>
  <c r="A297" i="8"/>
  <c r="Q296" i="8"/>
  <c r="P296" i="8"/>
  <c r="O296" i="8"/>
  <c r="N296" i="8"/>
  <c r="M296" i="8"/>
  <c r="L296" i="8"/>
  <c r="K296" i="8"/>
  <c r="J296" i="8"/>
  <c r="I296" i="8"/>
  <c r="H296" i="8"/>
  <c r="G296" i="8"/>
  <c r="F296" i="8"/>
  <c r="E296" i="8"/>
  <c r="D296" i="8"/>
  <c r="C296" i="8"/>
  <c r="B296" i="8"/>
  <c r="A296" i="8"/>
  <c r="Q295" i="8"/>
  <c r="P295" i="8"/>
  <c r="O295" i="8"/>
  <c r="N295" i="8"/>
  <c r="M295" i="8"/>
  <c r="L295" i="8"/>
  <c r="K295" i="8"/>
  <c r="J295" i="8"/>
  <c r="I295" i="8"/>
  <c r="H295" i="8"/>
  <c r="G295" i="8"/>
  <c r="F295" i="8"/>
  <c r="E295" i="8"/>
  <c r="D295" i="8"/>
  <c r="C295" i="8"/>
  <c r="B295" i="8"/>
  <c r="A295" i="8"/>
  <c r="Q294" i="8"/>
  <c r="P294" i="8"/>
  <c r="O294" i="8"/>
  <c r="N294" i="8"/>
  <c r="M294" i="8"/>
  <c r="L294" i="8"/>
  <c r="K294" i="8"/>
  <c r="J294" i="8"/>
  <c r="I294" i="8"/>
  <c r="H294" i="8"/>
  <c r="G294" i="8"/>
  <c r="F294" i="8"/>
  <c r="E294" i="8"/>
  <c r="D294" i="8"/>
  <c r="C294" i="8"/>
  <c r="B294" i="8"/>
  <c r="A294" i="8"/>
  <c r="Q293" i="8"/>
  <c r="P293" i="8"/>
  <c r="O293" i="8"/>
  <c r="N293" i="8"/>
  <c r="M293" i="8"/>
  <c r="L293" i="8"/>
  <c r="K293" i="8"/>
  <c r="J293" i="8"/>
  <c r="I293" i="8"/>
  <c r="H293" i="8"/>
  <c r="G293" i="8"/>
  <c r="F293" i="8"/>
  <c r="E293" i="8"/>
  <c r="D293" i="8"/>
  <c r="C293" i="8"/>
  <c r="B293" i="8"/>
  <c r="A293" i="8"/>
  <c r="Q292" i="8"/>
  <c r="P292" i="8"/>
  <c r="O292" i="8"/>
  <c r="N292" i="8"/>
  <c r="M292" i="8"/>
  <c r="L292" i="8"/>
  <c r="K292" i="8"/>
  <c r="J292" i="8"/>
  <c r="I292" i="8"/>
  <c r="H292" i="8"/>
  <c r="G292" i="8"/>
  <c r="F292" i="8"/>
  <c r="E292" i="8"/>
  <c r="D292" i="8"/>
  <c r="C292" i="8"/>
  <c r="B292" i="8"/>
  <c r="A292" i="8"/>
  <c r="Q291" i="8"/>
  <c r="P291" i="8"/>
  <c r="O291" i="8"/>
  <c r="N291" i="8"/>
  <c r="M291" i="8"/>
  <c r="L291" i="8"/>
  <c r="K291" i="8"/>
  <c r="J291" i="8"/>
  <c r="I291" i="8"/>
  <c r="H291" i="8"/>
  <c r="G291" i="8"/>
  <c r="F291" i="8"/>
  <c r="E291" i="8"/>
  <c r="D291" i="8"/>
  <c r="C291" i="8"/>
  <c r="B291" i="8"/>
  <c r="A291" i="8"/>
  <c r="Q290" i="8"/>
  <c r="P290" i="8"/>
  <c r="O290" i="8"/>
  <c r="N290" i="8"/>
  <c r="M290" i="8"/>
  <c r="L290" i="8"/>
  <c r="K290" i="8"/>
  <c r="J290" i="8"/>
  <c r="I290" i="8"/>
  <c r="H290" i="8"/>
  <c r="G290" i="8"/>
  <c r="F290" i="8"/>
  <c r="E290" i="8"/>
  <c r="D290" i="8"/>
  <c r="C290" i="8"/>
  <c r="B290" i="8"/>
  <c r="A290" i="8"/>
  <c r="Q289" i="8"/>
  <c r="P289" i="8"/>
  <c r="O289" i="8"/>
  <c r="N289" i="8"/>
  <c r="M289" i="8"/>
  <c r="L289" i="8"/>
  <c r="K289" i="8"/>
  <c r="J289" i="8"/>
  <c r="I289" i="8"/>
  <c r="H289" i="8"/>
  <c r="G289" i="8"/>
  <c r="F289" i="8"/>
  <c r="E289" i="8"/>
  <c r="D289" i="8"/>
  <c r="C289" i="8"/>
  <c r="B289" i="8"/>
  <c r="A289" i="8"/>
  <c r="Q288" i="8"/>
  <c r="P288" i="8"/>
  <c r="O288" i="8"/>
  <c r="N288" i="8"/>
  <c r="M288" i="8"/>
  <c r="L288" i="8"/>
  <c r="K288" i="8"/>
  <c r="J288" i="8"/>
  <c r="I288" i="8"/>
  <c r="H288" i="8"/>
  <c r="G288" i="8"/>
  <c r="F288" i="8"/>
  <c r="E288" i="8"/>
  <c r="D288" i="8"/>
  <c r="C288" i="8"/>
  <c r="B288" i="8"/>
  <c r="A288" i="8"/>
  <c r="Q287" i="8"/>
  <c r="P287" i="8"/>
  <c r="O287" i="8"/>
  <c r="N287" i="8"/>
  <c r="M287" i="8"/>
  <c r="L287" i="8"/>
  <c r="K287" i="8"/>
  <c r="J287" i="8"/>
  <c r="I287" i="8"/>
  <c r="H287" i="8"/>
  <c r="G287" i="8"/>
  <c r="F287" i="8"/>
  <c r="E287" i="8"/>
  <c r="D287" i="8"/>
  <c r="C287" i="8"/>
  <c r="B287" i="8"/>
  <c r="A287" i="8"/>
  <c r="Q286" i="8"/>
  <c r="P286" i="8"/>
  <c r="O286" i="8"/>
  <c r="N286" i="8"/>
  <c r="M286" i="8"/>
  <c r="L286" i="8"/>
  <c r="K286" i="8"/>
  <c r="J286" i="8"/>
  <c r="I286" i="8"/>
  <c r="H286" i="8"/>
  <c r="G286" i="8"/>
  <c r="F286" i="8"/>
  <c r="E286" i="8"/>
  <c r="D286" i="8"/>
  <c r="C286" i="8"/>
  <c r="B286" i="8"/>
  <c r="A286" i="8"/>
  <c r="Q285" i="8"/>
  <c r="P285" i="8"/>
  <c r="O285" i="8"/>
  <c r="N285" i="8"/>
  <c r="M285" i="8"/>
  <c r="L285" i="8"/>
  <c r="K285" i="8"/>
  <c r="J285" i="8"/>
  <c r="I285" i="8"/>
  <c r="H285" i="8"/>
  <c r="G285" i="8"/>
  <c r="F285" i="8"/>
  <c r="E285" i="8"/>
  <c r="D285" i="8"/>
  <c r="C285" i="8"/>
  <c r="B285" i="8"/>
  <c r="A285" i="8"/>
  <c r="Q284" i="8"/>
  <c r="P284" i="8"/>
  <c r="O284" i="8"/>
  <c r="N284" i="8"/>
  <c r="M284" i="8"/>
  <c r="L284" i="8"/>
  <c r="K284" i="8"/>
  <c r="J284" i="8"/>
  <c r="I284" i="8"/>
  <c r="H284" i="8"/>
  <c r="G284" i="8"/>
  <c r="F284" i="8"/>
  <c r="E284" i="8"/>
  <c r="D284" i="8"/>
  <c r="C284" i="8"/>
  <c r="B284" i="8"/>
  <c r="A284" i="8"/>
  <c r="Q283" i="8"/>
  <c r="P283" i="8"/>
  <c r="O283" i="8"/>
  <c r="N283" i="8"/>
  <c r="M283" i="8"/>
  <c r="L283" i="8"/>
  <c r="K283" i="8"/>
  <c r="J283" i="8"/>
  <c r="I283" i="8"/>
  <c r="H283" i="8"/>
  <c r="G283" i="8"/>
  <c r="F283" i="8"/>
  <c r="E283" i="8"/>
  <c r="D283" i="8"/>
  <c r="C283" i="8"/>
  <c r="B283" i="8"/>
  <c r="A283" i="8"/>
  <c r="Q282" i="8"/>
  <c r="P282" i="8"/>
  <c r="O282" i="8"/>
  <c r="N282" i="8"/>
  <c r="M282" i="8"/>
  <c r="L282" i="8"/>
  <c r="K282" i="8"/>
  <c r="J282" i="8"/>
  <c r="I282" i="8"/>
  <c r="H282" i="8"/>
  <c r="G282" i="8"/>
  <c r="F282" i="8"/>
  <c r="E282" i="8"/>
  <c r="D282" i="8"/>
  <c r="C282" i="8"/>
  <c r="B282" i="8"/>
  <c r="A282" i="8"/>
  <c r="Q281" i="8"/>
  <c r="P281" i="8"/>
  <c r="O281" i="8"/>
  <c r="N281" i="8"/>
  <c r="M281" i="8"/>
  <c r="L281" i="8"/>
  <c r="K281" i="8"/>
  <c r="J281" i="8"/>
  <c r="I281" i="8"/>
  <c r="H281" i="8"/>
  <c r="G281" i="8"/>
  <c r="F281" i="8"/>
  <c r="E281" i="8"/>
  <c r="D281" i="8"/>
  <c r="C281" i="8"/>
  <c r="B281" i="8"/>
  <c r="A281" i="8"/>
  <c r="Q280" i="8"/>
  <c r="P280" i="8"/>
  <c r="O280" i="8"/>
  <c r="N280" i="8"/>
  <c r="M280" i="8"/>
  <c r="L280" i="8"/>
  <c r="K280" i="8"/>
  <c r="J280" i="8"/>
  <c r="I280" i="8"/>
  <c r="H280" i="8"/>
  <c r="G280" i="8"/>
  <c r="F280" i="8"/>
  <c r="E280" i="8"/>
  <c r="D280" i="8"/>
  <c r="C280" i="8"/>
  <c r="B280" i="8"/>
  <c r="A280" i="8"/>
  <c r="Q279" i="8"/>
  <c r="P279" i="8"/>
  <c r="O279" i="8"/>
  <c r="N279" i="8"/>
  <c r="M279" i="8"/>
  <c r="L279" i="8"/>
  <c r="K279" i="8"/>
  <c r="J279" i="8"/>
  <c r="I279" i="8"/>
  <c r="H279" i="8"/>
  <c r="G279" i="8"/>
  <c r="F279" i="8"/>
  <c r="E279" i="8"/>
  <c r="D279" i="8"/>
  <c r="C279" i="8"/>
  <c r="B279" i="8"/>
  <c r="A279" i="8"/>
  <c r="Q278" i="8"/>
  <c r="P278" i="8"/>
  <c r="O278" i="8"/>
  <c r="N278" i="8"/>
  <c r="M278" i="8"/>
  <c r="L278" i="8"/>
  <c r="K278" i="8"/>
  <c r="J278" i="8"/>
  <c r="I278" i="8"/>
  <c r="H278" i="8"/>
  <c r="G278" i="8"/>
  <c r="F278" i="8"/>
  <c r="E278" i="8"/>
  <c r="D278" i="8"/>
  <c r="C278" i="8"/>
  <c r="B278" i="8"/>
  <c r="A278" i="8"/>
  <c r="Q277" i="8"/>
  <c r="P277" i="8"/>
  <c r="O277" i="8"/>
  <c r="N277" i="8"/>
  <c r="M277" i="8"/>
  <c r="L277" i="8"/>
  <c r="K277" i="8"/>
  <c r="J277" i="8"/>
  <c r="I277" i="8"/>
  <c r="H277" i="8"/>
  <c r="G277" i="8"/>
  <c r="F277" i="8"/>
  <c r="E277" i="8"/>
  <c r="D277" i="8"/>
  <c r="C277" i="8"/>
  <c r="B277" i="8"/>
  <c r="A277" i="8"/>
  <c r="Q276" i="8"/>
  <c r="P276" i="8"/>
  <c r="O276" i="8"/>
  <c r="N276" i="8"/>
  <c r="M276" i="8"/>
  <c r="L276" i="8"/>
  <c r="K276" i="8"/>
  <c r="J276" i="8"/>
  <c r="I276" i="8"/>
  <c r="H276" i="8"/>
  <c r="G276" i="8"/>
  <c r="F276" i="8"/>
  <c r="E276" i="8"/>
  <c r="D276" i="8"/>
  <c r="C276" i="8"/>
  <c r="B276" i="8"/>
  <c r="A276" i="8"/>
  <c r="Q275" i="8"/>
  <c r="P275" i="8"/>
  <c r="O275" i="8"/>
  <c r="N275" i="8"/>
  <c r="M275" i="8"/>
  <c r="L275" i="8"/>
  <c r="K275" i="8"/>
  <c r="J275" i="8"/>
  <c r="I275" i="8"/>
  <c r="H275" i="8"/>
  <c r="G275" i="8"/>
  <c r="F275" i="8"/>
  <c r="E275" i="8"/>
  <c r="D275" i="8"/>
  <c r="C275" i="8"/>
  <c r="B275" i="8"/>
  <c r="A275" i="8"/>
  <c r="Q274" i="8"/>
  <c r="P274" i="8"/>
  <c r="O274" i="8"/>
  <c r="N274" i="8"/>
  <c r="M274" i="8"/>
  <c r="L274" i="8"/>
  <c r="K274" i="8"/>
  <c r="J274" i="8"/>
  <c r="I274" i="8"/>
  <c r="H274" i="8"/>
  <c r="G274" i="8"/>
  <c r="F274" i="8"/>
  <c r="E274" i="8"/>
  <c r="D274" i="8"/>
  <c r="C274" i="8"/>
  <c r="B274" i="8"/>
  <c r="A274" i="8"/>
  <c r="Q273" i="8"/>
  <c r="P273" i="8"/>
  <c r="O273" i="8"/>
  <c r="N273" i="8"/>
  <c r="M273" i="8"/>
  <c r="L273" i="8"/>
  <c r="K273" i="8"/>
  <c r="J273" i="8"/>
  <c r="I273" i="8"/>
  <c r="H273" i="8"/>
  <c r="G273" i="8"/>
  <c r="F273" i="8"/>
  <c r="E273" i="8"/>
  <c r="D273" i="8"/>
  <c r="C273" i="8"/>
  <c r="B273" i="8"/>
  <c r="A273" i="8"/>
  <c r="Q272" i="8"/>
  <c r="P272" i="8"/>
  <c r="O272" i="8"/>
  <c r="N272" i="8"/>
  <c r="M272" i="8"/>
  <c r="L272" i="8"/>
  <c r="K272" i="8"/>
  <c r="J272" i="8"/>
  <c r="I272" i="8"/>
  <c r="H272" i="8"/>
  <c r="G272" i="8"/>
  <c r="F272" i="8"/>
  <c r="E272" i="8"/>
  <c r="D272" i="8"/>
  <c r="C272" i="8"/>
  <c r="B272" i="8"/>
  <c r="A272" i="8"/>
  <c r="Q271" i="8"/>
  <c r="P271" i="8"/>
  <c r="O271" i="8"/>
  <c r="N271" i="8"/>
  <c r="M271" i="8"/>
  <c r="L271" i="8"/>
  <c r="K271" i="8"/>
  <c r="J271" i="8"/>
  <c r="I271" i="8"/>
  <c r="H271" i="8"/>
  <c r="G271" i="8"/>
  <c r="F271" i="8"/>
  <c r="E271" i="8"/>
  <c r="D271" i="8"/>
  <c r="C271" i="8"/>
  <c r="B271" i="8"/>
  <c r="A271" i="8"/>
  <c r="Q270" i="8"/>
  <c r="P270" i="8"/>
  <c r="O270" i="8"/>
  <c r="N270" i="8"/>
  <c r="M270" i="8"/>
  <c r="L270" i="8"/>
  <c r="K270" i="8"/>
  <c r="J270" i="8"/>
  <c r="I270" i="8"/>
  <c r="H270" i="8"/>
  <c r="G270" i="8"/>
  <c r="F270" i="8"/>
  <c r="E270" i="8"/>
  <c r="D270" i="8"/>
  <c r="C270" i="8"/>
  <c r="B270" i="8"/>
  <c r="A270" i="8"/>
  <c r="Q269" i="8"/>
  <c r="P269" i="8"/>
  <c r="O269" i="8"/>
  <c r="N269" i="8"/>
  <c r="M269" i="8"/>
  <c r="L269" i="8"/>
  <c r="K269" i="8"/>
  <c r="J269" i="8"/>
  <c r="I269" i="8"/>
  <c r="H269" i="8"/>
  <c r="G269" i="8"/>
  <c r="F269" i="8"/>
  <c r="E269" i="8"/>
  <c r="D269" i="8"/>
  <c r="C269" i="8"/>
  <c r="B269" i="8"/>
  <c r="A269" i="8"/>
  <c r="Q268" i="8"/>
  <c r="P268" i="8"/>
  <c r="O268" i="8"/>
  <c r="N268" i="8"/>
  <c r="M268" i="8"/>
  <c r="L268" i="8"/>
  <c r="K268" i="8"/>
  <c r="J268" i="8"/>
  <c r="I268" i="8"/>
  <c r="H268" i="8"/>
  <c r="G268" i="8"/>
  <c r="F268" i="8"/>
  <c r="E268" i="8"/>
  <c r="D268" i="8"/>
  <c r="C268" i="8"/>
  <c r="B268" i="8"/>
  <c r="A268" i="8"/>
  <c r="Q267" i="8"/>
  <c r="P267" i="8"/>
  <c r="O267" i="8"/>
  <c r="N267" i="8"/>
  <c r="M267" i="8"/>
  <c r="L267" i="8"/>
  <c r="K267" i="8"/>
  <c r="J267" i="8"/>
  <c r="I267" i="8"/>
  <c r="H267" i="8"/>
  <c r="G267" i="8"/>
  <c r="F267" i="8"/>
  <c r="E267" i="8"/>
  <c r="D267" i="8"/>
  <c r="C267" i="8"/>
  <c r="B267" i="8"/>
  <c r="A267" i="8"/>
  <c r="Q266" i="8"/>
  <c r="P266" i="8"/>
  <c r="O266" i="8"/>
  <c r="N266" i="8"/>
  <c r="M266" i="8"/>
  <c r="L266" i="8"/>
  <c r="K266" i="8"/>
  <c r="J266" i="8"/>
  <c r="I266" i="8"/>
  <c r="H266" i="8"/>
  <c r="G266" i="8"/>
  <c r="F266" i="8"/>
  <c r="E266" i="8"/>
  <c r="D266" i="8"/>
  <c r="C266" i="8"/>
  <c r="B266" i="8"/>
  <c r="A266" i="8"/>
  <c r="Q265" i="8"/>
  <c r="P265" i="8"/>
  <c r="O265" i="8"/>
  <c r="N265" i="8"/>
  <c r="M265" i="8"/>
  <c r="L265" i="8"/>
  <c r="K265" i="8"/>
  <c r="J265" i="8"/>
  <c r="I265" i="8"/>
  <c r="H265" i="8"/>
  <c r="G265" i="8"/>
  <c r="F265" i="8"/>
  <c r="E265" i="8"/>
  <c r="D265" i="8"/>
  <c r="C265" i="8"/>
  <c r="B265" i="8"/>
  <c r="A265" i="8"/>
  <c r="Q264" i="8"/>
  <c r="P264" i="8"/>
  <c r="O264" i="8"/>
  <c r="N264" i="8"/>
  <c r="M264" i="8"/>
  <c r="L264" i="8"/>
  <c r="K264" i="8"/>
  <c r="J264" i="8"/>
  <c r="I264" i="8"/>
  <c r="H264" i="8"/>
  <c r="G264" i="8"/>
  <c r="F264" i="8"/>
  <c r="E264" i="8"/>
  <c r="D264" i="8"/>
  <c r="C264" i="8"/>
  <c r="B264" i="8"/>
  <c r="A264" i="8"/>
  <c r="Q263" i="8"/>
  <c r="P263" i="8"/>
  <c r="O263" i="8"/>
  <c r="N263" i="8"/>
  <c r="M263" i="8"/>
  <c r="L263" i="8"/>
  <c r="K263" i="8"/>
  <c r="J263" i="8"/>
  <c r="I263" i="8"/>
  <c r="H263" i="8"/>
  <c r="G263" i="8"/>
  <c r="F263" i="8"/>
  <c r="E263" i="8"/>
  <c r="D263" i="8"/>
  <c r="C263" i="8"/>
  <c r="B263" i="8"/>
  <c r="A263" i="8"/>
  <c r="Q262" i="8"/>
  <c r="P262" i="8"/>
  <c r="O262" i="8"/>
  <c r="N262" i="8"/>
  <c r="M262" i="8"/>
  <c r="L262" i="8"/>
  <c r="K262" i="8"/>
  <c r="J262" i="8"/>
  <c r="I262" i="8"/>
  <c r="H262" i="8"/>
  <c r="G262" i="8"/>
  <c r="F262" i="8"/>
  <c r="E262" i="8"/>
  <c r="D262" i="8"/>
  <c r="C262" i="8"/>
  <c r="B262" i="8"/>
  <c r="A262" i="8"/>
  <c r="Q261" i="8"/>
  <c r="P261" i="8"/>
  <c r="O261" i="8"/>
  <c r="N261" i="8"/>
  <c r="M261" i="8"/>
  <c r="L261" i="8"/>
  <c r="K261" i="8"/>
  <c r="J261" i="8"/>
  <c r="I261" i="8"/>
  <c r="H261" i="8"/>
  <c r="G261" i="8"/>
  <c r="F261" i="8"/>
  <c r="E261" i="8"/>
  <c r="D261" i="8"/>
  <c r="C261" i="8"/>
  <c r="B261" i="8"/>
  <c r="A261" i="8"/>
  <c r="Q260" i="8"/>
  <c r="P260" i="8"/>
  <c r="O260" i="8"/>
  <c r="N260" i="8"/>
  <c r="M260" i="8"/>
  <c r="L260" i="8"/>
  <c r="K260" i="8"/>
  <c r="J260" i="8"/>
  <c r="I260" i="8"/>
  <c r="H260" i="8"/>
  <c r="G260" i="8"/>
  <c r="F260" i="8"/>
  <c r="E260" i="8"/>
  <c r="D260" i="8"/>
  <c r="C260" i="8"/>
  <c r="B260" i="8"/>
  <c r="A260" i="8"/>
  <c r="Q259" i="8"/>
  <c r="P259" i="8"/>
  <c r="O259" i="8"/>
  <c r="N259" i="8"/>
  <c r="M259" i="8"/>
  <c r="L259" i="8"/>
  <c r="K259" i="8"/>
  <c r="J259" i="8"/>
  <c r="I259" i="8"/>
  <c r="H259" i="8"/>
  <c r="G259" i="8"/>
  <c r="F259" i="8"/>
  <c r="E259" i="8"/>
  <c r="D259" i="8"/>
  <c r="C259" i="8"/>
  <c r="B259" i="8"/>
  <c r="A259" i="8"/>
  <c r="Q258" i="8"/>
  <c r="P258" i="8"/>
  <c r="O258" i="8"/>
  <c r="N258" i="8"/>
  <c r="M258" i="8"/>
  <c r="L258" i="8"/>
  <c r="K258" i="8"/>
  <c r="J258" i="8"/>
  <c r="I258" i="8"/>
  <c r="H258" i="8"/>
  <c r="G258" i="8"/>
  <c r="F258" i="8"/>
  <c r="E258" i="8"/>
  <c r="D258" i="8"/>
  <c r="C258" i="8"/>
  <c r="B258" i="8"/>
  <c r="A258" i="8"/>
  <c r="Q257" i="8"/>
  <c r="P257" i="8"/>
  <c r="O257" i="8"/>
  <c r="N257" i="8"/>
  <c r="M257" i="8"/>
  <c r="L257" i="8"/>
  <c r="K257" i="8"/>
  <c r="J257" i="8"/>
  <c r="I257" i="8"/>
  <c r="H257" i="8"/>
  <c r="G257" i="8"/>
  <c r="F257" i="8"/>
  <c r="E257" i="8"/>
  <c r="D257" i="8"/>
  <c r="C257" i="8"/>
  <c r="B257" i="8"/>
  <c r="A257" i="8"/>
  <c r="Q256" i="8"/>
  <c r="P256" i="8"/>
  <c r="O256" i="8"/>
  <c r="N256" i="8"/>
  <c r="M256" i="8"/>
  <c r="L256" i="8"/>
  <c r="K256" i="8"/>
  <c r="J256" i="8"/>
  <c r="I256" i="8"/>
  <c r="H256" i="8"/>
  <c r="G256" i="8"/>
  <c r="F256" i="8"/>
  <c r="E256" i="8"/>
  <c r="D256" i="8"/>
  <c r="C256" i="8"/>
  <c r="B256" i="8"/>
  <c r="A256" i="8"/>
  <c r="Q255" i="8"/>
  <c r="P255" i="8"/>
  <c r="O255" i="8"/>
  <c r="N255" i="8"/>
  <c r="M255" i="8"/>
  <c r="L255" i="8"/>
  <c r="K255" i="8"/>
  <c r="J255" i="8"/>
  <c r="I255" i="8"/>
  <c r="H255" i="8"/>
  <c r="G255" i="8"/>
  <c r="F255" i="8"/>
  <c r="E255" i="8"/>
  <c r="D255" i="8"/>
  <c r="C255" i="8"/>
  <c r="B255" i="8"/>
  <c r="A255" i="8"/>
  <c r="Q254" i="8"/>
  <c r="P254" i="8"/>
  <c r="O254" i="8"/>
  <c r="N254" i="8"/>
  <c r="M254" i="8"/>
  <c r="L254" i="8"/>
  <c r="K254" i="8"/>
  <c r="J254" i="8"/>
  <c r="I254" i="8"/>
  <c r="H254" i="8"/>
  <c r="G254" i="8"/>
  <c r="F254" i="8"/>
  <c r="E254" i="8"/>
  <c r="D254" i="8"/>
  <c r="C254" i="8"/>
  <c r="B254" i="8"/>
  <c r="A254" i="8"/>
  <c r="Q253" i="8"/>
  <c r="P253" i="8"/>
  <c r="O253" i="8"/>
  <c r="N253" i="8"/>
  <c r="M253" i="8"/>
  <c r="L253" i="8"/>
  <c r="K253" i="8"/>
  <c r="J253" i="8"/>
  <c r="I253" i="8"/>
  <c r="H253" i="8"/>
  <c r="G253" i="8"/>
  <c r="F253" i="8"/>
  <c r="E253" i="8"/>
  <c r="D253" i="8"/>
  <c r="C253" i="8"/>
  <c r="B253" i="8"/>
  <c r="A253" i="8"/>
  <c r="Q252" i="8"/>
  <c r="P252" i="8"/>
  <c r="O252" i="8"/>
  <c r="N252" i="8"/>
  <c r="M252" i="8"/>
  <c r="L252" i="8"/>
  <c r="K252" i="8"/>
  <c r="J252" i="8"/>
  <c r="I252" i="8"/>
  <c r="H252" i="8"/>
  <c r="G252" i="8"/>
  <c r="F252" i="8"/>
  <c r="E252" i="8"/>
  <c r="D252" i="8"/>
  <c r="C252" i="8"/>
  <c r="B252" i="8"/>
  <c r="A252" i="8"/>
  <c r="Q251" i="8"/>
  <c r="P251" i="8"/>
  <c r="O251" i="8"/>
  <c r="N251" i="8"/>
  <c r="M251" i="8"/>
  <c r="L251" i="8"/>
  <c r="K251" i="8"/>
  <c r="J251" i="8"/>
  <c r="I251" i="8"/>
  <c r="H251" i="8"/>
  <c r="G251" i="8"/>
  <c r="F251" i="8"/>
  <c r="E251" i="8"/>
  <c r="D251" i="8"/>
  <c r="C251" i="8"/>
  <c r="B251" i="8"/>
  <c r="A251" i="8"/>
  <c r="Q250" i="8"/>
  <c r="P250" i="8"/>
  <c r="O250" i="8"/>
  <c r="N250" i="8"/>
  <c r="M250" i="8"/>
  <c r="L250" i="8"/>
  <c r="K250" i="8"/>
  <c r="J250" i="8"/>
  <c r="I250" i="8"/>
  <c r="H250" i="8"/>
  <c r="G250" i="8"/>
  <c r="F250" i="8"/>
  <c r="E250" i="8"/>
  <c r="D250" i="8"/>
  <c r="C250" i="8"/>
  <c r="B250" i="8"/>
  <c r="A250" i="8"/>
  <c r="Q249" i="8"/>
  <c r="P249" i="8"/>
  <c r="O249" i="8"/>
  <c r="N249" i="8"/>
  <c r="M249" i="8"/>
  <c r="L249" i="8"/>
  <c r="K249" i="8"/>
  <c r="J249" i="8"/>
  <c r="I249" i="8"/>
  <c r="H249" i="8"/>
  <c r="G249" i="8"/>
  <c r="F249" i="8"/>
  <c r="E249" i="8"/>
  <c r="D249" i="8"/>
  <c r="C249" i="8"/>
  <c r="B249" i="8"/>
  <c r="A249" i="8"/>
  <c r="Q248" i="8"/>
  <c r="P248" i="8"/>
  <c r="O248" i="8"/>
  <c r="N248" i="8"/>
  <c r="M248" i="8"/>
  <c r="L248" i="8"/>
  <c r="K248" i="8"/>
  <c r="J248" i="8"/>
  <c r="I248" i="8"/>
  <c r="H248" i="8"/>
  <c r="G248" i="8"/>
  <c r="F248" i="8"/>
  <c r="E248" i="8"/>
  <c r="D248" i="8"/>
  <c r="C248" i="8"/>
  <c r="B248" i="8"/>
  <c r="A248" i="8"/>
  <c r="Q247" i="8"/>
  <c r="P247" i="8"/>
  <c r="O247" i="8"/>
  <c r="N247" i="8"/>
  <c r="M247" i="8"/>
  <c r="L247" i="8"/>
  <c r="K247" i="8"/>
  <c r="J247" i="8"/>
  <c r="I247" i="8"/>
  <c r="H247" i="8"/>
  <c r="G247" i="8"/>
  <c r="F247" i="8"/>
  <c r="E247" i="8"/>
  <c r="D247" i="8"/>
  <c r="C247" i="8"/>
  <c r="B247" i="8"/>
  <c r="A247" i="8"/>
  <c r="Q246" i="8"/>
  <c r="P246" i="8"/>
  <c r="O246" i="8"/>
  <c r="N246" i="8"/>
  <c r="M246" i="8"/>
  <c r="L246" i="8"/>
  <c r="K246" i="8"/>
  <c r="J246" i="8"/>
  <c r="I246" i="8"/>
  <c r="H246" i="8"/>
  <c r="G246" i="8"/>
  <c r="F246" i="8"/>
  <c r="E246" i="8"/>
  <c r="D246" i="8"/>
  <c r="C246" i="8"/>
  <c r="B246" i="8"/>
  <c r="A246" i="8"/>
  <c r="Q245" i="8"/>
  <c r="P245" i="8"/>
  <c r="O245" i="8"/>
  <c r="N245" i="8"/>
  <c r="M245" i="8"/>
  <c r="L245" i="8"/>
  <c r="K245" i="8"/>
  <c r="J245" i="8"/>
  <c r="I245" i="8"/>
  <c r="H245" i="8"/>
  <c r="G245" i="8"/>
  <c r="F245" i="8"/>
  <c r="E245" i="8"/>
  <c r="D245" i="8"/>
  <c r="C245" i="8"/>
  <c r="B245" i="8"/>
  <c r="A245" i="8"/>
  <c r="Q244" i="8"/>
  <c r="P244" i="8"/>
  <c r="O244" i="8"/>
  <c r="N244" i="8"/>
  <c r="M244" i="8"/>
  <c r="L244" i="8"/>
  <c r="K244" i="8"/>
  <c r="J244" i="8"/>
  <c r="I244" i="8"/>
  <c r="H244" i="8"/>
  <c r="G244" i="8"/>
  <c r="F244" i="8"/>
  <c r="E244" i="8"/>
  <c r="D244" i="8"/>
  <c r="C244" i="8"/>
  <c r="B244" i="8"/>
  <c r="A244" i="8"/>
  <c r="Q243" i="8"/>
  <c r="P243" i="8"/>
  <c r="O243" i="8"/>
  <c r="N243" i="8"/>
  <c r="M243" i="8"/>
  <c r="L243" i="8"/>
  <c r="K243" i="8"/>
  <c r="J243" i="8"/>
  <c r="I243" i="8"/>
  <c r="H243" i="8"/>
  <c r="G243" i="8"/>
  <c r="F243" i="8"/>
  <c r="E243" i="8"/>
  <c r="D243" i="8"/>
  <c r="C243" i="8"/>
  <c r="B243" i="8"/>
  <c r="A243" i="8"/>
  <c r="Q242" i="8"/>
  <c r="P242" i="8"/>
  <c r="O242" i="8"/>
  <c r="N242" i="8"/>
  <c r="M242" i="8"/>
  <c r="L242" i="8"/>
  <c r="K242" i="8"/>
  <c r="J242" i="8"/>
  <c r="I242" i="8"/>
  <c r="H242" i="8"/>
  <c r="G242" i="8"/>
  <c r="F242" i="8"/>
  <c r="E242" i="8"/>
  <c r="D242" i="8"/>
  <c r="C242" i="8"/>
  <c r="B242" i="8"/>
  <c r="A242" i="8"/>
  <c r="Q241" i="8"/>
  <c r="P241" i="8"/>
  <c r="O241" i="8"/>
  <c r="N241" i="8"/>
  <c r="M241" i="8"/>
  <c r="L241" i="8"/>
  <c r="K241" i="8"/>
  <c r="J241" i="8"/>
  <c r="I241" i="8"/>
  <c r="H241" i="8"/>
  <c r="G241" i="8"/>
  <c r="F241" i="8"/>
  <c r="E241" i="8"/>
  <c r="D241" i="8"/>
  <c r="C241" i="8"/>
  <c r="B241" i="8"/>
  <c r="A241" i="8"/>
  <c r="Q240" i="8"/>
  <c r="P240" i="8"/>
  <c r="O240" i="8"/>
  <c r="N240" i="8"/>
  <c r="M240" i="8"/>
  <c r="L240" i="8"/>
  <c r="K240" i="8"/>
  <c r="J240" i="8"/>
  <c r="I240" i="8"/>
  <c r="H240" i="8"/>
  <c r="G240" i="8"/>
  <c r="F240" i="8"/>
  <c r="E240" i="8"/>
  <c r="D240" i="8"/>
  <c r="C240" i="8"/>
  <c r="B240" i="8"/>
  <c r="A240" i="8"/>
  <c r="Q239" i="8"/>
  <c r="P239" i="8"/>
  <c r="O239" i="8"/>
  <c r="N239" i="8"/>
  <c r="M239" i="8"/>
  <c r="L239" i="8"/>
  <c r="K239" i="8"/>
  <c r="J239" i="8"/>
  <c r="I239" i="8"/>
  <c r="H239" i="8"/>
  <c r="G239" i="8"/>
  <c r="F239" i="8"/>
  <c r="E239" i="8"/>
  <c r="D239" i="8"/>
  <c r="C239" i="8"/>
  <c r="B239" i="8"/>
  <c r="A239" i="8"/>
  <c r="Q238" i="8"/>
  <c r="P238" i="8"/>
  <c r="O238" i="8"/>
  <c r="N238" i="8"/>
  <c r="M238" i="8"/>
  <c r="L238" i="8"/>
  <c r="K238" i="8"/>
  <c r="J238" i="8"/>
  <c r="I238" i="8"/>
  <c r="H238" i="8"/>
  <c r="G238" i="8"/>
  <c r="F238" i="8"/>
  <c r="E238" i="8"/>
  <c r="D238" i="8"/>
  <c r="C238" i="8"/>
  <c r="B238" i="8"/>
  <c r="A238" i="8"/>
  <c r="Q237" i="8"/>
  <c r="P237" i="8"/>
  <c r="O237" i="8"/>
  <c r="N237" i="8"/>
  <c r="M237" i="8"/>
  <c r="L237" i="8"/>
  <c r="K237" i="8"/>
  <c r="J237" i="8"/>
  <c r="I237" i="8"/>
  <c r="H237" i="8"/>
  <c r="G237" i="8"/>
  <c r="F237" i="8"/>
  <c r="E237" i="8"/>
  <c r="D237" i="8"/>
  <c r="C237" i="8"/>
  <c r="B237" i="8"/>
  <c r="A237" i="8"/>
  <c r="Q236" i="8"/>
  <c r="P236" i="8"/>
  <c r="O236" i="8"/>
  <c r="N236" i="8"/>
  <c r="M236" i="8"/>
  <c r="L236" i="8"/>
  <c r="K236" i="8"/>
  <c r="J236" i="8"/>
  <c r="I236" i="8"/>
  <c r="H236" i="8"/>
  <c r="G236" i="8"/>
  <c r="F236" i="8"/>
  <c r="E236" i="8"/>
  <c r="D236" i="8"/>
  <c r="C236" i="8"/>
  <c r="B236" i="8"/>
  <c r="A236" i="8"/>
  <c r="Q235" i="8"/>
  <c r="P235" i="8"/>
  <c r="O235" i="8"/>
  <c r="N235" i="8"/>
  <c r="M235" i="8"/>
  <c r="L235" i="8"/>
  <c r="K235" i="8"/>
  <c r="J235" i="8"/>
  <c r="I235" i="8"/>
  <c r="H235" i="8"/>
  <c r="G235" i="8"/>
  <c r="F235" i="8"/>
  <c r="E235" i="8"/>
  <c r="D235" i="8"/>
  <c r="C235" i="8"/>
  <c r="B235" i="8"/>
  <c r="A235" i="8"/>
  <c r="Q234" i="8"/>
  <c r="P234" i="8"/>
  <c r="O234" i="8"/>
  <c r="N234" i="8"/>
  <c r="M234" i="8"/>
  <c r="L234" i="8"/>
  <c r="K234" i="8"/>
  <c r="J234" i="8"/>
  <c r="I234" i="8"/>
  <c r="H234" i="8"/>
  <c r="G234" i="8"/>
  <c r="F234" i="8"/>
  <c r="E234" i="8"/>
  <c r="D234" i="8"/>
  <c r="C234" i="8"/>
  <c r="B234" i="8"/>
  <c r="A234" i="8"/>
  <c r="Q233" i="8"/>
  <c r="P233" i="8"/>
  <c r="O233" i="8"/>
  <c r="N233" i="8"/>
  <c r="M233" i="8"/>
  <c r="L233" i="8"/>
  <c r="K233" i="8"/>
  <c r="J233" i="8"/>
  <c r="I233" i="8"/>
  <c r="H233" i="8"/>
  <c r="G233" i="8"/>
  <c r="F233" i="8"/>
  <c r="E233" i="8"/>
  <c r="D233" i="8"/>
  <c r="C233" i="8"/>
  <c r="B233" i="8"/>
  <c r="A233" i="8"/>
  <c r="Q232" i="8"/>
  <c r="P232" i="8"/>
  <c r="O232" i="8"/>
  <c r="N232" i="8"/>
  <c r="M232" i="8"/>
  <c r="L232" i="8"/>
  <c r="K232" i="8"/>
  <c r="J232" i="8"/>
  <c r="I232" i="8"/>
  <c r="H232" i="8"/>
  <c r="G232" i="8"/>
  <c r="F232" i="8"/>
  <c r="E232" i="8"/>
  <c r="D232" i="8"/>
  <c r="C232" i="8"/>
  <c r="B232" i="8"/>
  <c r="A232" i="8"/>
  <c r="Q231" i="8"/>
  <c r="P231" i="8"/>
  <c r="O231" i="8"/>
  <c r="N231" i="8"/>
  <c r="M231" i="8"/>
  <c r="L231" i="8"/>
  <c r="K231" i="8"/>
  <c r="J231" i="8"/>
  <c r="I231" i="8"/>
  <c r="H231" i="8"/>
  <c r="G231" i="8"/>
  <c r="F231" i="8"/>
  <c r="E231" i="8"/>
  <c r="D231" i="8"/>
  <c r="C231" i="8"/>
  <c r="B231" i="8"/>
  <c r="A231" i="8"/>
  <c r="Q230" i="8"/>
  <c r="P230" i="8"/>
  <c r="O230" i="8"/>
  <c r="N230" i="8"/>
  <c r="M230" i="8"/>
  <c r="L230" i="8"/>
  <c r="K230" i="8"/>
  <c r="J230" i="8"/>
  <c r="I230" i="8"/>
  <c r="H230" i="8"/>
  <c r="G230" i="8"/>
  <c r="F230" i="8"/>
  <c r="E230" i="8"/>
  <c r="D230" i="8"/>
  <c r="C230" i="8"/>
  <c r="B230" i="8"/>
  <c r="A230" i="8"/>
  <c r="Q229" i="8"/>
  <c r="P229" i="8"/>
  <c r="O229" i="8"/>
  <c r="N229" i="8"/>
  <c r="M229" i="8"/>
  <c r="L229" i="8"/>
  <c r="K229" i="8"/>
  <c r="J229" i="8"/>
  <c r="I229" i="8"/>
  <c r="H229" i="8"/>
  <c r="G229" i="8"/>
  <c r="F229" i="8"/>
  <c r="E229" i="8"/>
  <c r="D229" i="8"/>
  <c r="C229" i="8"/>
  <c r="B229" i="8"/>
  <c r="A229" i="8"/>
  <c r="Q228" i="8"/>
  <c r="P228" i="8"/>
  <c r="O228" i="8"/>
  <c r="N228" i="8"/>
  <c r="M228" i="8"/>
  <c r="L228" i="8"/>
  <c r="K228" i="8"/>
  <c r="J228" i="8"/>
  <c r="I228" i="8"/>
  <c r="H228" i="8"/>
  <c r="G228" i="8"/>
  <c r="F228" i="8"/>
  <c r="E228" i="8"/>
  <c r="D228" i="8"/>
  <c r="C228" i="8"/>
  <c r="B228" i="8"/>
  <c r="A228" i="8"/>
  <c r="Q227" i="8"/>
  <c r="P227" i="8"/>
  <c r="O227" i="8"/>
  <c r="N227" i="8"/>
  <c r="M227" i="8"/>
  <c r="L227" i="8"/>
  <c r="K227" i="8"/>
  <c r="J227" i="8"/>
  <c r="I227" i="8"/>
  <c r="H227" i="8"/>
  <c r="G227" i="8"/>
  <c r="F227" i="8"/>
  <c r="E227" i="8"/>
  <c r="D227" i="8"/>
  <c r="C227" i="8"/>
  <c r="B227" i="8"/>
  <c r="A227" i="8"/>
  <c r="Q226" i="8"/>
  <c r="P226" i="8"/>
  <c r="O226" i="8"/>
  <c r="N226" i="8"/>
  <c r="M226" i="8"/>
  <c r="L226" i="8"/>
  <c r="K226" i="8"/>
  <c r="J226" i="8"/>
  <c r="I226" i="8"/>
  <c r="H226" i="8"/>
  <c r="G226" i="8"/>
  <c r="F226" i="8"/>
  <c r="E226" i="8"/>
  <c r="D226" i="8"/>
  <c r="C226" i="8"/>
  <c r="B226" i="8"/>
  <c r="A226" i="8"/>
  <c r="Q225" i="8"/>
  <c r="P225" i="8"/>
  <c r="O225" i="8"/>
  <c r="N225" i="8"/>
  <c r="M225" i="8"/>
  <c r="L225" i="8"/>
  <c r="K225" i="8"/>
  <c r="J225" i="8"/>
  <c r="I225" i="8"/>
  <c r="H225" i="8"/>
  <c r="G225" i="8"/>
  <c r="F225" i="8"/>
  <c r="E225" i="8"/>
  <c r="D225" i="8"/>
  <c r="C225" i="8"/>
  <c r="B225" i="8"/>
  <c r="A225" i="8"/>
  <c r="Q224" i="8"/>
  <c r="P224" i="8"/>
  <c r="O224" i="8"/>
  <c r="N224" i="8"/>
  <c r="M224" i="8"/>
  <c r="L224" i="8"/>
  <c r="K224" i="8"/>
  <c r="J224" i="8"/>
  <c r="I224" i="8"/>
  <c r="H224" i="8"/>
  <c r="G224" i="8"/>
  <c r="F224" i="8"/>
  <c r="E224" i="8"/>
  <c r="D224" i="8"/>
  <c r="C224" i="8"/>
  <c r="B224" i="8"/>
  <c r="A224" i="8"/>
  <c r="Q223" i="8"/>
  <c r="P223" i="8"/>
  <c r="O223" i="8"/>
  <c r="N223" i="8"/>
  <c r="M223" i="8"/>
  <c r="L223" i="8"/>
  <c r="K223" i="8"/>
  <c r="J223" i="8"/>
  <c r="I223" i="8"/>
  <c r="H223" i="8"/>
  <c r="G223" i="8"/>
  <c r="F223" i="8"/>
  <c r="E223" i="8"/>
  <c r="D223" i="8"/>
  <c r="C223" i="8"/>
  <c r="B223" i="8"/>
  <c r="A223" i="8"/>
  <c r="Q222" i="8"/>
  <c r="P222" i="8"/>
  <c r="O222" i="8"/>
  <c r="N222" i="8"/>
  <c r="M222" i="8"/>
  <c r="L222" i="8"/>
  <c r="K222" i="8"/>
  <c r="J222" i="8"/>
  <c r="I222" i="8"/>
  <c r="H222" i="8"/>
  <c r="G222" i="8"/>
  <c r="F222" i="8"/>
  <c r="E222" i="8"/>
  <c r="D222" i="8"/>
  <c r="C222" i="8"/>
  <c r="B222" i="8"/>
  <c r="A222" i="8"/>
  <c r="Q221" i="8"/>
  <c r="P221" i="8"/>
  <c r="O221" i="8"/>
  <c r="N221" i="8"/>
  <c r="M221" i="8"/>
  <c r="L221" i="8"/>
  <c r="K221" i="8"/>
  <c r="J221" i="8"/>
  <c r="I221" i="8"/>
  <c r="H221" i="8"/>
  <c r="G221" i="8"/>
  <c r="F221" i="8"/>
  <c r="E221" i="8"/>
  <c r="D221" i="8"/>
  <c r="C221" i="8"/>
  <c r="B221" i="8"/>
  <c r="A221" i="8"/>
  <c r="Q220" i="8"/>
  <c r="P220" i="8"/>
  <c r="O220" i="8"/>
  <c r="N220" i="8"/>
  <c r="M220" i="8"/>
  <c r="L220" i="8"/>
  <c r="K220" i="8"/>
  <c r="J220" i="8"/>
  <c r="I220" i="8"/>
  <c r="H220" i="8"/>
  <c r="G220" i="8"/>
  <c r="F220" i="8"/>
  <c r="E220" i="8"/>
  <c r="D220" i="8"/>
  <c r="C220" i="8"/>
  <c r="B220" i="8"/>
  <c r="A220" i="8"/>
  <c r="Q219" i="8"/>
  <c r="P219" i="8"/>
  <c r="O219" i="8"/>
  <c r="N219" i="8"/>
  <c r="M219" i="8"/>
  <c r="L219" i="8"/>
  <c r="K219" i="8"/>
  <c r="J219" i="8"/>
  <c r="I219" i="8"/>
  <c r="H219" i="8"/>
  <c r="G219" i="8"/>
  <c r="F219" i="8"/>
  <c r="E219" i="8"/>
  <c r="D219" i="8"/>
  <c r="C219" i="8"/>
  <c r="B219" i="8"/>
  <c r="A219" i="8"/>
  <c r="Q218" i="8"/>
  <c r="P218" i="8"/>
  <c r="O218" i="8"/>
  <c r="N218" i="8"/>
  <c r="M218" i="8"/>
  <c r="L218" i="8"/>
  <c r="K218" i="8"/>
  <c r="J218" i="8"/>
  <c r="I218" i="8"/>
  <c r="H218" i="8"/>
  <c r="G218" i="8"/>
  <c r="F218" i="8"/>
  <c r="E218" i="8"/>
  <c r="D218" i="8"/>
  <c r="C218" i="8"/>
  <c r="B218" i="8"/>
  <c r="A218" i="8"/>
  <c r="Q217" i="8"/>
  <c r="P217" i="8"/>
  <c r="O217" i="8"/>
  <c r="N217" i="8"/>
  <c r="M217" i="8"/>
  <c r="L217" i="8"/>
  <c r="K217" i="8"/>
  <c r="J217" i="8"/>
  <c r="I217" i="8"/>
  <c r="H217" i="8"/>
  <c r="G217" i="8"/>
  <c r="F217" i="8"/>
  <c r="E217" i="8"/>
  <c r="D217" i="8"/>
  <c r="C217" i="8"/>
  <c r="B217" i="8"/>
  <c r="A217" i="8"/>
  <c r="Q216" i="8"/>
  <c r="P216" i="8"/>
  <c r="O216" i="8"/>
  <c r="N216" i="8"/>
  <c r="M216" i="8"/>
  <c r="L216" i="8"/>
  <c r="K216" i="8"/>
  <c r="J216" i="8"/>
  <c r="I216" i="8"/>
  <c r="H216" i="8"/>
  <c r="G216" i="8"/>
  <c r="F216" i="8"/>
  <c r="E216" i="8"/>
  <c r="D216" i="8"/>
  <c r="C216" i="8"/>
  <c r="B216" i="8"/>
  <c r="A216" i="8"/>
  <c r="Q215" i="8"/>
  <c r="P215" i="8"/>
  <c r="O215" i="8"/>
  <c r="N215" i="8"/>
  <c r="M215" i="8"/>
  <c r="L215" i="8"/>
  <c r="K215" i="8"/>
  <c r="J215" i="8"/>
  <c r="I215" i="8"/>
  <c r="H215" i="8"/>
  <c r="G215" i="8"/>
  <c r="F215" i="8"/>
  <c r="E215" i="8"/>
  <c r="D215" i="8"/>
  <c r="C215" i="8"/>
  <c r="B215" i="8"/>
  <c r="A215" i="8"/>
  <c r="Q214" i="8"/>
  <c r="P214" i="8"/>
  <c r="O214" i="8"/>
  <c r="N214" i="8"/>
  <c r="M214" i="8"/>
  <c r="L214" i="8"/>
  <c r="K214" i="8"/>
  <c r="J214" i="8"/>
  <c r="I214" i="8"/>
  <c r="H214" i="8"/>
  <c r="G214" i="8"/>
  <c r="F214" i="8"/>
  <c r="E214" i="8"/>
  <c r="D214" i="8"/>
  <c r="C214" i="8"/>
  <c r="B214" i="8"/>
  <c r="A214" i="8"/>
  <c r="Q213" i="8"/>
  <c r="P213" i="8"/>
  <c r="O213" i="8"/>
  <c r="N213" i="8"/>
  <c r="M213" i="8"/>
  <c r="L213" i="8"/>
  <c r="K213" i="8"/>
  <c r="J213" i="8"/>
  <c r="I213" i="8"/>
  <c r="H213" i="8"/>
  <c r="G213" i="8"/>
  <c r="F213" i="8"/>
  <c r="E213" i="8"/>
  <c r="D213" i="8"/>
  <c r="C213" i="8"/>
  <c r="B213" i="8"/>
  <c r="A213" i="8"/>
  <c r="Q212" i="8"/>
  <c r="P212" i="8"/>
  <c r="O212" i="8"/>
  <c r="N212" i="8"/>
  <c r="M212" i="8"/>
  <c r="L212" i="8"/>
  <c r="K212" i="8"/>
  <c r="J212" i="8"/>
  <c r="I212" i="8"/>
  <c r="H212" i="8"/>
  <c r="G212" i="8"/>
  <c r="F212" i="8"/>
  <c r="E212" i="8"/>
  <c r="D212" i="8"/>
  <c r="C212" i="8"/>
  <c r="B212" i="8"/>
  <c r="A212" i="8"/>
  <c r="Q211" i="8"/>
  <c r="P211" i="8"/>
  <c r="O211" i="8"/>
  <c r="N211" i="8"/>
  <c r="M211" i="8"/>
  <c r="L211" i="8"/>
  <c r="K211" i="8"/>
  <c r="J211" i="8"/>
  <c r="I211" i="8"/>
  <c r="H211" i="8"/>
  <c r="G211" i="8"/>
  <c r="F211" i="8"/>
  <c r="E211" i="8"/>
  <c r="D211" i="8"/>
  <c r="C211" i="8"/>
  <c r="B211" i="8"/>
  <c r="A211" i="8"/>
  <c r="Q210" i="8"/>
  <c r="P210" i="8"/>
  <c r="O210" i="8"/>
  <c r="N210" i="8"/>
  <c r="M210" i="8"/>
  <c r="L210" i="8"/>
  <c r="K210" i="8"/>
  <c r="J210" i="8"/>
  <c r="I210" i="8"/>
  <c r="H210" i="8"/>
  <c r="G210" i="8"/>
  <c r="F210" i="8"/>
  <c r="E210" i="8"/>
  <c r="D210" i="8"/>
  <c r="C210" i="8"/>
  <c r="B210" i="8"/>
  <c r="A210" i="8"/>
  <c r="Q209" i="8"/>
  <c r="P209" i="8"/>
  <c r="O209" i="8"/>
  <c r="N209" i="8"/>
  <c r="M209" i="8"/>
  <c r="L209" i="8"/>
  <c r="K209" i="8"/>
  <c r="J209" i="8"/>
  <c r="I209" i="8"/>
  <c r="H209" i="8"/>
  <c r="G209" i="8"/>
  <c r="F209" i="8"/>
  <c r="E209" i="8"/>
  <c r="D209" i="8"/>
  <c r="C209" i="8"/>
  <c r="B209" i="8"/>
  <c r="A209" i="8"/>
  <c r="Q208" i="8"/>
  <c r="P208" i="8"/>
  <c r="O208" i="8"/>
  <c r="N208" i="8"/>
  <c r="M208" i="8"/>
  <c r="L208" i="8"/>
  <c r="K208" i="8"/>
  <c r="J208" i="8"/>
  <c r="I208" i="8"/>
  <c r="H208" i="8"/>
  <c r="G208" i="8"/>
  <c r="F208" i="8"/>
  <c r="E208" i="8"/>
  <c r="D208" i="8"/>
  <c r="C208" i="8"/>
  <c r="B208" i="8"/>
  <c r="A208" i="8"/>
  <c r="Q207" i="8"/>
  <c r="P207" i="8"/>
  <c r="O207" i="8"/>
  <c r="N207" i="8"/>
  <c r="M207" i="8"/>
  <c r="L207" i="8"/>
  <c r="K207" i="8"/>
  <c r="J207" i="8"/>
  <c r="I207" i="8"/>
  <c r="H207" i="8"/>
  <c r="G207" i="8"/>
  <c r="F207" i="8"/>
  <c r="E207" i="8"/>
  <c r="D207" i="8"/>
  <c r="C207" i="8"/>
  <c r="B207" i="8"/>
  <c r="A207" i="8"/>
  <c r="Q206" i="8"/>
  <c r="P206" i="8"/>
  <c r="O206" i="8"/>
  <c r="N206" i="8"/>
  <c r="M206" i="8"/>
  <c r="L206" i="8"/>
  <c r="K206" i="8"/>
  <c r="J206" i="8"/>
  <c r="I206" i="8"/>
  <c r="H206" i="8"/>
  <c r="G206" i="8"/>
  <c r="F206" i="8"/>
  <c r="E206" i="8"/>
  <c r="D206" i="8"/>
  <c r="C206" i="8"/>
  <c r="B206" i="8"/>
  <c r="A206" i="8"/>
  <c r="Q205" i="8"/>
  <c r="P205" i="8"/>
  <c r="O205" i="8"/>
  <c r="N205" i="8"/>
  <c r="M205" i="8"/>
  <c r="L205" i="8"/>
  <c r="K205" i="8"/>
  <c r="J205" i="8"/>
  <c r="I205" i="8"/>
  <c r="H205" i="8"/>
  <c r="G205" i="8"/>
  <c r="F205" i="8"/>
  <c r="E205" i="8"/>
  <c r="D205" i="8"/>
  <c r="C205" i="8"/>
  <c r="B205" i="8"/>
  <c r="A205" i="8"/>
  <c r="Q204" i="8"/>
  <c r="P204" i="8"/>
  <c r="O204" i="8"/>
  <c r="N204" i="8"/>
  <c r="M204" i="8"/>
  <c r="L204" i="8"/>
  <c r="K204" i="8"/>
  <c r="J204" i="8"/>
  <c r="I204" i="8"/>
  <c r="H204" i="8"/>
  <c r="G204" i="8"/>
  <c r="F204" i="8"/>
  <c r="E204" i="8"/>
  <c r="D204" i="8"/>
  <c r="C204" i="8"/>
  <c r="B204" i="8"/>
  <c r="A204" i="8"/>
  <c r="Q203" i="8"/>
  <c r="P203" i="8"/>
  <c r="O203" i="8"/>
  <c r="N203" i="8"/>
  <c r="M203" i="8"/>
  <c r="L203" i="8"/>
  <c r="K203" i="8"/>
  <c r="J203" i="8"/>
  <c r="I203" i="8"/>
  <c r="H203" i="8"/>
  <c r="G203" i="8"/>
  <c r="F203" i="8"/>
  <c r="E203" i="8"/>
  <c r="D203" i="8"/>
  <c r="C203" i="8"/>
  <c r="B203" i="8"/>
  <c r="A203" i="8"/>
  <c r="Q202" i="8"/>
  <c r="P202" i="8"/>
  <c r="O202" i="8"/>
  <c r="N202" i="8"/>
  <c r="M202" i="8"/>
  <c r="L202" i="8"/>
  <c r="K202" i="8"/>
  <c r="J202" i="8"/>
  <c r="I202" i="8"/>
  <c r="H202" i="8"/>
  <c r="G202" i="8"/>
  <c r="F202" i="8"/>
  <c r="E202" i="8"/>
  <c r="D202" i="8"/>
  <c r="C202" i="8"/>
  <c r="B202" i="8"/>
  <c r="A202" i="8"/>
  <c r="Q201" i="8"/>
  <c r="P201" i="8"/>
  <c r="O201" i="8"/>
  <c r="N201" i="8"/>
  <c r="M201" i="8"/>
  <c r="L201" i="8"/>
  <c r="K201" i="8"/>
  <c r="J201" i="8"/>
  <c r="I201" i="8"/>
  <c r="H201" i="8"/>
  <c r="G201" i="8"/>
  <c r="F201" i="8"/>
  <c r="E201" i="8"/>
  <c r="D201" i="8"/>
  <c r="C201" i="8"/>
  <c r="B201" i="8"/>
  <c r="A201" i="8"/>
  <c r="Q200" i="8"/>
  <c r="P200" i="8"/>
  <c r="O200" i="8"/>
  <c r="N200" i="8"/>
  <c r="M200" i="8"/>
  <c r="L200" i="8"/>
  <c r="K200" i="8"/>
  <c r="J200" i="8"/>
  <c r="I200" i="8"/>
  <c r="H200" i="8"/>
  <c r="G200" i="8"/>
  <c r="F200" i="8"/>
  <c r="E200" i="8"/>
  <c r="D200" i="8"/>
  <c r="C200" i="8"/>
  <c r="B200" i="8"/>
  <c r="A200" i="8"/>
  <c r="Q199" i="8"/>
  <c r="P199" i="8"/>
  <c r="O199" i="8"/>
  <c r="N199" i="8"/>
  <c r="M199" i="8"/>
  <c r="L199" i="8"/>
  <c r="K199" i="8"/>
  <c r="J199" i="8"/>
  <c r="I199" i="8"/>
  <c r="H199" i="8"/>
  <c r="G199" i="8"/>
  <c r="F199" i="8"/>
  <c r="E199" i="8"/>
  <c r="D199" i="8"/>
  <c r="C199" i="8"/>
  <c r="B199" i="8"/>
  <c r="A199" i="8"/>
  <c r="Q198" i="8"/>
  <c r="P198" i="8"/>
  <c r="O198" i="8"/>
  <c r="N198" i="8"/>
  <c r="M198" i="8"/>
  <c r="L198" i="8"/>
  <c r="K198" i="8"/>
  <c r="J198" i="8"/>
  <c r="I198" i="8"/>
  <c r="H198" i="8"/>
  <c r="G198" i="8"/>
  <c r="F198" i="8"/>
  <c r="E198" i="8"/>
  <c r="D198" i="8"/>
  <c r="C198" i="8"/>
  <c r="B198" i="8"/>
  <c r="A198" i="8"/>
  <c r="Q197" i="8"/>
  <c r="P197" i="8"/>
  <c r="O197" i="8"/>
  <c r="N197" i="8"/>
  <c r="M197" i="8"/>
  <c r="L197" i="8"/>
  <c r="K197" i="8"/>
  <c r="J197" i="8"/>
  <c r="I197" i="8"/>
  <c r="H197" i="8"/>
  <c r="G197" i="8"/>
  <c r="F197" i="8"/>
  <c r="E197" i="8"/>
  <c r="D197" i="8"/>
  <c r="C197" i="8"/>
  <c r="B197" i="8"/>
  <c r="A197" i="8"/>
  <c r="Q196" i="8"/>
  <c r="P196" i="8"/>
  <c r="O196" i="8"/>
  <c r="N196" i="8"/>
  <c r="M196" i="8"/>
  <c r="L196" i="8"/>
  <c r="K196" i="8"/>
  <c r="J196" i="8"/>
  <c r="I196" i="8"/>
  <c r="H196" i="8"/>
  <c r="G196" i="8"/>
  <c r="F196" i="8"/>
  <c r="E196" i="8"/>
  <c r="D196" i="8"/>
  <c r="C196" i="8"/>
  <c r="B196" i="8"/>
  <c r="A196" i="8"/>
  <c r="Q195" i="8"/>
  <c r="P195" i="8"/>
  <c r="O195" i="8"/>
  <c r="N195" i="8"/>
  <c r="M195" i="8"/>
  <c r="L195" i="8"/>
  <c r="K195" i="8"/>
  <c r="J195" i="8"/>
  <c r="I195" i="8"/>
  <c r="H195" i="8"/>
  <c r="G195" i="8"/>
  <c r="F195" i="8"/>
  <c r="E195" i="8"/>
  <c r="D195" i="8"/>
  <c r="C195" i="8"/>
  <c r="B195" i="8"/>
  <c r="A195" i="8"/>
  <c r="Q194" i="8"/>
  <c r="P194" i="8"/>
  <c r="O194" i="8"/>
  <c r="N194" i="8"/>
  <c r="M194" i="8"/>
  <c r="L194" i="8"/>
  <c r="K194" i="8"/>
  <c r="J194" i="8"/>
  <c r="I194" i="8"/>
  <c r="H194" i="8"/>
  <c r="G194" i="8"/>
  <c r="F194" i="8"/>
  <c r="E194" i="8"/>
  <c r="D194" i="8"/>
  <c r="C194" i="8"/>
  <c r="B194" i="8"/>
  <c r="A194" i="8"/>
  <c r="Q193" i="8"/>
  <c r="P193" i="8"/>
  <c r="O193" i="8"/>
  <c r="N193" i="8"/>
  <c r="M193" i="8"/>
  <c r="L193" i="8"/>
  <c r="K193" i="8"/>
  <c r="J193" i="8"/>
  <c r="I193" i="8"/>
  <c r="H193" i="8"/>
  <c r="G193" i="8"/>
  <c r="F193" i="8"/>
  <c r="E193" i="8"/>
  <c r="D193" i="8"/>
  <c r="C193" i="8"/>
  <c r="B193" i="8"/>
  <c r="A193" i="8"/>
  <c r="Q192" i="8"/>
  <c r="P192" i="8"/>
  <c r="O192" i="8"/>
  <c r="N192" i="8"/>
  <c r="M192" i="8"/>
  <c r="L192" i="8"/>
  <c r="K192" i="8"/>
  <c r="J192" i="8"/>
  <c r="I192" i="8"/>
  <c r="H192" i="8"/>
  <c r="G192" i="8"/>
  <c r="F192" i="8"/>
  <c r="E192" i="8"/>
  <c r="D192" i="8"/>
  <c r="C192" i="8"/>
  <c r="B192" i="8"/>
  <c r="A192" i="8"/>
  <c r="Q191" i="8"/>
  <c r="P191" i="8"/>
  <c r="O191" i="8"/>
  <c r="N191" i="8"/>
  <c r="M191" i="8"/>
  <c r="L191" i="8"/>
  <c r="K191" i="8"/>
  <c r="J191" i="8"/>
  <c r="I191" i="8"/>
  <c r="H191" i="8"/>
  <c r="G191" i="8"/>
  <c r="F191" i="8"/>
  <c r="E191" i="8"/>
  <c r="D191" i="8"/>
  <c r="C191" i="8"/>
  <c r="B191" i="8"/>
  <c r="A191" i="8"/>
  <c r="Q190" i="8"/>
  <c r="P190" i="8"/>
  <c r="O190" i="8"/>
  <c r="N190" i="8"/>
  <c r="M190" i="8"/>
  <c r="L190" i="8"/>
  <c r="K190" i="8"/>
  <c r="J190" i="8"/>
  <c r="I190" i="8"/>
  <c r="H190" i="8"/>
  <c r="G190" i="8"/>
  <c r="F190" i="8"/>
  <c r="E190" i="8"/>
  <c r="D190" i="8"/>
  <c r="C190" i="8"/>
  <c r="B190" i="8"/>
  <c r="A190" i="8"/>
  <c r="Q189" i="8"/>
  <c r="P189" i="8"/>
  <c r="O189" i="8"/>
  <c r="N189" i="8"/>
  <c r="M189" i="8"/>
  <c r="L189" i="8"/>
  <c r="K189" i="8"/>
  <c r="J189" i="8"/>
  <c r="I189" i="8"/>
  <c r="H189" i="8"/>
  <c r="G189" i="8"/>
  <c r="F189" i="8"/>
  <c r="E189" i="8"/>
  <c r="D189" i="8"/>
  <c r="C189" i="8"/>
  <c r="B189" i="8"/>
  <c r="A189" i="8"/>
  <c r="Q188" i="8"/>
  <c r="P188" i="8"/>
  <c r="O188" i="8"/>
  <c r="N188" i="8"/>
  <c r="M188" i="8"/>
  <c r="L188" i="8"/>
  <c r="K188" i="8"/>
  <c r="J188" i="8"/>
  <c r="I188" i="8"/>
  <c r="H188" i="8"/>
  <c r="G188" i="8"/>
  <c r="F188" i="8"/>
  <c r="E188" i="8"/>
  <c r="D188" i="8"/>
  <c r="C188" i="8"/>
  <c r="B188" i="8"/>
  <c r="A188" i="8"/>
  <c r="Q187" i="8"/>
  <c r="P187" i="8"/>
  <c r="O187" i="8"/>
  <c r="N187" i="8"/>
  <c r="M187" i="8"/>
  <c r="L187" i="8"/>
  <c r="K187" i="8"/>
  <c r="J187" i="8"/>
  <c r="I187" i="8"/>
  <c r="H187" i="8"/>
  <c r="G187" i="8"/>
  <c r="F187" i="8"/>
  <c r="E187" i="8"/>
  <c r="D187" i="8"/>
  <c r="C187" i="8"/>
  <c r="B187" i="8"/>
  <c r="A187" i="8"/>
  <c r="Q186" i="8"/>
  <c r="P186" i="8"/>
  <c r="O186" i="8"/>
  <c r="N186" i="8"/>
  <c r="M186" i="8"/>
  <c r="L186" i="8"/>
  <c r="K186" i="8"/>
  <c r="J186" i="8"/>
  <c r="I186" i="8"/>
  <c r="H186" i="8"/>
  <c r="G186" i="8"/>
  <c r="F186" i="8"/>
  <c r="E186" i="8"/>
  <c r="D186" i="8"/>
  <c r="C186" i="8"/>
  <c r="B186" i="8"/>
  <c r="A186" i="8"/>
  <c r="Q185" i="8"/>
  <c r="P185" i="8"/>
  <c r="O185" i="8"/>
  <c r="N185" i="8"/>
  <c r="M185" i="8"/>
  <c r="L185" i="8"/>
  <c r="K185" i="8"/>
  <c r="J185" i="8"/>
  <c r="I185" i="8"/>
  <c r="H185" i="8"/>
  <c r="G185" i="8"/>
  <c r="F185" i="8"/>
  <c r="E185" i="8"/>
  <c r="D185" i="8"/>
  <c r="C185" i="8"/>
  <c r="B185" i="8"/>
  <c r="A185" i="8"/>
  <c r="Q184" i="8"/>
  <c r="P184" i="8"/>
  <c r="O184" i="8"/>
  <c r="N184" i="8"/>
  <c r="M184" i="8"/>
  <c r="L184" i="8"/>
  <c r="K184" i="8"/>
  <c r="J184" i="8"/>
  <c r="I184" i="8"/>
  <c r="H184" i="8"/>
  <c r="G184" i="8"/>
  <c r="F184" i="8"/>
  <c r="E184" i="8"/>
  <c r="D184" i="8"/>
  <c r="C184" i="8"/>
  <c r="B184" i="8"/>
  <c r="A184" i="8"/>
  <c r="Q183" i="8"/>
  <c r="P183" i="8"/>
  <c r="O183" i="8"/>
  <c r="N183" i="8"/>
  <c r="M183" i="8"/>
  <c r="L183" i="8"/>
  <c r="K183" i="8"/>
  <c r="J183" i="8"/>
  <c r="I183" i="8"/>
  <c r="H183" i="8"/>
  <c r="G183" i="8"/>
  <c r="F183" i="8"/>
  <c r="E183" i="8"/>
  <c r="D183" i="8"/>
  <c r="C183" i="8"/>
  <c r="B183" i="8"/>
  <c r="A183" i="8"/>
  <c r="Q182" i="8"/>
  <c r="P182" i="8"/>
  <c r="O182" i="8"/>
  <c r="N182" i="8"/>
  <c r="M182" i="8"/>
  <c r="L182" i="8"/>
  <c r="K182" i="8"/>
  <c r="J182" i="8"/>
  <c r="I182" i="8"/>
  <c r="H182" i="8"/>
  <c r="G182" i="8"/>
  <c r="F182" i="8"/>
  <c r="E182" i="8"/>
  <c r="D182" i="8"/>
  <c r="C182" i="8"/>
  <c r="B182" i="8"/>
  <c r="A182" i="8"/>
  <c r="Q181" i="8"/>
  <c r="P181" i="8"/>
  <c r="O181" i="8"/>
  <c r="N181" i="8"/>
  <c r="M181" i="8"/>
  <c r="L181" i="8"/>
  <c r="K181" i="8"/>
  <c r="J181" i="8"/>
  <c r="I181" i="8"/>
  <c r="H181" i="8"/>
  <c r="G181" i="8"/>
  <c r="F181" i="8"/>
  <c r="E181" i="8"/>
  <c r="D181" i="8"/>
  <c r="C181" i="8"/>
  <c r="B181" i="8"/>
  <c r="A181" i="8"/>
  <c r="Q180" i="8"/>
  <c r="P180" i="8"/>
  <c r="O180" i="8"/>
  <c r="N180" i="8"/>
  <c r="M180" i="8"/>
  <c r="L180" i="8"/>
  <c r="K180" i="8"/>
  <c r="J180" i="8"/>
  <c r="I180" i="8"/>
  <c r="H180" i="8"/>
  <c r="G180" i="8"/>
  <c r="F180" i="8"/>
  <c r="E180" i="8"/>
  <c r="D180" i="8"/>
  <c r="C180" i="8"/>
  <c r="B180" i="8"/>
  <c r="A180" i="8"/>
  <c r="Q179" i="8"/>
  <c r="P179" i="8"/>
  <c r="O179" i="8"/>
  <c r="N179" i="8"/>
  <c r="M179" i="8"/>
  <c r="L179" i="8"/>
  <c r="K179" i="8"/>
  <c r="J179" i="8"/>
  <c r="I179" i="8"/>
  <c r="H179" i="8"/>
  <c r="G179" i="8"/>
  <c r="F179" i="8"/>
  <c r="E179" i="8"/>
  <c r="D179" i="8"/>
  <c r="C179" i="8"/>
  <c r="B179" i="8"/>
  <c r="A179" i="8"/>
  <c r="Q178" i="8"/>
  <c r="P178" i="8"/>
  <c r="O178" i="8"/>
  <c r="N178" i="8"/>
  <c r="M178" i="8"/>
  <c r="L178" i="8"/>
  <c r="K178" i="8"/>
  <c r="J178" i="8"/>
  <c r="I178" i="8"/>
  <c r="H178" i="8"/>
  <c r="G178" i="8"/>
  <c r="F178" i="8"/>
  <c r="E178" i="8"/>
  <c r="D178" i="8"/>
  <c r="C178" i="8"/>
  <c r="B178" i="8"/>
  <c r="A178" i="8"/>
  <c r="Q177" i="8"/>
  <c r="P177" i="8"/>
  <c r="O177" i="8"/>
  <c r="N177" i="8"/>
  <c r="M177" i="8"/>
  <c r="L177" i="8"/>
  <c r="K177" i="8"/>
  <c r="J177" i="8"/>
  <c r="I177" i="8"/>
  <c r="H177" i="8"/>
  <c r="G177" i="8"/>
  <c r="F177" i="8"/>
  <c r="E177" i="8"/>
  <c r="D177" i="8"/>
  <c r="C177" i="8"/>
  <c r="B177" i="8"/>
  <c r="A177" i="8"/>
  <c r="Q176" i="8"/>
  <c r="P176" i="8"/>
  <c r="O176" i="8"/>
  <c r="N176" i="8"/>
  <c r="M176" i="8"/>
  <c r="L176" i="8"/>
  <c r="K176" i="8"/>
  <c r="J176" i="8"/>
  <c r="I176" i="8"/>
  <c r="H176" i="8"/>
  <c r="G176" i="8"/>
  <c r="F176" i="8"/>
  <c r="E176" i="8"/>
  <c r="D176" i="8"/>
  <c r="C176" i="8"/>
  <c r="B176" i="8"/>
  <c r="A176" i="8"/>
  <c r="Q175" i="8"/>
  <c r="P175" i="8"/>
  <c r="O175" i="8"/>
  <c r="N175" i="8"/>
  <c r="M175" i="8"/>
  <c r="L175" i="8"/>
  <c r="K175" i="8"/>
  <c r="J175" i="8"/>
  <c r="I175" i="8"/>
  <c r="H175" i="8"/>
  <c r="G175" i="8"/>
  <c r="F175" i="8"/>
  <c r="E175" i="8"/>
  <c r="D175" i="8"/>
  <c r="C175" i="8"/>
  <c r="B175" i="8"/>
  <c r="A175" i="8"/>
  <c r="Q174" i="8"/>
  <c r="P174" i="8"/>
  <c r="O174" i="8"/>
  <c r="N174" i="8"/>
  <c r="M174" i="8"/>
  <c r="L174" i="8"/>
  <c r="K174" i="8"/>
  <c r="J174" i="8"/>
  <c r="I174" i="8"/>
  <c r="H174" i="8"/>
  <c r="G174" i="8"/>
  <c r="F174" i="8"/>
  <c r="E174" i="8"/>
  <c r="D174" i="8"/>
  <c r="C174" i="8"/>
  <c r="B174" i="8"/>
  <c r="A174" i="8"/>
  <c r="Q173" i="8"/>
  <c r="P173" i="8"/>
  <c r="O173" i="8"/>
  <c r="N173" i="8"/>
  <c r="M173" i="8"/>
  <c r="L173" i="8"/>
  <c r="K173" i="8"/>
  <c r="J173" i="8"/>
  <c r="I173" i="8"/>
  <c r="H173" i="8"/>
  <c r="G173" i="8"/>
  <c r="F173" i="8"/>
  <c r="E173" i="8"/>
  <c r="D173" i="8"/>
  <c r="C173" i="8"/>
  <c r="B173" i="8"/>
  <c r="A173" i="8"/>
  <c r="Q172" i="8"/>
  <c r="P172" i="8"/>
  <c r="O172" i="8"/>
  <c r="N172" i="8"/>
  <c r="M172" i="8"/>
  <c r="L172" i="8"/>
  <c r="K172" i="8"/>
  <c r="J172" i="8"/>
  <c r="I172" i="8"/>
  <c r="H172" i="8"/>
  <c r="G172" i="8"/>
  <c r="F172" i="8"/>
  <c r="E172" i="8"/>
  <c r="D172" i="8"/>
  <c r="C172" i="8"/>
  <c r="B172" i="8"/>
  <c r="A172" i="8"/>
  <c r="Q171" i="8"/>
  <c r="P171" i="8"/>
  <c r="O171" i="8"/>
  <c r="N171" i="8"/>
  <c r="M171" i="8"/>
  <c r="L171" i="8"/>
  <c r="K171" i="8"/>
  <c r="J171" i="8"/>
  <c r="I171" i="8"/>
  <c r="H171" i="8"/>
  <c r="G171" i="8"/>
  <c r="F171" i="8"/>
  <c r="E171" i="8"/>
  <c r="D171" i="8"/>
  <c r="C171" i="8"/>
  <c r="B171" i="8"/>
  <c r="A171" i="8"/>
  <c r="Q170" i="8"/>
  <c r="P170" i="8"/>
  <c r="O170" i="8"/>
  <c r="N170" i="8"/>
  <c r="M170" i="8"/>
  <c r="L170" i="8"/>
  <c r="K170" i="8"/>
  <c r="J170" i="8"/>
  <c r="I170" i="8"/>
  <c r="H170" i="8"/>
  <c r="G170" i="8"/>
  <c r="F170" i="8"/>
  <c r="E170" i="8"/>
  <c r="D170" i="8"/>
  <c r="C170" i="8"/>
  <c r="B170" i="8"/>
  <c r="A170" i="8"/>
  <c r="Q169" i="8"/>
  <c r="P169" i="8"/>
  <c r="O169" i="8"/>
  <c r="N169" i="8"/>
  <c r="M169" i="8"/>
  <c r="L169" i="8"/>
  <c r="K169" i="8"/>
  <c r="J169" i="8"/>
  <c r="I169" i="8"/>
  <c r="H169" i="8"/>
  <c r="G169" i="8"/>
  <c r="F169" i="8"/>
  <c r="E169" i="8"/>
  <c r="D169" i="8"/>
  <c r="C169" i="8"/>
  <c r="B169" i="8"/>
  <c r="A169" i="8"/>
  <c r="Q168" i="8"/>
  <c r="P168" i="8"/>
  <c r="O168" i="8"/>
  <c r="N168" i="8"/>
  <c r="M168" i="8"/>
  <c r="L168" i="8"/>
  <c r="K168" i="8"/>
  <c r="J168" i="8"/>
  <c r="I168" i="8"/>
  <c r="H168" i="8"/>
  <c r="G168" i="8"/>
  <c r="F168" i="8"/>
  <c r="E168" i="8"/>
  <c r="D168" i="8"/>
  <c r="C168" i="8"/>
  <c r="B168" i="8"/>
  <c r="A168" i="8"/>
  <c r="Q167" i="8"/>
  <c r="P167" i="8"/>
  <c r="O167" i="8"/>
  <c r="N167" i="8"/>
  <c r="M167" i="8"/>
  <c r="L167" i="8"/>
  <c r="K167" i="8"/>
  <c r="J167" i="8"/>
  <c r="I167" i="8"/>
  <c r="H167" i="8"/>
  <c r="G167" i="8"/>
  <c r="F167" i="8"/>
  <c r="E167" i="8"/>
  <c r="D167" i="8"/>
  <c r="C167" i="8"/>
  <c r="B167" i="8"/>
  <c r="A167" i="8"/>
  <c r="Q166" i="8"/>
  <c r="P166" i="8"/>
  <c r="O166" i="8"/>
  <c r="N166" i="8"/>
  <c r="M166" i="8"/>
  <c r="L166" i="8"/>
  <c r="K166" i="8"/>
  <c r="J166" i="8"/>
  <c r="I166" i="8"/>
  <c r="H166" i="8"/>
  <c r="G166" i="8"/>
  <c r="F166" i="8"/>
  <c r="E166" i="8"/>
  <c r="D166" i="8"/>
  <c r="C166" i="8"/>
  <c r="B166" i="8"/>
  <c r="A166" i="8"/>
  <c r="Q165" i="8"/>
  <c r="P165" i="8"/>
  <c r="O165" i="8"/>
  <c r="N165" i="8"/>
  <c r="M165" i="8"/>
  <c r="L165" i="8"/>
  <c r="K165" i="8"/>
  <c r="J165" i="8"/>
  <c r="I165" i="8"/>
  <c r="H165" i="8"/>
  <c r="G165" i="8"/>
  <c r="F165" i="8"/>
  <c r="E165" i="8"/>
  <c r="D165" i="8"/>
  <c r="C165" i="8"/>
  <c r="B165" i="8"/>
  <c r="A165" i="8"/>
  <c r="Q164" i="8"/>
  <c r="P164" i="8"/>
  <c r="O164" i="8"/>
  <c r="N164" i="8"/>
  <c r="M164" i="8"/>
  <c r="L164" i="8"/>
  <c r="K164" i="8"/>
  <c r="J164" i="8"/>
  <c r="I164" i="8"/>
  <c r="H164" i="8"/>
  <c r="G164" i="8"/>
  <c r="F164" i="8"/>
  <c r="E164" i="8"/>
  <c r="D164" i="8"/>
  <c r="C164" i="8"/>
  <c r="B164" i="8"/>
  <c r="A164" i="8"/>
  <c r="Q163" i="8"/>
  <c r="P163" i="8"/>
  <c r="O163" i="8"/>
  <c r="N163" i="8"/>
  <c r="M163" i="8"/>
  <c r="L163" i="8"/>
  <c r="K163" i="8"/>
  <c r="J163" i="8"/>
  <c r="I163" i="8"/>
  <c r="H163" i="8"/>
  <c r="G163" i="8"/>
  <c r="F163" i="8"/>
  <c r="E163" i="8"/>
  <c r="D163" i="8"/>
  <c r="C163" i="8"/>
  <c r="B163" i="8"/>
  <c r="A163" i="8"/>
  <c r="Q162" i="8"/>
  <c r="P162" i="8"/>
  <c r="O162" i="8"/>
  <c r="N162" i="8"/>
  <c r="M162" i="8"/>
  <c r="L162" i="8"/>
  <c r="K162" i="8"/>
  <c r="J162" i="8"/>
  <c r="I162" i="8"/>
  <c r="H162" i="8"/>
  <c r="G162" i="8"/>
  <c r="F162" i="8"/>
  <c r="E162" i="8"/>
  <c r="D162" i="8"/>
  <c r="C162" i="8"/>
  <c r="B162" i="8"/>
  <c r="A162" i="8"/>
  <c r="Q161" i="8"/>
  <c r="P161" i="8"/>
  <c r="O161" i="8"/>
  <c r="N161" i="8"/>
  <c r="M161" i="8"/>
  <c r="L161" i="8"/>
  <c r="K161" i="8"/>
  <c r="J161" i="8"/>
  <c r="I161" i="8"/>
  <c r="H161" i="8"/>
  <c r="G161" i="8"/>
  <c r="F161" i="8"/>
  <c r="E161" i="8"/>
  <c r="D161" i="8"/>
  <c r="C161" i="8"/>
  <c r="B161" i="8"/>
  <c r="A161" i="8"/>
  <c r="Q160" i="8"/>
  <c r="P160" i="8"/>
  <c r="O160" i="8"/>
  <c r="N160" i="8"/>
  <c r="M160" i="8"/>
  <c r="L160" i="8"/>
  <c r="K160" i="8"/>
  <c r="J160" i="8"/>
  <c r="I160" i="8"/>
  <c r="H160" i="8"/>
  <c r="G160" i="8"/>
  <c r="F160" i="8"/>
  <c r="E160" i="8"/>
  <c r="D160" i="8"/>
  <c r="C160" i="8"/>
  <c r="B160" i="8"/>
  <c r="A160" i="8"/>
  <c r="Q159" i="8"/>
  <c r="P159" i="8"/>
  <c r="O159" i="8"/>
  <c r="N159" i="8"/>
  <c r="M159" i="8"/>
  <c r="L159" i="8"/>
  <c r="K159" i="8"/>
  <c r="J159" i="8"/>
  <c r="I159" i="8"/>
  <c r="H159" i="8"/>
  <c r="G159" i="8"/>
  <c r="F159" i="8"/>
  <c r="E159" i="8"/>
  <c r="D159" i="8"/>
  <c r="C159" i="8"/>
  <c r="B159" i="8"/>
  <c r="A159" i="8"/>
  <c r="Q158" i="8"/>
  <c r="P158" i="8"/>
  <c r="O158" i="8"/>
  <c r="N158" i="8"/>
  <c r="M158" i="8"/>
  <c r="L158" i="8"/>
  <c r="K158" i="8"/>
  <c r="J158" i="8"/>
  <c r="I158" i="8"/>
  <c r="H158" i="8"/>
  <c r="G158" i="8"/>
  <c r="F158" i="8"/>
  <c r="E158" i="8"/>
  <c r="D158" i="8"/>
  <c r="C158" i="8"/>
  <c r="B158" i="8"/>
  <c r="A158" i="8"/>
  <c r="Q157" i="8"/>
  <c r="P157" i="8"/>
  <c r="O157" i="8"/>
  <c r="N157" i="8"/>
  <c r="M157" i="8"/>
  <c r="L157" i="8"/>
  <c r="K157" i="8"/>
  <c r="J157" i="8"/>
  <c r="I157" i="8"/>
  <c r="H157" i="8"/>
  <c r="G157" i="8"/>
  <c r="F157" i="8"/>
  <c r="E157" i="8"/>
  <c r="D157" i="8"/>
  <c r="C157" i="8"/>
  <c r="B157" i="8"/>
  <c r="A157" i="8"/>
  <c r="Q156" i="8"/>
  <c r="P156" i="8"/>
  <c r="O156" i="8"/>
  <c r="N156" i="8"/>
  <c r="M156" i="8"/>
  <c r="L156" i="8"/>
  <c r="K156" i="8"/>
  <c r="J156" i="8"/>
  <c r="I156" i="8"/>
  <c r="H156" i="8"/>
  <c r="G156" i="8"/>
  <c r="F156" i="8"/>
  <c r="E156" i="8"/>
  <c r="D156" i="8"/>
  <c r="C156" i="8"/>
  <c r="B156" i="8"/>
  <c r="A156" i="8"/>
  <c r="Q155" i="8"/>
  <c r="P155" i="8"/>
  <c r="O155" i="8"/>
  <c r="N155" i="8"/>
  <c r="M155" i="8"/>
  <c r="L155" i="8"/>
  <c r="K155" i="8"/>
  <c r="J155" i="8"/>
  <c r="I155" i="8"/>
  <c r="H155" i="8"/>
  <c r="G155" i="8"/>
  <c r="F155" i="8"/>
  <c r="E155" i="8"/>
  <c r="D155" i="8"/>
  <c r="C155" i="8"/>
  <c r="B155" i="8"/>
  <c r="A155" i="8"/>
  <c r="Q154" i="8"/>
  <c r="P154" i="8"/>
  <c r="O154" i="8"/>
  <c r="N154" i="8"/>
  <c r="M154" i="8"/>
  <c r="L154" i="8"/>
  <c r="K154" i="8"/>
  <c r="J154" i="8"/>
  <c r="I154" i="8"/>
  <c r="H154" i="8"/>
  <c r="G154" i="8"/>
  <c r="F154" i="8"/>
  <c r="E154" i="8"/>
  <c r="D154" i="8"/>
  <c r="C154" i="8"/>
  <c r="B154" i="8"/>
  <c r="A154" i="8"/>
  <c r="Q153" i="8"/>
  <c r="P153" i="8"/>
  <c r="O153" i="8"/>
  <c r="N153" i="8"/>
  <c r="M153" i="8"/>
  <c r="L153" i="8"/>
  <c r="K153" i="8"/>
  <c r="J153" i="8"/>
  <c r="I153" i="8"/>
  <c r="H153" i="8"/>
  <c r="G153" i="8"/>
  <c r="F153" i="8"/>
  <c r="E153" i="8"/>
  <c r="D153" i="8"/>
  <c r="C153" i="8"/>
  <c r="B153" i="8"/>
  <c r="A153" i="8"/>
  <c r="Q152" i="8"/>
  <c r="P152" i="8"/>
  <c r="O152" i="8"/>
  <c r="N152" i="8"/>
  <c r="M152" i="8"/>
  <c r="L152" i="8"/>
  <c r="K152" i="8"/>
  <c r="J152" i="8"/>
  <c r="I152" i="8"/>
  <c r="H152" i="8"/>
  <c r="G152" i="8"/>
  <c r="F152" i="8"/>
  <c r="E152" i="8"/>
  <c r="D152" i="8"/>
  <c r="C152" i="8"/>
  <c r="B152" i="8"/>
  <c r="A152" i="8"/>
  <c r="Q151" i="8"/>
  <c r="P151" i="8"/>
  <c r="O151" i="8"/>
  <c r="N151" i="8"/>
  <c r="M151" i="8"/>
  <c r="L151" i="8"/>
  <c r="K151" i="8"/>
  <c r="J151" i="8"/>
  <c r="I151" i="8"/>
  <c r="H151" i="8"/>
  <c r="G151" i="8"/>
  <c r="F151" i="8"/>
  <c r="E151" i="8"/>
  <c r="D151" i="8"/>
  <c r="C151" i="8"/>
  <c r="B151" i="8"/>
  <c r="A151" i="8"/>
  <c r="Q150" i="8"/>
  <c r="P150" i="8"/>
  <c r="O150" i="8"/>
  <c r="N150" i="8"/>
  <c r="M150" i="8"/>
  <c r="L150" i="8"/>
  <c r="K150" i="8"/>
  <c r="J150" i="8"/>
  <c r="I150" i="8"/>
  <c r="H150" i="8"/>
  <c r="G150" i="8"/>
  <c r="F150" i="8"/>
  <c r="E150" i="8"/>
  <c r="D150" i="8"/>
  <c r="C150" i="8"/>
  <c r="B150" i="8"/>
  <c r="A150" i="8"/>
  <c r="Q149" i="8"/>
  <c r="P149" i="8"/>
  <c r="O149" i="8"/>
  <c r="N149" i="8"/>
  <c r="M149" i="8"/>
  <c r="L149" i="8"/>
  <c r="K149" i="8"/>
  <c r="J149" i="8"/>
  <c r="I149" i="8"/>
  <c r="H149" i="8"/>
  <c r="G149" i="8"/>
  <c r="F149" i="8"/>
  <c r="E149" i="8"/>
  <c r="D149" i="8"/>
  <c r="C149" i="8"/>
  <c r="B149" i="8"/>
  <c r="A149" i="8"/>
  <c r="Q148" i="8"/>
  <c r="P148" i="8"/>
  <c r="O148" i="8"/>
  <c r="N148" i="8"/>
  <c r="M148" i="8"/>
  <c r="L148" i="8"/>
  <c r="K148" i="8"/>
  <c r="J148" i="8"/>
  <c r="I148" i="8"/>
  <c r="H148" i="8"/>
  <c r="G148" i="8"/>
  <c r="F148" i="8"/>
  <c r="E148" i="8"/>
  <c r="D148" i="8"/>
  <c r="C148" i="8"/>
  <c r="B148" i="8"/>
  <c r="A148" i="8"/>
  <c r="Q147" i="8"/>
  <c r="P147" i="8"/>
  <c r="O147" i="8"/>
  <c r="N147" i="8"/>
  <c r="M147" i="8"/>
  <c r="L147" i="8"/>
  <c r="K147" i="8"/>
  <c r="J147" i="8"/>
  <c r="I147" i="8"/>
  <c r="H147" i="8"/>
  <c r="G147" i="8"/>
  <c r="F147" i="8"/>
  <c r="E147" i="8"/>
  <c r="D147" i="8"/>
  <c r="C147" i="8"/>
  <c r="B147" i="8"/>
  <c r="A147" i="8"/>
  <c r="Q146" i="8"/>
  <c r="P146" i="8"/>
  <c r="O146" i="8"/>
  <c r="N146" i="8"/>
  <c r="M146" i="8"/>
  <c r="L146" i="8"/>
  <c r="K146" i="8"/>
  <c r="J146" i="8"/>
  <c r="I146" i="8"/>
  <c r="H146" i="8"/>
  <c r="G146" i="8"/>
  <c r="F146" i="8"/>
  <c r="E146" i="8"/>
  <c r="D146" i="8"/>
  <c r="C146" i="8"/>
  <c r="B146" i="8"/>
  <c r="A146" i="8"/>
  <c r="Q145" i="8"/>
  <c r="P145" i="8"/>
  <c r="O145" i="8"/>
  <c r="N145" i="8"/>
  <c r="M145" i="8"/>
  <c r="L145" i="8"/>
  <c r="K145" i="8"/>
  <c r="J145" i="8"/>
  <c r="I145" i="8"/>
  <c r="H145" i="8"/>
  <c r="G145" i="8"/>
  <c r="F145" i="8"/>
  <c r="E145" i="8"/>
  <c r="D145" i="8"/>
  <c r="C145" i="8"/>
  <c r="B145" i="8"/>
  <c r="A145" i="8"/>
  <c r="Q144" i="8"/>
  <c r="P144" i="8"/>
  <c r="O144" i="8"/>
  <c r="N144" i="8"/>
  <c r="M144" i="8"/>
  <c r="L144" i="8"/>
  <c r="K144" i="8"/>
  <c r="J144" i="8"/>
  <c r="I144" i="8"/>
  <c r="H144" i="8"/>
  <c r="G144" i="8"/>
  <c r="F144" i="8"/>
  <c r="E144" i="8"/>
  <c r="D144" i="8"/>
  <c r="C144" i="8"/>
  <c r="B144" i="8"/>
  <c r="A144" i="8"/>
  <c r="Q143" i="8"/>
  <c r="P143" i="8"/>
  <c r="O143" i="8"/>
  <c r="N143" i="8"/>
  <c r="M143" i="8"/>
  <c r="L143" i="8"/>
  <c r="K143" i="8"/>
  <c r="J143" i="8"/>
  <c r="I143" i="8"/>
  <c r="H143" i="8"/>
  <c r="G143" i="8"/>
  <c r="F143" i="8"/>
  <c r="E143" i="8"/>
  <c r="D143" i="8"/>
  <c r="C143" i="8"/>
  <c r="B143" i="8"/>
  <c r="A143" i="8"/>
  <c r="Q142" i="8"/>
  <c r="P142" i="8"/>
  <c r="O142" i="8"/>
  <c r="N142" i="8"/>
  <c r="M142" i="8"/>
  <c r="L142" i="8"/>
  <c r="K142" i="8"/>
  <c r="J142" i="8"/>
  <c r="I142" i="8"/>
  <c r="H142" i="8"/>
  <c r="G142" i="8"/>
  <c r="F142" i="8"/>
  <c r="E142" i="8"/>
  <c r="D142" i="8"/>
  <c r="C142" i="8"/>
  <c r="B142" i="8"/>
  <c r="A142" i="8"/>
  <c r="Q141" i="8"/>
  <c r="P141" i="8"/>
  <c r="O141" i="8"/>
  <c r="N141" i="8"/>
  <c r="M141" i="8"/>
  <c r="L141" i="8"/>
  <c r="K141" i="8"/>
  <c r="J141" i="8"/>
  <c r="I141" i="8"/>
  <c r="H141" i="8"/>
  <c r="G141" i="8"/>
  <c r="F141" i="8"/>
  <c r="E141" i="8"/>
  <c r="D141" i="8"/>
  <c r="C141" i="8"/>
  <c r="B141" i="8"/>
  <c r="A141" i="8"/>
  <c r="Q140" i="8"/>
  <c r="P140" i="8"/>
  <c r="O140" i="8"/>
  <c r="N140" i="8"/>
  <c r="M140" i="8"/>
  <c r="L140" i="8"/>
  <c r="K140" i="8"/>
  <c r="J140" i="8"/>
  <c r="I140" i="8"/>
  <c r="H140" i="8"/>
  <c r="G140" i="8"/>
  <c r="F140" i="8"/>
  <c r="E140" i="8"/>
  <c r="D140" i="8"/>
  <c r="C140" i="8"/>
  <c r="B140" i="8"/>
  <c r="A140" i="8"/>
  <c r="Q139" i="8"/>
  <c r="P139" i="8"/>
  <c r="O139" i="8"/>
  <c r="N139" i="8"/>
  <c r="M139" i="8"/>
  <c r="L139" i="8"/>
  <c r="K139" i="8"/>
  <c r="J139" i="8"/>
  <c r="I139" i="8"/>
  <c r="H139" i="8"/>
  <c r="G139" i="8"/>
  <c r="F139" i="8"/>
  <c r="E139" i="8"/>
  <c r="D139" i="8"/>
  <c r="C139" i="8"/>
  <c r="B139" i="8"/>
  <c r="A139" i="8"/>
  <c r="Q138" i="8"/>
  <c r="P138" i="8"/>
  <c r="O138" i="8"/>
  <c r="N138" i="8"/>
  <c r="M138" i="8"/>
  <c r="L138" i="8"/>
  <c r="K138" i="8"/>
  <c r="J138" i="8"/>
  <c r="I138" i="8"/>
  <c r="H138" i="8"/>
  <c r="G138" i="8"/>
  <c r="F138" i="8"/>
  <c r="E138" i="8"/>
  <c r="D138" i="8"/>
  <c r="C138" i="8"/>
  <c r="B138" i="8"/>
  <c r="A138" i="8"/>
  <c r="Q137" i="8"/>
  <c r="P137" i="8"/>
  <c r="O137" i="8"/>
  <c r="N137" i="8"/>
  <c r="M137" i="8"/>
  <c r="L137" i="8"/>
  <c r="K137" i="8"/>
  <c r="J137" i="8"/>
  <c r="I137" i="8"/>
  <c r="H137" i="8"/>
  <c r="G137" i="8"/>
  <c r="F137" i="8"/>
  <c r="E137" i="8"/>
  <c r="D137" i="8"/>
  <c r="C137" i="8"/>
  <c r="B137" i="8"/>
  <c r="A137" i="8"/>
  <c r="Q136" i="8"/>
  <c r="P136" i="8"/>
  <c r="O136" i="8"/>
  <c r="N136" i="8"/>
  <c r="M136" i="8"/>
  <c r="L136" i="8"/>
  <c r="K136" i="8"/>
  <c r="J136" i="8"/>
  <c r="I136" i="8"/>
  <c r="H136" i="8"/>
  <c r="G136" i="8"/>
  <c r="F136" i="8"/>
  <c r="E136" i="8"/>
  <c r="D136" i="8"/>
  <c r="C136" i="8"/>
  <c r="B136" i="8"/>
  <c r="A136" i="8"/>
  <c r="Q135" i="8"/>
  <c r="P135" i="8"/>
  <c r="O135" i="8"/>
  <c r="N135" i="8"/>
  <c r="M135" i="8"/>
  <c r="L135" i="8"/>
  <c r="K135" i="8"/>
  <c r="J135" i="8"/>
  <c r="I135" i="8"/>
  <c r="H135" i="8"/>
  <c r="G135" i="8"/>
  <c r="F135" i="8"/>
  <c r="E135" i="8"/>
  <c r="D135" i="8"/>
  <c r="C135" i="8"/>
  <c r="B135" i="8"/>
  <c r="A135" i="8"/>
  <c r="Q134" i="8"/>
  <c r="P134" i="8"/>
  <c r="O134" i="8"/>
  <c r="N134" i="8"/>
  <c r="M134" i="8"/>
  <c r="L134" i="8"/>
  <c r="K134" i="8"/>
  <c r="J134" i="8"/>
  <c r="I134" i="8"/>
  <c r="H134" i="8"/>
  <c r="G134" i="8"/>
  <c r="F134" i="8"/>
  <c r="E134" i="8"/>
  <c r="D134" i="8"/>
  <c r="C134" i="8"/>
  <c r="B134" i="8"/>
  <c r="A134" i="8"/>
  <c r="Q133" i="8"/>
  <c r="P133" i="8"/>
  <c r="O133" i="8"/>
  <c r="N133" i="8"/>
  <c r="M133" i="8"/>
  <c r="L133" i="8"/>
  <c r="K133" i="8"/>
  <c r="J133" i="8"/>
  <c r="I133" i="8"/>
  <c r="H133" i="8"/>
  <c r="G133" i="8"/>
  <c r="F133" i="8"/>
  <c r="E133" i="8"/>
  <c r="D133" i="8"/>
  <c r="C133" i="8"/>
  <c r="B133" i="8"/>
  <c r="A133" i="8"/>
  <c r="Q132" i="8"/>
  <c r="P132" i="8"/>
  <c r="O132" i="8"/>
  <c r="N132" i="8"/>
  <c r="M132" i="8"/>
  <c r="L132" i="8"/>
  <c r="K132" i="8"/>
  <c r="J132" i="8"/>
  <c r="I132" i="8"/>
  <c r="H132" i="8"/>
  <c r="G132" i="8"/>
  <c r="F132" i="8"/>
  <c r="E132" i="8"/>
  <c r="D132" i="8"/>
  <c r="C132" i="8"/>
  <c r="B132" i="8"/>
  <c r="A132" i="8"/>
  <c r="Q131" i="8"/>
  <c r="P131" i="8"/>
  <c r="O131" i="8"/>
  <c r="N131" i="8"/>
  <c r="M131" i="8"/>
  <c r="L131" i="8"/>
  <c r="K131" i="8"/>
  <c r="J131" i="8"/>
  <c r="I131" i="8"/>
  <c r="H131" i="8"/>
  <c r="G131" i="8"/>
  <c r="F131" i="8"/>
  <c r="E131" i="8"/>
  <c r="D131" i="8"/>
  <c r="C131" i="8"/>
  <c r="B131" i="8"/>
  <c r="A131" i="8"/>
  <c r="Q130" i="8"/>
  <c r="P130" i="8"/>
  <c r="O130" i="8"/>
  <c r="N130" i="8"/>
  <c r="M130" i="8"/>
  <c r="L130" i="8"/>
  <c r="K130" i="8"/>
  <c r="J130" i="8"/>
  <c r="I130" i="8"/>
  <c r="H130" i="8"/>
  <c r="G130" i="8"/>
  <c r="F130" i="8"/>
  <c r="E130" i="8"/>
  <c r="D130" i="8"/>
  <c r="C130" i="8"/>
  <c r="B130" i="8"/>
  <c r="A130" i="8"/>
  <c r="Q129" i="8"/>
  <c r="P129" i="8"/>
  <c r="O129" i="8"/>
  <c r="N129" i="8"/>
  <c r="M129" i="8"/>
  <c r="L129" i="8"/>
  <c r="K129" i="8"/>
  <c r="J129" i="8"/>
  <c r="I129" i="8"/>
  <c r="H129" i="8"/>
  <c r="G129" i="8"/>
  <c r="F129" i="8"/>
  <c r="E129" i="8"/>
  <c r="D129" i="8"/>
  <c r="C129" i="8"/>
  <c r="B129" i="8"/>
  <c r="A129" i="8"/>
  <c r="Q128" i="8"/>
  <c r="P128" i="8"/>
  <c r="O128" i="8"/>
  <c r="N128" i="8"/>
  <c r="M128" i="8"/>
  <c r="L128" i="8"/>
  <c r="K128" i="8"/>
  <c r="J128" i="8"/>
  <c r="I128" i="8"/>
  <c r="H128" i="8"/>
  <c r="G128" i="8"/>
  <c r="F128" i="8"/>
  <c r="E128" i="8"/>
  <c r="D128" i="8"/>
  <c r="C128" i="8"/>
  <c r="B128" i="8"/>
  <c r="A128" i="8"/>
  <c r="Q127" i="8"/>
  <c r="P127" i="8"/>
  <c r="O127" i="8"/>
  <c r="N127" i="8"/>
  <c r="M127" i="8"/>
  <c r="L127" i="8"/>
  <c r="K127" i="8"/>
  <c r="J127" i="8"/>
  <c r="I127" i="8"/>
  <c r="H127" i="8"/>
  <c r="G127" i="8"/>
  <c r="F127" i="8"/>
  <c r="E127" i="8"/>
  <c r="D127" i="8"/>
  <c r="C127" i="8"/>
  <c r="B127" i="8"/>
  <c r="A127" i="8"/>
  <c r="Q126" i="8"/>
  <c r="P126" i="8"/>
  <c r="O126" i="8"/>
  <c r="N126" i="8"/>
  <c r="M126" i="8"/>
  <c r="L126" i="8"/>
  <c r="K126" i="8"/>
  <c r="J126" i="8"/>
  <c r="I126" i="8"/>
  <c r="H126" i="8"/>
  <c r="G126" i="8"/>
  <c r="F126" i="8"/>
  <c r="E126" i="8"/>
  <c r="D126" i="8"/>
  <c r="C126" i="8"/>
  <c r="B126" i="8"/>
  <c r="A126" i="8"/>
  <c r="Q125" i="8"/>
  <c r="P125" i="8"/>
  <c r="O125" i="8"/>
  <c r="N125" i="8"/>
  <c r="M125" i="8"/>
  <c r="L125" i="8"/>
  <c r="K125" i="8"/>
  <c r="J125" i="8"/>
  <c r="I125" i="8"/>
  <c r="H125" i="8"/>
  <c r="G125" i="8"/>
  <c r="F125" i="8"/>
  <c r="E125" i="8"/>
  <c r="D125" i="8"/>
  <c r="C125" i="8"/>
  <c r="B125" i="8"/>
  <c r="A125" i="8"/>
  <c r="Q124" i="8"/>
  <c r="P124" i="8"/>
  <c r="O124" i="8"/>
  <c r="N124" i="8"/>
  <c r="M124" i="8"/>
  <c r="L124" i="8"/>
  <c r="K124" i="8"/>
  <c r="J124" i="8"/>
  <c r="I124" i="8"/>
  <c r="H124" i="8"/>
  <c r="G124" i="8"/>
  <c r="F124" i="8"/>
  <c r="E124" i="8"/>
  <c r="D124" i="8"/>
  <c r="C124" i="8"/>
  <c r="B124" i="8"/>
  <c r="A124" i="8"/>
  <c r="Q123" i="8"/>
  <c r="P123" i="8"/>
  <c r="O123" i="8"/>
  <c r="N123" i="8"/>
  <c r="M123" i="8"/>
  <c r="L123" i="8"/>
  <c r="K123" i="8"/>
  <c r="J123" i="8"/>
  <c r="I123" i="8"/>
  <c r="H123" i="8"/>
  <c r="G123" i="8"/>
  <c r="F123" i="8"/>
  <c r="E123" i="8"/>
  <c r="D123" i="8"/>
  <c r="C123" i="8"/>
  <c r="B123" i="8"/>
  <c r="A123" i="8"/>
  <c r="Q122" i="8"/>
  <c r="P122" i="8"/>
  <c r="O122" i="8"/>
  <c r="N122" i="8"/>
  <c r="M122" i="8"/>
  <c r="L122" i="8"/>
  <c r="K122" i="8"/>
  <c r="J122" i="8"/>
  <c r="I122" i="8"/>
  <c r="H122" i="8"/>
  <c r="G122" i="8"/>
  <c r="F122" i="8"/>
  <c r="E122" i="8"/>
  <c r="D122" i="8"/>
  <c r="C122" i="8"/>
  <c r="B122" i="8"/>
  <c r="A122" i="8"/>
  <c r="Q121" i="8"/>
  <c r="P121" i="8"/>
  <c r="O121" i="8"/>
  <c r="N121" i="8"/>
  <c r="M121" i="8"/>
  <c r="L121" i="8"/>
  <c r="K121" i="8"/>
  <c r="J121" i="8"/>
  <c r="I121" i="8"/>
  <c r="H121" i="8"/>
  <c r="G121" i="8"/>
  <c r="F121" i="8"/>
  <c r="E121" i="8"/>
  <c r="D121" i="8"/>
  <c r="C121" i="8"/>
  <c r="B121" i="8"/>
  <c r="A121" i="8"/>
  <c r="Q120" i="8"/>
  <c r="P120" i="8"/>
  <c r="O120" i="8"/>
  <c r="N120" i="8"/>
  <c r="M120" i="8"/>
  <c r="L120" i="8"/>
  <c r="K120" i="8"/>
  <c r="J120" i="8"/>
  <c r="I120" i="8"/>
  <c r="H120" i="8"/>
  <c r="G120" i="8"/>
  <c r="F120" i="8"/>
  <c r="E120" i="8"/>
  <c r="D120" i="8"/>
  <c r="C120" i="8"/>
  <c r="B120" i="8"/>
  <c r="A120" i="8"/>
  <c r="Q119" i="8"/>
  <c r="P119" i="8"/>
  <c r="O119" i="8"/>
  <c r="N119" i="8"/>
  <c r="M119" i="8"/>
  <c r="L119" i="8"/>
  <c r="K119" i="8"/>
  <c r="J119" i="8"/>
  <c r="I119" i="8"/>
  <c r="H119" i="8"/>
  <c r="G119" i="8"/>
  <c r="F119" i="8"/>
  <c r="E119" i="8"/>
  <c r="D119" i="8"/>
  <c r="C119" i="8"/>
  <c r="B119" i="8"/>
  <c r="A119" i="8"/>
  <c r="Q118" i="8"/>
  <c r="P118" i="8"/>
  <c r="O118" i="8"/>
  <c r="N118" i="8"/>
  <c r="M118" i="8"/>
  <c r="L118" i="8"/>
  <c r="K118" i="8"/>
  <c r="J118" i="8"/>
  <c r="I118" i="8"/>
  <c r="H118" i="8"/>
  <c r="G118" i="8"/>
  <c r="F118" i="8"/>
  <c r="E118" i="8"/>
  <c r="D118" i="8"/>
  <c r="C118" i="8"/>
  <c r="B118" i="8"/>
  <c r="A118" i="8"/>
  <c r="Q117" i="8"/>
  <c r="P117" i="8"/>
  <c r="O117" i="8"/>
  <c r="N117" i="8"/>
  <c r="M117" i="8"/>
  <c r="L117" i="8"/>
  <c r="K117" i="8"/>
  <c r="J117" i="8"/>
  <c r="I117" i="8"/>
  <c r="H117" i="8"/>
  <c r="G117" i="8"/>
  <c r="F117" i="8"/>
  <c r="E117" i="8"/>
  <c r="D117" i="8"/>
  <c r="C117" i="8"/>
  <c r="B117" i="8"/>
  <c r="A117" i="8"/>
  <c r="Q116" i="8"/>
  <c r="P116" i="8"/>
  <c r="O116" i="8"/>
  <c r="N116" i="8"/>
  <c r="M116" i="8"/>
  <c r="L116" i="8"/>
  <c r="K116" i="8"/>
  <c r="J116" i="8"/>
  <c r="I116" i="8"/>
  <c r="H116" i="8"/>
  <c r="G116" i="8"/>
  <c r="F116" i="8"/>
  <c r="E116" i="8"/>
  <c r="D116" i="8"/>
  <c r="C116" i="8"/>
  <c r="B116" i="8"/>
  <c r="A116" i="8"/>
  <c r="Q115" i="8"/>
  <c r="P115" i="8"/>
  <c r="O115" i="8"/>
  <c r="N115" i="8"/>
  <c r="M115" i="8"/>
  <c r="L115" i="8"/>
  <c r="K115" i="8"/>
  <c r="J115" i="8"/>
  <c r="I115" i="8"/>
  <c r="H115" i="8"/>
  <c r="G115" i="8"/>
  <c r="F115" i="8"/>
  <c r="E115" i="8"/>
  <c r="D115" i="8"/>
  <c r="C115" i="8"/>
  <c r="B115" i="8"/>
  <c r="A115" i="8"/>
  <c r="Q114" i="8"/>
  <c r="P114" i="8"/>
  <c r="O114" i="8"/>
  <c r="N114" i="8"/>
  <c r="M114" i="8"/>
  <c r="L114" i="8"/>
  <c r="K114" i="8"/>
  <c r="J114" i="8"/>
  <c r="I114" i="8"/>
  <c r="H114" i="8"/>
  <c r="G114" i="8"/>
  <c r="F114" i="8"/>
  <c r="E114" i="8"/>
  <c r="D114" i="8"/>
  <c r="C114" i="8"/>
  <c r="B114" i="8"/>
  <c r="A114" i="8"/>
  <c r="Q113" i="8"/>
  <c r="P113" i="8"/>
  <c r="O113" i="8"/>
  <c r="N113" i="8"/>
  <c r="M113" i="8"/>
  <c r="L113" i="8"/>
  <c r="K113" i="8"/>
  <c r="J113" i="8"/>
  <c r="I113" i="8"/>
  <c r="H113" i="8"/>
  <c r="G113" i="8"/>
  <c r="F113" i="8"/>
  <c r="E113" i="8"/>
  <c r="D113" i="8"/>
  <c r="C113" i="8"/>
  <c r="B113" i="8"/>
  <c r="A113" i="8"/>
  <c r="Q112" i="8"/>
  <c r="P112" i="8"/>
  <c r="O112" i="8"/>
  <c r="N112" i="8"/>
  <c r="M112" i="8"/>
  <c r="L112" i="8"/>
  <c r="K112" i="8"/>
  <c r="J112" i="8"/>
  <c r="I112" i="8"/>
  <c r="H112" i="8"/>
  <c r="G112" i="8"/>
  <c r="F112" i="8"/>
  <c r="E112" i="8"/>
  <c r="D112" i="8"/>
  <c r="C112" i="8"/>
  <c r="B112" i="8"/>
  <c r="A112" i="8"/>
  <c r="Q111" i="8"/>
  <c r="P111" i="8"/>
  <c r="O111" i="8"/>
  <c r="N111" i="8"/>
  <c r="M111" i="8"/>
  <c r="L111" i="8"/>
  <c r="K111" i="8"/>
  <c r="J111" i="8"/>
  <c r="I111" i="8"/>
  <c r="H111" i="8"/>
  <c r="G111" i="8"/>
  <c r="F111" i="8"/>
  <c r="E111" i="8"/>
  <c r="D111" i="8"/>
  <c r="C111" i="8"/>
  <c r="B111" i="8"/>
  <c r="A111" i="8"/>
  <c r="Q110" i="8"/>
  <c r="P110" i="8"/>
  <c r="O110" i="8"/>
  <c r="N110" i="8"/>
  <c r="M110" i="8"/>
  <c r="L110" i="8"/>
  <c r="K110" i="8"/>
  <c r="J110" i="8"/>
  <c r="I110" i="8"/>
  <c r="H110" i="8"/>
  <c r="G110" i="8"/>
  <c r="F110" i="8"/>
  <c r="E110" i="8"/>
  <c r="D110" i="8"/>
  <c r="C110" i="8"/>
  <c r="B110" i="8"/>
  <c r="A110" i="8"/>
  <c r="Q109" i="8"/>
  <c r="P109" i="8"/>
  <c r="O109" i="8"/>
  <c r="N109" i="8"/>
  <c r="M109" i="8"/>
  <c r="L109" i="8"/>
  <c r="K109" i="8"/>
  <c r="J109" i="8"/>
  <c r="I109" i="8"/>
  <c r="H109" i="8"/>
  <c r="G109" i="8"/>
  <c r="F109" i="8"/>
  <c r="E109" i="8"/>
  <c r="D109" i="8"/>
  <c r="C109" i="8"/>
  <c r="B109" i="8"/>
  <c r="A109" i="8"/>
  <c r="Q108" i="8"/>
  <c r="P108" i="8"/>
  <c r="O108" i="8"/>
  <c r="N108" i="8"/>
  <c r="M108" i="8"/>
  <c r="L108" i="8"/>
  <c r="K108" i="8"/>
  <c r="J108" i="8"/>
  <c r="I108" i="8"/>
  <c r="H108" i="8"/>
  <c r="G108" i="8"/>
  <c r="F108" i="8"/>
  <c r="E108" i="8"/>
  <c r="D108" i="8"/>
  <c r="C108" i="8"/>
  <c r="B108" i="8"/>
  <c r="A108" i="8"/>
  <c r="Q107" i="8"/>
  <c r="P107" i="8"/>
  <c r="O107" i="8"/>
  <c r="N107" i="8"/>
  <c r="M107" i="8"/>
  <c r="L107" i="8"/>
  <c r="K107" i="8"/>
  <c r="J107" i="8"/>
  <c r="I107" i="8"/>
  <c r="H107" i="8"/>
  <c r="G107" i="8"/>
  <c r="F107" i="8"/>
  <c r="E107" i="8"/>
  <c r="D107" i="8"/>
  <c r="C107" i="8"/>
  <c r="B107" i="8"/>
  <c r="A107" i="8"/>
  <c r="Q106" i="8"/>
  <c r="P106" i="8"/>
  <c r="O106" i="8"/>
  <c r="N106" i="8"/>
  <c r="M106" i="8"/>
  <c r="L106" i="8"/>
  <c r="K106" i="8"/>
  <c r="J106" i="8"/>
  <c r="I106" i="8"/>
  <c r="H106" i="8"/>
  <c r="G106" i="8"/>
  <c r="F106" i="8"/>
  <c r="E106" i="8"/>
  <c r="D106" i="8"/>
  <c r="C106" i="8"/>
  <c r="B106" i="8"/>
  <c r="A106" i="8"/>
  <c r="Q105" i="8"/>
  <c r="P105" i="8"/>
  <c r="O105" i="8"/>
  <c r="N105" i="8"/>
  <c r="M105" i="8"/>
  <c r="L105" i="8"/>
  <c r="K105" i="8"/>
  <c r="J105" i="8"/>
  <c r="I105" i="8"/>
  <c r="H105" i="8"/>
  <c r="G105" i="8"/>
  <c r="F105" i="8"/>
  <c r="E105" i="8"/>
  <c r="D105" i="8"/>
  <c r="C105" i="8"/>
  <c r="B105" i="8"/>
  <c r="A105" i="8"/>
  <c r="Q104" i="8"/>
  <c r="P104" i="8"/>
  <c r="O104" i="8"/>
  <c r="N104" i="8"/>
  <c r="M104" i="8"/>
  <c r="L104" i="8"/>
  <c r="K104" i="8"/>
  <c r="J104" i="8"/>
  <c r="I104" i="8"/>
  <c r="H104" i="8"/>
  <c r="G104" i="8"/>
  <c r="F104" i="8"/>
  <c r="E104" i="8"/>
  <c r="D104" i="8"/>
  <c r="C104" i="8"/>
  <c r="B104" i="8"/>
  <c r="A104" i="8"/>
  <c r="Q103" i="8"/>
  <c r="P103" i="8"/>
  <c r="O103" i="8"/>
  <c r="N103" i="8"/>
  <c r="M103" i="8"/>
  <c r="L103" i="8"/>
  <c r="K103" i="8"/>
  <c r="J103" i="8"/>
  <c r="I103" i="8"/>
  <c r="H103" i="8"/>
  <c r="G103" i="8"/>
  <c r="F103" i="8"/>
  <c r="E103" i="8"/>
  <c r="D103" i="8"/>
  <c r="C103" i="8"/>
  <c r="B103" i="8"/>
  <c r="A103" i="8"/>
  <c r="Q102" i="8"/>
  <c r="P102" i="8"/>
  <c r="O102" i="8"/>
  <c r="N102" i="8"/>
  <c r="M102" i="8"/>
  <c r="L102" i="8"/>
  <c r="K102" i="8"/>
  <c r="J102" i="8"/>
  <c r="I102" i="8"/>
  <c r="H102" i="8"/>
  <c r="G102" i="8"/>
  <c r="F102" i="8"/>
  <c r="E102" i="8"/>
  <c r="D102" i="8"/>
  <c r="C102" i="8"/>
  <c r="B102" i="8"/>
  <c r="A102" i="8"/>
  <c r="Q101" i="8"/>
  <c r="P101" i="8"/>
  <c r="O101" i="8"/>
  <c r="N101" i="8"/>
  <c r="M101" i="8"/>
  <c r="L101" i="8"/>
  <c r="K101" i="8"/>
  <c r="J101" i="8"/>
  <c r="I101" i="8"/>
  <c r="H101" i="8"/>
  <c r="G101" i="8"/>
  <c r="F101" i="8"/>
  <c r="E101" i="8"/>
  <c r="D101" i="8"/>
  <c r="C101" i="8"/>
  <c r="B101" i="8"/>
  <c r="A101" i="8"/>
  <c r="Q100" i="8"/>
  <c r="P100" i="8"/>
  <c r="O100" i="8"/>
  <c r="N100" i="8"/>
  <c r="M100" i="8"/>
  <c r="L100" i="8"/>
  <c r="K100" i="8"/>
  <c r="J100" i="8"/>
  <c r="I100" i="8"/>
  <c r="H100" i="8"/>
  <c r="G100" i="8"/>
  <c r="F100" i="8"/>
  <c r="E100" i="8"/>
  <c r="D100" i="8"/>
  <c r="C100" i="8"/>
  <c r="B100" i="8"/>
  <c r="A100" i="8"/>
  <c r="Q99" i="8"/>
  <c r="P99" i="8"/>
  <c r="O99" i="8"/>
  <c r="N99" i="8"/>
  <c r="M99" i="8"/>
  <c r="L99" i="8"/>
  <c r="K99" i="8"/>
  <c r="J99" i="8"/>
  <c r="I99" i="8"/>
  <c r="H99" i="8"/>
  <c r="G99" i="8"/>
  <c r="F99" i="8"/>
  <c r="E99" i="8"/>
  <c r="D99" i="8"/>
  <c r="C99" i="8"/>
  <c r="B99" i="8"/>
  <c r="A99" i="8"/>
  <c r="Q98" i="8"/>
  <c r="P98" i="8"/>
  <c r="O98" i="8"/>
  <c r="N98" i="8"/>
  <c r="M98" i="8"/>
  <c r="L98" i="8"/>
  <c r="K98" i="8"/>
  <c r="J98" i="8"/>
  <c r="I98" i="8"/>
  <c r="H98" i="8"/>
  <c r="G98" i="8"/>
  <c r="F98" i="8"/>
  <c r="E98" i="8"/>
  <c r="D98" i="8"/>
  <c r="C98" i="8"/>
  <c r="B98" i="8"/>
  <c r="A98" i="8"/>
  <c r="Q97" i="8"/>
  <c r="P97" i="8"/>
  <c r="O97" i="8"/>
  <c r="N97" i="8"/>
  <c r="M97" i="8"/>
  <c r="L97" i="8"/>
  <c r="K97" i="8"/>
  <c r="J97" i="8"/>
  <c r="I97" i="8"/>
  <c r="H97" i="8"/>
  <c r="G97" i="8"/>
  <c r="F97" i="8"/>
  <c r="E97" i="8"/>
  <c r="D97" i="8"/>
  <c r="C97" i="8"/>
  <c r="B97" i="8"/>
  <c r="A97" i="8"/>
  <c r="Q96" i="8"/>
  <c r="P96" i="8"/>
  <c r="O96" i="8"/>
  <c r="N96" i="8"/>
  <c r="M96" i="8"/>
  <c r="L96" i="8"/>
  <c r="K96" i="8"/>
  <c r="J96" i="8"/>
  <c r="I96" i="8"/>
  <c r="H96" i="8"/>
  <c r="G96" i="8"/>
  <c r="F96" i="8"/>
  <c r="E96" i="8"/>
  <c r="D96" i="8"/>
  <c r="C96" i="8"/>
  <c r="B96" i="8"/>
  <c r="A96" i="8"/>
  <c r="Q95" i="8"/>
  <c r="P95" i="8"/>
  <c r="O95" i="8"/>
  <c r="N95" i="8"/>
  <c r="M95" i="8"/>
  <c r="L95" i="8"/>
  <c r="K95" i="8"/>
  <c r="J95" i="8"/>
  <c r="I95" i="8"/>
  <c r="H95" i="8"/>
  <c r="G95" i="8"/>
  <c r="F95" i="8"/>
  <c r="E95" i="8"/>
  <c r="D95" i="8"/>
  <c r="C95" i="8"/>
  <c r="B95" i="8"/>
  <c r="A95" i="8"/>
  <c r="Q94" i="8"/>
  <c r="P94" i="8"/>
  <c r="O94" i="8"/>
  <c r="N94" i="8"/>
  <c r="M94" i="8"/>
  <c r="L94" i="8"/>
  <c r="K94" i="8"/>
  <c r="J94" i="8"/>
  <c r="I94" i="8"/>
  <c r="H94" i="8"/>
  <c r="G94" i="8"/>
  <c r="F94" i="8"/>
  <c r="E94" i="8"/>
  <c r="D94" i="8"/>
  <c r="C94" i="8"/>
  <c r="B94" i="8"/>
  <c r="A94" i="8"/>
  <c r="Q93" i="8"/>
  <c r="P93" i="8"/>
  <c r="O93" i="8"/>
  <c r="N93" i="8"/>
  <c r="M93" i="8"/>
  <c r="L93" i="8"/>
  <c r="K93" i="8"/>
  <c r="J93" i="8"/>
  <c r="I93" i="8"/>
  <c r="H93" i="8"/>
  <c r="G93" i="8"/>
  <c r="F93" i="8"/>
  <c r="E93" i="8"/>
  <c r="D93" i="8"/>
  <c r="C93" i="8"/>
  <c r="B93" i="8"/>
  <c r="A93" i="8"/>
  <c r="Q92" i="8"/>
  <c r="P92" i="8"/>
  <c r="O92" i="8"/>
  <c r="N92" i="8"/>
  <c r="M92" i="8"/>
  <c r="L92" i="8"/>
  <c r="K92" i="8"/>
  <c r="J92" i="8"/>
  <c r="I92" i="8"/>
  <c r="H92" i="8"/>
  <c r="G92" i="8"/>
  <c r="F92" i="8"/>
  <c r="E92" i="8"/>
  <c r="D92" i="8"/>
  <c r="C92" i="8"/>
  <c r="B92" i="8"/>
  <c r="A92" i="8"/>
  <c r="Q91" i="8"/>
  <c r="P91" i="8"/>
  <c r="O91" i="8"/>
  <c r="N91" i="8"/>
  <c r="M91" i="8"/>
  <c r="L91" i="8"/>
  <c r="K91" i="8"/>
  <c r="J91" i="8"/>
  <c r="I91" i="8"/>
  <c r="H91" i="8"/>
  <c r="G91" i="8"/>
  <c r="F91" i="8"/>
  <c r="E91" i="8"/>
  <c r="D91" i="8"/>
  <c r="C91" i="8"/>
  <c r="B91" i="8"/>
  <c r="A91" i="8"/>
  <c r="Q90" i="8"/>
  <c r="P90" i="8"/>
  <c r="O90" i="8"/>
  <c r="N90" i="8"/>
  <c r="M90" i="8"/>
  <c r="L90" i="8"/>
  <c r="K90" i="8"/>
  <c r="J90" i="8"/>
  <c r="I90" i="8"/>
  <c r="H90" i="8"/>
  <c r="G90" i="8"/>
  <c r="F90" i="8"/>
  <c r="E90" i="8"/>
  <c r="D90" i="8"/>
  <c r="C90" i="8"/>
  <c r="B90" i="8"/>
  <c r="A90" i="8"/>
  <c r="Q89" i="8"/>
  <c r="P89" i="8"/>
  <c r="O89" i="8"/>
  <c r="N89" i="8"/>
  <c r="M89" i="8"/>
  <c r="L89" i="8"/>
  <c r="K89" i="8"/>
  <c r="J89" i="8"/>
  <c r="I89" i="8"/>
  <c r="H89" i="8"/>
  <c r="G89" i="8"/>
  <c r="F89" i="8"/>
  <c r="E89" i="8"/>
  <c r="D89" i="8"/>
  <c r="C89" i="8"/>
  <c r="B89" i="8"/>
  <c r="A89" i="8"/>
  <c r="Q88" i="8"/>
  <c r="P88" i="8"/>
  <c r="O88" i="8"/>
  <c r="N88" i="8"/>
  <c r="M88" i="8"/>
  <c r="L88" i="8"/>
  <c r="K88" i="8"/>
  <c r="J88" i="8"/>
  <c r="I88" i="8"/>
  <c r="H88" i="8"/>
  <c r="G88" i="8"/>
  <c r="F88" i="8"/>
  <c r="E88" i="8"/>
  <c r="D88" i="8"/>
  <c r="C88" i="8"/>
  <c r="B88" i="8"/>
  <c r="A88" i="8"/>
  <c r="Q87" i="8"/>
  <c r="P87" i="8"/>
  <c r="O87" i="8"/>
  <c r="N87" i="8"/>
  <c r="M87" i="8"/>
  <c r="L87" i="8"/>
  <c r="K87" i="8"/>
  <c r="J87" i="8"/>
  <c r="I87" i="8"/>
  <c r="H87" i="8"/>
  <c r="G87" i="8"/>
  <c r="F87" i="8"/>
  <c r="E87" i="8"/>
  <c r="D87" i="8"/>
  <c r="C87" i="8"/>
  <c r="B87" i="8"/>
  <c r="A87" i="8"/>
  <c r="Q86" i="8"/>
  <c r="P86" i="8"/>
  <c r="O86" i="8"/>
  <c r="N86" i="8"/>
  <c r="M86" i="8"/>
  <c r="L86" i="8"/>
  <c r="K86" i="8"/>
  <c r="J86" i="8"/>
  <c r="I86" i="8"/>
  <c r="H86" i="8"/>
  <c r="G86" i="8"/>
  <c r="F86" i="8"/>
  <c r="E86" i="8"/>
  <c r="D86" i="8"/>
  <c r="C86" i="8"/>
  <c r="B86" i="8"/>
  <c r="A86" i="8"/>
  <c r="Q85" i="8"/>
  <c r="P85" i="8"/>
  <c r="O85" i="8"/>
  <c r="N85" i="8"/>
  <c r="M85" i="8"/>
  <c r="L85" i="8"/>
  <c r="K85" i="8"/>
  <c r="J85" i="8"/>
  <c r="I85" i="8"/>
  <c r="H85" i="8"/>
  <c r="G85" i="8"/>
  <c r="F85" i="8"/>
  <c r="E85" i="8"/>
  <c r="D85" i="8"/>
  <c r="C85" i="8"/>
  <c r="B85" i="8"/>
  <c r="A85" i="8"/>
  <c r="Q84" i="8"/>
  <c r="P84" i="8"/>
  <c r="O84" i="8"/>
  <c r="N84" i="8"/>
  <c r="M84" i="8"/>
  <c r="L84" i="8"/>
  <c r="K84" i="8"/>
  <c r="J84" i="8"/>
  <c r="I84" i="8"/>
  <c r="H84" i="8"/>
  <c r="G84" i="8"/>
  <c r="F84" i="8"/>
  <c r="E84" i="8"/>
  <c r="D84" i="8"/>
  <c r="C84" i="8"/>
  <c r="B84" i="8"/>
  <c r="A84" i="8"/>
  <c r="Q83" i="8"/>
  <c r="P83" i="8"/>
  <c r="O83" i="8"/>
  <c r="N83" i="8"/>
  <c r="M83" i="8"/>
  <c r="L83" i="8"/>
  <c r="K83" i="8"/>
  <c r="J83" i="8"/>
  <c r="I83" i="8"/>
  <c r="H83" i="8"/>
  <c r="G83" i="8"/>
  <c r="F83" i="8"/>
  <c r="E83" i="8"/>
  <c r="D83" i="8"/>
  <c r="C83" i="8"/>
  <c r="B83" i="8"/>
  <c r="A83" i="8"/>
  <c r="Q82" i="8"/>
  <c r="P82" i="8"/>
  <c r="O82" i="8"/>
  <c r="N82" i="8"/>
  <c r="M82" i="8"/>
  <c r="L82" i="8"/>
  <c r="K82" i="8"/>
  <c r="J82" i="8"/>
  <c r="I82" i="8"/>
  <c r="H82" i="8"/>
  <c r="G82" i="8"/>
  <c r="F82" i="8"/>
  <c r="E82" i="8"/>
  <c r="D82" i="8"/>
  <c r="C82" i="8"/>
  <c r="B82" i="8"/>
  <c r="A82" i="8"/>
  <c r="Q81" i="8"/>
  <c r="P81" i="8"/>
  <c r="O81" i="8"/>
  <c r="N81" i="8"/>
  <c r="M81" i="8"/>
  <c r="L81" i="8"/>
  <c r="K81" i="8"/>
  <c r="J81" i="8"/>
  <c r="I81" i="8"/>
  <c r="H81" i="8"/>
  <c r="G81" i="8"/>
  <c r="F81" i="8"/>
  <c r="E81" i="8"/>
  <c r="D81" i="8"/>
  <c r="C81" i="8"/>
  <c r="B81" i="8"/>
  <c r="A81" i="8"/>
  <c r="Q80" i="8"/>
  <c r="P80" i="8"/>
  <c r="O80" i="8"/>
  <c r="N80" i="8"/>
  <c r="M80" i="8"/>
  <c r="L80" i="8"/>
  <c r="K80" i="8"/>
  <c r="J80" i="8"/>
  <c r="I80" i="8"/>
  <c r="H80" i="8"/>
  <c r="G80" i="8"/>
  <c r="F80" i="8"/>
  <c r="E80" i="8"/>
  <c r="D80" i="8"/>
  <c r="C80" i="8"/>
  <c r="B80" i="8"/>
  <c r="A80" i="8"/>
  <c r="Q79" i="8"/>
  <c r="P79" i="8"/>
  <c r="O79" i="8"/>
  <c r="N79" i="8"/>
  <c r="M79" i="8"/>
  <c r="L79" i="8"/>
  <c r="K79" i="8"/>
  <c r="J79" i="8"/>
  <c r="I79" i="8"/>
  <c r="H79" i="8"/>
  <c r="G79" i="8"/>
  <c r="F79" i="8"/>
  <c r="E79" i="8"/>
  <c r="D79" i="8"/>
  <c r="C79" i="8"/>
  <c r="B79" i="8"/>
  <c r="A79" i="8"/>
  <c r="Q78" i="8"/>
  <c r="P78" i="8"/>
  <c r="O78" i="8"/>
  <c r="N78" i="8"/>
  <c r="M78" i="8"/>
  <c r="L78" i="8"/>
  <c r="K78" i="8"/>
  <c r="J78" i="8"/>
  <c r="I78" i="8"/>
  <c r="H78" i="8"/>
  <c r="G78" i="8"/>
  <c r="F78" i="8"/>
  <c r="E78" i="8"/>
  <c r="D78" i="8"/>
  <c r="C78" i="8"/>
  <c r="B78" i="8"/>
  <c r="A78" i="8"/>
  <c r="Q77" i="8"/>
  <c r="P77" i="8"/>
  <c r="O77" i="8"/>
  <c r="N77" i="8"/>
  <c r="M77" i="8"/>
  <c r="L77" i="8"/>
  <c r="K77" i="8"/>
  <c r="J77" i="8"/>
  <c r="I77" i="8"/>
  <c r="H77" i="8"/>
  <c r="G77" i="8"/>
  <c r="F77" i="8"/>
  <c r="E77" i="8"/>
  <c r="D77" i="8"/>
  <c r="C77" i="8"/>
  <c r="B77" i="8"/>
  <c r="A77" i="8"/>
  <c r="Q76" i="8"/>
  <c r="P76" i="8"/>
  <c r="O76" i="8"/>
  <c r="N76" i="8"/>
  <c r="M76" i="8"/>
  <c r="L76" i="8"/>
  <c r="K76" i="8"/>
  <c r="J76" i="8"/>
  <c r="I76" i="8"/>
  <c r="H76" i="8"/>
  <c r="G76" i="8"/>
  <c r="F76" i="8"/>
  <c r="E76" i="8"/>
  <c r="D76" i="8"/>
  <c r="C76" i="8"/>
  <c r="B76" i="8"/>
  <c r="A76" i="8"/>
  <c r="Q75" i="8"/>
  <c r="P75" i="8"/>
  <c r="O75" i="8"/>
  <c r="N75" i="8"/>
  <c r="M75" i="8"/>
  <c r="L75" i="8"/>
  <c r="K75" i="8"/>
  <c r="J75" i="8"/>
  <c r="I75" i="8"/>
  <c r="H75" i="8"/>
  <c r="G75" i="8"/>
  <c r="F75" i="8"/>
  <c r="E75" i="8"/>
  <c r="D75" i="8"/>
  <c r="C75" i="8"/>
  <c r="B75" i="8"/>
  <c r="A75" i="8"/>
  <c r="Q74" i="8"/>
  <c r="P74" i="8"/>
  <c r="O74" i="8"/>
  <c r="N74" i="8"/>
  <c r="M74" i="8"/>
  <c r="L74" i="8"/>
  <c r="K74" i="8"/>
  <c r="J74" i="8"/>
  <c r="I74" i="8"/>
  <c r="H74" i="8"/>
  <c r="G74" i="8"/>
  <c r="F74" i="8"/>
  <c r="E74" i="8"/>
  <c r="D74" i="8"/>
  <c r="C74" i="8"/>
  <c r="B74" i="8"/>
  <c r="A74" i="8"/>
  <c r="Q73" i="8"/>
  <c r="P73" i="8"/>
  <c r="O73" i="8"/>
  <c r="N73" i="8"/>
  <c r="M73" i="8"/>
  <c r="L73" i="8"/>
  <c r="K73" i="8"/>
  <c r="J73" i="8"/>
  <c r="I73" i="8"/>
  <c r="H73" i="8"/>
  <c r="G73" i="8"/>
  <c r="F73" i="8"/>
  <c r="E73" i="8"/>
  <c r="D73" i="8"/>
  <c r="C73" i="8"/>
  <c r="B73" i="8"/>
  <c r="A73" i="8"/>
  <c r="Q72" i="8"/>
  <c r="P72" i="8"/>
  <c r="O72" i="8"/>
  <c r="N72" i="8"/>
  <c r="M72" i="8"/>
  <c r="L72" i="8"/>
  <c r="K72" i="8"/>
  <c r="J72" i="8"/>
  <c r="I72" i="8"/>
  <c r="H72" i="8"/>
  <c r="G72" i="8"/>
  <c r="F72" i="8"/>
  <c r="E72" i="8"/>
  <c r="D72" i="8"/>
  <c r="C72" i="8"/>
  <c r="B72" i="8"/>
  <c r="A72" i="8"/>
  <c r="Q71" i="8"/>
  <c r="P71" i="8"/>
  <c r="O71" i="8"/>
  <c r="N71" i="8"/>
  <c r="M71" i="8"/>
  <c r="L71" i="8"/>
  <c r="K71" i="8"/>
  <c r="J71" i="8"/>
  <c r="I71" i="8"/>
  <c r="H71" i="8"/>
  <c r="G71" i="8"/>
  <c r="F71" i="8"/>
  <c r="E71" i="8"/>
  <c r="D71" i="8"/>
  <c r="C71" i="8"/>
  <c r="B71" i="8"/>
  <c r="A71" i="8"/>
  <c r="Q70" i="8"/>
  <c r="P70" i="8"/>
  <c r="O70" i="8"/>
  <c r="N70" i="8"/>
  <c r="M70" i="8"/>
  <c r="L70" i="8"/>
  <c r="K70" i="8"/>
  <c r="J70" i="8"/>
  <c r="I70" i="8"/>
  <c r="H70" i="8"/>
  <c r="G70" i="8"/>
  <c r="F70" i="8"/>
  <c r="E70" i="8"/>
  <c r="D70" i="8"/>
  <c r="C70" i="8"/>
  <c r="B70" i="8"/>
  <c r="A70" i="8"/>
  <c r="Q69" i="8"/>
  <c r="P69" i="8"/>
  <c r="O69" i="8"/>
  <c r="N69" i="8"/>
  <c r="M69" i="8"/>
  <c r="L69" i="8"/>
  <c r="K69" i="8"/>
  <c r="J69" i="8"/>
  <c r="I69" i="8"/>
  <c r="H69" i="8"/>
  <c r="G69" i="8"/>
  <c r="F69" i="8"/>
  <c r="E69" i="8"/>
  <c r="D69" i="8"/>
  <c r="C69" i="8"/>
  <c r="B69" i="8"/>
  <c r="A69" i="8"/>
  <c r="Q68" i="8"/>
  <c r="P68" i="8"/>
  <c r="O68" i="8"/>
  <c r="N68" i="8"/>
  <c r="M68" i="8"/>
  <c r="L68" i="8"/>
  <c r="K68" i="8"/>
  <c r="J68" i="8"/>
  <c r="I68" i="8"/>
  <c r="H68" i="8"/>
  <c r="G68" i="8"/>
  <c r="F68" i="8"/>
  <c r="E68" i="8"/>
  <c r="D68" i="8"/>
  <c r="C68" i="8"/>
  <c r="B68" i="8"/>
  <c r="A68" i="8"/>
  <c r="Q67" i="8"/>
  <c r="P67" i="8"/>
  <c r="O67" i="8"/>
  <c r="N67" i="8"/>
  <c r="M67" i="8"/>
  <c r="L67" i="8"/>
  <c r="K67" i="8"/>
  <c r="J67" i="8"/>
  <c r="I67" i="8"/>
  <c r="H67" i="8"/>
  <c r="G67" i="8"/>
  <c r="F67" i="8"/>
  <c r="E67" i="8"/>
  <c r="D67" i="8"/>
  <c r="C67" i="8"/>
  <c r="B67" i="8"/>
  <c r="A67" i="8"/>
  <c r="Q66" i="8"/>
  <c r="P66" i="8"/>
  <c r="O66" i="8"/>
  <c r="N66" i="8"/>
  <c r="M66" i="8"/>
  <c r="L66" i="8"/>
  <c r="K66" i="8"/>
  <c r="J66" i="8"/>
  <c r="I66" i="8"/>
  <c r="H66" i="8"/>
  <c r="G66" i="8"/>
  <c r="F66" i="8"/>
  <c r="E66" i="8"/>
  <c r="D66" i="8"/>
  <c r="C66" i="8"/>
  <c r="B66" i="8"/>
  <c r="A66" i="8"/>
  <c r="Q65" i="8"/>
  <c r="P65" i="8"/>
  <c r="O65" i="8"/>
  <c r="N65" i="8"/>
  <c r="M65" i="8"/>
  <c r="L65" i="8"/>
  <c r="K65" i="8"/>
  <c r="J65" i="8"/>
  <c r="I65" i="8"/>
  <c r="H65" i="8"/>
  <c r="G65" i="8"/>
  <c r="F65" i="8"/>
  <c r="E65" i="8"/>
  <c r="D65" i="8"/>
  <c r="C65" i="8"/>
  <c r="B65" i="8"/>
  <c r="A65" i="8"/>
  <c r="Q64" i="8"/>
  <c r="P64" i="8"/>
  <c r="O64" i="8"/>
  <c r="N64" i="8"/>
  <c r="M64" i="8"/>
  <c r="L64" i="8"/>
  <c r="K64" i="8"/>
  <c r="J64" i="8"/>
  <c r="I64" i="8"/>
  <c r="H64" i="8"/>
  <c r="G64" i="8"/>
  <c r="F64" i="8"/>
  <c r="E64" i="8"/>
  <c r="D64" i="8"/>
  <c r="C64" i="8"/>
  <c r="B64" i="8"/>
  <c r="A64" i="8"/>
  <c r="Q63" i="8"/>
  <c r="P63" i="8"/>
  <c r="O63" i="8"/>
  <c r="N63" i="8"/>
  <c r="M63" i="8"/>
  <c r="L63" i="8"/>
  <c r="K63" i="8"/>
  <c r="J63" i="8"/>
  <c r="I63" i="8"/>
  <c r="H63" i="8"/>
  <c r="G63" i="8"/>
  <c r="F63" i="8"/>
  <c r="E63" i="8"/>
  <c r="D63" i="8"/>
  <c r="C63" i="8"/>
  <c r="B63" i="8"/>
  <c r="A63" i="8"/>
  <c r="Q62" i="8"/>
  <c r="P62" i="8"/>
  <c r="O62" i="8"/>
  <c r="N62" i="8"/>
  <c r="M62" i="8"/>
  <c r="L62" i="8"/>
  <c r="K62" i="8"/>
  <c r="J62" i="8"/>
  <c r="I62" i="8"/>
  <c r="H62" i="8"/>
  <c r="G62" i="8"/>
  <c r="F62" i="8"/>
  <c r="E62" i="8"/>
  <c r="D62" i="8"/>
  <c r="C62" i="8"/>
  <c r="B62" i="8"/>
  <c r="A62" i="8"/>
  <c r="Q61" i="8"/>
  <c r="P61" i="8"/>
  <c r="O61" i="8"/>
  <c r="N61" i="8"/>
  <c r="M61" i="8"/>
  <c r="L61" i="8"/>
  <c r="K61" i="8"/>
  <c r="J61" i="8"/>
  <c r="I61" i="8"/>
  <c r="H61" i="8"/>
  <c r="G61" i="8"/>
  <c r="F61" i="8"/>
  <c r="E61" i="8"/>
  <c r="D61" i="8"/>
  <c r="C61" i="8"/>
  <c r="B61" i="8"/>
  <c r="A61" i="8"/>
  <c r="Q60" i="8"/>
  <c r="P60" i="8"/>
  <c r="O60" i="8"/>
  <c r="N60" i="8"/>
  <c r="M60" i="8"/>
  <c r="L60" i="8"/>
  <c r="K60" i="8"/>
  <c r="J60" i="8"/>
  <c r="I60" i="8"/>
  <c r="H60" i="8"/>
  <c r="G60" i="8"/>
  <c r="F60" i="8"/>
  <c r="E60" i="8"/>
  <c r="D60" i="8"/>
  <c r="C60" i="8"/>
  <c r="B60" i="8"/>
  <c r="A60" i="8"/>
  <c r="Q59" i="8"/>
  <c r="P59" i="8"/>
  <c r="O59" i="8"/>
  <c r="N59" i="8"/>
  <c r="M59" i="8"/>
  <c r="L59" i="8"/>
  <c r="K59" i="8"/>
  <c r="J59" i="8"/>
  <c r="I59" i="8"/>
  <c r="H59" i="8"/>
  <c r="G59" i="8"/>
  <c r="F59" i="8"/>
  <c r="E59" i="8"/>
  <c r="D59" i="8"/>
  <c r="C59" i="8"/>
  <c r="B59" i="8"/>
  <c r="A59" i="8"/>
  <c r="Q58" i="8"/>
  <c r="P58" i="8"/>
  <c r="O58" i="8"/>
  <c r="N58" i="8"/>
  <c r="M58" i="8"/>
  <c r="L58" i="8"/>
  <c r="K58" i="8"/>
  <c r="J58" i="8"/>
  <c r="I58" i="8"/>
  <c r="H58" i="8"/>
  <c r="G58" i="8"/>
  <c r="F58" i="8"/>
  <c r="E58" i="8"/>
  <c r="D58" i="8"/>
  <c r="C58" i="8"/>
  <c r="B58" i="8"/>
  <c r="A58" i="8"/>
  <c r="Q57" i="8"/>
  <c r="P57" i="8"/>
  <c r="O57" i="8"/>
  <c r="N57" i="8"/>
  <c r="M57" i="8"/>
  <c r="L57" i="8"/>
  <c r="K57" i="8"/>
  <c r="J57" i="8"/>
  <c r="I57" i="8"/>
  <c r="H57" i="8"/>
  <c r="G57" i="8"/>
  <c r="F57" i="8"/>
  <c r="E57" i="8"/>
  <c r="D57" i="8"/>
  <c r="C57" i="8"/>
  <c r="B57" i="8"/>
  <c r="A57" i="8"/>
  <c r="Q56" i="8"/>
  <c r="P56" i="8"/>
  <c r="O56" i="8"/>
  <c r="N56" i="8"/>
  <c r="M56" i="8"/>
  <c r="L56" i="8"/>
  <c r="K56" i="8"/>
  <c r="J56" i="8"/>
  <c r="I56" i="8"/>
  <c r="H56" i="8"/>
  <c r="G56" i="8"/>
  <c r="F56" i="8"/>
  <c r="E56" i="8"/>
  <c r="D56" i="8"/>
  <c r="C56" i="8"/>
  <c r="B56" i="8"/>
  <c r="A56" i="8"/>
  <c r="Q55" i="8"/>
  <c r="P55" i="8"/>
  <c r="O55" i="8"/>
  <c r="N55" i="8"/>
  <c r="M55" i="8"/>
  <c r="L55" i="8"/>
  <c r="K55" i="8"/>
  <c r="J55" i="8"/>
  <c r="I55" i="8"/>
  <c r="H55" i="8"/>
  <c r="G55" i="8"/>
  <c r="F55" i="8"/>
  <c r="E55" i="8"/>
  <c r="D55" i="8"/>
  <c r="C55" i="8"/>
  <c r="B55" i="8"/>
  <c r="A55" i="8"/>
  <c r="Q54" i="8"/>
  <c r="P54" i="8"/>
  <c r="O54" i="8"/>
  <c r="N54" i="8"/>
  <c r="M54" i="8"/>
  <c r="L54" i="8"/>
  <c r="K54" i="8"/>
  <c r="J54" i="8"/>
  <c r="I54" i="8"/>
  <c r="H54" i="8"/>
  <c r="G54" i="8"/>
  <c r="F54" i="8"/>
  <c r="E54" i="8"/>
  <c r="D54" i="8"/>
  <c r="C54" i="8"/>
  <c r="B54" i="8"/>
  <c r="A54" i="8"/>
  <c r="Q53" i="8"/>
  <c r="P53" i="8"/>
  <c r="O53" i="8"/>
  <c r="N53" i="8"/>
  <c r="M53" i="8"/>
  <c r="L53" i="8"/>
  <c r="K53" i="8"/>
  <c r="J53" i="8"/>
  <c r="I53" i="8"/>
  <c r="H53" i="8"/>
  <c r="G53" i="8"/>
  <c r="F53" i="8"/>
  <c r="E53" i="8"/>
  <c r="D53" i="8"/>
  <c r="C53" i="8"/>
  <c r="B53" i="8"/>
  <c r="A53" i="8"/>
  <c r="Q52" i="8"/>
  <c r="P52" i="8"/>
  <c r="O52" i="8"/>
  <c r="N52" i="8"/>
  <c r="M52" i="8"/>
  <c r="L52" i="8"/>
  <c r="K52" i="8"/>
  <c r="J52" i="8"/>
  <c r="I52" i="8"/>
  <c r="H52" i="8"/>
  <c r="G52" i="8"/>
  <c r="F52" i="8"/>
  <c r="E52" i="8"/>
  <c r="D52" i="8"/>
  <c r="C52" i="8"/>
  <c r="B52" i="8"/>
  <c r="A52" i="8"/>
  <c r="Q51" i="8"/>
  <c r="P51" i="8"/>
  <c r="O51" i="8"/>
  <c r="N51" i="8"/>
  <c r="M51" i="8"/>
  <c r="L51" i="8"/>
  <c r="K51" i="8"/>
  <c r="J51" i="8"/>
  <c r="I51" i="8"/>
  <c r="H51" i="8"/>
  <c r="G51" i="8"/>
  <c r="F51" i="8"/>
  <c r="E51" i="8"/>
  <c r="D51" i="8"/>
  <c r="C51" i="8"/>
  <c r="B51" i="8"/>
  <c r="A51" i="8"/>
  <c r="Q50" i="8"/>
  <c r="P50" i="8"/>
  <c r="O50" i="8"/>
  <c r="N50" i="8"/>
  <c r="M50" i="8"/>
  <c r="L50" i="8"/>
  <c r="K50" i="8"/>
  <c r="J50" i="8"/>
  <c r="I50" i="8"/>
  <c r="H50" i="8"/>
  <c r="G50" i="8"/>
  <c r="F50" i="8"/>
  <c r="E50" i="8"/>
  <c r="D50" i="8"/>
  <c r="C50" i="8"/>
  <c r="B50" i="8"/>
  <c r="A50" i="8"/>
  <c r="Q49" i="8"/>
  <c r="P49" i="8"/>
  <c r="O49" i="8"/>
  <c r="N49" i="8"/>
  <c r="M49" i="8"/>
  <c r="L49" i="8"/>
  <c r="K49" i="8"/>
  <c r="J49" i="8"/>
  <c r="I49" i="8"/>
  <c r="H49" i="8"/>
  <c r="G49" i="8"/>
  <c r="F49" i="8"/>
  <c r="E49" i="8"/>
  <c r="D49" i="8"/>
  <c r="C49" i="8"/>
  <c r="B49" i="8"/>
  <c r="A49" i="8"/>
  <c r="Q48" i="8"/>
  <c r="P48" i="8"/>
  <c r="O48" i="8"/>
  <c r="N48" i="8"/>
  <c r="M48" i="8"/>
  <c r="L48" i="8"/>
  <c r="K48" i="8"/>
  <c r="J48" i="8"/>
  <c r="I48" i="8"/>
  <c r="H48" i="8"/>
  <c r="G48" i="8"/>
  <c r="F48" i="8"/>
  <c r="E48" i="8"/>
  <c r="D48" i="8"/>
  <c r="C48" i="8"/>
  <c r="B48" i="8"/>
  <c r="A48" i="8"/>
  <c r="Q47" i="8"/>
  <c r="P47" i="8"/>
  <c r="O47" i="8"/>
  <c r="N47" i="8"/>
  <c r="M47" i="8"/>
  <c r="L47" i="8"/>
  <c r="K47" i="8"/>
  <c r="J47" i="8"/>
  <c r="I47" i="8"/>
  <c r="H47" i="8"/>
  <c r="G47" i="8"/>
  <c r="F47" i="8"/>
  <c r="E47" i="8"/>
  <c r="D47" i="8"/>
  <c r="C47" i="8"/>
  <c r="B47" i="8"/>
  <c r="A47" i="8"/>
  <c r="Q46" i="8"/>
  <c r="P46" i="8"/>
  <c r="O46" i="8"/>
  <c r="N46" i="8"/>
  <c r="M46" i="8"/>
  <c r="L46" i="8"/>
  <c r="K46" i="8"/>
  <c r="J46" i="8"/>
  <c r="I46" i="8"/>
  <c r="H46" i="8"/>
  <c r="G46" i="8"/>
  <c r="F46" i="8"/>
  <c r="E46" i="8"/>
  <c r="D46" i="8"/>
  <c r="C46" i="8"/>
  <c r="B46" i="8"/>
  <c r="A46" i="8"/>
  <c r="Q45" i="8"/>
  <c r="P45" i="8"/>
  <c r="O45" i="8"/>
  <c r="N45" i="8"/>
  <c r="M45" i="8"/>
  <c r="L45" i="8"/>
  <c r="K45" i="8"/>
  <c r="J45" i="8"/>
  <c r="I45" i="8"/>
  <c r="H45" i="8"/>
  <c r="G45" i="8"/>
  <c r="F45" i="8"/>
  <c r="E45" i="8"/>
  <c r="D45" i="8"/>
  <c r="C45" i="8"/>
  <c r="B45" i="8"/>
  <c r="A45" i="8"/>
  <c r="Q44" i="8"/>
  <c r="P44" i="8"/>
  <c r="O44" i="8"/>
  <c r="N44" i="8"/>
  <c r="M44" i="8"/>
  <c r="L44" i="8"/>
  <c r="K44" i="8"/>
  <c r="J44" i="8"/>
  <c r="I44" i="8"/>
  <c r="H44" i="8"/>
  <c r="G44" i="8"/>
  <c r="F44" i="8"/>
  <c r="E44" i="8"/>
  <c r="D44" i="8"/>
  <c r="C44" i="8"/>
  <c r="B44" i="8"/>
  <c r="A44" i="8"/>
  <c r="Q43" i="8"/>
  <c r="P43" i="8"/>
  <c r="O43" i="8"/>
  <c r="N43" i="8"/>
  <c r="M43" i="8"/>
  <c r="L43" i="8"/>
  <c r="K43" i="8"/>
  <c r="J43" i="8"/>
  <c r="I43" i="8"/>
  <c r="H43" i="8"/>
  <c r="G43" i="8"/>
  <c r="F43" i="8"/>
  <c r="E43" i="8"/>
  <c r="D43" i="8"/>
  <c r="C43" i="8"/>
  <c r="B43" i="8"/>
  <c r="A43" i="8"/>
  <c r="Q42" i="8"/>
  <c r="P42" i="8"/>
  <c r="O42" i="8"/>
  <c r="N42" i="8"/>
  <c r="M42" i="8"/>
  <c r="L42" i="8"/>
  <c r="K42" i="8"/>
  <c r="J42" i="8"/>
  <c r="I42" i="8"/>
  <c r="H42" i="8"/>
  <c r="G42" i="8"/>
  <c r="F42" i="8"/>
  <c r="E42" i="8"/>
  <c r="D42" i="8"/>
  <c r="C42" i="8"/>
  <c r="B42" i="8"/>
  <c r="A42" i="8"/>
  <c r="Q41" i="8"/>
  <c r="P41" i="8"/>
  <c r="O41" i="8"/>
  <c r="N41" i="8"/>
  <c r="M41" i="8"/>
  <c r="L41" i="8"/>
  <c r="K41" i="8"/>
  <c r="J41" i="8"/>
  <c r="I41" i="8"/>
  <c r="H41" i="8"/>
  <c r="G41" i="8"/>
  <c r="F41" i="8"/>
  <c r="E41" i="8"/>
  <c r="D41" i="8"/>
  <c r="C41" i="8"/>
  <c r="B41" i="8"/>
  <c r="A41" i="8"/>
  <c r="Q40" i="8"/>
  <c r="P40" i="8"/>
  <c r="O40" i="8"/>
  <c r="N40" i="8"/>
  <c r="M40" i="8"/>
  <c r="L40" i="8"/>
  <c r="K40" i="8"/>
  <c r="J40" i="8"/>
  <c r="I40" i="8"/>
  <c r="H40" i="8"/>
  <c r="G40" i="8"/>
  <c r="F40" i="8"/>
  <c r="E40" i="8"/>
  <c r="D40" i="8"/>
  <c r="C40" i="8"/>
  <c r="B40" i="8"/>
  <c r="A40" i="8"/>
  <c r="Q39" i="8"/>
  <c r="P39" i="8"/>
  <c r="O39" i="8"/>
  <c r="N39" i="8"/>
  <c r="M39" i="8"/>
  <c r="L39" i="8"/>
  <c r="K39" i="8"/>
  <c r="J39" i="8"/>
  <c r="I39" i="8"/>
  <c r="H39" i="8"/>
  <c r="G39" i="8"/>
  <c r="F39" i="8"/>
  <c r="E39" i="8"/>
  <c r="D39" i="8"/>
  <c r="C39" i="8"/>
  <c r="B39" i="8"/>
  <c r="A39" i="8"/>
  <c r="Q38" i="8"/>
  <c r="P38" i="8"/>
  <c r="O38" i="8"/>
  <c r="N38" i="8"/>
  <c r="M38" i="8"/>
  <c r="L38" i="8"/>
  <c r="K38" i="8"/>
  <c r="J38" i="8"/>
  <c r="I38" i="8"/>
  <c r="H38" i="8"/>
  <c r="G38" i="8"/>
  <c r="F38" i="8"/>
  <c r="E38" i="8"/>
  <c r="D38" i="8"/>
  <c r="C38" i="8"/>
  <c r="B38" i="8"/>
  <c r="A38" i="8"/>
  <c r="Q37" i="8"/>
  <c r="P37" i="8"/>
  <c r="O37" i="8"/>
  <c r="N37" i="8"/>
  <c r="M37" i="8"/>
  <c r="L37" i="8"/>
  <c r="K37" i="8"/>
  <c r="J37" i="8"/>
  <c r="I37" i="8"/>
  <c r="H37" i="8"/>
  <c r="G37" i="8"/>
  <c r="F37" i="8"/>
  <c r="E37" i="8"/>
  <c r="D37" i="8"/>
  <c r="C37" i="8"/>
  <c r="B37" i="8"/>
  <c r="A37" i="8"/>
  <c r="Q36" i="8"/>
  <c r="P36" i="8"/>
  <c r="O36" i="8"/>
  <c r="N36" i="8"/>
  <c r="M36" i="8"/>
  <c r="L36" i="8"/>
  <c r="K36" i="8"/>
  <c r="J36" i="8"/>
  <c r="I36" i="8"/>
  <c r="H36" i="8"/>
  <c r="G36" i="8"/>
  <c r="F36" i="8"/>
  <c r="E36" i="8"/>
  <c r="D36" i="8"/>
  <c r="C36" i="8"/>
  <c r="B36" i="8"/>
  <c r="A36" i="8"/>
  <c r="Q35" i="8"/>
  <c r="P35" i="8"/>
  <c r="O35" i="8"/>
  <c r="N35" i="8"/>
  <c r="M35" i="8"/>
  <c r="L35" i="8"/>
  <c r="K35" i="8"/>
  <c r="J35" i="8"/>
  <c r="I35" i="8"/>
  <c r="H35" i="8"/>
  <c r="G35" i="8"/>
  <c r="F35" i="8"/>
  <c r="E35" i="8"/>
  <c r="D35" i="8"/>
  <c r="C35" i="8"/>
  <c r="B35" i="8"/>
  <c r="A35" i="8"/>
  <c r="Q34" i="8"/>
  <c r="P34" i="8"/>
  <c r="O34" i="8"/>
  <c r="N34" i="8"/>
  <c r="M34" i="8"/>
  <c r="L34" i="8"/>
  <c r="K34" i="8"/>
  <c r="J34" i="8"/>
  <c r="I34" i="8"/>
  <c r="H34" i="8"/>
  <c r="G34" i="8"/>
  <c r="F34" i="8"/>
  <c r="E34" i="8"/>
  <c r="D34" i="8"/>
  <c r="C34" i="8"/>
  <c r="B34" i="8"/>
  <c r="A34" i="8"/>
  <c r="Q33" i="8"/>
  <c r="P33" i="8"/>
  <c r="O33" i="8"/>
  <c r="N33" i="8"/>
  <c r="M33" i="8"/>
  <c r="L33" i="8"/>
  <c r="K33" i="8"/>
  <c r="J33" i="8"/>
  <c r="I33" i="8"/>
  <c r="H33" i="8"/>
  <c r="G33" i="8"/>
  <c r="F33" i="8"/>
  <c r="E33" i="8"/>
  <c r="D33" i="8"/>
  <c r="C33" i="8"/>
  <c r="B33" i="8"/>
  <c r="A33" i="8"/>
  <c r="Q32" i="8"/>
  <c r="P32" i="8"/>
  <c r="O32" i="8"/>
  <c r="N32" i="8"/>
  <c r="M32" i="8"/>
  <c r="L32" i="8"/>
  <c r="K32" i="8"/>
  <c r="J32" i="8"/>
  <c r="I32" i="8"/>
  <c r="H32" i="8"/>
  <c r="G32" i="8"/>
  <c r="F32" i="8"/>
  <c r="E32" i="8"/>
  <c r="D32" i="8"/>
  <c r="C32" i="8"/>
  <c r="B32" i="8"/>
  <c r="A32" i="8"/>
  <c r="Q31" i="8"/>
  <c r="P31" i="8"/>
  <c r="O31" i="8"/>
  <c r="N31" i="8"/>
  <c r="M31" i="8"/>
  <c r="L31" i="8"/>
  <c r="K31" i="8"/>
  <c r="J31" i="8"/>
  <c r="I31" i="8"/>
  <c r="H31" i="8"/>
  <c r="G31" i="8"/>
  <c r="F31" i="8"/>
  <c r="E31" i="8"/>
  <c r="D31" i="8"/>
  <c r="C31" i="8"/>
  <c r="B31" i="8"/>
  <c r="A31" i="8"/>
  <c r="Q30" i="8"/>
  <c r="P30" i="8"/>
  <c r="O30" i="8"/>
  <c r="N30" i="8"/>
  <c r="M30" i="8"/>
  <c r="L30" i="8"/>
  <c r="K30" i="8"/>
  <c r="J30" i="8"/>
  <c r="I30" i="8"/>
  <c r="H30" i="8"/>
  <c r="G30" i="8"/>
  <c r="F30" i="8"/>
  <c r="E30" i="8"/>
  <c r="D30" i="8"/>
  <c r="C30" i="8"/>
  <c r="B30" i="8"/>
  <c r="A30" i="8"/>
  <c r="Q29" i="8"/>
  <c r="P29" i="8"/>
  <c r="O29" i="8"/>
  <c r="N29" i="8"/>
  <c r="M29" i="8"/>
  <c r="L29" i="8"/>
  <c r="K29" i="8"/>
  <c r="J29" i="8"/>
  <c r="I29" i="8"/>
  <c r="H29" i="8"/>
  <c r="G29" i="8"/>
  <c r="F29" i="8"/>
  <c r="E29" i="8"/>
  <c r="D29" i="8"/>
  <c r="C29" i="8"/>
  <c r="B29" i="8"/>
  <c r="A29" i="8"/>
  <c r="Q28" i="8"/>
  <c r="P28" i="8"/>
  <c r="O28" i="8"/>
  <c r="N28" i="8"/>
  <c r="M28" i="8"/>
  <c r="L28" i="8"/>
  <c r="K28" i="8"/>
  <c r="J28" i="8"/>
  <c r="I28" i="8"/>
  <c r="H28" i="8"/>
  <c r="G28" i="8"/>
  <c r="F28" i="8"/>
  <c r="E28" i="8"/>
  <c r="D28" i="8"/>
  <c r="C28" i="8"/>
  <c r="B28" i="8"/>
  <c r="A28" i="8"/>
  <c r="Q27" i="8"/>
  <c r="P27" i="8"/>
  <c r="O27" i="8"/>
  <c r="N27" i="8"/>
  <c r="M27" i="8"/>
  <c r="L27" i="8"/>
  <c r="K27" i="8"/>
  <c r="J27" i="8"/>
  <c r="I27" i="8"/>
  <c r="H27" i="8"/>
  <c r="G27" i="8"/>
  <c r="F27" i="8"/>
  <c r="E27" i="8"/>
  <c r="D27" i="8"/>
  <c r="C27" i="8"/>
  <c r="B27" i="8"/>
  <c r="A27" i="8"/>
  <c r="Q26" i="8"/>
  <c r="P26" i="8"/>
  <c r="O26" i="8"/>
  <c r="N26" i="8"/>
  <c r="M26" i="8"/>
  <c r="L26" i="8"/>
  <c r="K26" i="8"/>
  <c r="J26" i="8"/>
  <c r="I26" i="8"/>
  <c r="H26" i="8"/>
  <c r="G26" i="8"/>
  <c r="F26" i="8"/>
  <c r="E26" i="8"/>
  <c r="D26" i="8"/>
  <c r="C26" i="8"/>
  <c r="B26" i="8"/>
  <c r="A26" i="8"/>
  <c r="Q25" i="8"/>
  <c r="P25" i="8"/>
  <c r="O25" i="8"/>
  <c r="N25" i="8"/>
  <c r="M25" i="8"/>
  <c r="L25" i="8"/>
  <c r="K25" i="8"/>
  <c r="J25" i="8"/>
  <c r="I25" i="8"/>
  <c r="H25" i="8"/>
  <c r="G25" i="8"/>
  <c r="F25" i="8"/>
  <c r="E25" i="8"/>
  <c r="D25" i="8"/>
  <c r="C25" i="8"/>
  <c r="B25" i="8"/>
  <c r="A25" i="8"/>
  <c r="Q24" i="8"/>
  <c r="P24" i="8"/>
  <c r="O24" i="8"/>
  <c r="N24" i="8"/>
  <c r="M24" i="8"/>
  <c r="L24" i="8"/>
  <c r="K24" i="8"/>
  <c r="J24" i="8"/>
  <c r="I24" i="8"/>
  <c r="H24" i="8"/>
  <c r="G24" i="8"/>
  <c r="F24" i="8"/>
  <c r="E24" i="8"/>
  <c r="D24" i="8"/>
  <c r="C24" i="8"/>
  <c r="B24" i="8"/>
  <c r="A24" i="8"/>
  <c r="Q23" i="8"/>
  <c r="P23" i="8"/>
  <c r="O23" i="8"/>
  <c r="N23" i="8"/>
  <c r="M23" i="8"/>
  <c r="L23" i="8"/>
  <c r="K23" i="8"/>
  <c r="J23" i="8"/>
  <c r="I23" i="8"/>
  <c r="H23" i="8"/>
  <c r="G23" i="8"/>
  <c r="F23" i="8"/>
  <c r="E23" i="8"/>
  <c r="D23" i="8"/>
  <c r="C23" i="8"/>
  <c r="B23" i="8"/>
  <c r="A23" i="8"/>
  <c r="Q22" i="8"/>
  <c r="P22" i="8"/>
  <c r="O22" i="8"/>
  <c r="N22" i="8"/>
  <c r="M22" i="8"/>
  <c r="L22" i="8"/>
  <c r="K22" i="8"/>
  <c r="J22" i="8"/>
  <c r="I22" i="8"/>
  <c r="H22" i="8"/>
  <c r="G22" i="8"/>
  <c r="F22" i="8"/>
  <c r="E22" i="8"/>
  <c r="D22" i="8"/>
  <c r="C22" i="8"/>
  <c r="B22" i="8"/>
  <c r="A22" i="8"/>
  <c r="Q21" i="8"/>
  <c r="P21" i="8"/>
  <c r="O21" i="8"/>
  <c r="N21" i="8"/>
  <c r="M21" i="8"/>
  <c r="L21" i="8"/>
  <c r="K21" i="8"/>
  <c r="J21" i="8"/>
  <c r="I21" i="8"/>
  <c r="H21" i="8"/>
  <c r="G21" i="8"/>
  <c r="F21" i="8"/>
  <c r="E21" i="8"/>
  <c r="D21" i="8"/>
  <c r="C21" i="8"/>
  <c r="B21" i="8"/>
  <c r="A21" i="8"/>
  <c r="Q20" i="8"/>
  <c r="P20" i="8"/>
  <c r="O20" i="8"/>
  <c r="N20" i="8"/>
  <c r="M20" i="8"/>
  <c r="L20" i="8"/>
  <c r="K20" i="8"/>
  <c r="J20" i="8"/>
  <c r="I20" i="8"/>
  <c r="H20" i="8"/>
  <c r="G20" i="8"/>
  <c r="F20" i="8"/>
  <c r="E20" i="8"/>
  <c r="D20" i="8"/>
  <c r="C20" i="8"/>
  <c r="B20" i="8"/>
  <c r="A20" i="8"/>
  <c r="Q19" i="8"/>
  <c r="P19" i="8"/>
  <c r="O19" i="8"/>
  <c r="N19" i="8"/>
  <c r="M19" i="8"/>
  <c r="L19" i="8"/>
  <c r="K19" i="8"/>
  <c r="J19" i="8"/>
  <c r="I19" i="8"/>
  <c r="H19" i="8"/>
  <c r="G19" i="8"/>
  <c r="F19" i="8"/>
  <c r="E19" i="8"/>
  <c r="D19" i="8"/>
  <c r="C19" i="8"/>
  <c r="B19" i="8"/>
  <c r="A19" i="8"/>
  <c r="Q18" i="8"/>
  <c r="P18" i="8"/>
  <c r="O18" i="8"/>
  <c r="N18" i="8"/>
  <c r="M18" i="8"/>
  <c r="L18" i="8"/>
  <c r="K18" i="8"/>
  <c r="J18" i="8"/>
  <c r="I18" i="8"/>
  <c r="H18" i="8"/>
  <c r="G18" i="8"/>
  <c r="F18" i="8"/>
  <c r="E18" i="8"/>
  <c r="D18" i="8"/>
  <c r="C18" i="8"/>
  <c r="B18" i="8"/>
  <c r="A18" i="8"/>
  <c r="Q17" i="8"/>
  <c r="P17" i="8"/>
  <c r="O17" i="8"/>
  <c r="N17" i="8"/>
  <c r="M17" i="8"/>
  <c r="L17" i="8"/>
  <c r="K17" i="8"/>
  <c r="J17" i="8"/>
  <c r="I17" i="8"/>
  <c r="H17" i="8"/>
  <c r="G17" i="8"/>
  <c r="F17" i="8"/>
  <c r="E17" i="8"/>
  <c r="D17" i="8"/>
  <c r="C17" i="8"/>
  <c r="B17" i="8"/>
  <c r="A17" i="8"/>
  <c r="Q16" i="8"/>
  <c r="P16" i="8"/>
  <c r="O16" i="8"/>
  <c r="N16" i="8"/>
  <c r="M16" i="8"/>
  <c r="L16" i="8"/>
  <c r="K16" i="8"/>
  <c r="J16" i="8"/>
  <c r="I16" i="8"/>
  <c r="H16" i="8"/>
  <c r="G16" i="8"/>
  <c r="F16" i="8"/>
  <c r="E16" i="8"/>
  <c r="D16" i="8"/>
  <c r="C16" i="8"/>
  <c r="B16" i="8"/>
  <c r="A16" i="8"/>
  <c r="Q15" i="8"/>
  <c r="P15" i="8"/>
  <c r="O15" i="8"/>
  <c r="N15" i="8"/>
  <c r="M15" i="8"/>
  <c r="L15" i="8"/>
  <c r="K15" i="8"/>
  <c r="J15" i="8"/>
  <c r="I15" i="8"/>
  <c r="H15" i="8"/>
  <c r="G15" i="8"/>
  <c r="F15" i="8"/>
  <c r="E15" i="8"/>
  <c r="D15" i="8"/>
  <c r="C15" i="8"/>
  <c r="B15" i="8"/>
  <c r="A15" i="8"/>
  <c r="Q14" i="8"/>
  <c r="P14" i="8"/>
  <c r="O14" i="8"/>
  <c r="N14" i="8"/>
  <c r="M14" i="8"/>
  <c r="L14" i="8"/>
  <c r="K14" i="8"/>
  <c r="J14" i="8"/>
  <c r="I14" i="8"/>
  <c r="H14" i="8"/>
  <c r="G14" i="8"/>
  <c r="F14" i="8"/>
  <c r="E14" i="8"/>
  <c r="D14" i="8"/>
  <c r="C14" i="8"/>
  <c r="B14" i="8"/>
  <c r="A14" i="8"/>
  <c r="Q13" i="8"/>
  <c r="P13" i="8"/>
  <c r="O13" i="8"/>
  <c r="N13" i="8"/>
  <c r="M13" i="8"/>
  <c r="L13" i="8"/>
  <c r="K13" i="8"/>
  <c r="J13" i="8"/>
  <c r="I13" i="8"/>
  <c r="H13" i="8"/>
  <c r="G13" i="8"/>
  <c r="F13" i="8"/>
  <c r="E13" i="8"/>
  <c r="D13" i="8"/>
  <c r="C13" i="8"/>
  <c r="B13" i="8"/>
  <c r="A13" i="8"/>
  <c r="Q12" i="8"/>
  <c r="P12" i="8"/>
  <c r="O12" i="8"/>
  <c r="N12" i="8"/>
  <c r="M12" i="8"/>
  <c r="L12" i="8"/>
  <c r="K12" i="8"/>
  <c r="J12" i="8"/>
  <c r="I12" i="8"/>
  <c r="H12" i="8"/>
  <c r="G12" i="8"/>
  <c r="F12" i="8"/>
  <c r="E12" i="8"/>
  <c r="D12" i="8"/>
  <c r="C12" i="8"/>
  <c r="B12" i="8"/>
  <c r="A12" i="8"/>
  <c r="Q11" i="8"/>
  <c r="P11" i="8"/>
  <c r="O11" i="8"/>
  <c r="N11" i="8"/>
  <c r="M11" i="8"/>
  <c r="L11" i="8"/>
  <c r="K11" i="8"/>
  <c r="J11" i="8"/>
  <c r="I11" i="8"/>
  <c r="H11" i="8"/>
  <c r="G11" i="8"/>
  <c r="F11" i="8"/>
  <c r="E11" i="8"/>
  <c r="D11" i="8"/>
  <c r="C11" i="8"/>
  <c r="B11" i="8"/>
  <c r="A11" i="8"/>
  <c r="Q10" i="8"/>
  <c r="P10" i="8"/>
  <c r="O10" i="8"/>
  <c r="N10" i="8"/>
  <c r="M10" i="8"/>
  <c r="L10" i="8"/>
  <c r="K10" i="8"/>
  <c r="J10" i="8"/>
  <c r="I10" i="8"/>
  <c r="H10" i="8"/>
  <c r="G10" i="8"/>
  <c r="F10" i="8"/>
  <c r="E10" i="8"/>
  <c r="D10" i="8"/>
  <c r="C10" i="8"/>
  <c r="B10" i="8"/>
  <c r="A10" i="8"/>
  <c r="Q9" i="8"/>
  <c r="P9" i="8"/>
  <c r="O9" i="8"/>
  <c r="N9" i="8"/>
  <c r="M9" i="8"/>
  <c r="L9" i="8"/>
  <c r="K9" i="8"/>
  <c r="J9" i="8"/>
  <c r="I9" i="8"/>
  <c r="H9" i="8"/>
  <c r="G9" i="8"/>
  <c r="F9" i="8"/>
  <c r="E9" i="8"/>
  <c r="D9" i="8"/>
  <c r="C9" i="8"/>
  <c r="B9" i="8"/>
  <c r="A9" i="8"/>
  <c r="Q8" i="8"/>
  <c r="P8" i="8"/>
  <c r="O8" i="8"/>
  <c r="N8" i="8"/>
  <c r="M8" i="8"/>
  <c r="L8" i="8"/>
  <c r="K8" i="8"/>
  <c r="J8" i="8"/>
  <c r="I8" i="8"/>
  <c r="H8" i="8"/>
  <c r="G8" i="8"/>
  <c r="F8" i="8"/>
  <c r="E8" i="8"/>
  <c r="D8" i="8"/>
  <c r="C8" i="8"/>
  <c r="B8" i="8"/>
  <c r="A8" i="8"/>
  <c r="Q7" i="8"/>
  <c r="P7" i="8"/>
  <c r="O7" i="8"/>
  <c r="N7" i="8"/>
  <c r="M7" i="8"/>
  <c r="L7" i="8"/>
  <c r="K7" i="8"/>
  <c r="J7" i="8"/>
  <c r="I7" i="8"/>
  <c r="H7" i="8"/>
  <c r="G7" i="8"/>
  <c r="F7" i="8"/>
  <c r="E7" i="8"/>
  <c r="D7" i="8"/>
  <c r="C7" i="8"/>
  <c r="B7" i="8"/>
  <c r="A7" i="8"/>
  <c r="Q6" i="8"/>
  <c r="P6" i="8"/>
  <c r="O6" i="8"/>
  <c r="N6" i="8"/>
  <c r="M6" i="8"/>
  <c r="L6" i="8"/>
  <c r="K6" i="8"/>
  <c r="J6" i="8"/>
  <c r="I6" i="8"/>
  <c r="H6" i="8"/>
  <c r="G6" i="8"/>
  <c r="F6" i="8"/>
  <c r="E6" i="8"/>
  <c r="D6" i="8"/>
  <c r="C6" i="8"/>
  <c r="B6" i="8"/>
  <c r="A6" i="8"/>
  <c r="Q5" i="8"/>
  <c r="P5" i="8"/>
  <c r="O5" i="8"/>
  <c r="N5" i="8"/>
  <c r="M5" i="8"/>
  <c r="L5" i="8"/>
  <c r="K5" i="8"/>
  <c r="J5" i="8"/>
  <c r="I5" i="8"/>
  <c r="H5" i="8"/>
  <c r="G5" i="8"/>
  <c r="F5" i="8"/>
  <c r="E5" i="8"/>
  <c r="D5" i="8"/>
  <c r="C5" i="8"/>
  <c r="B5" i="8"/>
  <c r="A5" i="8"/>
  <c r="A2" i="8"/>
  <c r="R544" i="7"/>
  <c r="Q544" i="7"/>
  <c r="P544" i="7"/>
  <c r="O544" i="7"/>
  <c r="N544" i="7"/>
  <c r="M544" i="7"/>
  <c r="L544" i="7"/>
  <c r="K544" i="7"/>
  <c r="J544" i="7"/>
  <c r="I544" i="7"/>
  <c r="H544" i="7"/>
  <c r="G544" i="7"/>
  <c r="F544" i="7"/>
  <c r="E544" i="7"/>
  <c r="D544" i="7"/>
  <c r="C544" i="7"/>
  <c r="B544" i="7"/>
  <c r="A544" i="7"/>
  <c r="R543" i="7"/>
  <c r="Q543" i="7"/>
  <c r="P543" i="7"/>
  <c r="O543" i="7"/>
  <c r="N543" i="7"/>
  <c r="M543" i="7"/>
  <c r="L543" i="7"/>
  <c r="K543" i="7"/>
  <c r="J543" i="7"/>
  <c r="I543" i="7"/>
  <c r="H543" i="7"/>
  <c r="G543" i="7"/>
  <c r="F543" i="7"/>
  <c r="E543" i="7"/>
  <c r="D543" i="7"/>
  <c r="C543" i="7"/>
  <c r="B543" i="7"/>
  <c r="A543" i="7"/>
  <c r="R542" i="7"/>
  <c r="Q542" i="7"/>
  <c r="P542" i="7"/>
  <c r="O542" i="7"/>
  <c r="N542" i="7"/>
  <c r="M542" i="7"/>
  <c r="L542" i="7"/>
  <c r="K542" i="7"/>
  <c r="J542" i="7"/>
  <c r="I542" i="7"/>
  <c r="H542" i="7"/>
  <c r="G542" i="7"/>
  <c r="F542" i="7"/>
  <c r="E542" i="7"/>
  <c r="D542" i="7"/>
  <c r="C542" i="7"/>
  <c r="B542" i="7"/>
  <c r="A542" i="7"/>
  <c r="R541" i="7"/>
  <c r="Q541" i="7"/>
  <c r="P541" i="7"/>
  <c r="O541" i="7"/>
  <c r="N541" i="7"/>
  <c r="M541" i="7"/>
  <c r="L541" i="7"/>
  <c r="K541" i="7"/>
  <c r="J541" i="7"/>
  <c r="I541" i="7"/>
  <c r="H541" i="7"/>
  <c r="G541" i="7"/>
  <c r="F541" i="7"/>
  <c r="E541" i="7"/>
  <c r="D541" i="7"/>
  <c r="C541" i="7"/>
  <c r="B541" i="7"/>
  <c r="A541" i="7"/>
  <c r="R540" i="7"/>
  <c r="Q540" i="7"/>
  <c r="P540" i="7"/>
  <c r="O540" i="7"/>
  <c r="N540" i="7"/>
  <c r="M540" i="7"/>
  <c r="L540" i="7"/>
  <c r="K540" i="7"/>
  <c r="J540" i="7"/>
  <c r="I540" i="7"/>
  <c r="H540" i="7"/>
  <c r="G540" i="7"/>
  <c r="F540" i="7"/>
  <c r="E540" i="7"/>
  <c r="D540" i="7"/>
  <c r="C540" i="7"/>
  <c r="B540" i="7"/>
  <c r="A540" i="7"/>
  <c r="R539" i="7"/>
  <c r="Q539" i="7"/>
  <c r="P539" i="7"/>
  <c r="O539" i="7"/>
  <c r="N539" i="7"/>
  <c r="M539" i="7"/>
  <c r="L539" i="7"/>
  <c r="K539" i="7"/>
  <c r="J539" i="7"/>
  <c r="I539" i="7"/>
  <c r="H539" i="7"/>
  <c r="G539" i="7"/>
  <c r="F539" i="7"/>
  <c r="E539" i="7"/>
  <c r="D539" i="7"/>
  <c r="C539" i="7"/>
  <c r="B539" i="7"/>
  <c r="A539" i="7"/>
  <c r="R538" i="7"/>
  <c r="Q538" i="7"/>
  <c r="P538" i="7"/>
  <c r="O538" i="7"/>
  <c r="N538" i="7"/>
  <c r="M538" i="7"/>
  <c r="L538" i="7"/>
  <c r="K538" i="7"/>
  <c r="J538" i="7"/>
  <c r="I538" i="7"/>
  <c r="H538" i="7"/>
  <c r="G538" i="7"/>
  <c r="F538" i="7"/>
  <c r="E538" i="7"/>
  <c r="D538" i="7"/>
  <c r="C538" i="7"/>
  <c r="B538" i="7"/>
  <c r="A538" i="7"/>
  <c r="R537" i="7"/>
  <c r="Q537" i="7"/>
  <c r="P537" i="7"/>
  <c r="O537" i="7"/>
  <c r="N537" i="7"/>
  <c r="M537" i="7"/>
  <c r="L537" i="7"/>
  <c r="K537" i="7"/>
  <c r="J537" i="7"/>
  <c r="I537" i="7"/>
  <c r="H537" i="7"/>
  <c r="G537" i="7"/>
  <c r="F537" i="7"/>
  <c r="E537" i="7"/>
  <c r="D537" i="7"/>
  <c r="C537" i="7"/>
  <c r="B537" i="7"/>
  <c r="A537" i="7"/>
  <c r="R536" i="7"/>
  <c r="Q536" i="7"/>
  <c r="P536" i="7"/>
  <c r="O536" i="7"/>
  <c r="N536" i="7"/>
  <c r="M536" i="7"/>
  <c r="L536" i="7"/>
  <c r="K536" i="7"/>
  <c r="J536" i="7"/>
  <c r="I536" i="7"/>
  <c r="H536" i="7"/>
  <c r="G536" i="7"/>
  <c r="F536" i="7"/>
  <c r="E536" i="7"/>
  <c r="D536" i="7"/>
  <c r="C536" i="7"/>
  <c r="B536" i="7"/>
  <c r="A536" i="7"/>
  <c r="R535" i="7"/>
  <c r="Q535" i="7"/>
  <c r="P535" i="7"/>
  <c r="O535" i="7"/>
  <c r="N535" i="7"/>
  <c r="M535" i="7"/>
  <c r="L535" i="7"/>
  <c r="K535" i="7"/>
  <c r="J535" i="7"/>
  <c r="I535" i="7"/>
  <c r="H535" i="7"/>
  <c r="G535" i="7"/>
  <c r="F535" i="7"/>
  <c r="E535" i="7"/>
  <c r="D535" i="7"/>
  <c r="C535" i="7"/>
  <c r="B535" i="7"/>
  <c r="A535" i="7"/>
  <c r="R534" i="7"/>
  <c r="Q534" i="7"/>
  <c r="P534" i="7"/>
  <c r="O534" i="7"/>
  <c r="N534" i="7"/>
  <c r="M534" i="7"/>
  <c r="L534" i="7"/>
  <c r="K534" i="7"/>
  <c r="J534" i="7"/>
  <c r="I534" i="7"/>
  <c r="H534" i="7"/>
  <c r="G534" i="7"/>
  <c r="F534" i="7"/>
  <c r="E534" i="7"/>
  <c r="D534" i="7"/>
  <c r="C534" i="7"/>
  <c r="B534" i="7"/>
  <c r="A534" i="7"/>
  <c r="R533" i="7"/>
  <c r="Q533" i="7"/>
  <c r="P533" i="7"/>
  <c r="O533" i="7"/>
  <c r="N533" i="7"/>
  <c r="M533" i="7"/>
  <c r="L533" i="7"/>
  <c r="K533" i="7"/>
  <c r="J533" i="7"/>
  <c r="I533" i="7"/>
  <c r="H533" i="7"/>
  <c r="G533" i="7"/>
  <c r="F533" i="7"/>
  <c r="E533" i="7"/>
  <c r="D533" i="7"/>
  <c r="C533" i="7"/>
  <c r="B533" i="7"/>
  <c r="A533" i="7"/>
  <c r="R532" i="7"/>
  <c r="Q532" i="7"/>
  <c r="P532" i="7"/>
  <c r="O532" i="7"/>
  <c r="N532" i="7"/>
  <c r="M532" i="7"/>
  <c r="L532" i="7"/>
  <c r="K532" i="7"/>
  <c r="J532" i="7"/>
  <c r="I532" i="7"/>
  <c r="H532" i="7"/>
  <c r="G532" i="7"/>
  <c r="F532" i="7"/>
  <c r="E532" i="7"/>
  <c r="D532" i="7"/>
  <c r="C532" i="7"/>
  <c r="B532" i="7"/>
  <c r="A532" i="7"/>
  <c r="R531" i="7"/>
  <c r="Q531" i="7"/>
  <c r="P531" i="7"/>
  <c r="O531" i="7"/>
  <c r="N531" i="7"/>
  <c r="M531" i="7"/>
  <c r="L531" i="7"/>
  <c r="K531" i="7"/>
  <c r="J531" i="7"/>
  <c r="I531" i="7"/>
  <c r="H531" i="7"/>
  <c r="G531" i="7"/>
  <c r="F531" i="7"/>
  <c r="E531" i="7"/>
  <c r="D531" i="7"/>
  <c r="C531" i="7"/>
  <c r="B531" i="7"/>
  <c r="A531" i="7"/>
  <c r="R530" i="7"/>
  <c r="Q530" i="7"/>
  <c r="P530" i="7"/>
  <c r="O530" i="7"/>
  <c r="N530" i="7"/>
  <c r="M530" i="7"/>
  <c r="L530" i="7"/>
  <c r="K530" i="7"/>
  <c r="J530" i="7"/>
  <c r="I530" i="7"/>
  <c r="H530" i="7"/>
  <c r="G530" i="7"/>
  <c r="F530" i="7"/>
  <c r="E530" i="7"/>
  <c r="D530" i="7"/>
  <c r="C530" i="7"/>
  <c r="B530" i="7"/>
  <c r="A530" i="7"/>
  <c r="R529" i="7"/>
  <c r="Q529" i="7"/>
  <c r="P529" i="7"/>
  <c r="O529" i="7"/>
  <c r="N529" i="7"/>
  <c r="M529" i="7"/>
  <c r="L529" i="7"/>
  <c r="K529" i="7"/>
  <c r="J529" i="7"/>
  <c r="I529" i="7"/>
  <c r="H529" i="7"/>
  <c r="G529" i="7"/>
  <c r="F529" i="7"/>
  <c r="E529" i="7"/>
  <c r="D529" i="7"/>
  <c r="C529" i="7"/>
  <c r="B529" i="7"/>
  <c r="A529" i="7"/>
  <c r="R528" i="7"/>
  <c r="Q528" i="7"/>
  <c r="P528" i="7"/>
  <c r="O528" i="7"/>
  <c r="N528" i="7"/>
  <c r="M528" i="7"/>
  <c r="L528" i="7"/>
  <c r="K528" i="7"/>
  <c r="J528" i="7"/>
  <c r="I528" i="7"/>
  <c r="H528" i="7"/>
  <c r="G528" i="7"/>
  <c r="F528" i="7"/>
  <c r="E528" i="7"/>
  <c r="D528" i="7"/>
  <c r="C528" i="7"/>
  <c r="B528" i="7"/>
  <c r="A528" i="7"/>
  <c r="R527" i="7"/>
  <c r="Q527" i="7"/>
  <c r="P527" i="7"/>
  <c r="O527" i="7"/>
  <c r="N527" i="7"/>
  <c r="M527" i="7"/>
  <c r="L527" i="7"/>
  <c r="K527" i="7"/>
  <c r="J527" i="7"/>
  <c r="I527" i="7"/>
  <c r="H527" i="7"/>
  <c r="G527" i="7"/>
  <c r="F527" i="7"/>
  <c r="E527" i="7"/>
  <c r="D527" i="7"/>
  <c r="C527" i="7"/>
  <c r="B527" i="7"/>
  <c r="A527" i="7"/>
  <c r="R526" i="7"/>
  <c r="Q526" i="7"/>
  <c r="P526" i="7"/>
  <c r="O526" i="7"/>
  <c r="N526" i="7"/>
  <c r="M526" i="7"/>
  <c r="L526" i="7"/>
  <c r="K526" i="7"/>
  <c r="J526" i="7"/>
  <c r="I526" i="7"/>
  <c r="H526" i="7"/>
  <c r="G526" i="7"/>
  <c r="F526" i="7"/>
  <c r="E526" i="7"/>
  <c r="D526" i="7"/>
  <c r="C526" i="7"/>
  <c r="B526" i="7"/>
  <c r="A526" i="7"/>
  <c r="R525" i="7"/>
  <c r="Q525" i="7"/>
  <c r="P525" i="7"/>
  <c r="O525" i="7"/>
  <c r="N525" i="7"/>
  <c r="M525" i="7"/>
  <c r="L525" i="7"/>
  <c r="K525" i="7"/>
  <c r="J525" i="7"/>
  <c r="I525" i="7"/>
  <c r="H525" i="7"/>
  <c r="G525" i="7"/>
  <c r="F525" i="7"/>
  <c r="E525" i="7"/>
  <c r="D525" i="7"/>
  <c r="C525" i="7"/>
  <c r="B525" i="7"/>
  <c r="A525" i="7"/>
  <c r="R524" i="7"/>
  <c r="Q524" i="7"/>
  <c r="P524" i="7"/>
  <c r="O524" i="7"/>
  <c r="N524" i="7"/>
  <c r="M524" i="7"/>
  <c r="L524" i="7"/>
  <c r="K524" i="7"/>
  <c r="J524" i="7"/>
  <c r="I524" i="7"/>
  <c r="H524" i="7"/>
  <c r="G524" i="7"/>
  <c r="F524" i="7"/>
  <c r="E524" i="7"/>
  <c r="D524" i="7"/>
  <c r="C524" i="7"/>
  <c r="B524" i="7"/>
  <c r="A524" i="7"/>
  <c r="R523" i="7"/>
  <c r="Q523" i="7"/>
  <c r="P523" i="7"/>
  <c r="O523" i="7"/>
  <c r="N523" i="7"/>
  <c r="M523" i="7"/>
  <c r="L523" i="7"/>
  <c r="K523" i="7"/>
  <c r="J523" i="7"/>
  <c r="I523" i="7"/>
  <c r="H523" i="7"/>
  <c r="G523" i="7"/>
  <c r="F523" i="7"/>
  <c r="E523" i="7"/>
  <c r="D523" i="7"/>
  <c r="C523" i="7"/>
  <c r="B523" i="7"/>
  <c r="A523" i="7"/>
  <c r="R522" i="7"/>
  <c r="Q522" i="7"/>
  <c r="P522" i="7"/>
  <c r="O522" i="7"/>
  <c r="N522" i="7"/>
  <c r="M522" i="7"/>
  <c r="L522" i="7"/>
  <c r="K522" i="7"/>
  <c r="J522" i="7"/>
  <c r="I522" i="7"/>
  <c r="H522" i="7"/>
  <c r="G522" i="7"/>
  <c r="F522" i="7"/>
  <c r="E522" i="7"/>
  <c r="D522" i="7"/>
  <c r="C522" i="7"/>
  <c r="B522" i="7"/>
  <c r="A522" i="7"/>
  <c r="R521" i="7"/>
  <c r="Q521" i="7"/>
  <c r="P521" i="7"/>
  <c r="O521" i="7"/>
  <c r="N521" i="7"/>
  <c r="M521" i="7"/>
  <c r="L521" i="7"/>
  <c r="K521" i="7"/>
  <c r="J521" i="7"/>
  <c r="I521" i="7"/>
  <c r="H521" i="7"/>
  <c r="G521" i="7"/>
  <c r="F521" i="7"/>
  <c r="E521" i="7"/>
  <c r="D521" i="7"/>
  <c r="C521" i="7"/>
  <c r="B521" i="7"/>
  <c r="A521" i="7"/>
  <c r="R520" i="7"/>
  <c r="Q520" i="7"/>
  <c r="P520" i="7"/>
  <c r="O520" i="7"/>
  <c r="N520" i="7"/>
  <c r="M520" i="7"/>
  <c r="L520" i="7"/>
  <c r="K520" i="7"/>
  <c r="J520" i="7"/>
  <c r="I520" i="7"/>
  <c r="H520" i="7"/>
  <c r="G520" i="7"/>
  <c r="F520" i="7"/>
  <c r="E520" i="7"/>
  <c r="D520" i="7"/>
  <c r="C520" i="7"/>
  <c r="B520" i="7"/>
  <c r="A520" i="7"/>
  <c r="R519" i="7"/>
  <c r="Q519" i="7"/>
  <c r="P519" i="7"/>
  <c r="O519" i="7"/>
  <c r="N519" i="7"/>
  <c r="M519" i="7"/>
  <c r="L519" i="7"/>
  <c r="K519" i="7"/>
  <c r="J519" i="7"/>
  <c r="I519" i="7"/>
  <c r="H519" i="7"/>
  <c r="G519" i="7"/>
  <c r="F519" i="7"/>
  <c r="E519" i="7"/>
  <c r="D519" i="7"/>
  <c r="C519" i="7"/>
  <c r="B519" i="7"/>
  <c r="A519" i="7"/>
  <c r="R518" i="7"/>
  <c r="Q518" i="7"/>
  <c r="P518" i="7"/>
  <c r="O518" i="7"/>
  <c r="N518" i="7"/>
  <c r="M518" i="7"/>
  <c r="L518" i="7"/>
  <c r="K518" i="7"/>
  <c r="J518" i="7"/>
  <c r="I518" i="7"/>
  <c r="H518" i="7"/>
  <c r="G518" i="7"/>
  <c r="F518" i="7"/>
  <c r="E518" i="7"/>
  <c r="D518" i="7"/>
  <c r="C518" i="7"/>
  <c r="B518" i="7"/>
  <c r="A518" i="7"/>
  <c r="R517" i="7"/>
  <c r="Q517" i="7"/>
  <c r="P517" i="7"/>
  <c r="O517" i="7"/>
  <c r="N517" i="7"/>
  <c r="M517" i="7"/>
  <c r="L517" i="7"/>
  <c r="K517" i="7"/>
  <c r="J517" i="7"/>
  <c r="I517" i="7"/>
  <c r="H517" i="7"/>
  <c r="G517" i="7"/>
  <c r="F517" i="7"/>
  <c r="E517" i="7"/>
  <c r="D517" i="7"/>
  <c r="C517" i="7"/>
  <c r="B517" i="7"/>
  <c r="A517" i="7"/>
  <c r="R516" i="7"/>
  <c r="Q516" i="7"/>
  <c r="P516" i="7"/>
  <c r="O516" i="7"/>
  <c r="N516" i="7"/>
  <c r="M516" i="7"/>
  <c r="L516" i="7"/>
  <c r="K516" i="7"/>
  <c r="J516" i="7"/>
  <c r="I516" i="7"/>
  <c r="H516" i="7"/>
  <c r="G516" i="7"/>
  <c r="F516" i="7"/>
  <c r="E516" i="7"/>
  <c r="D516" i="7"/>
  <c r="C516" i="7"/>
  <c r="B516" i="7"/>
  <c r="A516" i="7"/>
  <c r="R515" i="7"/>
  <c r="Q515" i="7"/>
  <c r="P515" i="7"/>
  <c r="O515" i="7"/>
  <c r="N515" i="7"/>
  <c r="M515" i="7"/>
  <c r="L515" i="7"/>
  <c r="K515" i="7"/>
  <c r="J515" i="7"/>
  <c r="I515" i="7"/>
  <c r="H515" i="7"/>
  <c r="G515" i="7"/>
  <c r="F515" i="7"/>
  <c r="E515" i="7"/>
  <c r="D515" i="7"/>
  <c r="C515" i="7"/>
  <c r="B515" i="7"/>
  <c r="A515" i="7"/>
  <c r="R514" i="7"/>
  <c r="Q514" i="7"/>
  <c r="P514" i="7"/>
  <c r="O514" i="7"/>
  <c r="N514" i="7"/>
  <c r="M514" i="7"/>
  <c r="L514" i="7"/>
  <c r="K514" i="7"/>
  <c r="J514" i="7"/>
  <c r="I514" i="7"/>
  <c r="H514" i="7"/>
  <c r="G514" i="7"/>
  <c r="F514" i="7"/>
  <c r="E514" i="7"/>
  <c r="D514" i="7"/>
  <c r="C514" i="7"/>
  <c r="B514" i="7"/>
  <c r="A514" i="7"/>
  <c r="R513" i="7"/>
  <c r="Q513" i="7"/>
  <c r="P513" i="7"/>
  <c r="O513" i="7"/>
  <c r="N513" i="7"/>
  <c r="M513" i="7"/>
  <c r="L513" i="7"/>
  <c r="K513" i="7"/>
  <c r="J513" i="7"/>
  <c r="I513" i="7"/>
  <c r="H513" i="7"/>
  <c r="G513" i="7"/>
  <c r="F513" i="7"/>
  <c r="E513" i="7"/>
  <c r="D513" i="7"/>
  <c r="C513" i="7"/>
  <c r="B513" i="7"/>
  <c r="A513" i="7"/>
  <c r="R512" i="7"/>
  <c r="Q512" i="7"/>
  <c r="P512" i="7"/>
  <c r="O512" i="7"/>
  <c r="N512" i="7"/>
  <c r="M512" i="7"/>
  <c r="L512" i="7"/>
  <c r="K512" i="7"/>
  <c r="J512" i="7"/>
  <c r="I512" i="7"/>
  <c r="H512" i="7"/>
  <c r="G512" i="7"/>
  <c r="F512" i="7"/>
  <c r="E512" i="7"/>
  <c r="D512" i="7"/>
  <c r="C512" i="7"/>
  <c r="B512" i="7"/>
  <c r="A512" i="7"/>
  <c r="R511" i="7"/>
  <c r="Q511" i="7"/>
  <c r="P511" i="7"/>
  <c r="O511" i="7"/>
  <c r="N511" i="7"/>
  <c r="M511" i="7"/>
  <c r="L511" i="7"/>
  <c r="K511" i="7"/>
  <c r="J511" i="7"/>
  <c r="I511" i="7"/>
  <c r="H511" i="7"/>
  <c r="G511" i="7"/>
  <c r="F511" i="7"/>
  <c r="E511" i="7"/>
  <c r="D511" i="7"/>
  <c r="C511" i="7"/>
  <c r="B511" i="7"/>
  <c r="A511" i="7"/>
  <c r="R510" i="7"/>
  <c r="Q510" i="7"/>
  <c r="P510" i="7"/>
  <c r="O510" i="7"/>
  <c r="N510" i="7"/>
  <c r="M510" i="7"/>
  <c r="L510" i="7"/>
  <c r="K510" i="7"/>
  <c r="J510" i="7"/>
  <c r="I510" i="7"/>
  <c r="H510" i="7"/>
  <c r="G510" i="7"/>
  <c r="F510" i="7"/>
  <c r="E510" i="7"/>
  <c r="D510" i="7"/>
  <c r="C510" i="7"/>
  <c r="B510" i="7"/>
  <c r="A510" i="7"/>
  <c r="R509" i="7"/>
  <c r="Q509" i="7"/>
  <c r="P509" i="7"/>
  <c r="O509" i="7"/>
  <c r="N509" i="7"/>
  <c r="M509" i="7"/>
  <c r="L509" i="7"/>
  <c r="K509" i="7"/>
  <c r="J509" i="7"/>
  <c r="I509" i="7"/>
  <c r="H509" i="7"/>
  <c r="G509" i="7"/>
  <c r="F509" i="7"/>
  <c r="E509" i="7"/>
  <c r="D509" i="7"/>
  <c r="C509" i="7"/>
  <c r="B509" i="7"/>
  <c r="A509" i="7"/>
  <c r="R508" i="7"/>
  <c r="Q508" i="7"/>
  <c r="P508" i="7"/>
  <c r="O508" i="7"/>
  <c r="N508" i="7"/>
  <c r="M508" i="7"/>
  <c r="L508" i="7"/>
  <c r="K508" i="7"/>
  <c r="J508" i="7"/>
  <c r="I508" i="7"/>
  <c r="H508" i="7"/>
  <c r="G508" i="7"/>
  <c r="F508" i="7"/>
  <c r="E508" i="7"/>
  <c r="D508" i="7"/>
  <c r="C508" i="7"/>
  <c r="B508" i="7"/>
  <c r="A508" i="7"/>
  <c r="R507" i="7"/>
  <c r="Q507" i="7"/>
  <c r="P507" i="7"/>
  <c r="O507" i="7"/>
  <c r="N507" i="7"/>
  <c r="M507" i="7"/>
  <c r="L507" i="7"/>
  <c r="K507" i="7"/>
  <c r="J507" i="7"/>
  <c r="I507" i="7"/>
  <c r="H507" i="7"/>
  <c r="G507" i="7"/>
  <c r="F507" i="7"/>
  <c r="E507" i="7"/>
  <c r="D507" i="7"/>
  <c r="C507" i="7"/>
  <c r="B507" i="7"/>
  <c r="A507" i="7"/>
  <c r="R506" i="7"/>
  <c r="Q506" i="7"/>
  <c r="P506" i="7"/>
  <c r="O506" i="7"/>
  <c r="N506" i="7"/>
  <c r="M506" i="7"/>
  <c r="L506" i="7"/>
  <c r="K506" i="7"/>
  <c r="J506" i="7"/>
  <c r="I506" i="7"/>
  <c r="H506" i="7"/>
  <c r="G506" i="7"/>
  <c r="F506" i="7"/>
  <c r="E506" i="7"/>
  <c r="D506" i="7"/>
  <c r="C506" i="7"/>
  <c r="B506" i="7"/>
  <c r="A506" i="7"/>
  <c r="R505" i="7"/>
  <c r="Q505" i="7"/>
  <c r="P505" i="7"/>
  <c r="O505" i="7"/>
  <c r="N505" i="7"/>
  <c r="M505" i="7"/>
  <c r="L505" i="7"/>
  <c r="K505" i="7"/>
  <c r="J505" i="7"/>
  <c r="I505" i="7"/>
  <c r="H505" i="7"/>
  <c r="G505" i="7"/>
  <c r="F505" i="7"/>
  <c r="E505" i="7"/>
  <c r="D505" i="7"/>
  <c r="C505" i="7"/>
  <c r="B505" i="7"/>
  <c r="A505" i="7"/>
  <c r="R504" i="7"/>
  <c r="Q504" i="7"/>
  <c r="P504" i="7"/>
  <c r="O504" i="7"/>
  <c r="N504" i="7"/>
  <c r="M504" i="7"/>
  <c r="L504" i="7"/>
  <c r="K504" i="7"/>
  <c r="J504" i="7"/>
  <c r="I504" i="7"/>
  <c r="H504" i="7"/>
  <c r="G504" i="7"/>
  <c r="F504" i="7"/>
  <c r="E504" i="7"/>
  <c r="D504" i="7"/>
  <c r="C504" i="7"/>
  <c r="B504" i="7"/>
  <c r="A504" i="7"/>
  <c r="R503" i="7"/>
  <c r="Q503" i="7"/>
  <c r="P503" i="7"/>
  <c r="O503" i="7"/>
  <c r="N503" i="7"/>
  <c r="M503" i="7"/>
  <c r="L503" i="7"/>
  <c r="K503" i="7"/>
  <c r="J503" i="7"/>
  <c r="I503" i="7"/>
  <c r="H503" i="7"/>
  <c r="G503" i="7"/>
  <c r="F503" i="7"/>
  <c r="E503" i="7"/>
  <c r="D503" i="7"/>
  <c r="C503" i="7"/>
  <c r="B503" i="7"/>
  <c r="A503" i="7"/>
  <c r="R502" i="7"/>
  <c r="Q502" i="7"/>
  <c r="P502" i="7"/>
  <c r="O502" i="7"/>
  <c r="N502" i="7"/>
  <c r="M502" i="7"/>
  <c r="L502" i="7"/>
  <c r="K502" i="7"/>
  <c r="J502" i="7"/>
  <c r="I502" i="7"/>
  <c r="H502" i="7"/>
  <c r="G502" i="7"/>
  <c r="F502" i="7"/>
  <c r="E502" i="7"/>
  <c r="D502" i="7"/>
  <c r="C502" i="7"/>
  <c r="B502" i="7"/>
  <c r="A502" i="7"/>
  <c r="R501" i="7"/>
  <c r="Q501" i="7"/>
  <c r="P501" i="7"/>
  <c r="O501" i="7"/>
  <c r="N501" i="7"/>
  <c r="M501" i="7"/>
  <c r="L501" i="7"/>
  <c r="K501" i="7"/>
  <c r="J501" i="7"/>
  <c r="I501" i="7"/>
  <c r="H501" i="7"/>
  <c r="G501" i="7"/>
  <c r="F501" i="7"/>
  <c r="E501" i="7"/>
  <c r="D501" i="7"/>
  <c r="C501" i="7"/>
  <c r="B501" i="7"/>
  <c r="A501" i="7"/>
  <c r="R500" i="7"/>
  <c r="Q500" i="7"/>
  <c r="P500" i="7"/>
  <c r="O500" i="7"/>
  <c r="N500" i="7"/>
  <c r="M500" i="7"/>
  <c r="L500" i="7"/>
  <c r="K500" i="7"/>
  <c r="J500" i="7"/>
  <c r="I500" i="7"/>
  <c r="H500" i="7"/>
  <c r="G500" i="7"/>
  <c r="F500" i="7"/>
  <c r="E500" i="7"/>
  <c r="D500" i="7"/>
  <c r="C500" i="7"/>
  <c r="B500" i="7"/>
  <c r="A500" i="7"/>
  <c r="R499" i="7"/>
  <c r="Q499" i="7"/>
  <c r="P499" i="7"/>
  <c r="O499" i="7"/>
  <c r="N499" i="7"/>
  <c r="M499" i="7"/>
  <c r="L499" i="7"/>
  <c r="K499" i="7"/>
  <c r="J499" i="7"/>
  <c r="I499" i="7"/>
  <c r="H499" i="7"/>
  <c r="G499" i="7"/>
  <c r="F499" i="7"/>
  <c r="E499" i="7"/>
  <c r="D499" i="7"/>
  <c r="C499" i="7"/>
  <c r="B499" i="7"/>
  <c r="A499" i="7"/>
  <c r="R498" i="7"/>
  <c r="Q498" i="7"/>
  <c r="P498" i="7"/>
  <c r="O498" i="7"/>
  <c r="N498" i="7"/>
  <c r="M498" i="7"/>
  <c r="L498" i="7"/>
  <c r="K498" i="7"/>
  <c r="J498" i="7"/>
  <c r="I498" i="7"/>
  <c r="H498" i="7"/>
  <c r="G498" i="7"/>
  <c r="F498" i="7"/>
  <c r="E498" i="7"/>
  <c r="D498" i="7"/>
  <c r="C498" i="7"/>
  <c r="B498" i="7"/>
  <c r="A498" i="7"/>
  <c r="R497" i="7"/>
  <c r="Q497" i="7"/>
  <c r="P497" i="7"/>
  <c r="O497" i="7"/>
  <c r="N497" i="7"/>
  <c r="M497" i="7"/>
  <c r="L497" i="7"/>
  <c r="K497" i="7"/>
  <c r="J497" i="7"/>
  <c r="I497" i="7"/>
  <c r="H497" i="7"/>
  <c r="G497" i="7"/>
  <c r="F497" i="7"/>
  <c r="E497" i="7"/>
  <c r="D497" i="7"/>
  <c r="C497" i="7"/>
  <c r="B497" i="7"/>
  <c r="A497" i="7"/>
  <c r="R496" i="7"/>
  <c r="Q496" i="7"/>
  <c r="P496" i="7"/>
  <c r="O496" i="7"/>
  <c r="N496" i="7"/>
  <c r="M496" i="7"/>
  <c r="L496" i="7"/>
  <c r="K496" i="7"/>
  <c r="J496" i="7"/>
  <c r="I496" i="7"/>
  <c r="H496" i="7"/>
  <c r="G496" i="7"/>
  <c r="F496" i="7"/>
  <c r="E496" i="7"/>
  <c r="D496" i="7"/>
  <c r="C496" i="7"/>
  <c r="B496" i="7"/>
  <c r="A496" i="7"/>
  <c r="R495" i="7"/>
  <c r="Q495" i="7"/>
  <c r="P495" i="7"/>
  <c r="O495" i="7"/>
  <c r="N495" i="7"/>
  <c r="M495" i="7"/>
  <c r="L495" i="7"/>
  <c r="K495" i="7"/>
  <c r="J495" i="7"/>
  <c r="I495" i="7"/>
  <c r="H495" i="7"/>
  <c r="G495" i="7"/>
  <c r="F495" i="7"/>
  <c r="E495" i="7"/>
  <c r="D495" i="7"/>
  <c r="C495" i="7"/>
  <c r="B495" i="7"/>
  <c r="A495" i="7"/>
  <c r="R494" i="7"/>
  <c r="Q494" i="7"/>
  <c r="P494" i="7"/>
  <c r="O494" i="7"/>
  <c r="N494" i="7"/>
  <c r="M494" i="7"/>
  <c r="L494" i="7"/>
  <c r="K494" i="7"/>
  <c r="J494" i="7"/>
  <c r="I494" i="7"/>
  <c r="H494" i="7"/>
  <c r="G494" i="7"/>
  <c r="F494" i="7"/>
  <c r="E494" i="7"/>
  <c r="D494" i="7"/>
  <c r="C494" i="7"/>
  <c r="B494" i="7"/>
  <c r="A494" i="7"/>
  <c r="R493" i="7"/>
  <c r="Q493" i="7"/>
  <c r="P493" i="7"/>
  <c r="O493" i="7"/>
  <c r="N493" i="7"/>
  <c r="M493" i="7"/>
  <c r="L493" i="7"/>
  <c r="K493" i="7"/>
  <c r="J493" i="7"/>
  <c r="I493" i="7"/>
  <c r="H493" i="7"/>
  <c r="G493" i="7"/>
  <c r="F493" i="7"/>
  <c r="E493" i="7"/>
  <c r="D493" i="7"/>
  <c r="C493" i="7"/>
  <c r="B493" i="7"/>
  <c r="A493" i="7"/>
  <c r="R492" i="7"/>
  <c r="Q492" i="7"/>
  <c r="P492" i="7"/>
  <c r="O492" i="7"/>
  <c r="N492" i="7"/>
  <c r="M492" i="7"/>
  <c r="L492" i="7"/>
  <c r="K492" i="7"/>
  <c r="J492" i="7"/>
  <c r="I492" i="7"/>
  <c r="H492" i="7"/>
  <c r="G492" i="7"/>
  <c r="F492" i="7"/>
  <c r="E492" i="7"/>
  <c r="D492" i="7"/>
  <c r="C492" i="7"/>
  <c r="B492" i="7"/>
  <c r="A492" i="7"/>
  <c r="R491" i="7"/>
  <c r="Q491" i="7"/>
  <c r="P491" i="7"/>
  <c r="O491" i="7"/>
  <c r="N491" i="7"/>
  <c r="M491" i="7"/>
  <c r="L491" i="7"/>
  <c r="K491" i="7"/>
  <c r="J491" i="7"/>
  <c r="I491" i="7"/>
  <c r="H491" i="7"/>
  <c r="G491" i="7"/>
  <c r="F491" i="7"/>
  <c r="E491" i="7"/>
  <c r="D491" i="7"/>
  <c r="C491" i="7"/>
  <c r="B491" i="7"/>
  <c r="A491" i="7"/>
  <c r="R490" i="7"/>
  <c r="Q490" i="7"/>
  <c r="P490" i="7"/>
  <c r="O490" i="7"/>
  <c r="N490" i="7"/>
  <c r="M490" i="7"/>
  <c r="L490" i="7"/>
  <c r="K490" i="7"/>
  <c r="J490" i="7"/>
  <c r="I490" i="7"/>
  <c r="H490" i="7"/>
  <c r="G490" i="7"/>
  <c r="F490" i="7"/>
  <c r="E490" i="7"/>
  <c r="D490" i="7"/>
  <c r="C490" i="7"/>
  <c r="B490" i="7"/>
  <c r="A490" i="7"/>
  <c r="R489" i="7"/>
  <c r="Q489" i="7"/>
  <c r="P489" i="7"/>
  <c r="O489" i="7"/>
  <c r="N489" i="7"/>
  <c r="M489" i="7"/>
  <c r="L489" i="7"/>
  <c r="K489" i="7"/>
  <c r="J489" i="7"/>
  <c r="I489" i="7"/>
  <c r="H489" i="7"/>
  <c r="G489" i="7"/>
  <c r="F489" i="7"/>
  <c r="E489" i="7"/>
  <c r="D489" i="7"/>
  <c r="C489" i="7"/>
  <c r="B489" i="7"/>
  <c r="A489" i="7"/>
  <c r="R488" i="7"/>
  <c r="Q488" i="7"/>
  <c r="P488" i="7"/>
  <c r="O488" i="7"/>
  <c r="N488" i="7"/>
  <c r="M488" i="7"/>
  <c r="L488" i="7"/>
  <c r="K488" i="7"/>
  <c r="J488" i="7"/>
  <c r="I488" i="7"/>
  <c r="H488" i="7"/>
  <c r="G488" i="7"/>
  <c r="F488" i="7"/>
  <c r="E488" i="7"/>
  <c r="D488" i="7"/>
  <c r="C488" i="7"/>
  <c r="B488" i="7"/>
  <c r="A488" i="7"/>
  <c r="R487" i="7"/>
  <c r="Q487" i="7"/>
  <c r="P487" i="7"/>
  <c r="O487" i="7"/>
  <c r="N487" i="7"/>
  <c r="M487" i="7"/>
  <c r="L487" i="7"/>
  <c r="K487" i="7"/>
  <c r="J487" i="7"/>
  <c r="I487" i="7"/>
  <c r="H487" i="7"/>
  <c r="G487" i="7"/>
  <c r="F487" i="7"/>
  <c r="E487" i="7"/>
  <c r="D487" i="7"/>
  <c r="C487" i="7"/>
  <c r="B487" i="7"/>
  <c r="A487" i="7"/>
  <c r="R486" i="7"/>
  <c r="Q486" i="7"/>
  <c r="P486" i="7"/>
  <c r="O486" i="7"/>
  <c r="N486" i="7"/>
  <c r="M486" i="7"/>
  <c r="L486" i="7"/>
  <c r="K486" i="7"/>
  <c r="J486" i="7"/>
  <c r="I486" i="7"/>
  <c r="H486" i="7"/>
  <c r="G486" i="7"/>
  <c r="F486" i="7"/>
  <c r="E486" i="7"/>
  <c r="D486" i="7"/>
  <c r="C486" i="7"/>
  <c r="B486" i="7"/>
  <c r="A486" i="7"/>
  <c r="R485" i="7"/>
  <c r="Q485" i="7"/>
  <c r="P485" i="7"/>
  <c r="O485" i="7"/>
  <c r="N485" i="7"/>
  <c r="M485" i="7"/>
  <c r="L485" i="7"/>
  <c r="K485" i="7"/>
  <c r="J485" i="7"/>
  <c r="I485" i="7"/>
  <c r="H485" i="7"/>
  <c r="G485" i="7"/>
  <c r="F485" i="7"/>
  <c r="E485" i="7"/>
  <c r="D485" i="7"/>
  <c r="C485" i="7"/>
  <c r="B485" i="7"/>
  <c r="A485" i="7"/>
  <c r="R484" i="7"/>
  <c r="Q484" i="7"/>
  <c r="P484" i="7"/>
  <c r="O484" i="7"/>
  <c r="N484" i="7"/>
  <c r="M484" i="7"/>
  <c r="L484" i="7"/>
  <c r="K484" i="7"/>
  <c r="J484" i="7"/>
  <c r="I484" i="7"/>
  <c r="H484" i="7"/>
  <c r="G484" i="7"/>
  <c r="F484" i="7"/>
  <c r="E484" i="7"/>
  <c r="D484" i="7"/>
  <c r="C484" i="7"/>
  <c r="B484" i="7"/>
  <c r="A484" i="7"/>
  <c r="R483" i="7"/>
  <c r="Q483" i="7"/>
  <c r="P483" i="7"/>
  <c r="O483" i="7"/>
  <c r="N483" i="7"/>
  <c r="M483" i="7"/>
  <c r="L483" i="7"/>
  <c r="K483" i="7"/>
  <c r="J483" i="7"/>
  <c r="I483" i="7"/>
  <c r="H483" i="7"/>
  <c r="G483" i="7"/>
  <c r="F483" i="7"/>
  <c r="E483" i="7"/>
  <c r="D483" i="7"/>
  <c r="C483" i="7"/>
  <c r="B483" i="7"/>
  <c r="A483" i="7"/>
  <c r="R482" i="7"/>
  <c r="Q482" i="7"/>
  <c r="P482" i="7"/>
  <c r="O482" i="7"/>
  <c r="N482" i="7"/>
  <c r="M482" i="7"/>
  <c r="L482" i="7"/>
  <c r="K482" i="7"/>
  <c r="J482" i="7"/>
  <c r="I482" i="7"/>
  <c r="H482" i="7"/>
  <c r="G482" i="7"/>
  <c r="F482" i="7"/>
  <c r="E482" i="7"/>
  <c r="D482" i="7"/>
  <c r="C482" i="7"/>
  <c r="B482" i="7"/>
  <c r="A482" i="7"/>
  <c r="R481" i="7"/>
  <c r="Q481" i="7"/>
  <c r="P481" i="7"/>
  <c r="O481" i="7"/>
  <c r="N481" i="7"/>
  <c r="M481" i="7"/>
  <c r="L481" i="7"/>
  <c r="K481" i="7"/>
  <c r="J481" i="7"/>
  <c r="I481" i="7"/>
  <c r="H481" i="7"/>
  <c r="G481" i="7"/>
  <c r="F481" i="7"/>
  <c r="E481" i="7"/>
  <c r="D481" i="7"/>
  <c r="C481" i="7"/>
  <c r="B481" i="7"/>
  <c r="A481" i="7"/>
  <c r="R480" i="7"/>
  <c r="Q480" i="7"/>
  <c r="P480" i="7"/>
  <c r="O480" i="7"/>
  <c r="N480" i="7"/>
  <c r="M480" i="7"/>
  <c r="L480" i="7"/>
  <c r="K480" i="7"/>
  <c r="J480" i="7"/>
  <c r="I480" i="7"/>
  <c r="H480" i="7"/>
  <c r="G480" i="7"/>
  <c r="F480" i="7"/>
  <c r="E480" i="7"/>
  <c r="D480" i="7"/>
  <c r="C480" i="7"/>
  <c r="B480" i="7"/>
  <c r="A480" i="7"/>
  <c r="R479" i="7"/>
  <c r="Q479" i="7"/>
  <c r="P479" i="7"/>
  <c r="O479" i="7"/>
  <c r="N479" i="7"/>
  <c r="M479" i="7"/>
  <c r="L479" i="7"/>
  <c r="K479" i="7"/>
  <c r="J479" i="7"/>
  <c r="I479" i="7"/>
  <c r="H479" i="7"/>
  <c r="G479" i="7"/>
  <c r="F479" i="7"/>
  <c r="E479" i="7"/>
  <c r="D479" i="7"/>
  <c r="C479" i="7"/>
  <c r="B479" i="7"/>
  <c r="A479" i="7"/>
  <c r="R478" i="7"/>
  <c r="Q478" i="7"/>
  <c r="P478" i="7"/>
  <c r="O478" i="7"/>
  <c r="N478" i="7"/>
  <c r="M478" i="7"/>
  <c r="L478" i="7"/>
  <c r="K478" i="7"/>
  <c r="J478" i="7"/>
  <c r="I478" i="7"/>
  <c r="H478" i="7"/>
  <c r="G478" i="7"/>
  <c r="F478" i="7"/>
  <c r="E478" i="7"/>
  <c r="D478" i="7"/>
  <c r="C478" i="7"/>
  <c r="B478" i="7"/>
  <c r="A478" i="7"/>
  <c r="R477" i="7"/>
  <c r="Q477" i="7"/>
  <c r="P477" i="7"/>
  <c r="O477" i="7"/>
  <c r="N477" i="7"/>
  <c r="M477" i="7"/>
  <c r="L477" i="7"/>
  <c r="K477" i="7"/>
  <c r="J477" i="7"/>
  <c r="I477" i="7"/>
  <c r="H477" i="7"/>
  <c r="G477" i="7"/>
  <c r="F477" i="7"/>
  <c r="E477" i="7"/>
  <c r="D477" i="7"/>
  <c r="C477" i="7"/>
  <c r="B477" i="7"/>
  <c r="A477" i="7"/>
  <c r="R476" i="7"/>
  <c r="Q476" i="7"/>
  <c r="P476" i="7"/>
  <c r="O476" i="7"/>
  <c r="N476" i="7"/>
  <c r="M476" i="7"/>
  <c r="L476" i="7"/>
  <c r="K476" i="7"/>
  <c r="J476" i="7"/>
  <c r="I476" i="7"/>
  <c r="H476" i="7"/>
  <c r="G476" i="7"/>
  <c r="F476" i="7"/>
  <c r="E476" i="7"/>
  <c r="D476" i="7"/>
  <c r="C476" i="7"/>
  <c r="B476" i="7"/>
  <c r="A476" i="7"/>
  <c r="R475" i="7"/>
  <c r="Q475" i="7"/>
  <c r="P475" i="7"/>
  <c r="O475" i="7"/>
  <c r="N475" i="7"/>
  <c r="M475" i="7"/>
  <c r="L475" i="7"/>
  <c r="K475" i="7"/>
  <c r="J475" i="7"/>
  <c r="I475" i="7"/>
  <c r="H475" i="7"/>
  <c r="G475" i="7"/>
  <c r="F475" i="7"/>
  <c r="E475" i="7"/>
  <c r="D475" i="7"/>
  <c r="C475" i="7"/>
  <c r="B475" i="7"/>
  <c r="A475" i="7"/>
  <c r="R474" i="7"/>
  <c r="Q474" i="7"/>
  <c r="P474" i="7"/>
  <c r="O474" i="7"/>
  <c r="N474" i="7"/>
  <c r="M474" i="7"/>
  <c r="L474" i="7"/>
  <c r="K474" i="7"/>
  <c r="J474" i="7"/>
  <c r="I474" i="7"/>
  <c r="H474" i="7"/>
  <c r="G474" i="7"/>
  <c r="F474" i="7"/>
  <c r="E474" i="7"/>
  <c r="D474" i="7"/>
  <c r="C474" i="7"/>
  <c r="B474" i="7"/>
  <c r="A474" i="7"/>
  <c r="R473" i="7"/>
  <c r="Q473" i="7"/>
  <c r="P473" i="7"/>
  <c r="O473" i="7"/>
  <c r="N473" i="7"/>
  <c r="M473" i="7"/>
  <c r="L473" i="7"/>
  <c r="K473" i="7"/>
  <c r="J473" i="7"/>
  <c r="I473" i="7"/>
  <c r="H473" i="7"/>
  <c r="G473" i="7"/>
  <c r="F473" i="7"/>
  <c r="E473" i="7"/>
  <c r="D473" i="7"/>
  <c r="C473" i="7"/>
  <c r="B473" i="7"/>
  <c r="A473" i="7"/>
  <c r="R472" i="7"/>
  <c r="Q472" i="7"/>
  <c r="P472" i="7"/>
  <c r="O472" i="7"/>
  <c r="N472" i="7"/>
  <c r="M472" i="7"/>
  <c r="L472" i="7"/>
  <c r="K472" i="7"/>
  <c r="J472" i="7"/>
  <c r="I472" i="7"/>
  <c r="H472" i="7"/>
  <c r="G472" i="7"/>
  <c r="F472" i="7"/>
  <c r="E472" i="7"/>
  <c r="D472" i="7"/>
  <c r="C472" i="7"/>
  <c r="B472" i="7"/>
  <c r="A472" i="7"/>
  <c r="R471" i="7"/>
  <c r="Q471" i="7"/>
  <c r="P471" i="7"/>
  <c r="O471" i="7"/>
  <c r="N471" i="7"/>
  <c r="M471" i="7"/>
  <c r="L471" i="7"/>
  <c r="K471" i="7"/>
  <c r="J471" i="7"/>
  <c r="I471" i="7"/>
  <c r="H471" i="7"/>
  <c r="G471" i="7"/>
  <c r="F471" i="7"/>
  <c r="E471" i="7"/>
  <c r="D471" i="7"/>
  <c r="C471" i="7"/>
  <c r="B471" i="7"/>
  <c r="A471" i="7"/>
  <c r="R470" i="7"/>
  <c r="Q470" i="7"/>
  <c r="P470" i="7"/>
  <c r="O470" i="7"/>
  <c r="N470" i="7"/>
  <c r="M470" i="7"/>
  <c r="L470" i="7"/>
  <c r="K470" i="7"/>
  <c r="J470" i="7"/>
  <c r="I470" i="7"/>
  <c r="H470" i="7"/>
  <c r="G470" i="7"/>
  <c r="F470" i="7"/>
  <c r="E470" i="7"/>
  <c r="D470" i="7"/>
  <c r="C470" i="7"/>
  <c r="B470" i="7"/>
  <c r="A470" i="7"/>
  <c r="R469" i="7"/>
  <c r="Q469" i="7"/>
  <c r="P469" i="7"/>
  <c r="O469" i="7"/>
  <c r="N469" i="7"/>
  <c r="M469" i="7"/>
  <c r="L469" i="7"/>
  <c r="K469" i="7"/>
  <c r="J469" i="7"/>
  <c r="I469" i="7"/>
  <c r="H469" i="7"/>
  <c r="G469" i="7"/>
  <c r="F469" i="7"/>
  <c r="E469" i="7"/>
  <c r="D469" i="7"/>
  <c r="C469" i="7"/>
  <c r="B469" i="7"/>
  <c r="A469" i="7"/>
  <c r="R468" i="7"/>
  <c r="Q468" i="7"/>
  <c r="P468" i="7"/>
  <c r="O468" i="7"/>
  <c r="N468" i="7"/>
  <c r="M468" i="7"/>
  <c r="L468" i="7"/>
  <c r="K468" i="7"/>
  <c r="J468" i="7"/>
  <c r="I468" i="7"/>
  <c r="H468" i="7"/>
  <c r="G468" i="7"/>
  <c r="F468" i="7"/>
  <c r="E468" i="7"/>
  <c r="D468" i="7"/>
  <c r="C468" i="7"/>
  <c r="B468" i="7"/>
  <c r="A468" i="7"/>
  <c r="R467" i="7"/>
  <c r="Q467" i="7"/>
  <c r="P467" i="7"/>
  <c r="O467" i="7"/>
  <c r="N467" i="7"/>
  <c r="M467" i="7"/>
  <c r="L467" i="7"/>
  <c r="K467" i="7"/>
  <c r="J467" i="7"/>
  <c r="I467" i="7"/>
  <c r="H467" i="7"/>
  <c r="G467" i="7"/>
  <c r="F467" i="7"/>
  <c r="E467" i="7"/>
  <c r="D467" i="7"/>
  <c r="C467" i="7"/>
  <c r="B467" i="7"/>
  <c r="A467" i="7"/>
  <c r="R466" i="7"/>
  <c r="Q466" i="7"/>
  <c r="P466" i="7"/>
  <c r="O466" i="7"/>
  <c r="N466" i="7"/>
  <c r="M466" i="7"/>
  <c r="L466" i="7"/>
  <c r="K466" i="7"/>
  <c r="J466" i="7"/>
  <c r="I466" i="7"/>
  <c r="H466" i="7"/>
  <c r="G466" i="7"/>
  <c r="F466" i="7"/>
  <c r="E466" i="7"/>
  <c r="D466" i="7"/>
  <c r="C466" i="7"/>
  <c r="B466" i="7"/>
  <c r="A466" i="7"/>
  <c r="R465" i="7"/>
  <c r="Q465" i="7"/>
  <c r="P465" i="7"/>
  <c r="O465" i="7"/>
  <c r="N465" i="7"/>
  <c r="M465" i="7"/>
  <c r="L465" i="7"/>
  <c r="K465" i="7"/>
  <c r="J465" i="7"/>
  <c r="I465" i="7"/>
  <c r="H465" i="7"/>
  <c r="G465" i="7"/>
  <c r="F465" i="7"/>
  <c r="E465" i="7"/>
  <c r="D465" i="7"/>
  <c r="C465" i="7"/>
  <c r="B465" i="7"/>
  <c r="A465" i="7"/>
  <c r="R464" i="7"/>
  <c r="Q464" i="7"/>
  <c r="P464" i="7"/>
  <c r="O464" i="7"/>
  <c r="N464" i="7"/>
  <c r="M464" i="7"/>
  <c r="L464" i="7"/>
  <c r="K464" i="7"/>
  <c r="J464" i="7"/>
  <c r="I464" i="7"/>
  <c r="H464" i="7"/>
  <c r="G464" i="7"/>
  <c r="F464" i="7"/>
  <c r="E464" i="7"/>
  <c r="D464" i="7"/>
  <c r="C464" i="7"/>
  <c r="B464" i="7"/>
  <c r="A464" i="7"/>
  <c r="R463" i="7"/>
  <c r="Q463" i="7"/>
  <c r="P463" i="7"/>
  <c r="O463" i="7"/>
  <c r="N463" i="7"/>
  <c r="M463" i="7"/>
  <c r="L463" i="7"/>
  <c r="K463" i="7"/>
  <c r="J463" i="7"/>
  <c r="I463" i="7"/>
  <c r="H463" i="7"/>
  <c r="G463" i="7"/>
  <c r="F463" i="7"/>
  <c r="E463" i="7"/>
  <c r="D463" i="7"/>
  <c r="C463" i="7"/>
  <c r="B463" i="7"/>
  <c r="A463" i="7"/>
  <c r="R462" i="7"/>
  <c r="Q462" i="7"/>
  <c r="P462" i="7"/>
  <c r="O462" i="7"/>
  <c r="N462" i="7"/>
  <c r="M462" i="7"/>
  <c r="L462" i="7"/>
  <c r="K462" i="7"/>
  <c r="J462" i="7"/>
  <c r="I462" i="7"/>
  <c r="H462" i="7"/>
  <c r="G462" i="7"/>
  <c r="F462" i="7"/>
  <c r="E462" i="7"/>
  <c r="D462" i="7"/>
  <c r="C462" i="7"/>
  <c r="B462" i="7"/>
  <c r="A462" i="7"/>
  <c r="R461" i="7"/>
  <c r="Q461" i="7"/>
  <c r="P461" i="7"/>
  <c r="O461" i="7"/>
  <c r="N461" i="7"/>
  <c r="M461" i="7"/>
  <c r="L461" i="7"/>
  <c r="K461" i="7"/>
  <c r="J461" i="7"/>
  <c r="I461" i="7"/>
  <c r="H461" i="7"/>
  <c r="G461" i="7"/>
  <c r="F461" i="7"/>
  <c r="E461" i="7"/>
  <c r="D461" i="7"/>
  <c r="C461" i="7"/>
  <c r="B461" i="7"/>
  <c r="A461" i="7"/>
  <c r="R460" i="7"/>
  <c r="Q460" i="7"/>
  <c r="P460" i="7"/>
  <c r="O460" i="7"/>
  <c r="N460" i="7"/>
  <c r="M460" i="7"/>
  <c r="L460" i="7"/>
  <c r="K460" i="7"/>
  <c r="J460" i="7"/>
  <c r="I460" i="7"/>
  <c r="H460" i="7"/>
  <c r="G460" i="7"/>
  <c r="F460" i="7"/>
  <c r="E460" i="7"/>
  <c r="D460" i="7"/>
  <c r="C460" i="7"/>
  <c r="B460" i="7"/>
  <c r="A460" i="7"/>
  <c r="R459" i="7"/>
  <c r="Q459" i="7"/>
  <c r="P459" i="7"/>
  <c r="O459" i="7"/>
  <c r="N459" i="7"/>
  <c r="M459" i="7"/>
  <c r="L459" i="7"/>
  <c r="K459" i="7"/>
  <c r="J459" i="7"/>
  <c r="I459" i="7"/>
  <c r="H459" i="7"/>
  <c r="G459" i="7"/>
  <c r="F459" i="7"/>
  <c r="E459" i="7"/>
  <c r="D459" i="7"/>
  <c r="C459" i="7"/>
  <c r="B459" i="7"/>
  <c r="A459" i="7"/>
  <c r="R458" i="7"/>
  <c r="Q458" i="7"/>
  <c r="P458" i="7"/>
  <c r="O458" i="7"/>
  <c r="N458" i="7"/>
  <c r="M458" i="7"/>
  <c r="L458" i="7"/>
  <c r="K458" i="7"/>
  <c r="J458" i="7"/>
  <c r="I458" i="7"/>
  <c r="H458" i="7"/>
  <c r="G458" i="7"/>
  <c r="F458" i="7"/>
  <c r="E458" i="7"/>
  <c r="D458" i="7"/>
  <c r="C458" i="7"/>
  <c r="B458" i="7"/>
  <c r="A458" i="7"/>
  <c r="R457" i="7"/>
  <c r="Q457" i="7"/>
  <c r="P457" i="7"/>
  <c r="O457" i="7"/>
  <c r="N457" i="7"/>
  <c r="M457" i="7"/>
  <c r="L457" i="7"/>
  <c r="K457" i="7"/>
  <c r="J457" i="7"/>
  <c r="I457" i="7"/>
  <c r="H457" i="7"/>
  <c r="G457" i="7"/>
  <c r="F457" i="7"/>
  <c r="E457" i="7"/>
  <c r="D457" i="7"/>
  <c r="C457" i="7"/>
  <c r="B457" i="7"/>
  <c r="A457" i="7"/>
  <c r="R456" i="7"/>
  <c r="Q456" i="7"/>
  <c r="P456" i="7"/>
  <c r="O456" i="7"/>
  <c r="N456" i="7"/>
  <c r="M456" i="7"/>
  <c r="L456" i="7"/>
  <c r="K456" i="7"/>
  <c r="J456" i="7"/>
  <c r="I456" i="7"/>
  <c r="H456" i="7"/>
  <c r="G456" i="7"/>
  <c r="F456" i="7"/>
  <c r="E456" i="7"/>
  <c r="D456" i="7"/>
  <c r="C456" i="7"/>
  <c r="B456" i="7"/>
  <c r="A456" i="7"/>
  <c r="R455" i="7"/>
  <c r="Q455" i="7"/>
  <c r="P455" i="7"/>
  <c r="O455" i="7"/>
  <c r="N455" i="7"/>
  <c r="M455" i="7"/>
  <c r="L455" i="7"/>
  <c r="K455" i="7"/>
  <c r="J455" i="7"/>
  <c r="I455" i="7"/>
  <c r="H455" i="7"/>
  <c r="G455" i="7"/>
  <c r="F455" i="7"/>
  <c r="E455" i="7"/>
  <c r="D455" i="7"/>
  <c r="C455" i="7"/>
  <c r="B455" i="7"/>
  <c r="A455" i="7"/>
  <c r="R454" i="7"/>
  <c r="Q454" i="7"/>
  <c r="P454" i="7"/>
  <c r="O454" i="7"/>
  <c r="N454" i="7"/>
  <c r="M454" i="7"/>
  <c r="L454" i="7"/>
  <c r="K454" i="7"/>
  <c r="J454" i="7"/>
  <c r="I454" i="7"/>
  <c r="H454" i="7"/>
  <c r="G454" i="7"/>
  <c r="F454" i="7"/>
  <c r="E454" i="7"/>
  <c r="D454" i="7"/>
  <c r="C454" i="7"/>
  <c r="B454" i="7"/>
  <c r="A454" i="7"/>
  <c r="R453" i="7"/>
  <c r="Q453" i="7"/>
  <c r="P453" i="7"/>
  <c r="O453" i="7"/>
  <c r="N453" i="7"/>
  <c r="M453" i="7"/>
  <c r="L453" i="7"/>
  <c r="K453" i="7"/>
  <c r="J453" i="7"/>
  <c r="I453" i="7"/>
  <c r="H453" i="7"/>
  <c r="G453" i="7"/>
  <c r="F453" i="7"/>
  <c r="E453" i="7"/>
  <c r="D453" i="7"/>
  <c r="C453" i="7"/>
  <c r="B453" i="7"/>
  <c r="A453" i="7"/>
  <c r="R452" i="7"/>
  <c r="Q452" i="7"/>
  <c r="P452" i="7"/>
  <c r="O452" i="7"/>
  <c r="N452" i="7"/>
  <c r="M452" i="7"/>
  <c r="L452" i="7"/>
  <c r="K452" i="7"/>
  <c r="J452" i="7"/>
  <c r="I452" i="7"/>
  <c r="H452" i="7"/>
  <c r="G452" i="7"/>
  <c r="F452" i="7"/>
  <c r="E452" i="7"/>
  <c r="D452" i="7"/>
  <c r="C452" i="7"/>
  <c r="B452" i="7"/>
  <c r="A452" i="7"/>
  <c r="R451" i="7"/>
  <c r="Q451" i="7"/>
  <c r="P451" i="7"/>
  <c r="O451" i="7"/>
  <c r="N451" i="7"/>
  <c r="M451" i="7"/>
  <c r="L451" i="7"/>
  <c r="K451" i="7"/>
  <c r="J451" i="7"/>
  <c r="I451" i="7"/>
  <c r="H451" i="7"/>
  <c r="G451" i="7"/>
  <c r="F451" i="7"/>
  <c r="E451" i="7"/>
  <c r="D451" i="7"/>
  <c r="C451" i="7"/>
  <c r="B451" i="7"/>
  <c r="A451" i="7"/>
  <c r="R450" i="7"/>
  <c r="Q450" i="7"/>
  <c r="P450" i="7"/>
  <c r="O450" i="7"/>
  <c r="N450" i="7"/>
  <c r="M450" i="7"/>
  <c r="L450" i="7"/>
  <c r="K450" i="7"/>
  <c r="J450" i="7"/>
  <c r="I450" i="7"/>
  <c r="H450" i="7"/>
  <c r="G450" i="7"/>
  <c r="F450" i="7"/>
  <c r="E450" i="7"/>
  <c r="D450" i="7"/>
  <c r="C450" i="7"/>
  <c r="B450" i="7"/>
  <c r="A450" i="7"/>
  <c r="R449" i="7"/>
  <c r="Q449" i="7"/>
  <c r="P449" i="7"/>
  <c r="O449" i="7"/>
  <c r="N449" i="7"/>
  <c r="M449" i="7"/>
  <c r="L449" i="7"/>
  <c r="K449" i="7"/>
  <c r="J449" i="7"/>
  <c r="I449" i="7"/>
  <c r="H449" i="7"/>
  <c r="G449" i="7"/>
  <c r="F449" i="7"/>
  <c r="E449" i="7"/>
  <c r="D449" i="7"/>
  <c r="C449" i="7"/>
  <c r="B449" i="7"/>
  <c r="A449" i="7"/>
  <c r="R448" i="7"/>
  <c r="Q448" i="7"/>
  <c r="P448" i="7"/>
  <c r="O448" i="7"/>
  <c r="N448" i="7"/>
  <c r="M448" i="7"/>
  <c r="L448" i="7"/>
  <c r="K448" i="7"/>
  <c r="J448" i="7"/>
  <c r="I448" i="7"/>
  <c r="H448" i="7"/>
  <c r="G448" i="7"/>
  <c r="F448" i="7"/>
  <c r="E448" i="7"/>
  <c r="D448" i="7"/>
  <c r="C448" i="7"/>
  <c r="B448" i="7"/>
  <c r="A448" i="7"/>
  <c r="R447" i="7"/>
  <c r="Q447" i="7"/>
  <c r="P447" i="7"/>
  <c r="O447" i="7"/>
  <c r="N447" i="7"/>
  <c r="M447" i="7"/>
  <c r="L447" i="7"/>
  <c r="K447" i="7"/>
  <c r="J447" i="7"/>
  <c r="I447" i="7"/>
  <c r="H447" i="7"/>
  <c r="G447" i="7"/>
  <c r="F447" i="7"/>
  <c r="E447" i="7"/>
  <c r="D447" i="7"/>
  <c r="C447" i="7"/>
  <c r="B447" i="7"/>
  <c r="A447" i="7"/>
  <c r="R446" i="7"/>
  <c r="Q446" i="7"/>
  <c r="P446" i="7"/>
  <c r="O446" i="7"/>
  <c r="N446" i="7"/>
  <c r="M446" i="7"/>
  <c r="L446" i="7"/>
  <c r="K446" i="7"/>
  <c r="J446" i="7"/>
  <c r="I446" i="7"/>
  <c r="H446" i="7"/>
  <c r="G446" i="7"/>
  <c r="F446" i="7"/>
  <c r="E446" i="7"/>
  <c r="D446" i="7"/>
  <c r="C446" i="7"/>
  <c r="B446" i="7"/>
  <c r="A446" i="7"/>
  <c r="R445" i="7"/>
  <c r="Q445" i="7"/>
  <c r="P445" i="7"/>
  <c r="O445" i="7"/>
  <c r="N445" i="7"/>
  <c r="M445" i="7"/>
  <c r="L445" i="7"/>
  <c r="K445" i="7"/>
  <c r="J445" i="7"/>
  <c r="I445" i="7"/>
  <c r="H445" i="7"/>
  <c r="G445" i="7"/>
  <c r="F445" i="7"/>
  <c r="E445" i="7"/>
  <c r="D445" i="7"/>
  <c r="C445" i="7"/>
  <c r="B445" i="7"/>
  <c r="A445" i="7"/>
  <c r="R444" i="7"/>
  <c r="Q444" i="7"/>
  <c r="P444" i="7"/>
  <c r="O444" i="7"/>
  <c r="N444" i="7"/>
  <c r="M444" i="7"/>
  <c r="L444" i="7"/>
  <c r="K444" i="7"/>
  <c r="J444" i="7"/>
  <c r="I444" i="7"/>
  <c r="H444" i="7"/>
  <c r="G444" i="7"/>
  <c r="F444" i="7"/>
  <c r="E444" i="7"/>
  <c r="D444" i="7"/>
  <c r="C444" i="7"/>
  <c r="B444" i="7"/>
  <c r="A444" i="7"/>
  <c r="R443" i="7"/>
  <c r="Q443" i="7"/>
  <c r="P443" i="7"/>
  <c r="O443" i="7"/>
  <c r="N443" i="7"/>
  <c r="M443" i="7"/>
  <c r="L443" i="7"/>
  <c r="K443" i="7"/>
  <c r="J443" i="7"/>
  <c r="I443" i="7"/>
  <c r="H443" i="7"/>
  <c r="G443" i="7"/>
  <c r="F443" i="7"/>
  <c r="E443" i="7"/>
  <c r="D443" i="7"/>
  <c r="C443" i="7"/>
  <c r="B443" i="7"/>
  <c r="A443" i="7"/>
  <c r="R442" i="7"/>
  <c r="Q442" i="7"/>
  <c r="P442" i="7"/>
  <c r="O442" i="7"/>
  <c r="N442" i="7"/>
  <c r="M442" i="7"/>
  <c r="L442" i="7"/>
  <c r="K442" i="7"/>
  <c r="J442" i="7"/>
  <c r="I442" i="7"/>
  <c r="H442" i="7"/>
  <c r="G442" i="7"/>
  <c r="F442" i="7"/>
  <c r="E442" i="7"/>
  <c r="D442" i="7"/>
  <c r="C442" i="7"/>
  <c r="B442" i="7"/>
  <c r="A442" i="7"/>
  <c r="R441" i="7"/>
  <c r="Q441" i="7"/>
  <c r="P441" i="7"/>
  <c r="O441" i="7"/>
  <c r="N441" i="7"/>
  <c r="M441" i="7"/>
  <c r="L441" i="7"/>
  <c r="K441" i="7"/>
  <c r="J441" i="7"/>
  <c r="I441" i="7"/>
  <c r="H441" i="7"/>
  <c r="G441" i="7"/>
  <c r="F441" i="7"/>
  <c r="E441" i="7"/>
  <c r="D441" i="7"/>
  <c r="C441" i="7"/>
  <c r="B441" i="7"/>
  <c r="A441" i="7"/>
  <c r="R440" i="7"/>
  <c r="Q440" i="7"/>
  <c r="P440" i="7"/>
  <c r="O440" i="7"/>
  <c r="N440" i="7"/>
  <c r="M440" i="7"/>
  <c r="L440" i="7"/>
  <c r="K440" i="7"/>
  <c r="J440" i="7"/>
  <c r="I440" i="7"/>
  <c r="H440" i="7"/>
  <c r="G440" i="7"/>
  <c r="F440" i="7"/>
  <c r="E440" i="7"/>
  <c r="D440" i="7"/>
  <c r="C440" i="7"/>
  <c r="B440" i="7"/>
  <c r="A440" i="7"/>
  <c r="R439" i="7"/>
  <c r="Q439" i="7"/>
  <c r="P439" i="7"/>
  <c r="O439" i="7"/>
  <c r="N439" i="7"/>
  <c r="M439" i="7"/>
  <c r="L439" i="7"/>
  <c r="K439" i="7"/>
  <c r="J439" i="7"/>
  <c r="I439" i="7"/>
  <c r="H439" i="7"/>
  <c r="G439" i="7"/>
  <c r="F439" i="7"/>
  <c r="E439" i="7"/>
  <c r="D439" i="7"/>
  <c r="C439" i="7"/>
  <c r="B439" i="7"/>
  <c r="A439" i="7"/>
  <c r="R438" i="7"/>
  <c r="Q438" i="7"/>
  <c r="P438" i="7"/>
  <c r="O438" i="7"/>
  <c r="N438" i="7"/>
  <c r="M438" i="7"/>
  <c r="L438" i="7"/>
  <c r="K438" i="7"/>
  <c r="J438" i="7"/>
  <c r="I438" i="7"/>
  <c r="H438" i="7"/>
  <c r="G438" i="7"/>
  <c r="F438" i="7"/>
  <c r="E438" i="7"/>
  <c r="D438" i="7"/>
  <c r="C438" i="7"/>
  <c r="B438" i="7"/>
  <c r="A438" i="7"/>
  <c r="R437" i="7"/>
  <c r="Q437" i="7"/>
  <c r="P437" i="7"/>
  <c r="O437" i="7"/>
  <c r="N437" i="7"/>
  <c r="M437" i="7"/>
  <c r="L437" i="7"/>
  <c r="K437" i="7"/>
  <c r="J437" i="7"/>
  <c r="I437" i="7"/>
  <c r="H437" i="7"/>
  <c r="G437" i="7"/>
  <c r="F437" i="7"/>
  <c r="E437" i="7"/>
  <c r="D437" i="7"/>
  <c r="C437" i="7"/>
  <c r="B437" i="7"/>
  <c r="A437" i="7"/>
  <c r="R436" i="7"/>
  <c r="Q436" i="7"/>
  <c r="P436" i="7"/>
  <c r="O436" i="7"/>
  <c r="N436" i="7"/>
  <c r="M436" i="7"/>
  <c r="L436" i="7"/>
  <c r="K436" i="7"/>
  <c r="J436" i="7"/>
  <c r="I436" i="7"/>
  <c r="H436" i="7"/>
  <c r="G436" i="7"/>
  <c r="F436" i="7"/>
  <c r="E436" i="7"/>
  <c r="D436" i="7"/>
  <c r="C436" i="7"/>
  <c r="B436" i="7"/>
  <c r="A436" i="7"/>
  <c r="R435" i="7"/>
  <c r="Q435" i="7"/>
  <c r="P435" i="7"/>
  <c r="O435" i="7"/>
  <c r="N435" i="7"/>
  <c r="M435" i="7"/>
  <c r="L435" i="7"/>
  <c r="K435" i="7"/>
  <c r="J435" i="7"/>
  <c r="I435" i="7"/>
  <c r="H435" i="7"/>
  <c r="G435" i="7"/>
  <c r="F435" i="7"/>
  <c r="E435" i="7"/>
  <c r="D435" i="7"/>
  <c r="C435" i="7"/>
  <c r="B435" i="7"/>
  <c r="A435" i="7"/>
  <c r="R434" i="7"/>
  <c r="Q434" i="7"/>
  <c r="P434" i="7"/>
  <c r="O434" i="7"/>
  <c r="N434" i="7"/>
  <c r="M434" i="7"/>
  <c r="L434" i="7"/>
  <c r="K434" i="7"/>
  <c r="J434" i="7"/>
  <c r="I434" i="7"/>
  <c r="H434" i="7"/>
  <c r="G434" i="7"/>
  <c r="F434" i="7"/>
  <c r="E434" i="7"/>
  <c r="D434" i="7"/>
  <c r="C434" i="7"/>
  <c r="B434" i="7"/>
  <c r="A434" i="7"/>
  <c r="R433" i="7"/>
  <c r="Q433" i="7"/>
  <c r="P433" i="7"/>
  <c r="O433" i="7"/>
  <c r="N433" i="7"/>
  <c r="M433" i="7"/>
  <c r="L433" i="7"/>
  <c r="K433" i="7"/>
  <c r="J433" i="7"/>
  <c r="I433" i="7"/>
  <c r="H433" i="7"/>
  <c r="G433" i="7"/>
  <c r="F433" i="7"/>
  <c r="E433" i="7"/>
  <c r="D433" i="7"/>
  <c r="C433" i="7"/>
  <c r="B433" i="7"/>
  <c r="A433" i="7"/>
  <c r="R432" i="7"/>
  <c r="Q432" i="7"/>
  <c r="P432" i="7"/>
  <c r="O432" i="7"/>
  <c r="N432" i="7"/>
  <c r="M432" i="7"/>
  <c r="L432" i="7"/>
  <c r="K432" i="7"/>
  <c r="J432" i="7"/>
  <c r="I432" i="7"/>
  <c r="H432" i="7"/>
  <c r="G432" i="7"/>
  <c r="F432" i="7"/>
  <c r="E432" i="7"/>
  <c r="D432" i="7"/>
  <c r="C432" i="7"/>
  <c r="B432" i="7"/>
  <c r="A432" i="7"/>
  <c r="R431" i="7"/>
  <c r="Q431" i="7"/>
  <c r="P431" i="7"/>
  <c r="O431" i="7"/>
  <c r="N431" i="7"/>
  <c r="M431" i="7"/>
  <c r="L431" i="7"/>
  <c r="K431" i="7"/>
  <c r="J431" i="7"/>
  <c r="I431" i="7"/>
  <c r="H431" i="7"/>
  <c r="G431" i="7"/>
  <c r="F431" i="7"/>
  <c r="E431" i="7"/>
  <c r="D431" i="7"/>
  <c r="C431" i="7"/>
  <c r="B431" i="7"/>
  <c r="A431" i="7"/>
  <c r="R430" i="7"/>
  <c r="Q430" i="7"/>
  <c r="P430" i="7"/>
  <c r="O430" i="7"/>
  <c r="N430" i="7"/>
  <c r="M430" i="7"/>
  <c r="L430" i="7"/>
  <c r="K430" i="7"/>
  <c r="J430" i="7"/>
  <c r="I430" i="7"/>
  <c r="H430" i="7"/>
  <c r="G430" i="7"/>
  <c r="F430" i="7"/>
  <c r="E430" i="7"/>
  <c r="D430" i="7"/>
  <c r="C430" i="7"/>
  <c r="B430" i="7"/>
  <c r="A430" i="7"/>
  <c r="R429" i="7"/>
  <c r="Q429" i="7"/>
  <c r="P429" i="7"/>
  <c r="O429" i="7"/>
  <c r="N429" i="7"/>
  <c r="M429" i="7"/>
  <c r="L429" i="7"/>
  <c r="K429" i="7"/>
  <c r="J429" i="7"/>
  <c r="I429" i="7"/>
  <c r="H429" i="7"/>
  <c r="G429" i="7"/>
  <c r="F429" i="7"/>
  <c r="E429" i="7"/>
  <c r="D429" i="7"/>
  <c r="C429" i="7"/>
  <c r="B429" i="7"/>
  <c r="A429" i="7"/>
  <c r="R428" i="7"/>
  <c r="Q428" i="7"/>
  <c r="P428" i="7"/>
  <c r="O428" i="7"/>
  <c r="N428" i="7"/>
  <c r="M428" i="7"/>
  <c r="L428" i="7"/>
  <c r="K428" i="7"/>
  <c r="J428" i="7"/>
  <c r="I428" i="7"/>
  <c r="H428" i="7"/>
  <c r="G428" i="7"/>
  <c r="F428" i="7"/>
  <c r="E428" i="7"/>
  <c r="D428" i="7"/>
  <c r="C428" i="7"/>
  <c r="B428" i="7"/>
  <c r="A428" i="7"/>
  <c r="R427" i="7"/>
  <c r="Q427" i="7"/>
  <c r="P427" i="7"/>
  <c r="O427" i="7"/>
  <c r="N427" i="7"/>
  <c r="M427" i="7"/>
  <c r="L427" i="7"/>
  <c r="K427" i="7"/>
  <c r="J427" i="7"/>
  <c r="I427" i="7"/>
  <c r="H427" i="7"/>
  <c r="G427" i="7"/>
  <c r="F427" i="7"/>
  <c r="E427" i="7"/>
  <c r="D427" i="7"/>
  <c r="C427" i="7"/>
  <c r="B427" i="7"/>
  <c r="A427" i="7"/>
  <c r="R426" i="7"/>
  <c r="Q426" i="7"/>
  <c r="P426" i="7"/>
  <c r="O426" i="7"/>
  <c r="N426" i="7"/>
  <c r="M426" i="7"/>
  <c r="L426" i="7"/>
  <c r="K426" i="7"/>
  <c r="J426" i="7"/>
  <c r="I426" i="7"/>
  <c r="H426" i="7"/>
  <c r="G426" i="7"/>
  <c r="F426" i="7"/>
  <c r="E426" i="7"/>
  <c r="D426" i="7"/>
  <c r="C426" i="7"/>
  <c r="B426" i="7"/>
  <c r="A426" i="7"/>
  <c r="R425" i="7"/>
  <c r="Q425" i="7"/>
  <c r="P425" i="7"/>
  <c r="O425" i="7"/>
  <c r="N425" i="7"/>
  <c r="M425" i="7"/>
  <c r="L425" i="7"/>
  <c r="K425" i="7"/>
  <c r="J425" i="7"/>
  <c r="I425" i="7"/>
  <c r="H425" i="7"/>
  <c r="G425" i="7"/>
  <c r="F425" i="7"/>
  <c r="E425" i="7"/>
  <c r="D425" i="7"/>
  <c r="C425" i="7"/>
  <c r="B425" i="7"/>
  <c r="A425" i="7"/>
  <c r="R424" i="7"/>
  <c r="Q424" i="7"/>
  <c r="P424" i="7"/>
  <c r="O424" i="7"/>
  <c r="N424" i="7"/>
  <c r="M424" i="7"/>
  <c r="L424" i="7"/>
  <c r="K424" i="7"/>
  <c r="J424" i="7"/>
  <c r="I424" i="7"/>
  <c r="H424" i="7"/>
  <c r="G424" i="7"/>
  <c r="F424" i="7"/>
  <c r="E424" i="7"/>
  <c r="D424" i="7"/>
  <c r="C424" i="7"/>
  <c r="B424" i="7"/>
  <c r="A424" i="7"/>
  <c r="R423" i="7"/>
  <c r="Q423" i="7"/>
  <c r="P423" i="7"/>
  <c r="O423" i="7"/>
  <c r="N423" i="7"/>
  <c r="M423" i="7"/>
  <c r="L423" i="7"/>
  <c r="K423" i="7"/>
  <c r="J423" i="7"/>
  <c r="I423" i="7"/>
  <c r="H423" i="7"/>
  <c r="G423" i="7"/>
  <c r="F423" i="7"/>
  <c r="E423" i="7"/>
  <c r="D423" i="7"/>
  <c r="C423" i="7"/>
  <c r="B423" i="7"/>
  <c r="A423" i="7"/>
  <c r="R422" i="7"/>
  <c r="Q422" i="7"/>
  <c r="P422" i="7"/>
  <c r="O422" i="7"/>
  <c r="N422" i="7"/>
  <c r="M422" i="7"/>
  <c r="L422" i="7"/>
  <c r="K422" i="7"/>
  <c r="J422" i="7"/>
  <c r="I422" i="7"/>
  <c r="H422" i="7"/>
  <c r="G422" i="7"/>
  <c r="F422" i="7"/>
  <c r="E422" i="7"/>
  <c r="D422" i="7"/>
  <c r="C422" i="7"/>
  <c r="B422" i="7"/>
  <c r="A422" i="7"/>
  <c r="R421" i="7"/>
  <c r="Q421" i="7"/>
  <c r="P421" i="7"/>
  <c r="O421" i="7"/>
  <c r="N421" i="7"/>
  <c r="M421" i="7"/>
  <c r="L421" i="7"/>
  <c r="K421" i="7"/>
  <c r="J421" i="7"/>
  <c r="I421" i="7"/>
  <c r="H421" i="7"/>
  <c r="G421" i="7"/>
  <c r="F421" i="7"/>
  <c r="E421" i="7"/>
  <c r="D421" i="7"/>
  <c r="C421" i="7"/>
  <c r="B421" i="7"/>
  <c r="A421" i="7"/>
  <c r="R420" i="7"/>
  <c r="Q420" i="7"/>
  <c r="P420" i="7"/>
  <c r="O420" i="7"/>
  <c r="N420" i="7"/>
  <c r="M420" i="7"/>
  <c r="L420" i="7"/>
  <c r="K420" i="7"/>
  <c r="J420" i="7"/>
  <c r="I420" i="7"/>
  <c r="H420" i="7"/>
  <c r="G420" i="7"/>
  <c r="F420" i="7"/>
  <c r="E420" i="7"/>
  <c r="D420" i="7"/>
  <c r="C420" i="7"/>
  <c r="B420" i="7"/>
  <c r="A420" i="7"/>
  <c r="R419" i="7"/>
  <c r="Q419" i="7"/>
  <c r="P419" i="7"/>
  <c r="O419" i="7"/>
  <c r="N419" i="7"/>
  <c r="M419" i="7"/>
  <c r="L419" i="7"/>
  <c r="K419" i="7"/>
  <c r="J419" i="7"/>
  <c r="I419" i="7"/>
  <c r="H419" i="7"/>
  <c r="G419" i="7"/>
  <c r="F419" i="7"/>
  <c r="E419" i="7"/>
  <c r="D419" i="7"/>
  <c r="C419" i="7"/>
  <c r="B419" i="7"/>
  <c r="A419" i="7"/>
  <c r="R418" i="7"/>
  <c r="Q418" i="7"/>
  <c r="P418" i="7"/>
  <c r="O418" i="7"/>
  <c r="N418" i="7"/>
  <c r="M418" i="7"/>
  <c r="L418" i="7"/>
  <c r="K418" i="7"/>
  <c r="J418" i="7"/>
  <c r="I418" i="7"/>
  <c r="H418" i="7"/>
  <c r="G418" i="7"/>
  <c r="F418" i="7"/>
  <c r="E418" i="7"/>
  <c r="D418" i="7"/>
  <c r="C418" i="7"/>
  <c r="B418" i="7"/>
  <c r="A418" i="7"/>
  <c r="R417" i="7"/>
  <c r="Q417" i="7"/>
  <c r="P417" i="7"/>
  <c r="O417" i="7"/>
  <c r="N417" i="7"/>
  <c r="M417" i="7"/>
  <c r="L417" i="7"/>
  <c r="K417" i="7"/>
  <c r="J417" i="7"/>
  <c r="I417" i="7"/>
  <c r="H417" i="7"/>
  <c r="G417" i="7"/>
  <c r="F417" i="7"/>
  <c r="E417" i="7"/>
  <c r="D417" i="7"/>
  <c r="C417" i="7"/>
  <c r="B417" i="7"/>
  <c r="A417" i="7"/>
  <c r="R416" i="7"/>
  <c r="Q416" i="7"/>
  <c r="P416" i="7"/>
  <c r="O416" i="7"/>
  <c r="N416" i="7"/>
  <c r="M416" i="7"/>
  <c r="L416" i="7"/>
  <c r="K416" i="7"/>
  <c r="J416" i="7"/>
  <c r="I416" i="7"/>
  <c r="H416" i="7"/>
  <c r="G416" i="7"/>
  <c r="F416" i="7"/>
  <c r="E416" i="7"/>
  <c r="D416" i="7"/>
  <c r="C416" i="7"/>
  <c r="B416" i="7"/>
  <c r="A416" i="7"/>
  <c r="R415" i="7"/>
  <c r="Q415" i="7"/>
  <c r="P415" i="7"/>
  <c r="O415" i="7"/>
  <c r="N415" i="7"/>
  <c r="M415" i="7"/>
  <c r="L415" i="7"/>
  <c r="K415" i="7"/>
  <c r="J415" i="7"/>
  <c r="I415" i="7"/>
  <c r="H415" i="7"/>
  <c r="G415" i="7"/>
  <c r="F415" i="7"/>
  <c r="E415" i="7"/>
  <c r="D415" i="7"/>
  <c r="C415" i="7"/>
  <c r="B415" i="7"/>
  <c r="A415" i="7"/>
  <c r="R414" i="7"/>
  <c r="Q414" i="7"/>
  <c r="P414" i="7"/>
  <c r="O414" i="7"/>
  <c r="N414" i="7"/>
  <c r="M414" i="7"/>
  <c r="L414" i="7"/>
  <c r="K414" i="7"/>
  <c r="J414" i="7"/>
  <c r="I414" i="7"/>
  <c r="H414" i="7"/>
  <c r="G414" i="7"/>
  <c r="F414" i="7"/>
  <c r="E414" i="7"/>
  <c r="D414" i="7"/>
  <c r="C414" i="7"/>
  <c r="B414" i="7"/>
  <c r="A414" i="7"/>
  <c r="R413" i="7"/>
  <c r="Q413" i="7"/>
  <c r="P413" i="7"/>
  <c r="O413" i="7"/>
  <c r="N413" i="7"/>
  <c r="M413" i="7"/>
  <c r="L413" i="7"/>
  <c r="K413" i="7"/>
  <c r="J413" i="7"/>
  <c r="I413" i="7"/>
  <c r="H413" i="7"/>
  <c r="G413" i="7"/>
  <c r="F413" i="7"/>
  <c r="E413" i="7"/>
  <c r="D413" i="7"/>
  <c r="C413" i="7"/>
  <c r="B413" i="7"/>
  <c r="A413" i="7"/>
  <c r="R412" i="7"/>
  <c r="Q412" i="7"/>
  <c r="P412" i="7"/>
  <c r="O412" i="7"/>
  <c r="N412" i="7"/>
  <c r="M412" i="7"/>
  <c r="L412" i="7"/>
  <c r="K412" i="7"/>
  <c r="J412" i="7"/>
  <c r="I412" i="7"/>
  <c r="H412" i="7"/>
  <c r="G412" i="7"/>
  <c r="F412" i="7"/>
  <c r="E412" i="7"/>
  <c r="D412" i="7"/>
  <c r="C412" i="7"/>
  <c r="B412" i="7"/>
  <c r="A412" i="7"/>
  <c r="R411" i="7"/>
  <c r="Q411" i="7"/>
  <c r="P411" i="7"/>
  <c r="O411" i="7"/>
  <c r="N411" i="7"/>
  <c r="M411" i="7"/>
  <c r="L411" i="7"/>
  <c r="K411" i="7"/>
  <c r="J411" i="7"/>
  <c r="I411" i="7"/>
  <c r="H411" i="7"/>
  <c r="G411" i="7"/>
  <c r="F411" i="7"/>
  <c r="E411" i="7"/>
  <c r="D411" i="7"/>
  <c r="C411" i="7"/>
  <c r="B411" i="7"/>
  <c r="A411" i="7"/>
  <c r="R410" i="7"/>
  <c r="Q410" i="7"/>
  <c r="P410" i="7"/>
  <c r="O410" i="7"/>
  <c r="N410" i="7"/>
  <c r="M410" i="7"/>
  <c r="L410" i="7"/>
  <c r="K410" i="7"/>
  <c r="J410" i="7"/>
  <c r="I410" i="7"/>
  <c r="H410" i="7"/>
  <c r="G410" i="7"/>
  <c r="F410" i="7"/>
  <c r="E410" i="7"/>
  <c r="D410" i="7"/>
  <c r="C410" i="7"/>
  <c r="B410" i="7"/>
  <c r="A410" i="7"/>
  <c r="R409" i="7"/>
  <c r="Q409" i="7"/>
  <c r="P409" i="7"/>
  <c r="O409" i="7"/>
  <c r="N409" i="7"/>
  <c r="M409" i="7"/>
  <c r="L409" i="7"/>
  <c r="K409" i="7"/>
  <c r="J409" i="7"/>
  <c r="I409" i="7"/>
  <c r="H409" i="7"/>
  <c r="G409" i="7"/>
  <c r="F409" i="7"/>
  <c r="E409" i="7"/>
  <c r="D409" i="7"/>
  <c r="C409" i="7"/>
  <c r="B409" i="7"/>
  <c r="A409" i="7"/>
  <c r="R408" i="7"/>
  <c r="Q408" i="7"/>
  <c r="P408" i="7"/>
  <c r="O408" i="7"/>
  <c r="N408" i="7"/>
  <c r="M408" i="7"/>
  <c r="L408" i="7"/>
  <c r="K408" i="7"/>
  <c r="J408" i="7"/>
  <c r="I408" i="7"/>
  <c r="H408" i="7"/>
  <c r="G408" i="7"/>
  <c r="F408" i="7"/>
  <c r="E408" i="7"/>
  <c r="D408" i="7"/>
  <c r="C408" i="7"/>
  <c r="B408" i="7"/>
  <c r="A408" i="7"/>
  <c r="R407" i="7"/>
  <c r="Q407" i="7"/>
  <c r="P407" i="7"/>
  <c r="O407" i="7"/>
  <c r="N407" i="7"/>
  <c r="M407" i="7"/>
  <c r="L407" i="7"/>
  <c r="K407" i="7"/>
  <c r="J407" i="7"/>
  <c r="I407" i="7"/>
  <c r="H407" i="7"/>
  <c r="G407" i="7"/>
  <c r="F407" i="7"/>
  <c r="E407" i="7"/>
  <c r="D407" i="7"/>
  <c r="C407" i="7"/>
  <c r="B407" i="7"/>
  <c r="A407" i="7"/>
  <c r="R406" i="7"/>
  <c r="Q406" i="7"/>
  <c r="P406" i="7"/>
  <c r="O406" i="7"/>
  <c r="N406" i="7"/>
  <c r="M406" i="7"/>
  <c r="L406" i="7"/>
  <c r="K406" i="7"/>
  <c r="J406" i="7"/>
  <c r="I406" i="7"/>
  <c r="H406" i="7"/>
  <c r="G406" i="7"/>
  <c r="F406" i="7"/>
  <c r="E406" i="7"/>
  <c r="D406" i="7"/>
  <c r="C406" i="7"/>
  <c r="B406" i="7"/>
  <c r="A406" i="7"/>
  <c r="R405" i="7"/>
  <c r="Q405" i="7"/>
  <c r="P405" i="7"/>
  <c r="O405" i="7"/>
  <c r="N405" i="7"/>
  <c r="M405" i="7"/>
  <c r="L405" i="7"/>
  <c r="K405" i="7"/>
  <c r="J405" i="7"/>
  <c r="I405" i="7"/>
  <c r="H405" i="7"/>
  <c r="G405" i="7"/>
  <c r="F405" i="7"/>
  <c r="E405" i="7"/>
  <c r="D405" i="7"/>
  <c r="C405" i="7"/>
  <c r="B405" i="7"/>
  <c r="A405" i="7"/>
  <c r="R404" i="7"/>
  <c r="Q404" i="7"/>
  <c r="P404" i="7"/>
  <c r="O404" i="7"/>
  <c r="N404" i="7"/>
  <c r="M404" i="7"/>
  <c r="L404" i="7"/>
  <c r="K404" i="7"/>
  <c r="J404" i="7"/>
  <c r="I404" i="7"/>
  <c r="H404" i="7"/>
  <c r="G404" i="7"/>
  <c r="F404" i="7"/>
  <c r="E404" i="7"/>
  <c r="D404" i="7"/>
  <c r="C404" i="7"/>
  <c r="B404" i="7"/>
  <c r="A404" i="7"/>
  <c r="R403" i="7"/>
  <c r="Q403" i="7"/>
  <c r="P403" i="7"/>
  <c r="O403" i="7"/>
  <c r="N403" i="7"/>
  <c r="M403" i="7"/>
  <c r="L403" i="7"/>
  <c r="K403" i="7"/>
  <c r="J403" i="7"/>
  <c r="I403" i="7"/>
  <c r="H403" i="7"/>
  <c r="G403" i="7"/>
  <c r="F403" i="7"/>
  <c r="E403" i="7"/>
  <c r="D403" i="7"/>
  <c r="C403" i="7"/>
  <c r="B403" i="7"/>
  <c r="A403" i="7"/>
  <c r="R402" i="7"/>
  <c r="Q402" i="7"/>
  <c r="P402" i="7"/>
  <c r="O402" i="7"/>
  <c r="N402" i="7"/>
  <c r="M402" i="7"/>
  <c r="L402" i="7"/>
  <c r="K402" i="7"/>
  <c r="J402" i="7"/>
  <c r="I402" i="7"/>
  <c r="H402" i="7"/>
  <c r="G402" i="7"/>
  <c r="F402" i="7"/>
  <c r="E402" i="7"/>
  <c r="D402" i="7"/>
  <c r="C402" i="7"/>
  <c r="B402" i="7"/>
  <c r="A402" i="7"/>
  <c r="R401" i="7"/>
  <c r="Q401" i="7"/>
  <c r="P401" i="7"/>
  <c r="O401" i="7"/>
  <c r="N401" i="7"/>
  <c r="M401" i="7"/>
  <c r="L401" i="7"/>
  <c r="K401" i="7"/>
  <c r="J401" i="7"/>
  <c r="I401" i="7"/>
  <c r="H401" i="7"/>
  <c r="G401" i="7"/>
  <c r="F401" i="7"/>
  <c r="E401" i="7"/>
  <c r="D401" i="7"/>
  <c r="C401" i="7"/>
  <c r="B401" i="7"/>
  <c r="A401" i="7"/>
  <c r="R400" i="7"/>
  <c r="Q400" i="7"/>
  <c r="P400" i="7"/>
  <c r="O400" i="7"/>
  <c r="N400" i="7"/>
  <c r="M400" i="7"/>
  <c r="L400" i="7"/>
  <c r="K400" i="7"/>
  <c r="J400" i="7"/>
  <c r="I400" i="7"/>
  <c r="H400" i="7"/>
  <c r="G400" i="7"/>
  <c r="F400" i="7"/>
  <c r="E400" i="7"/>
  <c r="D400" i="7"/>
  <c r="C400" i="7"/>
  <c r="B400" i="7"/>
  <c r="A400" i="7"/>
  <c r="R399" i="7"/>
  <c r="Q399" i="7"/>
  <c r="P399" i="7"/>
  <c r="O399" i="7"/>
  <c r="N399" i="7"/>
  <c r="M399" i="7"/>
  <c r="L399" i="7"/>
  <c r="K399" i="7"/>
  <c r="J399" i="7"/>
  <c r="I399" i="7"/>
  <c r="H399" i="7"/>
  <c r="G399" i="7"/>
  <c r="F399" i="7"/>
  <c r="E399" i="7"/>
  <c r="D399" i="7"/>
  <c r="C399" i="7"/>
  <c r="B399" i="7"/>
  <c r="A399" i="7"/>
  <c r="R398" i="7"/>
  <c r="Q398" i="7"/>
  <c r="P398" i="7"/>
  <c r="O398" i="7"/>
  <c r="N398" i="7"/>
  <c r="M398" i="7"/>
  <c r="L398" i="7"/>
  <c r="K398" i="7"/>
  <c r="J398" i="7"/>
  <c r="I398" i="7"/>
  <c r="H398" i="7"/>
  <c r="G398" i="7"/>
  <c r="F398" i="7"/>
  <c r="E398" i="7"/>
  <c r="D398" i="7"/>
  <c r="C398" i="7"/>
  <c r="B398" i="7"/>
  <c r="A398" i="7"/>
  <c r="R397" i="7"/>
  <c r="Q397" i="7"/>
  <c r="P397" i="7"/>
  <c r="O397" i="7"/>
  <c r="N397" i="7"/>
  <c r="M397" i="7"/>
  <c r="L397" i="7"/>
  <c r="K397" i="7"/>
  <c r="J397" i="7"/>
  <c r="I397" i="7"/>
  <c r="H397" i="7"/>
  <c r="G397" i="7"/>
  <c r="F397" i="7"/>
  <c r="E397" i="7"/>
  <c r="D397" i="7"/>
  <c r="C397" i="7"/>
  <c r="B397" i="7"/>
  <c r="A397" i="7"/>
  <c r="R396" i="7"/>
  <c r="Q396" i="7"/>
  <c r="P396" i="7"/>
  <c r="O396" i="7"/>
  <c r="N396" i="7"/>
  <c r="M396" i="7"/>
  <c r="L396" i="7"/>
  <c r="K396" i="7"/>
  <c r="J396" i="7"/>
  <c r="I396" i="7"/>
  <c r="H396" i="7"/>
  <c r="G396" i="7"/>
  <c r="F396" i="7"/>
  <c r="E396" i="7"/>
  <c r="D396" i="7"/>
  <c r="C396" i="7"/>
  <c r="B396" i="7"/>
  <c r="A396" i="7"/>
  <c r="R395" i="7"/>
  <c r="Q395" i="7"/>
  <c r="P395" i="7"/>
  <c r="O395" i="7"/>
  <c r="N395" i="7"/>
  <c r="M395" i="7"/>
  <c r="L395" i="7"/>
  <c r="K395" i="7"/>
  <c r="J395" i="7"/>
  <c r="I395" i="7"/>
  <c r="H395" i="7"/>
  <c r="G395" i="7"/>
  <c r="F395" i="7"/>
  <c r="E395" i="7"/>
  <c r="D395" i="7"/>
  <c r="C395" i="7"/>
  <c r="B395" i="7"/>
  <c r="A395" i="7"/>
  <c r="R394" i="7"/>
  <c r="Q394" i="7"/>
  <c r="P394" i="7"/>
  <c r="O394" i="7"/>
  <c r="N394" i="7"/>
  <c r="M394" i="7"/>
  <c r="L394" i="7"/>
  <c r="K394" i="7"/>
  <c r="J394" i="7"/>
  <c r="I394" i="7"/>
  <c r="H394" i="7"/>
  <c r="G394" i="7"/>
  <c r="F394" i="7"/>
  <c r="E394" i="7"/>
  <c r="D394" i="7"/>
  <c r="C394" i="7"/>
  <c r="B394" i="7"/>
  <c r="A394" i="7"/>
  <c r="R393" i="7"/>
  <c r="Q393" i="7"/>
  <c r="P393" i="7"/>
  <c r="O393" i="7"/>
  <c r="N393" i="7"/>
  <c r="M393" i="7"/>
  <c r="L393" i="7"/>
  <c r="K393" i="7"/>
  <c r="J393" i="7"/>
  <c r="I393" i="7"/>
  <c r="H393" i="7"/>
  <c r="G393" i="7"/>
  <c r="F393" i="7"/>
  <c r="E393" i="7"/>
  <c r="D393" i="7"/>
  <c r="C393" i="7"/>
  <c r="B393" i="7"/>
  <c r="A393" i="7"/>
  <c r="R392" i="7"/>
  <c r="Q392" i="7"/>
  <c r="P392" i="7"/>
  <c r="O392" i="7"/>
  <c r="N392" i="7"/>
  <c r="M392" i="7"/>
  <c r="L392" i="7"/>
  <c r="K392" i="7"/>
  <c r="J392" i="7"/>
  <c r="I392" i="7"/>
  <c r="H392" i="7"/>
  <c r="G392" i="7"/>
  <c r="F392" i="7"/>
  <c r="E392" i="7"/>
  <c r="D392" i="7"/>
  <c r="C392" i="7"/>
  <c r="B392" i="7"/>
  <c r="A392" i="7"/>
  <c r="R391" i="7"/>
  <c r="Q391" i="7"/>
  <c r="P391" i="7"/>
  <c r="O391" i="7"/>
  <c r="N391" i="7"/>
  <c r="M391" i="7"/>
  <c r="L391" i="7"/>
  <c r="K391" i="7"/>
  <c r="J391" i="7"/>
  <c r="I391" i="7"/>
  <c r="H391" i="7"/>
  <c r="G391" i="7"/>
  <c r="F391" i="7"/>
  <c r="E391" i="7"/>
  <c r="D391" i="7"/>
  <c r="C391" i="7"/>
  <c r="B391" i="7"/>
  <c r="A391" i="7"/>
  <c r="R390" i="7"/>
  <c r="Q390" i="7"/>
  <c r="P390" i="7"/>
  <c r="O390" i="7"/>
  <c r="N390" i="7"/>
  <c r="M390" i="7"/>
  <c r="L390" i="7"/>
  <c r="K390" i="7"/>
  <c r="J390" i="7"/>
  <c r="I390" i="7"/>
  <c r="H390" i="7"/>
  <c r="G390" i="7"/>
  <c r="F390" i="7"/>
  <c r="E390" i="7"/>
  <c r="D390" i="7"/>
  <c r="C390" i="7"/>
  <c r="B390" i="7"/>
  <c r="A390" i="7"/>
  <c r="R389" i="7"/>
  <c r="Q389" i="7"/>
  <c r="P389" i="7"/>
  <c r="O389" i="7"/>
  <c r="N389" i="7"/>
  <c r="M389" i="7"/>
  <c r="L389" i="7"/>
  <c r="K389" i="7"/>
  <c r="J389" i="7"/>
  <c r="I389" i="7"/>
  <c r="H389" i="7"/>
  <c r="G389" i="7"/>
  <c r="F389" i="7"/>
  <c r="E389" i="7"/>
  <c r="D389" i="7"/>
  <c r="C389" i="7"/>
  <c r="B389" i="7"/>
  <c r="A389" i="7"/>
  <c r="R388" i="7"/>
  <c r="Q388" i="7"/>
  <c r="P388" i="7"/>
  <c r="O388" i="7"/>
  <c r="N388" i="7"/>
  <c r="M388" i="7"/>
  <c r="L388" i="7"/>
  <c r="K388" i="7"/>
  <c r="J388" i="7"/>
  <c r="I388" i="7"/>
  <c r="H388" i="7"/>
  <c r="G388" i="7"/>
  <c r="F388" i="7"/>
  <c r="E388" i="7"/>
  <c r="D388" i="7"/>
  <c r="C388" i="7"/>
  <c r="B388" i="7"/>
  <c r="A388" i="7"/>
  <c r="R387" i="7"/>
  <c r="Q387" i="7"/>
  <c r="P387" i="7"/>
  <c r="O387" i="7"/>
  <c r="N387" i="7"/>
  <c r="M387" i="7"/>
  <c r="L387" i="7"/>
  <c r="K387" i="7"/>
  <c r="J387" i="7"/>
  <c r="I387" i="7"/>
  <c r="H387" i="7"/>
  <c r="G387" i="7"/>
  <c r="F387" i="7"/>
  <c r="E387" i="7"/>
  <c r="D387" i="7"/>
  <c r="C387" i="7"/>
  <c r="B387" i="7"/>
  <c r="A387" i="7"/>
  <c r="R386" i="7"/>
  <c r="Q386" i="7"/>
  <c r="P386" i="7"/>
  <c r="O386" i="7"/>
  <c r="N386" i="7"/>
  <c r="M386" i="7"/>
  <c r="L386" i="7"/>
  <c r="K386" i="7"/>
  <c r="J386" i="7"/>
  <c r="I386" i="7"/>
  <c r="H386" i="7"/>
  <c r="G386" i="7"/>
  <c r="F386" i="7"/>
  <c r="E386" i="7"/>
  <c r="D386" i="7"/>
  <c r="C386" i="7"/>
  <c r="B386" i="7"/>
  <c r="A386" i="7"/>
  <c r="R385" i="7"/>
  <c r="Q385" i="7"/>
  <c r="P385" i="7"/>
  <c r="O385" i="7"/>
  <c r="N385" i="7"/>
  <c r="M385" i="7"/>
  <c r="L385" i="7"/>
  <c r="K385" i="7"/>
  <c r="J385" i="7"/>
  <c r="I385" i="7"/>
  <c r="H385" i="7"/>
  <c r="G385" i="7"/>
  <c r="F385" i="7"/>
  <c r="E385" i="7"/>
  <c r="D385" i="7"/>
  <c r="C385" i="7"/>
  <c r="B385" i="7"/>
  <c r="A385" i="7"/>
  <c r="R384" i="7"/>
  <c r="Q384" i="7"/>
  <c r="P384" i="7"/>
  <c r="O384" i="7"/>
  <c r="N384" i="7"/>
  <c r="M384" i="7"/>
  <c r="L384" i="7"/>
  <c r="K384" i="7"/>
  <c r="J384" i="7"/>
  <c r="I384" i="7"/>
  <c r="H384" i="7"/>
  <c r="G384" i="7"/>
  <c r="F384" i="7"/>
  <c r="E384" i="7"/>
  <c r="D384" i="7"/>
  <c r="C384" i="7"/>
  <c r="B384" i="7"/>
  <c r="A384" i="7"/>
  <c r="R383" i="7"/>
  <c r="Q383" i="7"/>
  <c r="P383" i="7"/>
  <c r="O383" i="7"/>
  <c r="N383" i="7"/>
  <c r="M383" i="7"/>
  <c r="L383" i="7"/>
  <c r="K383" i="7"/>
  <c r="J383" i="7"/>
  <c r="I383" i="7"/>
  <c r="H383" i="7"/>
  <c r="G383" i="7"/>
  <c r="F383" i="7"/>
  <c r="E383" i="7"/>
  <c r="D383" i="7"/>
  <c r="C383" i="7"/>
  <c r="B383" i="7"/>
  <c r="A383" i="7"/>
  <c r="R382" i="7"/>
  <c r="Q382" i="7"/>
  <c r="P382" i="7"/>
  <c r="O382" i="7"/>
  <c r="N382" i="7"/>
  <c r="M382" i="7"/>
  <c r="L382" i="7"/>
  <c r="K382" i="7"/>
  <c r="J382" i="7"/>
  <c r="I382" i="7"/>
  <c r="H382" i="7"/>
  <c r="G382" i="7"/>
  <c r="F382" i="7"/>
  <c r="E382" i="7"/>
  <c r="D382" i="7"/>
  <c r="C382" i="7"/>
  <c r="B382" i="7"/>
  <c r="A382" i="7"/>
  <c r="R381" i="7"/>
  <c r="Q381" i="7"/>
  <c r="P381" i="7"/>
  <c r="O381" i="7"/>
  <c r="N381" i="7"/>
  <c r="M381" i="7"/>
  <c r="L381" i="7"/>
  <c r="K381" i="7"/>
  <c r="J381" i="7"/>
  <c r="I381" i="7"/>
  <c r="H381" i="7"/>
  <c r="G381" i="7"/>
  <c r="F381" i="7"/>
  <c r="E381" i="7"/>
  <c r="D381" i="7"/>
  <c r="C381" i="7"/>
  <c r="B381" i="7"/>
  <c r="A381" i="7"/>
  <c r="R380" i="7"/>
  <c r="Q380" i="7"/>
  <c r="P380" i="7"/>
  <c r="O380" i="7"/>
  <c r="N380" i="7"/>
  <c r="M380" i="7"/>
  <c r="L380" i="7"/>
  <c r="K380" i="7"/>
  <c r="J380" i="7"/>
  <c r="I380" i="7"/>
  <c r="H380" i="7"/>
  <c r="G380" i="7"/>
  <c r="F380" i="7"/>
  <c r="E380" i="7"/>
  <c r="D380" i="7"/>
  <c r="C380" i="7"/>
  <c r="B380" i="7"/>
  <c r="A380" i="7"/>
  <c r="R379" i="7"/>
  <c r="Q379" i="7"/>
  <c r="P379" i="7"/>
  <c r="O379" i="7"/>
  <c r="N379" i="7"/>
  <c r="M379" i="7"/>
  <c r="L379" i="7"/>
  <c r="K379" i="7"/>
  <c r="J379" i="7"/>
  <c r="I379" i="7"/>
  <c r="H379" i="7"/>
  <c r="G379" i="7"/>
  <c r="F379" i="7"/>
  <c r="E379" i="7"/>
  <c r="D379" i="7"/>
  <c r="C379" i="7"/>
  <c r="B379" i="7"/>
  <c r="A379" i="7"/>
  <c r="R378" i="7"/>
  <c r="Q378" i="7"/>
  <c r="P378" i="7"/>
  <c r="O378" i="7"/>
  <c r="N378" i="7"/>
  <c r="M378" i="7"/>
  <c r="L378" i="7"/>
  <c r="K378" i="7"/>
  <c r="J378" i="7"/>
  <c r="I378" i="7"/>
  <c r="H378" i="7"/>
  <c r="G378" i="7"/>
  <c r="F378" i="7"/>
  <c r="E378" i="7"/>
  <c r="D378" i="7"/>
  <c r="C378" i="7"/>
  <c r="B378" i="7"/>
  <c r="A378" i="7"/>
  <c r="R377" i="7"/>
  <c r="Q377" i="7"/>
  <c r="P377" i="7"/>
  <c r="O377" i="7"/>
  <c r="N377" i="7"/>
  <c r="M377" i="7"/>
  <c r="L377" i="7"/>
  <c r="K377" i="7"/>
  <c r="J377" i="7"/>
  <c r="I377" i="7"/>
  <c r="H377" i="7"/>
  <c r="G377" i="7"/>
  <c r="F377" i="7"/>
  <c r="E377" i="7"/>
  <c r="D377" i="7"/>
  <c r="C377" i="7"/>
  <c r="B377" i="7"/>
  <c r="A377" i="7"/>
  <c r="R376" i="7"/>
  <c r="Q376" i="7"/>
  <c r="P376" i="7"/>
  <c r="O376" i="7"/>
  <c r="N376" i="7"/>
  <c r="M376" i="7"/>
  <c r="L376" i="7"/>
  <c r="K376" i="7"/>
  <c r="J376" i="7"/>
  <c r="I376" i="7"/>
  <c r="H376" i="7"/>
  <c r="G376" i="7"/>
  <c r="F376" i="7"/>
  <c r="E376" i="7"/>
  <c r="D376" i="7"/>
  <c r="C376" i="7"/>
  <c r="B376" i="7"/>
  <c r="A376" i="7"/>
  <c r="R375" i="7"/>
  <c r="Q375" i="7"/>
  <c r="P375" i="7"/>
  <c r="O375" i="7"/>
  <c r="N375" i="7"/>
  <c r="M375" i="7"/>
  <c r="L375" i="7"/>
  <c r="K375" i="7"/>
  <c r="J375" i="7"/>
  <c r="I375" i="7"/>
  <c r="H375" i="7"/>
  <c r="G375" i="7"/>
  <c r="F375" i="7"/>
  <c r="E375" i="7"/>
  <c r="D375" i="7"/>
  <c r="C375" i="7"/>
  <c r="B375" i="7"/>
  <c r="A375" i="7"/>
  <c r="R374" i="7"/>
  <c r="Q374" i="7"/>
  <c r="P374" i="7"/>
  <c r="O374" i="7"/>
  <c r="N374" i="7"/>
  <c r="M374" i="7"/>
  <c r="L374" i="7"/>
  <c r="K374" i="7"/>
  <c r="J374" i="7"/>
  <c r="I374" i="7"/>
  <c r="H374" i="7"/>
  <c r="G374" i="7"/>
  <c r="F374" i="7"/>
  <c r="E374" i="7"/>
  <c r="D374" i="7"/>
  <c r="C374" i="7"/>
  <c r="B374" i="7"/>
  <c r="A374" i="7"/>
  <c r="R373" i="7"/>
  <c r="Q373" i="7"/>
  <c r="P373" i="7"/>
  <c r="O373" i="7"/>
  <c r="N373" i="7"/>
  <c r="M373" i="7"/>
  <c r="L373" i="7"/>
  <c r="K373" i="7"/>
  <c r="J373" i="7"/>
  <c r="I373" i="7"/>
  <c r="H373" i="7"/>
  <c r="G373" i="7"/>
  <c r="F373" i="7"/>
  <c r="E373" i="7"/>
  <c r="D373" i="7"/>
  <c r="C373" i="7"/>
  <c r="B373" i="7"/>
  <c r="A373" i="7"/>
  <c r="R372" i="7"/>
  <c r="Q372" i="7"/>
  <c r="P372" i="7"/>
  <c r="O372" i="7"/>
  <c r="N372" i="7"/>
  <c r="M372" i="7"/>
  <c r="L372" i="7"/>
  <c r="K372" i="7"/>
  <c r="J372" i="7"/>
  <c r="I372" i="7"/>
  <c r="H372" i="7"/>
  <c r="G372" i="7"/>
  <c r="F372" i="7"/>
  <c r="E372" i="7"/>
  <c r="D372" i="7"/>
  <c r="C372" i="7"/>
  <c r="B372" i="7"/>
  <c r="A372" i="7"/>
  <c r="R371" i="7"/>
  <c r="Q371" i="7"/>
  <c r="P371" i="7"/>
  <c r="O371" i="7"/>
  <c r="N371" i="7"/>
  <c r="M371" i="7"/>
  <c r="L371" i="7"/>
  <c r="K371" i="7"/>
  <c r="J371" i="7"/>
  <c r="I371" i="7"/>
  <c r="H371" i="7"/>
  <c r="G371" i="7"/>
  <c r="F371" i="7"/>
  <c r="E371" i="7"/>
  <c r="D371" i="7"/>
  <c r="C371" i="7"/>
  <c r="B371" i="7"/>
  <c r="A371" i="7"/>
  <c r="R370" i="7"/>
  <c r="Q370" i="7"/>
  <c r="P370" i="7"/>
  <c r="O370" i="7"/>
  <c r="N370" i="7"/>
  <c r="M370" i="7"/>
  <c r="L370" i="7"/>
  <c r="K370" i="7"/>
  <c r="J370" i="7"/>
  <c r="I370" i="7"/>
  <c r="H370" i="7"/>
  <c r="G370" i="7"/>
  <c r="F370" i="7"/>
  <c r="E370" i="7"/>
  <c r="D370" i="7"/>
  <c r="C370" i="7"/>
  <c r="B370" i="7"/>
  <c r="A370" i="7"/>
  <c r="R369" i="7"/>
  <c r="Q369" i="7"/>
  <c r="P369" i="7"/>
  <c r="O369" i="7"/>
  <c r="N369" i="7"/>
  <c r="M369" i="7"/>
  <c r="L369" i="7"/>
  <c r="K369" i="7"/>
  <c r="J369" i="7"/>
  <c r="I369" i="7"/>
  <c r="H369" i="7"/>
  <c r="G369" i="7"/>
  <c r="F369" i="7"/>
  <c r="E369" i="7"/>
  <c r="D369" i="7"/>
  <c r="C369" i="7"/>
  <c r="B369" i="7"/>
  <c r="A369" i="7"/>
  <c r="R368" i="7"/>
  <c r="Q368" i="7"/>
  <c r="P368" i="7"/>
  <c r="O368" i="7"/>
  <c r="N368" i="7"/>
  <c r="M368" i="7"/>
  <c r="L368" i="7"/>
  <c r="K368" i="7"/>
  <c r="J368" i="7"/>
  <c r="I368" i="7"/>
  <c r="H368" i="7"/>
  <c r="G368" i="7"/>
  <c r="F368" i="7"/>
  <c r="E368" i="7"/>
  <c r="D368" i="7"/>
  <c r="C368" i="7"/>
  <c r="B368" i="7"/>
  <c r="A368" i="7"/>
  <c r="R367" i="7"/>
  <c r="Q367" i="7"/>
  <c r="P367" i="7"/>
  <c r="O367" i="7"/>
  <c r="N367" i="7"/>
  <c r="M367" i="7"/>
  <c r="L367" i="7"/>
  <c r="K367" i="7"/>
  <c r="J367" i="7"/>
  <c r="I367" i="7"/>
  <c r="H367" i="7"/>
  <c r="G367" i="7"/>
  <c r="F367" i="7"/>
  <c r="E367" i="7"/>
  <c r="D367" i="7"/>
  <c r="C367" i="7"/>
  <c r="B367" i="7"/>
  <c r="A367" i="7"/>
  <c r="R366" i="7"/>
  <c r="Q366" i="7"/>
  <c r="P366" i="7"/>
  <c r="O366" i="7"/>
  <c r="N366" i="7"/>
  <c r="M366" i="7"/>
  <c r="L366" i="7"/>
  <c r="K366" i="7"/>
  <c r="J366" i="7"/>
  <c r="I366" i="7"/>
  <c r="H366" i="7"/>
  <c r="G366" i="7"/>
  <c r="F366" i="7"/>
  <c r="E366" i="7"/>
  <c r="D366" i="7"/>
  <c r="C366" i="7"/>
  <c r="B366" i="7"/>
  <c r="A366" i="7"/>
  <c r="R365" i="7"/>
  <c r="Q365" i="7"/>
  <c r="P365" i="7"/>
  <c r="O365" i="7"/>
  <c r="N365" i="7"/>
  <c r="M365" i="7"/>
  <c r="L365" i="7"/>
  <c r="K365" i="7"/>
  <c r="J365" i="7"/>
  <c r="I365" i="7"/>
  <c r="H365" i="7"/>
  <c r="G365" i="7"/>
  <c r="F365" i="7"/>
  <c r="E365" i="7"/>
  <c r="D365" i="7"/>
  <c r="C365" i="7"/>
  <c r="B365" i="7"/>
  <c r="A365" i="7"/>
  <c r="R364" i="7"/>
  <c r="Q364" i="7"/>
  <c r="P364" i="7"/>
  <c r="O364" i="7"/>
  <c r="N364" i="7"/>
  <c r="M364" i="7"/>
  <c r="L364" i="7"/>
  <c r="K364" i="7"/>
  <c r="J364" i="7"/>
  <c r="I364" i="7"/>
  <c r="H364" i="7"/>
  <c r="G364" i="7"/>
  <c r="F364" i="7"/>
  <c r="E364" i="7"/>
  <c r="D364" i="7"/>
  <c r="C364" i="7"/>
  <c r="B364" i="7"/>
  <c r="A364" i="7"/>
  <c r="R363" i="7"/>
  <c r="Q363" i="7"/>
  <c r="P363" i="7"/>
  <c r="O363" i="7"/>
  <c r="N363" i="7"/>
  <c r="M363" i="7"/>
  <c r="L363" i="7"/>
  <c r="K363" i="7"/>
  <c r="J363" i="7"/>
  <c r="I363" i="7"/>
  <c r="H363" i="7"/>
  <c r="G363" i="7"/>
  <c r="F363" i="7"/>
  <c r="E363" i="7"/>
  <c r="D363" i="7"/>
  <c r="C363" i="7"/>
  <c r="B363" i="7"/>
  <c r="A363" i="7"/>
  <c r="R362" i="7"/>
  <c r="Q362" i="7"/>
  <c r="P362" i="7"/>
  <c r="O362" i="7"/>
  <c r="N362" i="7"/>
  <c r="M362" i="7"/>
  <c r="L362" i="7"/>
  <c r="K362" i="7"/>
  <c r="J362" i="7"/>
  <c r="I362" i="7"/>
  <c r="H362" i="7"/>
  <c r="G362" i="7"/>
  <c r="F362" i="7"/>
  <c r="E362" i="7"/>
  <c r="D362" i="7"/>
  <c r="C362" i="7"/>
  <c r="B362" i="7"/>
  <c r="A362" i="7"/>
  <c r="R361" i="7"/>
  <c r="Q361" i="7"/>
  <c r="P361" i="7"/>
  <c r="O361" i="7"/>
  <c r="N361" i="7"/>
  <c r="M361" i="7"/>
  <c r="L361" i="7"/>
  <c r="K361" i="7"/>
  <c r="J361" i="7"/>
  <c r="I361" i="7"/>
  <c r="H361" i="7"/>
  <c r="G361" i="7"/>
  <c r="F361" i="7"/>
  <c r="E361" i="7"/>
  <c r="D361" i="7"/>
  <c r="C361" i="7"/>
  <c r="B361" i="7"/>
  <c r="A361" i="7"/>
  <c r="R360" i="7"/>
  <c r="Q360" i="7"/>
  <c r="P360" i="7"/>
  <c r="O360" i="7"/>
  <c r="N360" i="7"/>
  <c r="M360" i="7"/>
  <c r="L360" i="7"/>
  <c r="K360" i="7"/>
  <c r="J360" i="7"/>
  <c r="I360" i="7"/>
  <c r="H360" i="7"/>
  <c r="G360" i="7"/>
  <c r="F360" i="7"/>
  <c r="E360" i="7"/>
  <c r="D360" i="7"/>
  <c r="C360" i="7"/>
  <c r="B360" i="7"/>
  <c r="A360" i="7"/>
  <c r="R359" i="7"/>
  <c r="Q359" i="7"/>
  <c r="P359" i="7"/>
  <c r="O359" i="7"/>
  <c r="N359" i="7"/>
  <c r="M359" i="7"/>
  <c r="L359" i="7"/>
  <c r="K359" i="7"/>
  <c r="J359" i="7"/>
  <c r="I359" i="7"/>
  <c r="H359" i="7"/>
  <c r="G359" i="7"/>
  <c r="F359" i="7"/>
  <c r="E359" i="7"/>
  <c r="D359" i="7"/>
  <c r="C359" i="7"/>
  <c r="B359" i="7"/>
  <c r="A359" i="7"/>
  <c r="R358" i="7"/>
  <c r="Q358" i="7"/>
  <c r="P358" i="7"/>
  <c r="O358" i="7"/>
  <c r="N358" i="7"/>
  <c r="M358" i="7"/>
  <c r="L358" i="7"/>
  <c r="K358" i="7"/>
  <c r="J358" i="7"/>
  <c r="I358" i="7"/>
  <c r="H358" i="7"/>
  <c r="G358" i="7"/>
  <c r="F358" i="7"/>
  <c r="E358" i="7"/>
  <c r="D358" i="7"/>
  <c r="C358" i="7"/>
  <c r="B358" i="7"/>
  <c r="A358" i="7"/>
  <c r="R357" i="7"/>
  <c r="Q357" i="7"/>
  <c r="P357" i="7"/>
  <c r="O357" i="7"/>
  <c r="N357" i="7"/>
  <c r="M357" i="7"/>
  <c r="L357" i="7"/>
  <c r="K357" i="7"/>
  <c r="J357" i="7"/>
  <c r="I357" i="7"/>
  <c r="H357" i="7"/>
  <c r="G357" i="7"/>
  <c r="F357" i="7"/>
  <c r="E357" i="7"/>
  <c r="D357" i="7"/>
  <c r="C357" i="7"/>
  <c r="B357" i="7"/>
  <c r="A357" i="7"/>
  <c r="R356" i="7"/>
  <c r="Q356" i="7"/>
  <c r="P356" i="7"/>
  <c r="O356" i="7"/>
  <c r="N356" i="7"/>
  <c r="M356" i="7"/>
  <c r="L356" i="7"/>
  <c r="K356" i="7"/>
  <c r="J356" i="7"/>
  <c r="I356" i="7"/>
  <c r="H356" i="7"/>
  <c r="G356" i="7"/>
  <c r="F356" i="7"/>
  <c r="E356" i="7"/>
  <c r="D356" i="7"/>
  <c r="C356" i="7"/>
  <c r="B356" i="7"/>
  <c r="A356" i="7"/>
  <c r="R355" i="7"/>
  <c r="Q355" i="7"/>
  <c r="P355" i="7"/>
  <c r="O355" i="7"/>
  <c r="N355" i="7"/>
  <c r="M355" i="7"/>
  <c r="L355" i="7"/>
  <c r="K355" i="7"/>
  <c r="J355" i="7"/>
  <c r="I355" i="7"/>
  <c r="H355" i="7"/>
  <c r="G355" i="7"/>
  <c r="F355" i="7"/>
  <c r="E355" i="7"/>
  <c r="D355" i="7"/>
  <c r="C355" i="7"/>
  <c r="B355" i="7"/>
  <c r="A355" i="7"/>
  <c r="R354" i="7"/>
  <c r="Q354" i="7"/>
  <c r="P354" i="7"/>
  <c r="O354" i="7"/>
  <c r="N354" i="7"/>
  <c r="M354" i="7"/>
  <c r="L354" i="7"/>
  <c r="K354" i="7"/>
  <c r="J354" i="7"/>
  <c r="I354" i="7"/>
  <c r="H354" i="7"/>
  <c r="G354" i="7"/>
  <c r="F354" i="7"/>
  <c r="E354" i="7"/>
  <c r="D354" i="7"/>
  <c r="C354" i="7"/>
  <c r="B354" i="7"/>
  <c r="A354" i="7"/>
  <c r="R353" i="7"/>
  <c r="Q353" i="7"/>
  <c r="P353" i="7"/>
  <c r="O353" i="7"/>
  <c r="N353" i="7"/>
  <c r="M353" i="7"/>
  <c r="L353" i="7"/>
  <c r="K353" i="7"/>
  <c r="J353" i="7"/>
  <c r="I353" i="7"/>
  <c r="H353" i="7"/>
  <c r="G353" i="7"/>
  <c r="F353" i="7"/>
  <c r="E353" i="7"/>
  <c r="D353" i="7"/>
  <c r="C353" i="7"/>
  <c r="B353" i="7"/>
  <c r="A353" i="7"/>
  <c r="R352" i="7"/>
  <c r="Q352" i="7"/>
  <c r="P352" i="7"/>
  <c r="O352" i="7"/>
  <c r="N352" i="7"/>
  <c r="M352" i="7"/>
  <c r="L352" i="7"/>
  <c r="K352" i="7"/>
  <c r="J352" i="7"/>
  <c r="I352" i="7"/>
  <c r="H352" i="7"/>
  <c r="G352" i="7"/>
  <c r="F352" i="7"/>
  <c r="E352" i="7"/>
  <c r="D352" i="7"/>
  <c r="C352" i="7"/>
  <c r="B352" i="7"/>
  <c r="A352" i="7"/>
  <c r="R351" i="7"/>
  <c r="Q351" i="7"/>
  <c r="P351" i="7"/>
  <c r="O351" i="7"/>
  <c r="N351" i="7"/>
  <c r="M351" i="7"/>
  <c r="L351" i="7"/>
  <c r="K351" i="7"/>
  <c r="J351" i="7"/>
  <c r="I351" i="7"/>
  <c r="H351" i="7"/>
  <c r="G351" i="7"/>
  <c r="F351" i="7"/>
  <c r="E351" i="7"/>
  <c r="D351" i="7"/>
  <c r="C351" i="7"/>
  <c r="B351" i="7"/>
  <c r="A351" i="7"/>
  <c r="R350" i="7"/>
  <c r="Q350" i="7"/>
  <c r="P350" i="7"/>
  <c r="O350" i="7"/>
  <c r="N350" i="7"/>
  <c r="M350" i="7"/>
  <c r="L350" i="7"/>
  <c r="K350" i="7"/>
  <c r="J350" i="7"/>
  <c r="I350" i="7"/>
  <c r="H350" i="7"/>
  <c r="G350" i="7"/>
  <c r="F350" i="7"/>
  <c r="E350" i="7"/>
  <c r="D350" i="7"/>
  <c r="C350" i="7"/>
  <c r="B350" i="7"/>
  <c r="A350" i="7"/>
  <c r="R349" i="7"/>
  <c r="Q349" i="7"/>
  <c r="P349" i="7"/>
  <c r="O349" i="7"/>
  <c r="N349" i="7"/>
  <c r="M349" i="7"/>
  <c r="L349" i="7"/>
  <c r="K349" i="7"/>
  <c r="J349" i="7"/>
  <c r="I349" i="7"/>
  <c r="H349" i="7"/>
  <c r="G349" i="7"/>
  <c r="F349" i="7"/>
  <c r="E349" i="7"/>
  <c r="D349" i="7"/>
  <c r="C349" i="7"/>
  <c r="B349" i="7"/>
  <c r="A349" i="7"/>
  <c r="R348" i="7"/>
  <c r="Q348" i="7"/>
  <c r="P348" i="7"/>
  <c r="O348" i="7"/>
  <c r="N348" i="7"/>
  <c r="M348" i="7"/>
  <c r="L348" i="7"/>
  <c r="K348" i="7"/>
  <c r="J348" i="7"/>
  <c r="I348" i="7"/>
  <c r="H348" i="7"/>
  <c r="G348" i="7"/>
  <c r="F348" i="7"/>
  <c r="E348" i="7"/>
  <c r="D348" i="7"/>
  <c r="C348" i="7"/>
  <c r="B348" i="7"/>
  <c r="A348" i="7"/>
  <c r="R347" i="7"/>
  <c r="Q347" i="7"/>
  <c r="P347" i="7"/>
  <c r="O347" i="7"/>
  <c r="N347" i="7"/>
  <c r="M347" i="7"/>
  <c r="L347" i="7"/>
  <c r="K347" i="7"/>
  <c r="J347" i="7"/>
  <c r="I347" i="7"/>
  <c r="H347" i="7"/>
  <c r="G347" i="7"/>
  <c r="F347" i="7"/>
  <c r="E347" i="7"/>
  <c r="D347" i="7"/>
  <c r="C347" i="7"/>
  <c r="B347" i="7"/>
  <c r="A347" i="7"/>
  <c r="R346" i="7"/>
  <c r="Q346" i="7"/>
  <c r="P346" i="7"/>
  <c r="O346" i="7"/>
  <c r="N346" i="7"/>
  <c r="M346" i="7"/>
  <c r="L346" i="7"/>
  <c r="K346" i="7"/>
  <c r="J346" i="7"/>
  <c r="I346" i="7"/>
  <c r="H346" i="7"/>
  <c r="G346" i="7"/>
  <c r="F346" i="7"/>
  <c r="E346" i="7"/>
  <c r="D346" i="7"/>
  <c r="C346" i="7"/>
  <c r="B346" i="7"/>
  <c r="A346" i="7"/>
  <c r="R345" i="7"/>
  <c r="Q345" i="7"/>
  <c r="P345" i="7"/>
  <c r="O345" i="7"/>
  <c r="N345" i="7"/>
  <c r="M345" i="7"/>
  <c r="L345" i="7"/>
  <c r="K345" i="7"/>
  <c r="J345" i="7"/>
  <c r="I345" i="7"/>
  <c r="H345" i="7"/>
  <c r="G345" i="7"/>
  <c r="F345" i="7"/>
  <c r="E345" i="7"/>
  <c r="D345" i="7"/>
  <c r="C345" i="7"/>
  <c r="B345" i="7"/>
  <c r="A345" i="7"/>
  <c r="R344" i="7"/>
  <c r="Q344" i="7"/>
  <c r="P344" i="7"/>
  <c r="O344" i="7"/>
  <c r="N344" i="7"/>
  <c r="M344" i="7"/>
  <c r="L344" i="7"/>
  <c r="K344" i="7"/>
  <c r="J344" i="7"/>
  <c r="I344" i="7"/>
  <c r="H344" i="7"/>
  <c r="G344" i="7"/>
  <c r="F344" i="7"/>
  <c r="E344" i="7"/>
  <c r="D344" i="7"/>
  <c r="C344" i="7"/>
  <c r="B344" i="7"/>
  <c r="A344" i="7"/>
  <c r="R343" i="7"/>
  <c r="Q343" i="7"/>
  <c r="P343" i="7"/>
  <c r="O343" i="7"/>
  <c r="N343" i="7"/>
  <c r="M343" i="7"/>
  <c r="L343" i="7"/>
  <c r="K343" i="7"/>
  <c r="J343" i="7"/>
  <c r="I343" i="7"/>
  <c r="H343" i="7"/>
  <c r="G343" i="7"/>
  <c r="F343" i="7"/>
  <c r="E343" i="7"/>
  <c r="D343" i="7"/>
  <c r="C343" i="7"/>
  <c r="B343" i="7"/>
  <c r="A343" i="7"/>
  <c r="R342" i="7"/>
  <c r="Q342" i="7"/>
  <c r="P342" i="7"/>
  <c r="O342" i="7"/>
  <c r="N342" i="7"/>
  <c r="M342" i="7"/>
  <c r="L342" i="7"/>
  <c r="K342" i="7"/>
  <c r="J342" i="7"/>
  <c r="I342" i="7"/>
  <c r="H342" i="7"/>
  <c r="G342" i="7"/>
  <c r="F342" i="7"/>
  <c r="E342" i="7"/>
  <c r="D342" i="7"/>
  <c r="C342" i="7"/>
  <c r="B342" i="7"/>
  <c r="A342" i="7"/>
  <c r="R341" i="7"/>
  <c r="Q341" i="7"/>
  <c r="P341" i="7"/>
  <c r="O341" i="7"/>
  <c r="N341" i="7"/>
  <c r="M341" i="7"/>
  <c r="L341" i="7"/>
  <c r="K341" i="7"/>
  <c r="J341" i="7"/>
  <c r="I341" i="7"/>
  <c r="H341" i="7"/>
  <c r="G341" i="7"/>
  <c r="F341" i="7"/>
  <c r="E341" i="7"/>
  <c r="D341" i="7"/>
  <c r="C341" i="7"/>
  <c r="B341" i="7"/>
  <c r="A341" i="7"/>
  <c r="R340" i="7"/>
  <c r="Q340" i="7"/>
  <c r="P340" i="7"/>
  <c r="O340" i="7"/>
  <c r="N340" i="7"/>
  <c r="M340" i="7"/>
  <c r="L340" i="7"/>
  <c r="K340" i="7"/>
  <c r="J340" i="7"/>
  <c r="I340" i="7"/>
  <c r="H340" i="7"/>
  <c r="G340" i="7"/>
  <c r="F340" i="7"/>
  <c r="E340" i="7"/>
  <c r="D340" i="7"/>
  <c r="C340" i="7"/>
  <c r="B340" i="7"/>
  <c r="A340" i="7"/>
  <c r="R339" i="7"/>
  <c r="Q339" i="7"/>
  <c r="P339" i="7"/>
  <c r="O339" i="7"/>
  <c r="N339" i="7"/>
  <c r="M339" i="7"/>
  <c r="L339" i="7"/>
  <c r="K339" i="7"/>
  <c r="J339" i="7"/>
  <c r="I339" i="7"/>
  <c r="H339" i="7"/>
  <c r="G339" i="7"/>
  <c r="F339" i="7"/>
  <c r="E339" i="7"/>
  <c r="D339" i="7"/>
  <c r="C339" i="7"/>
  <c r="B339" i="7"/>
  <c r="A339" i="7"/>
  <c r="R338" i="7"/>
  <c r="Q338" i="7"/>
  <c r="P338" i="7"/>
  <c r="O338" i="7"/>
  <c r="N338" i="7"/>
  <c r="M338" i="7"/>
  <c r="L338" i="7"/>
  <c r="K338" i="7"/>
  <c r="J338" i="7"/>
  <c r="I338" i="7"/>
  <c r="H338" i="7"/>
  <c r="G338" i="7"/>
  <c r="F338" i="7"/>
  <c r="E338" i="7"/>
  <c r="D338" i="7"/>
  <c r="C338" i="7"/>
  <c r="B338" i="7"/>
  <c r="A338" i="7"/>
  <c r="R337" i="7"/>
  <c r="Q337" i="7"/>
  <c r="P337" i="7"/>
  <c r="O337" i="7"/>
  <c r="N337" i="7"/>
  <c r="M337" i="7"/>
  <c r="L337" i="7"/>
  <c r="K337" i="7"/>
  <c r="J337" i="7"/>
  <c r="I337" i="7"/>
  <c r="H337" i="7"/>
  <c r="G337" i="7"/>
  <c r="F337" i="7"/>
  <c r="E337" i="7"/>
  <c r="D337" i="7"/>
  <c r="C337" i="7"/>
  <c r="B337" i="7"/>
  <c r="A337" i="7"/>
  <c r="R336" i="7"/>
  <c r="Q336" i="7"/>
  <c r="P336" i="7"/>
  <c r="O336" i="7"/>
  <c r="N336" i="7"/>
  <c r="M336" i="7"/>
  <c r="L336" i="7"/>
  <c r="K336" i="7"/>
  <c r="J336" i="7"/>
  <c r="I336" i="7"/>
  <c r="H336" i="7"/>
  <c r="G336" i="7"/>
  <c r="F336" i="7"/>
  <c r="E336" i="7"/>
  <c r="D336" i="7"/>
  <c r="C336" i="7"/>
  <c r="B336" i="7"/>
  <c r="A336" i="7"/>
  <c r="R335" i="7"/>
  <c r="Q335" i="7"/>
  <c r="P335" i="7"/>
  <c r="O335" i="7"/>
  <c r="N335" i="7"/>
  <c r="M335" i="7"/>
  <c r="L335" i="7"/>
  <c r="K335" i="7"/>
  <c r="J335" i="7"/>
  <c r="I335" i="7"/>
  <c r="H335" i="7"/>
  <c r="G335" i="7"/>
  <c r="F335" i="7"/>
  <c r="E335" i="7"/>
  <c r="D335" i="7"/>
  <c r="C335" i="7"/>
  <c r="B335" i="7"/>
  <c r="A335" i="7"/>
  <c r="R334" i="7"/>
  <c r="Q334" i="7"/>
  <c r="P334" i="7"/>
  <c r="O334" i="7"/>
  <c r="N334" i="7"/>
  <c r="M334" i="7"/>
  <c r="L334" i="7"/>
  <c r="K334" i="7"/>
  <c r="J334" i="7"/>
  <c r="I334" i="7"/>
  <c r="H334" i="7"/>
  <c r="G334" i="7"/>
  <c r="F334" i="7"/>
  <c r="E334" i="7"/>
  <c r="D334" i="7"/>
  <c r="C334" i="7"/>
  <c r="B334" i="7"/>
  <c r="A334" i="7"/>
  <c r="R333" i="7"/>
  <c r="Q333" i="7"/>
  <c r="P333" i="7"/>
  <c r="O333" i="7"/>
  <c r="N333" i="7"/>
  <c r="M333" i="7"/>
  <c r="L333" i="7"/>
  <c r="K333" i="7"/>
  <c r="J333" i="7"/>
  <c r="I333" i="7"/>
  <c r="H333" i="7"/>
  <c r="G333" i="7"/>
  <c r="F333" i="7"/>
  <c r="E333" i="7"/>
  <c r="D333" i="7"/>
  <c r="C333" i="7"/>
  <c r="B333" i="7"/>
  <c r="A333" i="7"/>
  <c r="R332" i="7"/>
  <c r="Q332" i="7"/>
  <c r="P332" i="7"/>
  <c r="O332" i="7"/>
  <c r="N332" i="7"/>
  <c r="M332" i="7"/>
  <c r="L332" i="7"/>
  <c r="K332" i="7"/>
  <c r="J332" i="7"/>
  <c r="I332" i="7"/>
  <c r="H332" i="7"/>
  <c r="G332" i="7"/>
  <c r="F332" i="7"/>
  <c r="E332" i="7"/>
  <c r="D332" i="7"/>
  <c r="C332" i="7"/>
  <c r="B332" i="7"/>
  <c r="A332" i="7"/>
  <c r="R331" i="7"/>
  <c r="Q331" i="7"/>
  <c r="P331" i="7"/>
  <c r="O331" i="7"/>
  <c r="N331" i="7"/>
  <c r="M331" i="7"/>
  <c r="L331" i="7"/>
  <c r="K331" i="7"/>
  <c r="J331" i="7"/>
  <c r="I331" i="7"/>
  <c r="H331" i="7"/>
  <c r="G331" i="7"/>
  <c r="F331" i="7"/>
  <c r="E331" i="7"/>
  <c r="D331" i="7"/>
  <c r="C331" i="7"/>
  <c r="B331" i="7"/>
  <c r="A331" i="7"/>
  <c r="R330" i="7"/>
  <c r="Q330" i="7"/>
  <c r="P330" i="7"/>
  <c r="O330" i="7"/>
  <c r="N330" i="7"/>
  <c r="M330" i="7"/>
  <c r="L330" i="7"/>
  <c r="K330" i="7"/>
  <c r="J330" i="7"/>
  <c r="I330" i="7"/>
  <c r="H330" i="7"/>
  <c r="G330" i="7"/>
  <c r="F330" i="7"/>
  <c r="E330" i="7"/>
  <c r="D330" i="7"/>
  <c r="C330" i="7"/>
  <c r="B330" i="7"/>
  <c r="A330" i="7"/>
  <c r="R329" i="7"/>
  <c r="Q329" i="7"/>
  <c r="P329" i="7"/>
  <c r="O329" i="7"/>
  <c r="N329" i="7"/>
  <c r="M329" i="7"/>
  <c r="L329" i="7"/>
  <c r="K329" i="7"/>
  <c r="J329" i="7"/>
  <c r="I329" i="7"/>
  <c r="H329" i="7"/>
  <c r="G329" i="7"/>
  <c r="F329" i="7"/>
  <c r="E329" i="7"/>
  <c r="D329" i="7"/>
  <c r="C329" i="7"/>
  <c r="B329" i="7"/>
  <c r="A329" i="7"/>
  <c r="R328" i="7"/>
  <c r="Q328" i="7"/>
  <c r="P328" i="7"/>
  <c r="O328" i="7"/>
  <c r="N328" i="7"/>
  <c r="M328" i="7"/>
  <c r="L328" i="7"/>
  <c r="K328" i="7"/>
  <c r="J328" i="7"/>
  <c r="I328" i="7"/>
  <c r="H328" i="7"/>
  <c r="G328" i="7"/>
  <c r="F328" i="7"/>
  <c r="E328" i="7"/>
  <c r="D328" i="7"/>
  <c r="C328" i="7"/>
  <c r="B328" i="7"/>
  <c r="A328" i="7"/>
  <c r="R327" i="7"/>
  <c r="Q327" i="7"/>
  <c r="P327" i="7"/>
  <c r="O327" i="7"/>
  <c r="N327" i="7"/>
  <c r="M327" i="7"/>
  <c r="L327" i="7"/>
  <c r="K327" i="7"/>
  <c r="J327" i="7"/>
  <c r="I327" i="7"/>
  <c r="H327" i="7"/>
  <c r="G327" i="7"/>
  <c r="F327" i="7"/>
  <c r="E327" i="7"/>
  <c r="D327" i="7"/>
  <c r="C327" i="7"/>
  <c r="B327" i="7"/>
  <c r="A327" i="7"/>
  <c r="R326" i="7"/>
  <c r="Q326" i="7"/>
  <c r="P326" i="7"/>
  <c r="O326" i="7"/>
  <c r="N326" i="7"/>
  <c r="M326" i="7"/>
  <c r="L326" i="7"/>
  <c r="K326" i="7"/>
  <c r="J326" i="7"/>
  <c r="I326" i="7"/>
  <c r="H326" i="7"/>
  <c r="G326" i="7"/>
  <c r="F326" i="7"/>
  <c r="E326" i="7"/>
  <c r="D326" i="7"/>
  <c r="C326" i="7"/>
  <c r="B326" i="7"/>
  <c r="A326" i="7"/>
  <c r="R325" i="7"/>
  <c r="Q325" i="7"/>
  <c r="P325" i="7"/>
  <c r="O325" i="7"/>
  <c r="N325" i="7"/>
  <c r="M325" i="7"/>
  <c r="L325" i="7"/>
  <c r="K325" i="7"/>
  <c r="J325" i="7"/>
  <c r="I325" i="7"/>
  <c r="H325" i="7"/>
  <c r="G325" i="7"/>
  <c r="F325" i="7"/>
  <c r="E325" i="7"/>
  <c r="D325" i="7"/>
  <c r="C325" i="7"/>
  <c r="B325" i="7"/>
  <c r="A325" i="7"/>
  <c r="R324" i="7"/>
  <c r="Q324" i="7"/>
  <c r="P324" i="7"/>
  <c r="O324" i="7"/>
  <c r="N324" i="7"/>
  <c r="M324" i="7"/>
  <c r="L324" i="7"/>
  <c r="K324" i="7"/>
  <c r="J324" i="7"/>
  <c r="I324" i="7"/>
  <c r="H324" i="7"/>
  <c r="G324" i="7"/>
  <c r="F324" i="7"/>
  <c r="E324" i="7"/>
  <c r="D324" i="7"/>
  <c r="C324" i="7"/>
  <c r="B324" i="7"/>
  <c r="A324" i="7"/>
  <c r="R323" i="7"/>
  <c r="Q323" i="7"/>
  <c r="P323" i="7"/>
  <c r="O323" i="7"/>
  <c r="N323" i="7"/>
  <c r="M323" i="7"/>
  <c r="L323" i="7"/>
  <c r="K323" i="7"/>
  <c r="J323" i="7"/>
  <c r="I323" i="7"/>
  <c r="H323" i="7"/>
  <c r="G323" i="7"/>
  <c r="F323" i="7"/>
  <c r="E323" i="7"/>
  <c r="D323" i="7"/>
  <c r="C323" i="7"/>
  <c r="B323" i="7"/>
  <c r="A323" i="7"/>
  <c r="R322" i="7"/>
  <c r="Q322" i="7"/>
  <c r="P322" i="7"/>
  <c r="O322" i="7"/>
  <c r="N322" i="7"/>
  <c r="M322" i="7"/>
  <c r="L322" i="7"/>
  <c r="K322" i="7"/>
  <c r="J322" i="7"/>
  <c r="I322" i="7"/>
  <c r="H322" i="7"/>
  <c r="G322" i="7"/>
  <c r="F322" i="7"/>
  <c r="E322" i="7"/>
  <c r="D322" i="7"/>
  <c r="C322" i="7"/>
  <c r="B322" i="7"/>
  <c r="A322" i="7"/>
  <c r="R321" i="7"/>
  <c r="Q321" i="7"/>
  <c r="P321" i="7"/>
  <c r="O321" i="7"/>
  <c r="N321" i="7"/>
  <c r="M321" i="7"/>
  <c r="L321" i="7"/>
  <c r="K321" i="7"/>
  <c r="J321" i="7"/>
  <c r="I321" i="7"/>
  <c r="H321" i="7"/>
  <c r="G321" i="7"/>
  <c r="F321" i="7"/>
  <c r="E321" i="7"/>
  <c r="D321" i="7"/>
  <c r="C321" i="7"/>
  <c r="B321" i="7"/>
  <c r="A321" i="7"/>
  <c r="R320" i="7"/>
  <c r="Q320" i="7"/>
  <c r="P320" i="7"/>
  <c r="O320" i="7"/>
  <c r="N320" i="7"/>
  <c r="M320" i="7"/>
  <c r="L320" i="7"/>
  <c r="K320" i="7"/>
  <c r="J320" i="7"/>
  <c r="I320" i="7"/>
  <c r="H320" i="7"/>
  <c r="G320" i="7"/>
  <c r="F320" i="7"/>
  <c r="E320" i="7"/>
  <c r="D320" i="7"/>
  <c r="C320" i="7"/>
  <c r="B320" i="7"/>
  <c r="A320" i="7"/>
  <c r="R319" i="7"/>
  <c r="Q319" i="7"/>
  <c r="P319" i="7"/>
  <c r="O319" i="7"/>
  <c r="N319" i="7"/>
  <c r="M319" i="7"/>
  <c r="L319" i="7"/>
  <c r="K319" i="7"/>
  <c r="J319" i="7"/>
  <c r="I319" i="7"/>
  <c r="H319" i="7"/>
  <c r="G319" i="7"/>
  <c r="F319" i="7"/>
  <c r="E319" i="7"/>
  <c r="D319" i="7"/>
  <c r="C319" i="7"/>
  <c r="B319" i="7"/>
  <c r="A319" i="7"/>
  <c r="R318" i="7"/>
  <c r="Q318" i="7"/>
  <c r="P318" i="7"/>
  <c r="O318" i="7"/>
  <c r="N318" i="7"/>
  <c r="M318" i="7"/>
  <c r="L318" i="7"/>
  <c r="K318" i="7"/>
  <c r="J318" i="7"/>
  <c r="I318" i="7"/>
  <c r="H318" i="7"/>
  <c r="G318" i="7"/>
  <c r="F318" i="7"/>
  <c r="E318" i="7"/>
  <c r="D318" i="7"/>
  <c r="C318" i="7"/>
  <c r="B318" i="7"/>
  <c r="A318" i="7"/>
  <c r="R317" i="7"/>
  <c r="Q317" i="7"/>
  <c r="P317" i="7"/>
  <c r="O317" i="7"/>
  <c r="N317" i="7"/>
  <c r="M317" i="7"/>
  <c r="L317" i="7"/>
  <c r="K317" i="7"/>
  <c r="J317" i="7"/>
  <c r="I317" i="7"/>
  <c r="H317" i="7"/>
  <c r="G317" i="7"/>
  <c r="F317" i="7"/>
  <c r="E317" i="7"/>
  <c r="D317" i="7"/>
  <c r="C317" i="7"/>
  <c r="B317" i="7"/>
  <c r="A317" i="7"/>
  <c r="R316" i="7"/>
  <c r="Q316" i="7"/>
  <c r="P316" i="7"/>
  <c r="O316" i="7"/>
  <c r="N316" i="7"/>
  <c r="M316" i="7"/>
  <c r="L316" i="7"/>
  <c r="K316" i="7"/>
  <c r="J316" i="7"/>
  <c r="I316" i="7"/>
  <c r="H316" i="7"/>
  <c r="G316" i="7"/>
  <c r="F316" i="7"/>
  <c r="E316" i="7"/>
  <c r="D316" i="7"/>
  <c r="C316" i="7"/>
  <c r="B316" i="7"/>
  <c r="A316" i="7"/>
  <c r="R315" i="7"/>
  <c r="Q315" i="7"/>
  <c r="P315" i="7"/>
  <c r="O315" i="7"/>
  <c r="N315" i="7"/>
  <c r="M315" i="7"/>
  <c r="L315" i="7"/>
  <c r="K315" i="7"/>
  <c r="J315" i="7"/>
  <c r="I315" i="7"/>
  <c r="H315" i="7"/>
  <c r="G315" i="7"/>
  <c r="F315" i="7"/>
  <c r="E315" i="7"/>
  <c r="D315" i="7"/>
  <c r="C315" i="7"/>
  <c r="B315" i="7"/>
  <c r="A315" i="7"/>
  <c r="R314" i="7"/>
  <c r="Q314" i="7"/>
  <c r="P314" i="7"/>
  <c r="O314" i="7"/>
  <c r="N314" i="7"/>
  <c r="M314" i="7"/>
  <c r="L314" i="7"/>
  <c r="K314" i="7"/>
  <c r="J314" i="7"/>
  <c r="I314" i="7"/>
  <c r="H314" i="7"/>
  <c r="G314" i="7"/>
  <c r="F314" i="7"/>
  <c r="E314" i="7"/>
  <c r="D314" i="7"/>
  <c r="C314" i="7"/>
  <c r="B314" i="7"/>
  <c r="A314" i="7"/>
  <c r="R313" i="7"/>
  <c r="Q313" i="7"/>
  <c r="P313" i="7"/>
  <c r="O313" i="7"/>
  <c r="N313" i="7"/>
  <c r="M313" i="7"/>
  <c r="L313" i="7"/>
  <c r="K313" i="7"/>
  <c r="J313" i="7"/>
  <c r="I313" i="7"/>
  <c r="H313" i="7"/>
  <c r="G313" i="7"/>
  <c r="F313" i="7"/>
  <c r="E313" i="7"/>
  <c r="D313" i="7"/>
  <c r="C313" i="7"/>
  <c r="B313" i="7"/>
  <c r="A313" i="7"/>
  <c r="R312" i="7"/>
  <c r="Q312" i="7"/>
  <c r="P312" i="7"/>
  <c r="O312" i="7"/>
  <c r="N312" i="7"/>
  <c r="M312" i="7"/>
  <c r="L312" i="7"/>
  <c r="K312" i="7"/>
  <c r="J312" i="7"/>
  <c r="I312" i="7"/>
  <c r="H312" i="7"/>
  <c r="G312" i="7"/>
  <c r="F312" i="7"/>
  <c r="E312" i="7"/>
  <c r="D312" i="7"/>
  <c r="C312" i="7"/>
  <c r="B312" i="7"/>
  <c r="A312" i="7"/>
  <c r="R311" i="7"/>
  <c r="Q311" i="7"/>
  <c r="P311" i="7"/>
  <c r="O311" i="7"/>
  <c r="N311" i="7"/>
  <c r="M311" i="7"/>
  <c r="L311" i="7"/>
  <c r="K311" i="7"/>
  <c r="J311" i="7"/>
  <c r="I311" i="7"/>
  <c r="H311" i="7"/>
  <c r="G311" i="7"/>
  <c r="F311" i="7"/>
  <c r="E311" i="7"/>
  <c r="D311" i="7"/>
  <c r="C311" i="7"/>
  <c r="B311" i="7"/>
  <c r="A311" i="7"/>
  <c r="R310" i="7"/>
  <c r="Q310" i="7"/>
  <c r="P310" i="7"/>
  <c r="O310" i="7"/>
  <c r="N310" i="7"/>
  <c r="M310" i="7"/>
  <c r="L310" i="7"/>
  <c r="K310" i="7"/>
  <c r="J310" i="7"/>
  <c r="I310" i="7"/>
  <c r="H310" i="7"/>
  <c r="G310" i="7"/>
  <c r="F310" i="7"/>
  <c r="E310" i="7"/>
  <c r="D310" i="7"/>
  <c r="C310" i="7"/>
  <c r="B310" i="7"/>
  <c r="A310" i="7"/>
  <c r="R309" i="7"/>
  <c r="Q309" i="7"/>
  <c r="P309" i="7"/>
  <c r="O309" i="7"/>
  <c r="N309" i="7"/>
  <c r="M309" i="7"/>
  <c r="L309" i="7"/>
  <c r="K309" i="7"/>
  <c r="J309" i="7"/>
  <c r="I309" i="7"/>
  <c r="H309" i="7"/>
  <c r="G309" i="7"/>
  <c r="F309" i="7"/>
  <c r="E309" i="7"/>
  <c r="D309" i="7"/>
  <c r="C309" i="7"/>
  <c r="B309" i="7"/>
  <c r="A309" i="7"/>
  <c r="R308" i="7"/>
  <c r="Q308" i="7"/>
  <c r="P308" i="7"/>
  <c r="O308" i="7"/>
  <c r="N308" i="7"/>
  <c r="M308" i="7"/>
  <c r="L308" i="7"/>
  <c r="K308" i="7"/>
  <c r="J308" i="7"/>
  <c r="I308" i="7"/>
  <c r="H308" i="7"/>
  <c r="G308" i="7"/>
  <c r="F308" i="7"/>
  <c r="E308" i="7"/>
  <c r="D308" i="7"/>
  <c r="C308" i="7"/>
  <c r="B308" i="7"/>
  <c r="A308" i="7"/>
  <c r="R307" i="7"/>
  <c r="Q307" i="7"/>
  <c r="P307" i="7"/>
  <c r="O307" i="7"/>
  <c r="N307" i="7"/>
  <c r="M307" i="7"/>
  <c r="L307" i="7"/>
  <c r="K307" i="7"/>
  <c r="J307" i="7"/>
  <c r="I307" i="7"/>
  <c r="H307" i="7"/>
  <c r="G307" i="7"/>
  <c r="F307" i="7"/>
  <c r="E307" i="7"/>
  <c r="D307" i="7"/>
  <c r="C307" i="7"/>
  <c r="B307" i="7"/>
  <c r="A307" i="7"/>
  <c r="R306" i="7"/>
  <c r="Q306" i="7"/>
  <c r="P306" i="7"/>
  <c r="O306" i="7"/>
  <c r="N306" i="7"/>
  <c r="M306" i="7"/>
  <c r="L306" i="7"/>
  <c r="K306" i="7"/>
  <c r="J306" i="7"/>
  <c r="I306" i="7"/>
  <c r="H306" i="7"/>
  <c r="G306" i="7"/>
  <c r="F306" i="7"/>
  <c r="E306" i="7"/>
  <c r="D306" i="7"/>
  <c r="C306" i="7"/>
  <c r="B306" i="7"/>
  <c r="A306" i="7"/>
  <c r="R305" i="7"/>
  <c r="Q305" i="7"/>
  <c r="P305" i="7"/>
  <c r="O305" i="7"/>
  <c r="N305" i="7"/>
  <c r="M305" i="7"/>
  <c r="L305" i="7"/>
  <c r="K305" i="7"/>
  <c r="J305" i="7"/>
  <c r="I305" i="7"/>
  <c r="H305" i="7"/>
  <c r="G305" i="7"/>
  <c r="F305" i="7"/>
  <c r="E305" i="7"/>
  <c r="D305" i="7"/>
  <c r="C305" i="7"/>
  <c r="B305" i="7"/>
  <c r="A305" i="7"/>
  <c r="R304" i="7"/>
  <c r="Q304" i="7"/>
  <c r="P304" i="7"/>
  <c r="O304" i="7"/>
  <c r="N304" i="7"/>
  <c r="M304" i="7"/>
  <c r="L304" i="7"/>
  <c r="K304" i="7"/>
  <c r="J304" i="7"/>
  <c r="I304" i="7"/>
  <c r="H304" i="7"/>
  <c r="G304" i="7"/>
  <c r="F304" i="7"/>
  <c r="E304" i="7"/>
  <c r="D304" i="7"/>
  <c r="C304" i="7"/>
  <c r="B304" i="7"/>
  <c r="A304" i="7"/>
  <c r="R303" i="7"/>
  <c r="Q303" i="7"/>
  <c r="P303" i="7"/>
  <c r="O303" i="7"/>
  <c r="N303" i="7"/>
  <c r="M303" i="7"/>
  <c r="L303" i="7"/>
  <c r="K303" i="7"/>
  <c r="J303" i="7"/>
  <c r="I303" i="7"/>
  <c r="H303" i="7"/>
  <c r="G303" i="7"/>
  <c r="F303" i="7"/>
  <c r="E303" i="7"/>
  <c r="D303" i="7"/>
  <c r="C303" i="7"/>
  <c r="B303" i="7"/>
  <c r="A303" i="7"/>
  <c r="R302" i="7"/>
  <c r="Q302" i="7"/>
  <c r="P302" i="7"/>
  <c r="O302" i="7"/>
  <c r="N302" i="7"/>
  <c r="M302" i="7"/>
  <c r="L302" i="7"/>
  <c r="K302" i="7"/>
  <c r="J302" i="7"/>
  <c r="I302" i="7"/>
  <c r="H302" i="7"/>
  <c r="G302" i="7"/>
  <c r="F302" i="7"/>
  <c r="E302" i="7"/>
  <c r="D302" i="7"/>
  <c r="C302" i="7"/>
  <c r="B302" i="7"/>
  <c r="A302" i="7"/>
  <c r="R301" i="7"/>
  <c r="Q301" i="7"/>
  <c r="P301" i="7"/>
  <c r="O301" i="7"/>
  <c r="N301" i="7"/>
  <c r="M301" i="7"/>
  <c r="L301" i="7"/>
  <c r="K301" i="7"/>
  <c r="J301" i="7"/>
  <c r="I301" i="7"/>
  <c r="H301" i="7"/>
  <c r="G301" i="7"/>
  <c r="F301" i="7"/>
  <c r="E301" i="7"/>
  <c r="D301" i="7"/>
  <c r="C301" i="7"/>
  <c r="B301" i="7"/>
  <c r="A301" i="7"/>
  <c r="R300" i="7"/>
  <c r="Q300" i="7"/>
  <c r="P300" i="7"/>
  <c r="O300" i="7"/>
  <c r="N300" i="7"/>
  <c r="M300" i="7"/>
  <c r="L300" i="7"/>
  <c r="K300" i="7"/>
  <c r="J300" i="7"/>
  <c r="I300" i="7"/>
  <c r="H300" i="7"/>
  <c r="G300" i="7"/>
  <c r="F300" i="7"/>
  <c r="E300" i="7"/>
  <c r="D300" i="7"/>
  <c r="C300" i="7"/>
  <c r="B300" i="7"/>
  <c r="A300" i="7"/>
  <c r="R299" i="7"/>
  <c r="Q299" i="7"/>
  <c r="P299" i="7"/>
  <c r="O299" i="7"/>
  <c r="N299" i="7"/>
  <c r="M299" i="7"/>
  <c r="L299" i="7"/>
  <c r="K299" i="7"/>
  <c r="J299" i="7"/>
  <c r="I299" i="7"/>
  <c r="H299" i="7"/>
  <c r="G299" i="7"/>
  <c r="F299" i="7"/>
  <c r="E299" i="7"/>
  <c r="D299" i="7"/>
  <c r="C299" i="7"/>
  <c r="B299" i="7"/>
  <c r="A299" i="7"/>
  <c r="R298" i="7"/>
  <c r="Q298" i="7"/>
  <c r="P298" i="7"/>
  <c r="O298" i="7"/>
  <c r="N298" i="7"/>
  <c r="M298" i="7"/>
  <c r="L298" i="7"/>
  <c r="K298" i="7"/>
  <c r="J298" i="7"/>
  <c r="I298" i="7"/>
  <c r="H298" i="7"/>
  <c r="G298" i="7"/>
  <c r="F298" i="7"/>
  <c r="E298" i="7"/>
  <c r="D298" i="7"/>
  <c r="C298" i="7"/>
  <c r="B298" i="7"/>
  <c r="A298" i="7"/>
  <c r="R297" i="7"/>
  <c r="Q297" i="7"/>
  <c r="P297" i="7"/>
  <c r="O297" i="7"/>
  <c r="N297" i="7"/>
  <c r="M297" i="7"/>
  <c r="L297" i="7"/>
  <c r="K297" i="7"/>
  <c r="J297" i="7"/>
  <c r="I297" i="7"/>
  <c r="H297" i="7"/>
  <c r="G297" i="7"/>
  <c r="F297" i="7"/>
  <c r="E297" i="7"/>
  <c r="D297" i="7"/>
  <c r="C297" i="7"/>
  <c r="B297" i="7"/>
  <c r="A297" i="7"/>
  <c r="R296" i="7"/>
  <c r="Q296" i="7"/>
  <c r="P296" i="7"/>
  <c r="O296" i="7"/>
  <c r="N296" i="7"/>
  <c r="M296" i="7"/>
  <c r="L296" i="7"/>
  <c r="K296" i="7"/>
  <c r="J296" i="7"/>
  <c r="I296" i="7"/>
  <c r="H296" i="7"/>
  <c r="G296" i="7"/>
  <c r="F296" i="7"/>
  <c r="E296" i="7"/>
  <c r="D296" i="7"/>
  <c r="C296" i="7"/>
  <c r="B296" i="7"/>
  <c r="A296" i="7"/>
  <c r="R295" i="7"/>
  <c r="Q295" i="7"/>
  <c r="P295" i="7"/>
  <c r="O295" i="7"/>
  <c r="N295" i="7"/>
  <c r="M295" i="7"/>
  <c r="L295" i="7"/>
  <c r="K295" i="7"/>
  <c r="J295" i="7"/>
  <c r="I295" i="7"/>
  <c r="H295" i="7"/>
  <c r="G295" i="7"/>
  <c r="F295" i="7"/>
  <c r="E295" i="7"/>
  <c r="D295" i="7"/>
  <c r="C295" i="7"/>
  <c r="B295" i="7"/>
  <c r="A295" i="7"/>
  <c r="R294" i="7"/>
  <c r="Q294" i="7"/>
  <c r="P294" i="7"/>
  <c r="O294" i="7"/>
  <c r="N294" i="7"/>
  <c r="M294" i="7"/>
  <c r="L294" i="7"/>
  <c r="K294" i="7"/>
  <c r="J294" i="7"/>
  <c r="I294" i="7"/>
  <c r="H294" i="7"/>
  <c r="G294" i="7"/>
  <c r="F294" i="7"/>
  <c r="E294" i="7"/>
  <c r="D294" i="7"/>
  <c r="C294" i="7"/>
  <c r="B294" i="7"/>
  <c r="A294" i="7"/>
  <c r="R293" i="7"/>
  <c r="Q293" i="7"/>
  <c r="P293" i="7"/>
  <c r="O293" i="7"/>
  <c r="N293" i="7"/>
  <c r="M293" i="7"/>
  <c r="L293" i="7"/>
  <c r="K293" i="7"/>
  <c r="J293" i="7"/>
  <c r="I293" i="7"/>
  <c r="H293" i="7"/>
  <c r="G293" i="7"/>
  <c r="F293" i="7"/>
  <c r="E293" i="7"/>
  <c r="D293" i="7"/>
  <c r="C293" i="7"/>
  <c r="B293" i="7"/>
  <c r="A293" i="7"/>
  <c r="R292" i="7"/>
  <c r="Q292" i="7"/>
  <c r="P292" i="7"/>
  <c r="O292" i="7"/>
  <c r="N292" i="7"/>
  <c r="M292" i="7"/>
  <c r="L292" i="7"/>
  <c r="K292" i="7"/>
  <c r="J292" i="7"/>
  <c r="I292" i="7"/>
  <c r="H292" i="7"/>
  <c r="G292" i="7"/>
  <c r="F292" i="7"/>
  <c r="E292" i="7"/>
  <c r="D292" i="7"/>
  <c r="C292" i="7"/>
  <c r="B292" i="7"/>
  <c r="A292" i="7"/>
  <c r="R291" i="7"/>
  <c r="Q291" i="7"/>
  <c r="P291" i="7"/>
  <c r="O291" i="7"/>
  <c r="N291" i="7"/>
  <c r="M291" i="7"/>
  <c r="L291" i="7"/>
  <c r="K291" i="7"/>
  <c r="J291" i="7"/>
  <c r="I291" i="7"/>
  <c r="H291" i="7"/>
  <c r="G291" i="7"/>
  <c r="F291" i="7"/>
  <c r="E291" i="7"/>
  <c r="D291" i="7"/>
  <c r="C291" i="7"/>
  <c r="B291" i="7"/>
  <c r="A291" i="7"/>
  <c r="R290" i="7"/>
  <c r="Q290" i="7"/>
  <c r="P290" i="7"/>
  <c r="O290" i="7"/>
  <c r="N290" i="7"/>
  <c r="M290" i="7"/>
  <c r="L290" i="7"/>
  <c r="K290" i="7"/>
  <c r="J290" i="7"/>
  <c r="I290" i="7"/>
  <c r="H290" i="7"/>
  <c r="G290" i="7"/>
  <c r="F290" i="7"/>
  <c r="E290" i="7"/>
  <c r="D290" i="7"/>
  <c r="C290" i="7"/>
  <c r="B290" i="7"/>
  <c r="A290" i="7"/>
  <c r="R289" i="7"/>
  <c r="Q289" i="7"/>
  <c r="P289" i="7"/>
  <c r="O289" i="7"/>
  <c r="N289" i="7"/>
  <c r="M289" i="7"/>
  <c r="L289" i="7"/>
  <c r="K289" i="7"/>
  <c r="J289" i="7"/>
  <c r="I289" i="7"/>
  <c r="H289" i="7"/>
  <c r="G289" i="7"/>
  <c r="F289" i="7"/>
  <c r="E289" i="7"/>
  <c r="D289" i="7"/>
  <c r="C289" i="7"/>
  <c r="B289" i="7"/>
  <c r="A289" i="7"/>
  <c r="R288" i="7"/>
  <c r="Q288" i="7"/>
  <c r="P288" i="7"/>
  <c r="O288" i="7"/>
  <c r="N288" i="7"/>
  <c r="M288" i="7"/>
  <c r="L288" i="7"/>
  <c r="K288" i="7"/>
  <c r="J288" i="7"/>
  <c r="I288" i="7"/>
  <c r="H288" i="7"/>
  <c r="G288" i="7"/>
  <c r="F288" i="7"/>
  <c r="E288" i="7"/>
  <c r="D288" i="7"/>
  <c r="C288" i="7"/>
  <c r="B288" i="7"/>
  <c r="A288" i="7"/>
  <c r="R287" i="7"/>
  <c r="Q287" i="7"/>
  <c r="P287" i="7"/>
  <c r="O287" i="7"/>
  <c r="N287" i="7"/>
  <c r="M287" i="7"/>
  <c r="L287" i="7"/>
  <c r="K287" i="7"/>
  <c r="J287" i="7"/>
  <c r="I287" i="7"/>
  <c r="H287" i="7"/>
  <c r="G287" i="7"/>
  <c r="F287" i="7"/>
  <c r="E287" i="7"/>
  <c r="D287" i="7"/>
  <c r="C287" i="7"/>
  <c r="B287" i="7"/>
  <c r="A287" i="7"/>
  <c r="R286" i="7"/>
  <c r="Q286" i="7"/>
  <c r="P286" i="7"/>
  <c r="O286" i="7"/>
  <c r="N286" i="7"/>
  <c r="M286" i="7"/>
  <c r="L286" i="7"/>
  <c r="K286" i="7"/>
  <c r="J286" i="7"/>
  <c r="I286" i="7"/>
  <c r="H286" i="7"/>
  <c r="G286" i="7"/>
  <c r="F286" i="7"/>
  <c r="E286" i="7"/>
  <c r="D286" i="7"/>
  <c r="C286" i="7"/>
  <c r="B286" i="7"/>
  <c r="A286" i="7"/>
  <c r="R285" i="7"/>
  <c r="Q285" i="7"/>
  <c r="P285" i="7"/>
  <c r="O285" i="7"/>
  <c r="N285" i="7"/>
  <c r="M285" i="7"/>
  <c r="L285" i="7"/>
  <c r="K285" i="7"/>
  <c r="J285" i="7"/>
  <c r="I285" i="7"/>
  <c r="H285" i="7"/>
  <c r="G285" i="7"/>
  <c r="F285" i="7"/>
  <c r="E285" i="7"/>
  <c r="D285" i="7"/>
  <c r="C285" i="7"/>
  <c r="B285" i="7"/>
  <c r="A285" i="7"/>
  <c r="R284" i="7"/>
  <c r="Q284" i="7"/>
  <c r="P284" i="7"/>
  <c r="O284" i="7"/>
  <c r="N284" i="7"/>
  <c r="M284" i="7"/>
  <c r="L284" i="7"/>
  <c r="K284" i="7"/>
  <c r="J284" i="7"/>
  <c r="I284" i="7"/>
  <c r="H284" i="7"/>
  <c r="G284" i="7"/>
  <c r="F284" i="7"/>
  <c r="E284" i="7"/>
  <c r="D284" i="7"/>
  <c r="C284" i="7"/>
  <c r="B284" i="7"/>
  <c r="A284" i="7"/>
  <c r="R283" i="7"/>
  <c r="Q283" i="7"/>
  <c r="P283" i="7"/>
  <c r="O283" i="7"/>
  <c r="N283" i="7"/>
  <c r="M283" i="7"/>
  <c r="L283" i="7"/>
  <c r="K283" i="7"/>
  <c r="J283" i="7"/>
  <c r="I283" i="7"/>
  <c r="H283" i="7"/>
  <c r="G283" i="7"/>
  <c r="F283" i="7"/>
  <c r="E283" i="7"/>
  <c r="D283" i="7"/>
  <c r="C283" i="7"/>
  <c r="B283" i="7"/>
  <c r="A283" i="7"/>
  <c r="R282" i="7"/>
  <c r="Q282" i="7"/>
  <c r="P282" i="7"/>
  <c r="O282" i="7"/>
  <c r="N282" i="7"/>
  <c r="M282" i="7"/>
  <c r="L282" i="7"/>
  <c r="K282" i="7"/>
  <c r="J282" i="7"/>
  <c r="I282" i="7"/>
  <c r="H282" i="7"/>
  <c r="G282" i="7"/>
  <c r="F282" i="7"/>
  <c r="E282" i="7"/>
  <c r="D282" i="7"/>
  <c r="C282" i="7"/>
  <c r="B282" i="7"/>
  <c r="A282" i="7"/>
  <c r="R281" i="7"/>
  <c r="Q281" i="7"/>
  <c r="P281" i="7"/>
  <c r="O281" i="7"/>
  <c r="N281" i="7"/>
  <c r="M281" i="7"/>
  <c r="L281" i="7"/>
  <c r="K281" i="7"/>
  <c r="J281" i="7"/>
  <c r="I281" i="7"/>
  <c r="H281" i="7"/>
  <c r="G281" i="7"/>
  <c r="F281" i="7"/>
  <c r="E281" i="7"/>
  <c r="D281" i="7"/>
  <c r="C281" i="7"/>
  <c r="B281" i="7"/>
  <c r="A281" i="7"/>
  <c r="R280" i="7"/>
  <c r="Q280" i="7"/>
  <c r="P280" i="7"/>
  <c r="O280" i="7"/>
  <c r="N280" i="7"/>
  <c r="M280" i="7"/>
  <c r="L280" i="7"/>
  <c r="K280" i="7"/>
  <c r="J280" i="7"/>
  <c r="I280" i="7"/>
  <c r="H280" i="7"/>
  <c r="G280" i="7"/>
  <c r="F280" i="7"/>
  <c r="E280" i="7"/>
  <c r="D280" i="7"/>
  <c r="C280" i="7"/>
  <c r="B280" i="7"/>
  <c r="A280" i="7"/>
  <c r="R279" i="7"/>
  <c r="Q279" i="7"/>
  <c r="P279" i="7"/>
  <c r="O279" i="7"/>
  <c r="N279" i="7"/>
  <c r="M279" i="7"/>
  <c r="L279" i="7"/>
  <c r="K279" i="7"/>
  <c r="J279" i="7"/>
  <c r="I279" i="7"/>
  <c r="H279" i="7"/>
  <c r="G279" i="7"/>
  <c r="F279" i="7"/>
  <c r="E279" i="7"/>
  <c r="D279" i="7"/>
  <c r="C279" i="7"/>
  <c r="B279" i="7"/>
  <c r="A279" i="7"/>
  <c r="R278" i="7"/>
  <c r="Q278" i="7"/>
  <c r="P278" i="7"/>
  <c r="O278" i="7"/>
  <c r="N278" i="7"/>
  <c r="M278" i="7"/>
  <c r="L278" i="7"/>
  <c r="K278" i="7"/>
  <c r="J278" i="7"/>
  <c r="I278" i="7"/>
  <c r="H278" i="7"/>
  <c r="G278" i="7"/>
  <c r="F278" i="7"/>
  <c r="E278" i="7"/>
  <c r="D278" i="7"/>
  <c r="C278" i="7"/>
  <c r="B278" i="7"/>
  <c r="A278" i="7"/>
  <c r="R277" i="7"/>
  <c r="Q277" i="7"/>
  <c r="P277" i="7"/>
  <c r="O277" i="7"/>
  <c r="N277" i="7"/>
  <c r="M277" i="7"/>
  <c r="L277" i="7"/>
  <c r="K277" i="7"/>
  <c r="J277" i="7"/>
  <c r="I277" i="7"/>
  <c r="H277" i="7"/>
  <c r="G277" i="7"/>
  <c r="F277" i="7"/>
  <c r="E277" i="7"/>
  <c r="D277" i="7"/>
  <c r="C277" i="7"/>
  <c r="B277" i="7"/>
  <c r="A277" i="7"/>
  <c r="R276" i="7"/>
  <c r="Q276" i="7"/>
  <c r="P276" i="7"/>
  <c r="O276" i="7"/>
  <c r="N276" i="7"/>
  <c r="M276" i="7"/>
  <c r="L276" i="7"/>
  <c r="K276" i="7"/>
  <c r="J276" i="7"/>
  <c r="I276" i="7"/>
  <c r="H276" i="7"/>
  <c r="G276" i="7"/>
  <c r="F276" i="7"/>
  <c r="E276" i="7"/>
  <c r="D276" i="7"/>
  <c r="C276" i="7"/>
  <c r="B276" i="7"/>
  <c r="A276" i="7"/>
  <c r="R275" i="7"/>
  <c r="Q275" i="7"/>
  <c r="P275" i="7"/>
  <c r="O275" i="7"/>
  <c r="N275" i="7"/>
  <c r="M275" i="7"/>
  <c r="L275" i="7"/>
  <c r="K275" i="7"/>
  <c r="J275" i="7"/>
  <c r="I275" i="7"/>
  <c r="H275" i="7"/>
  <c r="G275" i="7"/>
  <c r="F275" i="7"/>
  <c r="E275" i="7"/>
  <c r="D275" i="7"/>
  <c r="C275" i="7"/>
  <c r="B275" i="7"/>
  <c r="A275" i="7"/>
  <c r="R274" i="7"/>
  <c r="Q274" i="7"/>
  <c r="P274" i="7"/>
  <c r="O274" i="7"/>
  <c r="N274" i="7"/>
  <c r="M274" i="7"/>
  <c r="L274" i="7"/>
  <c r="K274" i="7"/>
  <c r="J274" i="7"/>
  <c r="I274" i="7"/>
  <c r="H274" i="7"/>
  <c r="G274" i="7"/>
  <c r="F274" i="7"/>
  <c r="E274" i="7"/>
  <c r="D274" i="7"/>
  <c r="C274" i="7"/>
  <c r="B274" i="7"/>
  <c r="A274" i="7"/>
  <c r="R273" i="7"/>
  <c r="Q273" i="7"/>
  <c r="P273" i="7"/>
  <c r="O273" i="7"/>
  <c r="N273" i="7"/>
  <c r="M273" i="7"/>
  <c r="L273" i="7"/>
  <c r="K273" i="7"/>
  <c r="J273" i="7"/>
  <c r="I273" i="7"/>
  <c r="H273" i="7"/>
  <c r="G273" i="7"/>
  <c r="F273" i="7"/>
  <c r="E273" i="7"/>
  <c r="D273" i="7"/>
  <c r="C273" i="7"/>
  <c r="B273" i="7"/>
  <c r="A273" i="7"/>
  <c r="R272" i="7"/>
  <c r="Q272" i="7"/>
  <c r="P272" i="7"/>
  <c r="O272" i="7"/>
  <c r="N272" i="7"/>
  <c r="M272" i="7"/>
  <c r="L272" i="7"/>
  <c r="K272" i="7"/>
  <c r="J272" i="7"/>
  <c r="I272" i="7"/>
  <c r="H272" i="7"/>
  <c r="G272" i="7"/>
  <c r="F272" i="7"/>
  <c r="E272" i="7"/>
  <c r="D272" i="7"/>
  <c r="C272" i="7"/>
  <c r="B272" i="7"/>
  <c r="A272" i="7"/>
  <c r="R271" i="7"/>
  <c r="Q271" i="7"/>
  <c r="P271" i="7"/>
  <c r="O271" i="7"/>
  <c r="N271" i="7"/>
  <c r="M271" i="7"/>
  <c r="L271" i="7"/>
  <c r="K271" i="7"/>
  <c r="J271" i="7"/>
  <c r="I271" i="7"/>
  <c r="H271" i="7"/>
  <c r="G271" i="7"/>
  <c r="F271" i="7"/>
  <c r="E271" i="7"/>
  <c r="D271" i="7"/>
  <c r="C271" i="7"/>
  <c r="B271" i="7"/>
  <c r="A271" i="7"/>
  <c r="R270" i="7"/>
  <c r="Q270" i="7"/>
  <c r="P270" i="7"/>
  <c r="O270" i="7"/>
  <c r="N270" i="7"/>
  <c r="M270" i="7"/>
  <c r="L270" i="7"/>
  <c r="K270" i="7"/>
  <c r="J270" i="7"/>
  <c r="I270" i="7"/>
  <c r="H270" i="7"/>
  <c r="G270" i="7"/>
  <c r="F270" i="7"/>
  <c r="E270" i="7"/>
  <c r="D270" i="7"/>
  <c r="C270" i="7"/>
  <c r="B270" i="7"/>
  <c r="A270" i="7"/>
  <c r="R269" i="7"/>
  <c r="Q269" i="7"/>
  <c r="P269" i="7"/>
  <c r="O269" i="7"/>
  <c r="N269" i="7"/>
  <c r="M269" i="7"/>
  <c r="L269" i="7"/>
  <c r="K269" i="7"/>
  <c r="J269" i="7"/>
  <c r="I269" i="7"/>
  <c r="H269" i="7"/>
  <c r="G269" i="7"/>
  <c r="F269" i="7"/>
  <c r="E269" i="7"/>
  <c r="D269" i="7"/>
  <c r="C269" i="7"/>
  <c r="B269" i="7"/>
  <c r="A269" i="7"/>
  <c r="R268" i="7"/>
  <c r="Q268" i="7"/>
  <c r="P268" i="7"/>
  <c r="O268" i="7"/>
  <c r="N268" i="7"/>
  <c r="M268" i="7"/>
  <c r="L268" i="7"/>
  <c r="K268" i="7"/>
  <c r="J268" i="7"/>
  <c r="I268" i="7"/>
  <c r="H268" i="7"/>
  <c r="G268" i="7"/>
  <c r="F268" i="7"/>
  <c r="E268" i="7"/>
  <c r="D268" i="7"/>
  <c r="C268" i="7"/>
  <c r="B268" i="7"/>
  <c r="A268" i="7"/>
  <c r="R267" i="7"/>
  <c r="Q267" i="7"/>
  <c r="P267" i="7"/>
  <c r="O267" i="7"/>
  <c r="N267" i="7"/>
  <c r="M267" i="7"/>
  <c r="L267" i="7"/>
  <c r="K267" i="7"/>
  <c r="J267" i="7"/>
  <c r="I267" i="7"/>
  <c r="H267" i="7"/>
  <c r="G267" i="7"/>
  <c r="F267" i="7"/>
  <c r="E267" i="7"/>
  <c r="D267" i="7"/>
  <c r="C267" i="7"/>
  <c r="B267" i="7"/>
  <c r="A267" i="7"/>
  <c r="R266" i="7"/>
  <c r="Q266" i="7"/>
  <c r="P266" i="7"/>
  <c r="O266" i="7"/>
  <c r="N266" i="7"/>
  <c r="M266" i="7"/>
  <c r="L266" i="7"/>
  <c r="K266" i="7"/>
  <c r="J266" i="7"/>
  <c r="I266" i="7"/>
  <c r="H266" i="7"/>
  <c r="G266" i="7"/>
  <c r="F266" i="7"/>
  <c r="E266" i="7"/>
  <c r="D266" i="7"/>
  <c r="C266" i="7"/>
  <c r="B266" i="7"/>
  <c r="A266" i="7"/>
  <c r="R265" i="7"/>
  <c r="Q265" i="7"/>
  <c r="P265" i="7"/>
  <c r="O265" i="7"/>
  <c r="N265" i="7"/>
  <c r="M265" i="7"/>
  <c r="L265" i="7"/>
  <c r="K265" i="7"/>
  <c r="J265" i="7"/>
  <c r="I265" i="7"/>
  <c r="H265" i="7"/>
  <c r="G265" i="7"/>
  <c r="F265" i="7"/>
  <c r="E265" i="7"/>
  <c r="D265" i="7"/>
  <c r="C265" i="7"/>
  <c r="B265" i="7"/>
  <c r="A265" i="7"/>
  <c r="R264" i="7"/>
  <c r="Q264" i="7"/>
  <c r="P264" i="7"/>
  <c r="O264" i="7"/>
  <c r="N264" i="7"/>
  <c r="M264" i="7"/>
  <c r="L264" i="7"/>
  <c r="K264" i="7"/>
  <c r="J264" i="7"/>
  <c r="I264" i="7"/>
  <c r="H264" i="7"/>
  <c r="G264" i="7"/>
  <c r="F264" i="7"/>
  <c r="E264" i="7"/>
  <c r="D264" i="7"/>
  <c r="C264" i="7"/>
  <c r="B264" i="7"/>
  <c r="A264" i="7"/>
  <c r="R263" i="7"/>
  <c r="Q263" i="7"/>
  <c r="P263" i="7"/>
  <c r="O263" i="7"/>
  <c r="N263" i="7"/>
  <c r="M263" i="7"/>
  <c r="L263" i="7"/>
  <c r="K263" i="7"/>
  <c r="J263" i="7"/>
  <c r="I263" i="7"/>
  <c r="H263" i="7"/>
  <c r="G263" i="7"/>
  <c r="F263" i="7"/>
  <c r="E263" i="7"/>
  <c r="D263" i="7"/>
  <c r="C263" i="7"/>
  <c r="B263" i="7"/>
  <c r="A263" i="7"/>
  <c r="R262" i="7"/>
  <c r="Q262" i="7"/>
  <c r="P262" i="7"/>
  <c r="O262" i="7"/>
  <c r="N262" i="7"/>
  <c r="M262" i="7"/>
  <c r="L262" i="7"/>
  <c r="K262" i="7"/>
  <c r="J262" i="7"/>
  <c r="I262" i="7"/>
  <c r="H262" i="7"/>
  <c r="G262" i="7"/>
  <c r="F262" i="7"/>
  <c r="E262" i="7"/>
  <c r="D262" i="7"/>
  <c r="C262" i="7"/>
  <c r="B262" i="7"/>
  <c r="A262" i="7"/>
  <c r="R261" i="7"/>
  <c r="Q261" i="7"/>
  <c r="P261" i="7"/>
  <c r="O261" i="7"/>
  <c r="N261" i="7"/>
  <c r="M261" i="7"/>
  <c r="L261" i="7"/>
  <c r="K261" i="7"/>
  <c r="J261" i="7"/>
  <c r="I261" i="7"/>
  <c r="H261" i="7"/>
  <c r="G261" i="7"/>
  <c r="F261" i="7"/>
  <c r="E261" i="7"/>
  <c r="D261" i="7"/>
  <c r="C261" i="7"/>
  <c r="B261" i="7"/>
  <c r="A261" i="7"/>
  <c r="R260" i="7"/>
  <c r="Q260" i="7"/>
  <c r="P260" i="7"/>
  <c r="O260" i="7"/>
  <c r="N260" i="7"/>
  <c r="M260" i="7"/>
  <c r="L260" i="7"/>
  <c r="K260" i="7"/>
  <c r="J260" i="7"/>
  <c r="I260" i="7"/>
  <c r="H260" i="7"/>
  <c r="G260" i="7"/>
  <c r="F260" i="7"/>
  <c r="E260" i="7"/>
  <c r="D260" i="7"/>
  <c r="C260" i="7"/>
  <c r="B260" i="7"/>
  <c r="A260" i="7"/>
  <c r="R259" i="7"/>
  <c r="Q259" i="7"/>
  <c r="P259" i="7"/>
  <c r="O259" i="7"/>
  <c r="N259" i="7"/>
  <c r="M259" i="7"/>
  <c r="L259" i="7"/>
  <c r="K259" i="7"/>
  <c r="J259" i="7"/>
  <c r="I259" i="7"/>
  <c r="H259" i="7"/>
  <c r="G259" i="7"/>
  <c r="F259" i="7"/>
  <c r="E259" i="7"/>
  <c r="D259" i="7"/>
  <c r="C259" i="7"/>
  <c r="B259" i="7"/>
  <c r="A259" i="7"/>
  <c r="R258" i="7"/>
  <c r="Q258" i="7"/>
  <c r="P258" i="7"/>
  <c r="O258" i="7"/>
  <c r="N258" i="7"/>
  <c r="M258" i="7"/>
  <c r="L258" i="7"/>
  <c r="K258" i="7"/>
  <c r="J258" i="7"/>
  <c r="I258" i="7"/>
  <c r="H258" i="7"/>
  <c r="G258" i="7"/>
  <c r="F258" i="7"/>
  <c r="E258" i="7"/>
  <c r="D258" i="7"/>
  <c r="C258" i="7"/>
  <c r="B258" i="7"/>
  <c r="A258" i="7"/>
  <c r="R257" i="7"/>
  <c r="Q257" i="7"/>
  <c r="P257" i="7"/>
  <c r="O257" i="7"/>
  <c r="N257" i="7"/>
  <c r="M257" i="7"/>
  <c r="L257" i="7"/>
  <c r="K257" i="7"/>
  <c r="J257" i="7"/>
  <c r="I257" i="7"/>
  <c r="H257" i="7"/>
  <c r="G257" i="7"/>
  <c r="F257" i="7"/>
  <c r="E257" i="7"/>
  <c r="D257" i="7"/>
  <c r="C257" i="7"/>
  <c r="B257" i="7"/>
  <c r="A257" i="7"/>
  <c r="R256" i="7"/>
  <c r="Q256" i="7"/>
  <c r="P256" i="7"/>
  <c r="O256" i="7"/>
  <c r="N256" i="7"/>
  <c r="M256" i="7"/>
  <c r="L256" i="7"/>
  <c r="K256" i="7"/>
  <c r="J256" i="7"/>
  <c r="I256" i="7"/>
  <c r="H256" i="7"/>
  <c r="G256" i="7"/>
  <c r="F256" i="7"/>
  <c r="E256" i="7"/>
  <c r="D256" i="7"/>
  <c r="C256" i="7"/>
  <c r="B256" i="7"/>
  <c r="A256" i="7"/>
  <c r="R255" i="7"/>
  <c r="Q255" i="7"/>
  <c r="P255" i="7"/>
  <c r="O255" i="7"/>
  <c r="N255" i="7"/>
  <c r="M255" i="7"/>
  <c r="L255" i="7"/>
  <c r="K255" i="7"/>
  <c r="J255" i="7"/>
  <c r="I255" i="7"/>
  <c r="H255" i="7"/>
  <c r="G255" i="7"/>
  <c r="F255" i="7"/>
  <c r="E255" i="7"/>
  <c r="D255" i="7"/>
  <c r="C255" i="7"/>
  <c r="B255" i="7"/>
  <c r="A255" i="7"/>
  <c r="R254" i="7"/>
  <c r="Q254" i="7"/>
  <c r="P254" i="7"/>
  <c r="O254" i="7"/>
  <c r="N254" i="7"/>
  <c r="M254" i="7"/>
  <c r="L254" i="7"/>
  <c r="K254" i="7"/>
  <c r="J254" i="7"/>
  <c r="I254" i="7"/>
  <c r="H254" i="7"/>
  <c r="G254" i="7"/>
  <c r="F254" i="7"/>
  <c r="E254" i="7"/>
  <c r="D254" i="7"/>
  <c r="C254" i="7"/>
  <c r="B254" i="7"/>
  <c r="A254" i="7"/>
  <c r="R253" i="7"/>
  <c r="Q253" i="7"/>
  <c r="P253" i="7"/>
  <c r="O253" i="7"/>
  <c r="N253" i="7"/>
  <c r="M253" i="7"/>
  <c r="L253" i="7"/>
  <c r="K253" i="7"/>
  <c r="J253" i="7"/>
  <c r="I253" i="7"/>
  <c r="H253" i="7"/>
  <c r="G253" i="7"/>
  <c r="F253" i="7"/>
  <c r="E253" i="7"/>
  <c r="D253" i="7"/>
  <c r="C253" i="7"/>
  <c r="B253" i="7"/>
  <c r="A253" i="7"/>
  <c r="R252" i="7"/>
  <c r="Q252" i="7"/>
  <c r="P252" i="7"/>
  <c r="O252" i="7"/>
  <c r="N252" i="7"/>
  <c r="M252" i="7"/>
  <c r="L252" i="7"/>
  <c r="K252" i="7"/>
  <c r="J252" i="7"/>
  <c r="I252" i="7"/>
  <c r="H252" i="7"/>
  <c r="G252" i="7"/>
  <c r="F252" i="7"/>
  <c r="E252" i="7"/>
  <c r="D252" i="7"/>
  <c r="C252" i="7"/>
  <c r="B252" i="7"/>
  <c r="A252" i="7"/>
  <c r="R251" i="7"/>
  <c r="Q251" i="7"/>
  <c r="P251" i="7"/>
  <c r="O251" i="7"/>
  <c r="N251" i="7"/>
  <c r="M251" i="7"/>
  <c r="L251" i="7"/>
  <c r="K251" i="7"/>
  <c r="J251" i="7"/>
  <c r="I251" i="7"/>
  <c r="H251" i="7"/>
  <c r="G251" i="7"/>
  <c r="F251" i="7"/>
  <c r="E251" i="7"/>
  <c r="D251" i="7"/>
  <c r="C251" i="7"/>
  <c r="B251" i="7"/>
  <c r="A251" i="7"/>
  <c r="R250" i="7"/>
  <c r="Q250" i="7"/>
  <c r="P250" i="7"/>
  <c r="O250" i="7"/>
  <c r="N250" i="7"/>
  <c r="M250" i="7"/>
  <c r="L250" i="7"/>
  <c r="K250" i="7"/>
  <c r="J250" i="7"/>
  <c r="I250" i="7"/>
  <c r="H250" i="7"/>
  <c r="G250" i="7"/>
  <c r="F250" i="7"/>
  <c r="E250" i="7"/>
  <c r="D250" i="7"/>
  <c r="C250" i="7"/>
  <c r="B250" i="7"/>
  <c r="A250" i="7"/>
  <c r="R249" i="7"/>
  <c r="Q249" i="7"/>
  <c r="P249" i="7"/>
  <c r="O249" i="7"/>
  <c r="N249" i="7"/>
  <c r="M249" i="7"/>
  <c r="L249" i="7"/>
  <c r="K249" i="7"/>
  <c r="J249" i="7"/>
  <c r="I249" i="7"/>
  <c r="H249" i="7"/>
  <c r="G249" i="7"/>
  <c r="F249" i="7"/>
  <c r="E249" i="7"/>
  <c r="D249" i="7"/>
  <c r="C249" i="7"/>
  <c r="B249" i="7"/>
  <c r="A249" i="7"/>
  <c r="R248" i="7"/>
  <c r="Q248" i="7"/>
  <c r="P248" i="7"/>
  <c r="O248" i="7"/>
  <c r="N248" i="7"/>
  <c r="M248" i="7"/>
  <c r="L248" i="7"/>
  <c r="K248" i="7"/>
  <c r="J248" i="7"/>
  <c r="I248" i="7"/>
  <c r="H248" i="7"/>
  <c r="G248" i="7"/>
  <c r="F248" i="7"/>
  <c r="E248" i="7"/>
  <c r="D248" i="7"/>
  <c r="C248" i="7"/>
  <c r="B248" i="7"/>
  <c r="A248" i="7"/>
  <c r="R247" i="7"/>
  <c r="Q247" i="7"/>
  <c r="P247" i="7"/>
  <c r="O247" i="7"/>
  <c r="N247" i="7"/>
  <c r="M247" i="7"/>
  <c r="L247" i="7"/>
  <c r="K247" i="7"/>
  <c r="J247" i="7"/>
  <c r="I247" i="7"/>
  <c r="H247" i="7"/>
  <c r="G247" i="7"/>
  <c r="F247" i="7"/>
  <c r="E247" i="7"/>
  <c r="D247" i="7"/>
  <c r="C247" i="7"/>
  <c r="B247" i="7"/>
  <c r="A247" i="7"/>
  <c r="R246" i="7"/>
  <c r="Q246" i="7"/>
  <c r="P246" i="7"/>
  <c r="O246" i="7"/>
  <c r="N246" i="7"/>
  <c r="M246" i="7"/>
  <c r="L246" i="7"/>
  <c r="K246" i="7"/>
  <c r="J246" i="7"/>
  <c r="I246" i="7"/>
  <c r="H246" i="7"/>
  <c r="G246" i="7"/>
  <c r="F246" i="7"/>
  <c r="E246" i="7"/>
  <c r="D246" i="7"/>
  <c r="C246" i="7"/>
  <c r="B246" i="7"/>
  <c r="A246" i="7"/>
  <c r="R245" i="7"/>
  <c r="Q245" i="7"/>
  <c r="P245" i="7"/>
  <c r="O245" i="7"/>
  <c r="N245" i="7"/>
  <c r="M245" i="7"/>
  <c r="L245" i="7"/>
  <c r="K245" i="7"/>
  <c r="J245" i="7"/>
  <c r="I245" i="7"/>
  <c r="H245" i="7"/>
  <c r="G245" i="7"/>
  <c r="F245" i="7"/>
  <c r="E245" i="7"/>
  <c r="D245" i="7"/>
  <c r="C245" i="7"/>
  <c r="B245" i="7"/>
  <c r="A245" i="7"/>
  <c r="R244" i="7"/>
  <c r="Q244" i="7"/>
  <c r="P244" i="7"/>
  <c r="O244" i="7"/>
  <c r="N244" i="7"/>
  <c r="M244" i="7"/>
  <c r="L244" i="7"/>
  <c r="K244" i="7"/>
  <c r="J244" i="7"/>
  <c r="I244" i="7"/>
  <c r="H244" i="7"/>
  <c r="G244" i="7"/>
  <c r="F244" i="7"/>
  <c r="E244" i="7"/>
  <c r="D244" i="7"/>
  <c r="C244" i="7"/>
  <c r="B244" i="7"/>
  <c r="A244" i="7"/>
  <c r="R243" i="7"/>
  <c r="Q243" i="7"/>
  <c r="P243" i="7"/>
  <c r="O243" i="7"/>
  <c r="N243" i="7"/>
  <c r="M243" i="7"/>
  <c r="L243" i="7"/>
  <c r="K243" i="7"/>
  <c r="J243" i="7"/>
  <c r="I243" i="7"/>
  <c r="H243" i="7"/>
  <c r="G243" i="7"/>
  <c r="F243" i="7"/>
  <c r="E243" i="7"/>
  <c r="D243" i="7"/>
  <c r="C243" i="7"/>
  <c r="B243" i="7"/>
  <c r="A243" i="7"/>
  <c r="R242" i="7"/>
  <c r="Q242" i="7"/>
  <c r="P242" i="7"/>
  <c r="O242" i="7"/>
  <c r="N242" i="7"/>
  <c r="M242" i="7"/>
  <c r="L242" i="7"/>
  <c r="K242" i="7"/>
  <c r="J242" i="7"/>
  <c r="I242" i="7"/>
  <c r="H242" i="7"/>
  <c r="G242" i="7"/>
  <c r="F242" i="7"/>
  <c r="E242" i="7"/>
  <c r="D242" i="7"/>
  <c r="C242" i="7"/>
  <c r="B242" i="7"/>
  <c r="A242" i="7"/>
  <c r="R241" i="7"/>
  <c r="Q241" i="7"/>
  <c r="P241" i="7"/>
  <c r="O241" i="7"/>
  <c r="N241" i="7"/>
  <c r="M241" i="7"/>
  <c r="L241" i="7"/>
  <c r="K241" i="7"/>
  <c r="J241" i="7"/>
  <c r="I241" i="7"/>
  <c r="H241" i="7"/>
  <c r="G241" i="7"/>
  <c r="F241" i="7"/>
  <c r="E241" i="7"/>
  <c r="D241" i="7"/>
  <c r="C241" i="7"/>
  <c r="B241" i="7"/>
  <c r="A241" i="7"/>
  <c r="R240" i="7"/>
  <c r="Q240" i="7"/>
  <c r="P240" i="7"/>
  <c r="O240" i="7"/>
  <c r="N240" i="7"/>
  <c r="M240" i="7"/>
  <c r="L240" i="7"/>
  <c r="K240" i="7"/>
  <c r="J240" i="7"/>
  <c r="I240" i="7"/>
  <c r="H240" i="7"/>
  <c r="G240" i="7"/>
  <c r="F240" i="7"/>
  <c r="E240" i="7"/>
  <c r="D240" i="7"/>
  <c r="C240" i="7"/>
  <c r="B240" i="7"/>
  <c r="A240" i="7"/>
  <c r="R239" i="7"/>
  <c r="Q239" i="7"/>
  <c r="P239" i="7"/>
  <c r="O239" i="7"/>
  <c r="N239" i="7"/>
  <c r="M239" i="7"/>
  <c r="L239" i="7"/>
  <c r="K239" i="7"/>
  <c r="J239" i="7"/>
  <c r="I239" i="7"/>
  <c r="H239" i="7"/>
  <c r="G239" i="7"/>
  <c r="F239" i="7"/>
  <c r="E239" i="7"/>
  <c r="D239" i="7"/>
  <c r="C239" i="7"/>
  <c r="B239" i="7"/>
  <c r="A239" i="7"/>
  <c r="R238" i="7"/>
  <c r="Q238" i="7"/>
  <c r="P238" i="7"/>
  <c r="O238" i="7"/>
  <c r="N238" i="7"/>
  <c r="M238" i="7"/>
  <c r="L238" i="7"/>
  <c r="K238" i="7"/>
  <c r="J238" i="7"/>
  <c r="I238" i="7"/>
  <c r="H238" i="7"/>
  <c r="G238" i="7"/>
  <c r="F238" i="7"/>
  <c r="E238" i="7"/>
  <c r="D238" i="7"/>
  <c r="C238" i="7"/>
  <c r="B238" i="7"/>
  <c r="A238" i="7"/>
  <c r="R237" i="7"/>
  <c r="Q237" i="7"/>
  <c r="P237" i="7"/>
  <c r="O237" i="7"/>
  <c r="N237" i="7"/>
  <c r="M237" i="7"/>
  <c r="L237" i="7"/>
  <c r="K237" i="7"/>
  <c r="J237" i="7"/>
  <c r="I237" i="7"/>
  <c r="H237" i="7"/>
  <c r="G237" i="7"/>
  <c r="F237" i="7"/>
  <c r="E237" i="7"/>
  <c r="D237" i="7"/>
  <c r="C237" i="7"/>
  <c r="B237" i="7"/>
  <c r="A237" i="7"/>
  <c r="R236" i="7"/>
  <c r="Q236" i="7"/>
  <c r="P236" i="7"/>
  <c r="O236" i="7"/>
  <c r="N236" i="7"/>
  <c r="M236" i="7"/>
  <c r="L236" i="7"/>
  <c r="K236" i="7"/>
  <c r="J236" i="7"/>
  <c r="I236" i="7"/>
  <c r="H236" i="7"/>
  <c r="G236" i="7"/>
  <c r="F236" i="7"/>
  <c r="E236" i="7"/>
  <c r="D236" i="7"/>
  <c r="C236" i="7"/>
  <c r="B236" i="7"/>
  <c r="A236" i="7"/>
  <c r="R235" i="7"/>
  <c r="Q235" i="7"/>
  <c r="P235" i="7"/>
  <c r="O235" i="7"/>
  <c r="N235" i="7"/>
  <c r="M235" i="7"/>
  <c r="L235" i="7"/>
  <c r="K235" i="7"/>
  <c r="J235" i="7"/>
  <c r="I235" i="7"/>
  <c r="H235" i="7"/>
  <c r="G235" i="7"/>
  <c r="F235" i="7"/>
  <c r="E235" i="7"/>
  <c r="D235" i="7"/>
  <c r="C235" i="7"/>
  <c r="B235" i="7"/>
  <c r="A235" i="7"/>
  <c r="R234" i="7"/>
  <c r="Q234" i="7"/>
  <c r="P234" i="7"/>
  <c r="O234" i="7"/>
  <c r="N234" i="7"/>
  <c r="M234" i="7"/>
  <c r="L234" i="7"/>
  <c r="K234" i="7"/>
  <c r="J234" i="7"/>
  <c r="I234" i="7"/>
  <c r="H234" i="7"/>
  <c r="G234" i="7"/>
  <c r="F234" i="7"/>
  <c r="E234" i="7"/>
  <c r="D234" i="7"/>
  <c r="C234" i="7"/>
  <c r="B234" i="7"/>
  <c r="A234" i="7"/>
  <c r="R233" i="7"/>
  <c r="Q233" i="7"/>
  <c r="P233" i="7"/>
  <c r="O233" i="7"/>
  <c r="N233" i="7"/>
  <c r="M233" i="7"/>
  <c r="L233" i="7"/>
  <c r="K233" i="7"/>
  <c r="J233" i="7"/>
  <c r="I233" i="7"/>
  <c r="H233" i="7"/>
  <c r="G233" i="7"/>
  <c r="F233" i="7"/>
  <c r="E233" i="7"/>
  <c r="D233" i="7"/>
  <c r="C233" i="7"/>
  <c r="B233" i="7"/>
  <c r="A233" i="7"/>
  <c r="R232" i="7"/>
  <c r="Q232" i="7"/>
  <c r="P232" i="7"/>
  <c r="O232" i="7"/>
  <c r="N232" i="7"/>
  <c r="M232" i="7"/>
  <c r="L232" i="7"/>
  <c r="K232" i="7"/>
  <c r="J232" i="7"/>
  <c r="I232" i="7"/>
  <c r="H232" i="7"/>
  <c r="G232" i="7"/>
  <c r="F232" i="7"/>
  <c r="E232" i="7"/>
  <c r="D232" i="7"/>
  <c r="C232" i="7"/>
  <c r="B232" i="7"/>
  <c r="A232" i="7"/>
  <c r="R231" i="7"/>
  <c r="Q231" i="7"/>
  <c r="P231" i="7"/>
  <c r="O231" i="7"/>
  <c r="N231" i="7"/>
  <c r="M231" i="7"/>
  <c r="L231" i="7"/>
  <c r="K231" i="7"/>
  <c r="J231" i="7"/>
  <c r="I231" i="7"/>
  <c r="H231" i="7"/>
  <c r="G231" i="7"/>
  <c r="F231" i="7"/>
  <c r="E231" i="7"/>
  <c r="D231" i="7"/>
  <c r="C231" i="7"/>
  <c r="B231" i="7"/>
  <c r="A231" i="7"/>
  <c r="R230" i="7"/>
  <c r="Q230" i="7"/>
  <c r="P230" i="7"/>
  <c r="O230" i="7"/>
  <c r="N230" i="7"/>
  <c r="M230" i="7"/>
  <c r="L230" i="7"/>
  <c r="K230" i="7"/>
  <c r="J230" i="7"/>
  <c r="I230" i="7"/>
  <c r="H230" i="7"/>
  <c r="G230" i="7"/>
  <c r="F230" i="7"/>
  <c r="E230" i="7"/>
  <c r="D230" i="7"/>
  <c r="C230" i="7"/>
  <c r="B230" i="7"/>
  <c r="A230" i="7"/>
  <c r="R229" i="7"/>
  <c r="Q229" i="7"/>
  <c r="P229" i="7"/>
  <c r="O229" i="7"/>
  <c r="N229" i="7"/>
  <c r="M229" i="7"/>
  <c r="L229" i="7"/>
  <c r="K229" i="7"/>
  <c r="J229" i="7"/>
  <c r="I229" i="7"/>
  <c r="H229" i="7"/>
  <c r="G229" i="7"/>
  <c r="F229" i="7"/>
  <c r="E229" i="7"/>
  <c r="D229" i="7"/>
  <c r="C229" i="7"/>
  <c r="B229" i="7"/>
  <c r="A229" i="7"/>
  <c r="R228" i="7"/>
  <c r="Q228" i="7"/>
  <c r="P228" i="7"/>
  <c r="O228" i="7"/>
  <c r="N228" i="7"/>
  <c r="M228" i="7"/>
  <c r="L228" i="7"/>
  <c r="K228" i="7"/>
  <c r="J228" i="7"/>
  <c r="I228" i="7"/>
  <c r="H228" i="7"/>
  <c r="G228" i="7"/>
  <c r="F228" i="7"/>
  <c r="E228" i="7"/>
  <c r="D228" i="7"/>
  <c r="C228" i="7"/>
  <c r="B228" i="7"/>
  <c r="A228" i="7"/>
  <c r="R227" i="7"/>
  <c r="Q227" i="7"/>
  <c r="P227" i="7"/>
  <c r="O227" i="7"/>
  <c r="N227" i="7"/>
  <c r="M227" i="7"/>
  <c r="L227" i="7"/>
  <c r="K227" i="7"/>
  <c r="J227" i="7"/>
  <c r="I227" i="7"/>
  <c r="H227" i="7"/>
  <c r="G227" i="7"/>
  <c r="F227" i="7"/>
  <c r="E227" i="7"/>
  <c r="D227" i="7"/>
  <c r="C227" i="7"/>
  <c r="B227" i="7"/>
  <c r="A227" i="7"/>
  <c r="R226" i="7"/>
  <c r="Q226" i="7"/>
  <c r="P226" i="7"/>
  <c r="O226" i="7"/>
  <c r="N226" i="7"/>
  <c r="M226" i="7"/>
  <c r="L226" i="7"/>
  <c r="K226" i="7"/>
  <c r="J226" i="7"/>
  <c r="I226" i="7"/>
  <c r="H226" i="7"/>
  <c r="G226" i="7"/>
  <c r="F226" i="7"/>
  <c r="E226" i="7"/>
  <c r="D226" i="7"/>
  <c r="C226" i="7"/>
  <c r="B226" i="7"/>
  <c r="A226" i="7"/>
  <c r="R225" i="7"/>
  <c r="Q225" i="7"/>
  <c r="P225" i="7"/>
  <c r="O225" i="7"/>
  <c r="N225" i="7"/>
  <c r="M225" i="7"/>
  <c r="L225" i="7"/>
  <c r="K225" i="7"/>
  <c r="J225" i="7"/>
  <c r="I225" i="7"/>
  <c r="H225" i="7"/>
  <c r="G225" i="7"/>
  <c r="F225" i="7"/>
  <c r="E225" i="7"/>
  <c r="D225" i="7"/>
  <c r="C225" i="7"/>
  <c r="B225" i="7"/>
  <c r="A225" i="7"/>
  <c r="R224" i="7"/>
  <c r="Q224" i="7"/>
  <c r="P224" i="7"/>
  <c r="O224" i="7"/>
  <c r="N224" i="7"/>
  <c r="M224" i="7"/>
  <c r="L224" i="7"/>
  <c r="K224" i="7"/>
  <c r="J224" i="7"/>
  <c r="I224" i="7"/>
  <c r="H224" i="7"/>
  <c r="G224" i="7"/>
  <c r="F224" i="7"/>
  <c r="E224" i="7"/>
  <c r="D224" i="7"/>
  <c r="C224" i="7"/>
  <c r="B224" i="7"/>
  <c r="A224" i="7"/>
  <c r="R223" i="7"/>
  <c r="Q223" i="7"/>
  <c r="P223" i="7"/>
  <c r="O223" i="7"/>
  <c r="N223" i="7"/>
  <c r="M223" i="7"/>
  <c r="L223" i="7"/>
  <c r="K223" i="7"/>
  <c r="J223" i="7"/>
  <c r="I223" i="7"/>
  <c r="H223" i="7"/>
  <c r="G223" i="7"/>
  <c r="F223" i="7"/>
  <c r="E223" i="7"/>
  <c r="D223" i="7"/>
  <c r="C223" i="7"/>
  <c r="B223" i="7"/>
  <c r="A223" i="7"/>
  <c r="R222" i="7"/>
  <c r="Q222" i="7"/>
  <c r="P222" i="7"/>
  <c r="O222" i="7"/>
  <c r="N222" i="7"/>
  <c r="M222" i="7"/>
  <c r="L222" i="7"/>
  <c r="K222" i="7"/>
  <c r="J222" i="7"/>
  <c r="I222" i="7"/>
  <c r="H222" i="7"/>
  <c r="G222" i="7"/>
  <c r="F222" i="7"/>
  <c r="E222" i="7"/>
  <c r="D222" i="7"/>
  <c r="C222" i="7"/>
  <c r="B222" i="7"/>
  <c r="A222" i="7"/>
  <c r="R221" i="7"/>
  <c r="Q221" i="7"/>
  <c r="P221" i="7"/>
  <c r="O221" i="7"/>
  <c r="N221" i="7"/>
  <c r="M221" i="7"/>
  <c r="L221" i="7"/>
  <c r="K221" i="7"/>
  <c r="J221" i="7"/>
  <c r="I221" i="7"/>
  <c r="H221" i="7"/>
  <c r="G221" i="7"/>
  <c r="F221" i="7"/>
  <c r="E221" i="7"/>
  <c r="D221" i="7"/>
  <c r="C221" i="7"/>
  <c r="B221" i="7"/>
  <c r="A221" i="7"/>
  <c r="R220" i="7"/>
  <c r="Q220" i="7"/>
  <c r="P220" i="7"/>
  <c r="O220" i="7"/>
  <c r="N220" i="7"/>
  <c r="M220" i="7"/>
  <c r="L220" i="7"/>
  <c r="K220" i="7"/>
  <c r="J220" i="7"/>
  <c r="I220" i="7"/>
  <c r="H220" i="7"/>
  <c r="G220" i="7"/>
  <c r="F220" i="7"/>
  <c r="E220" i="7"/>
  <c r="D220" i="7"/>
  <c r="C220" i="7"/>
  <c r="B220" i="7"/>
  <c r="A220" i="7"/>
  <c r="R219" i="7"/>
  <c r="Q219" i="7"/>
  <c r="P219" i="7"/>
  <c r="O219" i="7"/>
  <c r="N219" i="7"/>
  <c r="M219" i="7"/>
  <c r="L219" i="7"/>
  <c r="K219" i="7"/>
  <c r="J219" i="7"/>
  <c r="I219" i="7"/>
  <c r="H219" i="7"/>
  <c r="G219" i="7"/>
  <c r="F219" i="7"/>
  <c r="E219" i="7"/>
  <c r="D219" i="7"/>
  <c r="C219" i="7"/>
  <c r="B219" i="7"/>
  <c r="A219" i="7"/>
  <c r="R218" i="7"/>
  <c r="Q218" i="7"/>
  <c r="P218" i="7"/>
  <c r="O218" i="7"/>
  <c r="N218" i="7"/>
  <c r="M218" i="7"/>
  <c r="L218" i="7"/>
  <c r="K218" i="7"/>
  <c r="J218" i="7"/>
  <c r="I218" i="7"/>
  <c r="H218" i="7"/>
  <c r="G218" i="7"/>
  <c r="F218" i="7"/>
  <c r="E218" i="7"/>
  <c r="D218" i="7"/>
  <c r="C218" i="7"/>
  <c r="B218" i="7"/>
  <c r="A218" i="7"/>
  <c r="R217" i="7"/>
  <c r="Q217" i="7"/>
  <c r="P217" i="7"/>
  <c r="O217" i="7"/>
  <c r="N217" i="7"/>
  <c r="M217" i="7"/>
  <c r="L217" i="7"/>
  <c r="K217" i="7"/>
  <c r="J217" i="7"/>
  <c r="I217" i="7"/>
  <c r="H217" i="7"/>
  <c r="G217" i="7"/>
  <c r="F217" i="7"/>
  <c r="E217" i="7"/>
  <c r="D217" i="7"/>
  <c r="C217" i="7"/>
  <c r="B217" i="7"/>
  <c r="A217" i="7"/>
  <c r="R216" i="7"/>
  <c r="Q216" i="7"/>
  <c r="P216" i="7"/>
  <c r="O216" i="7"/>
  <c r="N216" i="7"/>
  <c r="M216" i="7"/>
  <c r="L216" i="7"/>
  <c r="K216" i="7"/>
  <c r="J216" i="7"/>
  <c r="I216" i="7"/>
  <c r="H216" i="7"/>
  <c r="G216" i="7"/>
  <c r="F216" i="7"/>
  <c r="E216" i="7"/>
  <c r="D216" i="7"/>
  <c r="C216" i="7"/>
  <c r="B216" i="7"/>
  <c r="A216" i="7"/>
  <c r="R215" i="7"/>
  <c r="Q215" i="7"/>
  <c r="P215" i="7"/>
  <c r="O215" i="7"/>
  <c r="N215" i="7"/>
  <c r="M215" i="7"/>
  <c r="L215" i="7"/>
  <c r="K215" i="7"/>
  <c r="J215" i="7"/>
  <c r="I215" i="7"/>
  <c r="H215" i="7"/>
  <c r="G215" i="7"/>
  <c r="F215" i="7"/>
  <c r="E215" i="7"/>
  <c r="D215" i="7"/>
  <c r="C215" i="7"/>
  <c r="B215" i="7"/>
  <c r="A215" i="7"/>
  <c r="R214" i="7"/>
  <c r="Q214" i="7"/>
  <c r="P214" i="7"/>
  <c r="O214" i="7"/>
  <c r="N214" i="7"/>
  <c r="M214" i="7"/>
  <c r="L214" i="7"/>
  <c r="K214" i="7"/>
  <c r="J214" i="7"/>
  <c r="I214" i="7"/>
  <c r="H214" i="7"/>
  <c r="G214" i="7"/>
  <c r="F214" i="7"/>
  <c r="E214" i="7"/>
  <c r="D214" i="7"/>
  <c r="C214" i="7"/>
  <c r="B214" i="7"/>
  <c r="A214" i="7"/>
  <c r="R213" i="7"/>
  <c r="Q213" i="7"/>
  <c r="P213" i="7"/>
  <c r="O213" i="7"/>
  <c r="N213" i="7"/>
  <c r="M213" i="7"/>
  <c r="L213" i="7"/>
  <c r="K213" i="7"/>
  <c r="J213" i="7"/>
  <c r="I213" i="7"/>
  <c r="H213" i="7"/>
  <c r="G213" i="7"/>
  <c r="F213" i="7"/>
  <c r="E213" i="7"/>
  <c r="D213" i="7"/>
  <c r="C213" i="7"/>
  <c r="B213" i="7"/>
  <c r="A213" i="7"/>
  <c r="R212" i="7"/>
  <c r="Q212" i="7"/>
  <c r="P212" i="7"/>
  <c r="O212" i="7"/>
  <c r="N212" i="7"/>
  <c r="M212" i="7"/>
  <c r="L212" i="7"/>
  <c r="K212" i="7"/>
  <c r="J212" i="7"/>
  <c r="I212" i="7"/>
  <c r="H212" i="7"/>
  <c r="G212" i="7"/>
  <c r="F212" i="7"/>
  <c r="E212" i="7"/>
  <c r="D212" i="7"/>
  <c r="C212" i="7"/>
  <c r="B212" i="7"/>
  <c r="A212" i="7"/>
  <c r="R211" i="7"/>
  <c r="Q211" i="7"/>
  <c r="P211" i="7"/>
  <c r="O211" i="7"/>
  <c r="N211" i="7"/>
  <c r="M211" i="7"/>
  <c r="L211" i="7"/>
  <c r="K211" i="7"/>
  <c r="J211" i="7"/>
  <c r="I211" i="7"/>
  <c r="H211" i="7"/>
  <c r="G211" i="7"/>
  <c r="F211" i="7"/>
  <c r="E211" i="7"/>
  <c r="D211" i="7"/>
  <c r="C211" i="7"/>
  <c r="B211" i="7"/>
  <c r="A211" i="7"/>
  <c r="R210" i="7"/>
  <c r="Q210" i="7"/>
  <c r="P210" i="7"/>
  <c r="O210" i="7"/>
  <c r="N210" i="7"/>
  <c r="M210" i="7"/>
  <c r="L210" i="7"/>
  <c r="K210" i="7"/>
  <c r="J210" i="7"/>
  <c r="I210" i="7"/>
  <c r="H210" i="7"/>
  <c r="G210" i="7"/>
  <c r="F210" i="7"/>
  <c r="E210" i="7"/>
  <c r="D210" i="7"/>
  <c r="C210" i="7"/>
  <c r="B210" i="7"/>
  <c r="A210" i="7"/>
  <c r="R209" i="7"/>
  <c r="Q209" i="7"/>
  <c r="P209" i="7"/>
  <c r="O209" i="7"/>
  <c r="N209" i="7"/>
  <c r="M209" i="7"/>
  <c r="L209" i="7"/>
  <c r="K209" i="7"/>
  <c r="J209" i="7"/>
  <c r="I209" i="7"/>
  <c r="H209" i="7"/>
  <c r="G209" i="7"/>
  <c r="F209" i="7"/>
  <c r="E209" i="7"/>
  <c r="D209" i="7"/>
  <c r="C209" i="7"/>
  <c r="B209" i="7"/>
  <c r="A209" i="7"/>
  <c r="R208" i="7"/>
  <c r="Q208" i="7"/>
  <c r="P208" i="7"/>
  <c r="O208" i="7"/>
  <c r="N208" i="7"/>
  <c r="M208" i="7"/>
  <c r="L208" i="7"/>
  <c r="K208" i="7"/>
  <c r="J208" i="7"/>
  <c r="I208" i="7"/>
  <c r="H208" i="7"/>
  <c r="G208" i="7"/>
  <c r="F208" i="7"/>
  <c r="E208" i="7"/>
  <c r="D208" i="7"/>
  <c r="C208" i="7"/>
  <c r="B208" i="7"/>
  <c r="A208" i="7"/>
  <c r="R207" i="7"/>
  <c r="Q207" i="7"/>
  <c r="P207" i="7"/>
  <c r="O207" i="7"/>
  <c r="N207" i="7"/>
  <c r="M207" i="7"/>
  <c r="L207" i="7"/>
  <c r="K207" i="7"/>
  <c r="J207" i="7"/>
  <c r="I207" i="7"/>
  <c r="H207" i="7"/>
  <c r="G207" i="7"/>
  <c r="F207" i="7"/>
  <c r="E207" i="7"/>
  <c r="D207" i="7"/>
  <c r="C207" i="7"/>
  <c r="B207" i="7"/>
  <c r="A207" i="7"/>
  <c r="R206" i="7"/>
  <c r="Q206" i="7"/>
  <c r="P206" i="7"/>
  <c r="O206" i="7"/>
  <c r="N206" i="7"/>
  <c r="M206" i="7"/>
  <c r="L206" i="7"/>
  <c r="K206" i="7"/>
  <c r="J206" i="7"/>
  <c r="I206" i="7"/>
  <c r="H206" i="7"/>
  <c r="G206" i="7"/>
  <c r="F206" i="7"/>
  <c r="E206" i="7"/>
  <c r="D206" i="7"/>
  <c r="C206" i="7"/>
  <c r="B206" i="7"/>
  <c r="A206" i="7"/>
  <c r="R205" i="7"/>
  <c r="Q205" i="7"/>
  <c r="P205" i="7"/>
  <c r="O205" i="7"/>
  <c r="N205" i="7"/>
  <c r="M205" i="7"/>
  <c r="L205" i="7"/>
  <c r="K205" i="7"/>
  <c r="J205" i="7"/>
  <c r="I205" i="7"/>
  <c r="H205" i="7"/>
  <c r="G205" i="7"/>
  <c r="F205" i="7"/>
  <c r="E205" i="7"/>
  <c r="D205" i="7"/>
  <c r="C205" i="7"/>
  <c r="B205" i="7"/>
  <c r="A205" i="7"/>
  <c r="R204" i="7"/>
  <c r="Q204" i="7"/>
  <c r="P204" i="7"/>
  <c r="O204" i="7"/>
  <c r="N204" i="7"/>
  <c r="M204" i="7"/>
  <c r="L204" i="7"/>
  <c r="K204" i="7"/>
  <c r="J204" i="7"/>
  <c r="I204" i="7"/>
  <c r="H204" i="7"/>
  <c r="G204" i="7"/>
  <c r="F204" i="7"/>
  <c r="E204" i="7"/>
  <c r="D204" i="7"/>
  <c r="C204" i="7"/>
  <c r="B204" i="7"/>
  <c r="A204" i="7"/>
  <c r="R203" i="7"/>
  <c r="Q203" i="7"/>
  <c r="P203" i="7"/>
  <c r="O203" i="7"/>
  <c r="N203" i="7"/>
  <c r="M203" i="7"/>
  <c r="L203" i="7"/>
  <c r="K203" i="7"/>
  <c r="J203" i="7"/>
  <c r="I203" i="7"/>
  <c r="H203" i="7"/>
  <c r="G203" i="7"/>
  <c r="F203" i="7"/>
  <c r="E203" i="7"/>
  <c r="D203" i="7"/>
  <c r="C203" i="7"/>
  <c r="B203" i="7"/>
  <c r="A203" i="7"/>
  <c r="R202" i="7"/>
  <c r="Q202" i="7"/>
  <c r="P202" i="7"/>
  <c r="O202" i="7"/>
  <c r="N202" i="7"/>
  <c r="M202" i="7"/>
  <c r="L202" i="7"/>
  <c r="K202" i="7"/>
  <c r="J202" i="7"/>
  <c r="I202" i="7"/>
  <c r="H202" i="7"/>
  <c r="G202" i="7"/>
  <c r="F202" i="7"/>
  <c r="E202" i="7"/>
  <c r="D202" i="7"/>
  <c r="C202" i="7"/>
  <c r="B202" i="7"/>
  <c r="A202" i="7"/>
  <c r="R201" i="7"/>
  <c r="Q201" i="7"/>
  <c r="P201" i="7"/>
  <c r="O201" i="7"/>
  <c r="N201" i="7"/>
  <c r="M201" i="7"/>
  <c r="L201" i="7"/>
  <c r="K201" i="7"/>
  <c r="J201" i="7"/>
  <c r="I201" i="7"/>
  <c r="H201" i="7"/>
  <c r="G201" i="7"/>
  <c r="F201" i="7"/>
  <c r="E201" i="7"/>
  <c r="D201" i="7"/>
  <c r="C201" i="7"/>
  <c r="B201" i="7"/>
  <c r="A201" i="7"/>
  <c r="R200" i="7"/>
  <c r="Q200" i="7"/>
  <c r="P200" i="7"/>
  <c r="O200" i="7"/>
  <c r="N200" i="7"/>
  <c r="M200" i="7"/>
  <c r="L200" i="7"/>
  <c r="K200" i="7"/>
  <c r="J200" i="7"/>
  <c r="I200" i="7"/>
  <c r="H200" i="7"/>
  <c r="G200" i="7"/>
  <c r="F200" i="7"/>
  <c r="E200" i="7"/>
  <c r="D200" i="7"/>
  <c r="C200" i="7"/>
  <c r="B200" i="7"/>
  <c r="A200" i="7"/>
  <c r="R199" i="7"/>
  <c r="Q199" i="7"/>
  <c r="P199" i="7"/>
  <c r="O199" i="7"/>
  <c r="N199" i="7"/>
  <c r="M199" i="7"/>
  <c r="L199" i="7"/>
  <c r="K199" i="7"/>
  <c r="J199" i="7"/>
  <c r="I199" i="7"/>
  <c r="H199" i="7"/>
  <c r="G199" i="7"/>
  <c r="F199" i="7"/>
  <c r="E199" i="7"/>
  <c r="D199" i="7"/>
  <c r="C199" i="7"/>
  <c r="B199" i="7"/>
  <c r="A199" i="7"/>
  <c r="R198" i="7"/>
  <c r="Q198" i="7"/>
  <c r="P198" i="7"/>
  <c r="O198" i="7"/>
  <c r="N198" i="7"/>
  <c r="M198" i="7"/>
  <c r="L198" i="7"/>
  <c r="K198" i="7"/>
  <c r="J198" i="7"/>
  <c r="I198" i="7"/>
  <c r="H198" i="7"/>
  <c r="G198" i="7"/>
  <c r="F198" i="7"/>
  <c r="E198" i="7"/>
  <c r="D198" i="7"/>
  <c r="C198" i="7"/>
  <c r="B198" i="7"/>
  <c r="A198" i="7"/>
  <c r="R197" i="7"/>
  <c r="Q197" i="7"/>
  <c r="P197" i="7"/>
  <c r="O197" i="7"/>
  <c r="N197" i="7"/>
  <c r="M197" i="7"/>
  <c r="L197" i="7"/>
  <c r="K197" i="7"/>
  <c r="J197" i="7"/>
  <c r="I197" i="7"/>
  <c r="H197" i="7"/>
  <c r="G197" i="7"/>
  <c r="F197" i="7"/>
  <c r="E197" i="7"/>
  <c r="D197" i="7"/>
  <c r="C197" i="7"/>
  <c r="B197" i="7"/>
  <c r="A197" i="7"/>
  <c r="R196" i="7"/>
  <c r="Q196" i="7"/>
  <c r="P196" i="7"/>
  <c r="O196" i="7"/>
  <c r="N196" i="7"/>
  <c r="M196" i="7"/>
  <c r="L196" i="7"/>
  <c r="K196" i="7"/>
  <c r="J196" i="7"/>
  <c r="I196" i="7"/>
  <c r="H196" i="7"/>
  <c r="G196" i="7"/>
  <c r="F196" i="7"/>
  <c r="E196" i="7"/>
  <c r="D196" i="7"/>
  <c r="C196" i="7"/>
  <c r="B196" i="7"/>
  <c r="A196" i="7"/>
  <c r="R195" i="7"/>
  <c r="Q195" i="7"/>
  <c r="P195" i="7"/>
  <c r="O195" i="7"/>
  <c r="N195" i="7"/>
  <c r="M195" i="7"/>
  <c r="L195" i="7"/>
  <c r="K195" i="7"/>
  <c r="J195" i="7"/>
  <c r="I195" i="7"/>
  <c r="H195" i="7"/>
  <c r="G195" i="7"/>
  <c r="F195" i="7"/>
  <c r="E195" i="7"/>
  <c r="D195" i="7"/>
  <c r="C195" i="7"/>
  <c r="B195" i="7"/>
  <c r="A195" i="7"/>
  <c r="R194" i="7"/>
  <c r="Q194" i="7"/>
  <c r="P194" i="7"/>
  <c r="O194" i="7"/>
  <c r="N194" i="7"/>
  <c r="M194" i="7"/>
  <c r="L194" i="7"/>
  <c r="K194" i="7"/>
  <c r="J194" i="7"/>
  <c r="I194" i="7"/>
  <c r="H194" i="7"/>
  <c r="G194" i="7"/>
  <c r="F194" i="7"/>
  <c r="E194" i="7"/>
  <c r="D194" i="7"/>
  <c r="C194" i="7"/>
  <c r="B194" i="7"/>
  <c r="A194" i="7"/>
  <c r="R193" i="7"/>
  <c r="Q193" i="7"/>
  <c r="P193" i="7"/>
  <c r="O193" i="7"/>
  <c r="N193" i="7"/>
  <c r="M193" i="7"/>
  <c r="L193" i="7"/>
  <c r="K193" i="7"/>
  <c r="J193" i="7"/>
  <c r="I193" i="7"/>
  <c r="H193" i="7"/>
  <c r="G193" i="7"/>
  <c r="F193" i="7"/>
  <c r="E193" i="7"/>
  <c r="D193" i="7"/>
  <c r="C193" i="7"/>
  <c r="B193" i="7"/>
  <c r="A193" i="7"/>
  <c r="R192" i="7"/>
  <c r="Q192" i="7"/>
  <c r="P192" i="7"/>
  <c r="O192" i="7"/>
  <c r="N192" i="7"/>
  <c r="M192" i="7"/>
  <c r="L192" i="7"/>
  <c r="K192" i="7"/>
  <c r="J192" i="7"/>
  <c r="I192" i="7"/>
  <c r="H192" i="7"/>
  <c r="G192" i="7"/>
  <c r="F192" i="7"/>
  <c r="E192" i="7"/>
  <c r="D192" i="7"/>
  <c r="C192" i="7"/>
  <c r="B192" i="7"/>
  <c r="A192" i="7"/>
  <c r="R191" i="7"/>
  <c r="Q191" i="7"/>
  <c r="P191" i="7"/>
  <c r="O191" i="7"/>
  <c r="N191" i="7"/>
  <c r="M191" i="7"/>
  <c r="L191" i="7"/>
  <c r="K191" i="7"/>
  <c r="J191" i="7"/>
  <c r="I191" i="7"/>
  <c r="H191" i="7"/>
  <c r="G191" i="7"/>
  <c r="F191" i="7"/>
  <c r="E191" i="7"/>
  <c r="D191" i="7"/>
  <c r="C191" i="7"/>
  <c r="B191" i="7"/>
  <c r="A191" i="7"/>
  <c r="R190" i="7"/>
  <c r="Q190" i="7"/>
  <c r="P190" i="7"/>
  <c r="O190" i="7"/>
  <c r="N190" i="7"/>
  <c r="M190" i="7"/>
  <c r="L190" i="7"/>
  <c r="K190" i="7"/>
  <c r="J190" i="7"/>
  <c r="I190" i="7"/>
  <c r="H190" i="7"/>
  <c r="G190" i="7"/>
  <c r="F190" i="7"/>
  <c r="E190" i="7"/>
  <c r="D190" i="7"/>
  <c r="C190" i="7"/>
  <c r="B190" i="7"/>
  <c r="A190" i="7"/>
  <c r="R189" i="7"/>
  <c r="Q189" i="7"/>
  <c r="P189" i="7"/>
  <c r="O189" i="7"/>
  <c r="N189" i="7"/>
  <c r="M189" i="7"/>
  <c r="L189" i="7"/>
  <c r="K189" i="7"/>
  <c r="J189" i="7"/>
  <c r="I189" i="7"/>
  <c r="H189" i="7"/>
  <c r="G189" i="7"/>
  <c r="F189" i="7"/>
  <c r="E189" i="7"/>
  <c r="D189" i="7"/>
  <c r="C189" i="7"/>
  <c r="B189" i="7"/>
  <c r="A189" i="7"/>
  <c r="R188" i="7"/>
  <c r="Q188" i="7"/>
  <c r="P188" i="7"/>
  <c r="O188" i="7"/>
  <c r="N188" i="7"/>
  <c r="M188" i="7"/>
  <c r="L188" i="7"/>
  <c r="K188" i="7"/>
  <c r="J188" i="7"/>
  <c r="I188" i="7"/>
  <c r="H188" i="7"/>
  <c r="G188" i="7"/>
  <c r="F188" i="7"/>
  <c r="E188" i="7"/>
  <c r="D188" i="7"/>
  <c r="C188" i="7"/>
  <c r="B188" i="7"/>
  <c r="A188" i="7"/>
  <c r="R187" i="7"/>
  <c r="Q187" i="7"/>
  <c r="P187" i="7"/>
  <c r="O187" i="7"/>
  <c r="N187" i="7"/>
  <c r="M187" i="7"/>
  <c r="L187" i="7"/>
  <c r="K187" i="7"/>
  <c r="J187" i="7"/>
  <c r="I187" i="7"/>
  <c r="H187" i="7"/>
  <c r="G187" i="7"/>
  <c r="F187" i="7"/>
  <c r="E187" i="7"/>
  <c r="D187" i="7"/>
  <c r="C187" i="7"/>
  <c r="B187" i="7"/>
  <c r="A187" i="7"/>
  <c r="R186" i="7"/>
  <c r="Q186" i="7"/>
  <c r="P186" i="7"/>
  <c r="O186" i="7"/>
  <c r="N186" i="7"/>
  <c r="M186" i="7"/>
  <c r="L186" i="7"/>
  <c r="K186" i="7"/>
  <c r="J186" i="7"/>
  <c r="I186" i="7"/>
  <c r="H186" i="7"/>
  <c r="G186" i="7"/>
  <c r="F186" i="7"/>
  <c r="E186" i="7"/>
  <c r="D186" i="7"/>
  <c r="C186" i="7"/>
  <c r="B186" i="7"/>
  <c r="A186" i="7"/>
  <c r="R185" i="7"/>
  <c r="Q185" i="7"/>
  <c r="P185" i="7"/>
  <c r="O185" i="7"/>
  <c r="N185" i="7"/>
  <c r="M185" i="7"/>
  <c r="L185" i="7"/>
  <c r="K185" i="7"/>
  <c r="J185" i="7"/>
  <c r="I185" i="7"/>
  <c r="H185" i="7"/>
  <c r="G185" i="7"/>
  <c r="F185" i="7"/>
  <c r="E185" i="7"/>
  <c r="D185" i="7"/>
  <c r="C185" i="7"/>
  <c r="B185" i="7"/>
  <c r="A185" i="7"/>
  <c r="R184" i="7"/>
  <c r="Q184" i="7"/>
  <c r="P184" i="7"/>
  <c r="O184" i="7"/>
  <c r="N184" i="7"/>
  <c r="M184" i="7"/>
  <c r="L184" i="7"/>
  <c r="K184" i="7"/>
  <c r="J184" i="7"/>
  <c r="I184" i="7"/>
  <c r="H184" i="7"/>
  <c r="G184" i="7"/>
  <c r="F184" i="7"/>
  <c r="E184" i="7"/>
  <c r="D184" i="7"/>
  <c r="C184" i="7"/>
  <c r="B184" i="7"/>
  <c r="A184" i="7"/>
  <c r="R183" i="7"/>
  <c r="Q183" i="7"/>
  <c r="P183" i="7"/>
  <c r="O183" i="7"/>
  <c r="N183" i="7"/>
  <c r="M183" i="7"/>
  <c r="L183" i="7"/>
  <c r="K183" i="7"/>
  <c r="J183" i="7"/>
  <c r="I183" i="7"/>
  <c r="H183" i="7"/>
  <c r="G183" i="7"/>
  <c r="F183" i="7"/>
  <c r="E183" i="7"/>
  <c r="D183" i="7"/>
  <c r="C183" i="7"/>
  <c r="B183" i="7"/>
  <c r="A183" i="7"/>
  <c r="R182" i="7"/>
  <c r="Q182" i="7"/>
  <c r="P182" i="7"/>
  <c r="O182" i="7"/>
  <c r="N182" i="7"/>
  <c r="M182" i="7"/>
  <c r="L182" i="7"/>
  <c r="K182" i="7"/>
  <c r="J182" i="7"/>
  <c r="I182" i="7"/>
  <c r="H182" i="7"/>
  <c r="G182" i="7"/>
  <c r="F182" i="7"/>
  <c r="E182" i="7"/>
  <c r="D182" i="7"/>
  <c r="C182" i="7"/>
  <c r="B182" i="7"/>
  <c r="A182" i="7"/>
  <c r="R181" i="7"/>
  <c r="Q181" i="7"/>
  <c r="P181" i="7"/>
  <c r="O181" i="7"/>
  <c r="N181" i="7"/>
  <c r="M181" i="7"/>
  <c r="L181" i="7"/>
  <c r="K181" i="7"/>
  <c r="J181" i="7"/>
  <c r="I181" i="7"/>
  <c r="H181" i="7"/>
  <c r="G181" i="7"/>
  <c r="F181" i="7"/>
  <c r="E181" i="7"/>
  <c r="D181" i="7"/>
  <c r="C181" i="7"/>
  <c r="B181" i="7"/>
  <c r="A181" i="7"/>
  <c r="R180" i="7"/>
  <c r="Q180" i="7"/>
  <c r="P180" i="7"/>
  <c r="O180" i="7"/>
  <c r="N180" i="7"/>
  <c r="M180" i="7"/>
  <c r="L180" i="7"/>
  <c r="K180" i="7"/>
  <c r="J180" i="7"/>
  <c r="I180" i="7"/>
  <c r="H180" i="7"/>
  <c r="G180" i="7"/>
  <c r="F180" i="7"/>
  <c r="E180" i="7"/>
  <c r="D180" i="7"/>
  <c r="C180" i="7"/>
  <c r="B180" i="7"/>
  <c r="A180" i="7"/>
  <c r="R179" i="7"/>
  <c r="Q179" i="7"/>
  <c r="P179" i="7"/>
  <c r="O179" i="7"/>
  <c r="N179" i="7"/>
  <c r="M179" i="7"/>
  <c r="L179" i="7"/>
  <c r="K179" i="7"/>
  <c r="J179" i="7"/>
  <c r="I179" i="7"/>
  <c r="H179" i="7"/>
  <c r="G179" i="7"/>
  <c r="F179" i="7"/>
  <c r="E179" i="7"/>
  <c r="D179" i="7"/>
  <c r="C179" i="7"/>
  <c r="B179" i="7"/>
  <c r="A179" i="7"/>
  <c r="R178" i="7"/>
  <c r="Q178" i="7"/>
  <c r="P178" i="7"/>
  <c r="O178" i="7"/>
  <c r="N178" i="7"/>
  <c r="M178" i="7"/>
  <c r="L178" i="7"/>
  <c r="K178" i="7"/>
  <c r="J178" i="7"/>
  <c r="I178" i="7"/>
  <c r="H178" i="7"/>
  <c r="G178" i="7"/>
  <c r="F178" i="7"/>
  <c r="E178" i="7"/>
  <c r="D178" i="7"/>
  <c r="C178" i="7"/>
  <c r="B178" i="7"/>
  <c r="A178" i="7"/>
  <c r="R177" i="7"/>
  <c r="Q177" i="7"/>
  <c r="P177" i="7"/>
  <c r="O177" i="7"/>
  <c r="N177" i="7"/>
  <c r="M177" i="7"/>
  <c r="L177" i="7"/>
  <c r="K177" i="7"/>
  <c r="J177" i="7"/>
  <c r="I177" i="7"/>
  <c r="H177" i="7"/>
  <c r="G177" i="7"/>
  <c r="F177" i="7"/>
  <c r="E177" i="7"/>
  <c r="D177" i="7"/>
  <c r="C177" i="7"/>
  <c r="B177" i="7"/>
  <c r="A177" i="7"/>
  <c r="R176" i="7"/>
  <c r="Q176" i="7"/>
  <c r="P176" i="7"/>
  <c r="O176" i="7"/>
  <c r="N176" i="7"/>
  <c r="M176" i="7"/>
  <c r="L176" i="7"/>
  <c r="K176" i="7"/>
  <c r="J176" i="7"/>
  <c r="I176" i="7"/>
  <c r="H176" i="7"/>
  <c r="G176" i="7"/>
  <c r="F176" i="7"/>
  <c r="E176" i="7"/>
  <c r="D176" i="7"/>
  <c r="C176" i="7"/>
  <c r="B176" i="7"/>
  <c r="A176" i="7"/>
  <c r="R175" i="7"/>
  <c r="Q175" i="7"/>
  <c r="P175" i="7"/>
  <c r="O175" i="7"/>
  <c r="N175" i="7"/>
  <c r="M175" i="7"/>
  <c r="L175" i="7"/>
  <c r="K175" i="7"/>
  <c r="J175" i="7"/>
  <c r="I175" i="7"/>
  <c r="H175" i="7"/>
  <c r="G175" i="7"/>
  <c r="F175" i="7"/>
  <c r="E175" i="7"/>
  <c r="D175" i="7"/>
  <c r="C175" i="7"/>
  <c r="B175" i="7"/>
  <c r="A175" i="7"/>
  <c r="R174" i="7"/>
  <c r="Q174" i="7"/>
  <c r="P174" i="7"/>
  <c r="O174" i="7"/>
  <c r="N174" i="7"/>
  <c r="M174" i="7"/>
  <c r="L174" i="7"/>
  <c r="K174" i="7"/>
  <c r="J174" i="7"/>
  <c r="I174" i="7"/>
  <c r="H174" i="7"/>
  <c r="G174" i="7"/>
  <c r="F174" i="7"/>
  <c r="E174" i="7"/>
  <c r="D174" i="7"/>
  <c r="C174" i="7"/>
  <c r="B174" i="7"/>
  <c r="A174" i="7"/>
  <c r="R173" i="7"/>
  <c r="Q173" i="7"/>
  <c r="P173" i="7"/>
  <c r="O173" i="7"/>
  <c r="N173" i="7"/>
  <c r="M173" i="7"/>
  <c r="L173" i="7"/>
  <c r="K173" i="7"/>
  <c r="J173" i="7"/>
  <c r="I173" i="7"/>
  <c r="H173" i="7"/>
  <c r="G173" i="7"/>
  <c r="F173" i="7"/>
  <c r="E173" i="7"/>
  <c r="D173" i="7"/>
  <c r="C173" i="7"/>
  <c r="B173" i="7"/>
  <c r="A173" i="7"/>
  <c r="R172" i="7"/>
  <c r="Q172" i="7"/>
  <c r="P172" i="7"/>
  <c r="O172" i="7"/>
  <c r="N172" i="7"/>
  <c r="M172" i="7"/>
  <c r="L172" i="7"/>
  <c r="K172" i="7"/>
  <c r="J172" i="7"/>
  <c r="I172" i="7"/>
  <c r="H172" i="7"/>
  <c r="G172" i="7"/>
  <c r="F172" i="7"/>
  <c r="E172" i="7"/>
  <c r="D172" i="7"/>
  <c r="C172" i="7"/>
  <c r="B172" i="7"/>
  <c r="A172" i="7"/>
  <c r="R171" i="7"/>
  <c r="Q171" i="7"/>
  <c r="P171" i="7"/>
  <c r="O171" i="7"/>
  <c r="N171" i="7"/>
  <c r="M171" i="7"/>
  <c r="L171" i="7"/>
  <c r="K171" i="7"/>
  <c r="J171" i="7"/>
  <c r="I171" i="7"/>
  <c r="H171" i="7"/>
  <c r="G171" i="7"/>
  <c r="F171" i="7"/>
  <c r="E171" i="7"/>
  <c r="D171" i="7"/>
  <c r="C171" i="7"/>
  <c r="B171" i="7"/>
  <c r="A171" i="7"/>
  <c r="R170" i="7"/>
  <c r="Q170" i="7"/>
  <c r="P170" i="7"/>
  <c r="O170" i="7"/>
  <c r="N170" i="7"/>
  <c r="M170" i="7"/>
  <c r="L170" i="7"/>
  <c r="K170" i="7"/>
  <c r="J170" i="7"/>
  <c r="I170" i="7"/>
  <c r="H170" i="7"/>
  <c r="G170" i="7"/>
  <c r="F170" i="7"/>
  <c r="E170" i="7"/>
  <c r="D170" i="7"/>
  <c r="C170" i="7"/>
  <c r="B170" i="7"/>
  <c r="A170" i="7"/>
  <c r="R169" i="7"/>
  <c r="Q169" i="7"/>
  <c r="P169" i="7"/>
  <c r="O169" i="7"/>
  <c r="N169" i="7"/>
  <c r="M169" i="7"/>
  <c r="L169" i="7"/>
  <c r="K169" i="7"/>
  <c r="J169" i="7"/>
  <c r="I169" i="7"/>
  <c r="H169" i="7"/>
  <c r="G169" i="7"/>
  <c r="F169" i="7"/>
  <c r="E169" i="7"/>
  <c r="D169" i="7"/>
  <c r="C169" i="7"/>
  <c r="B169" i="7"/>
  <c r="A169" i="7"/>
  <c r="R168" i="7"/>
  <c r="Q168" i="7"/>
  <c r="P168" i="7"/>
  <c r="O168" i="7"/>
  <c r="N168" i="7"/>
  <c r="M168" i="7"/>
  <c r="L168" i="7"/>
  <c r="K168" i="7"/>
  <c r="J168" i="7"/>
  <c r="I168" i="7"/>
  <c r="H168" i="7"/>
  <c r="G168" i="7"/>
  <c r="F168" i="7"/>
  <c r="E168" i="7"/>
  <c r="D168" i="7"/>
  <c r="C168" i="7"/>
  <c r="B168" i="7"/>
  <c r="A168" i="7"/>
  <c r="R167" i="7"/>
  <c r="Q167" i="7"/>
  <c r="P167" i="7"/>
  <c r="O167" i="7"/>
  <c r="N167" i="7"/>
  <c r="M167" i="7"/>
  <c r="L167" i="7"/>
  <c r="K167" i="7"/>
  <c r="J167" i="7"/>
  <c r="I167" i="7"/>
  <c r="H167" i="7"/>
  <c r="G167" i="7"/>
  <c r="F167" i="7"/>
  <c r="E167" i="7"/>
  <c r="D167" i="7"/>
  <c r="C167" i="7"/>
  <c r="B167" i="7"/>
  <c r="A167" i="7"/>
  <c r="R166" i="7"/>
  <c r="Q166" i="7"/>
  <c r="P166" i="7"/>
  <c r="O166" i="7"/>
  <c r="N166" i="7"/>
  <c r="M166" i="7"/>
  <c r="L166" i="7"/>
  <c r="K166" i="7"/>
  <c r="J166" i="7"/>
  <c r="I166" i="7"/>
  <c r="H166" i="7"/>
  <c r="G166" i="7"/>
  <c r="F166" i="7"/>
  <c r="E166" i="7"/>
  <c r="D166" i="7"/>
  <c r="C166" i="7"/>
  <c r="B166" i="7"/>
  <c r="A166" i="7"/>
  <c r="R165" i="7"/>
  <c r="Q165" i="7"/>
  <c r="P165" i="7"/>
  <c r="O165" i="7"/>
  <c r="N165" i="7"/>
  <c r="M165" i="7"/>
  <c r="L165" i="7"/>
  <c r="K165" i="7"/>
  <c r="J165" i="7"/>
  <c r="I165" i="7"/>
  <c r="H165" i="7"/>
  <c r="G165" i="7"/>
  <c r="F165" i="7"/>
  <c r="E165" i="7"/>
  <c r="D165" i="7"/>
  <c r="C165" i="7"/>
  <c r="B165" i="7"/>
  <c r="A165" i="7"/>
  <c r="R164" i="7"/>
  <c r="Q164" i="7"/>
  <c r="P164" i="7"/>
  <c r="O164" i="7"/>
  <c r="N164" i="7"/>
  <c r="M164" i="7"/>
  <c r="L164" i="7"/>
  <c r="K164" i="7"/>
  <c r="J164" i="7"/>
  <c r="I164" i="7"/>
  <c r="H164" i="7"/>
  <c r="G164" i="7"/>
  <c r="F164" i="7"/>
  <c r="E164" i="7"/>
  <c r="D164" i="7"/>
  <c r="C164" i="7"/>
  <c r="B164" i="7"/>
  <c r="A164" i="7"/>
  <c r="R163" i="7"/>
  <c r="Q163" i="7"/>
  <c r="P163" i="7"/>
  <c r="O163" i="7"/>
  <c r="N163" i="7"/>
  <c r="M163" i="7"/>
  <c r="L163" i="7"/>
  <c r="K163" i="7"/>
  <c r="J163" i="7"/>
  <c r="I163" i="7"/>
  <c r="H163" i="7"/>
  <c r="G163" i="7"/>
  <c r="F163" i="7"/>
  <c r="E163" i="7"/>
  <c r="D163" i="7"/>
  <c r="C163" i="7"/>
  <c r="B163" i="7"/>
  <c r="A163" i="7"/>
  <c r="R162" i="7"/>
  <c r="Q162" i="7"/>
  <c r="P162" i="7"/>
  <c r="O162" i="7"/>
  <c r="N162" i="7"/>
  <c r="M162" i="7"/>
  <c r="L162" i="7"/>
  <c r="K162" i="7"/>
  <c r="J162" i="7"/>
  <c r="I162" i="7"/>
  <c r="H162" i="7"/>
  <c r="G162" i="7"/>
  <c r="F162" i="7"/>
  <c r="E162" i="7"/>
  <c r="D162" i="7"/>
  <c r="C162" i="7"/>
  <c r="B162" i="7"/>
  <c r="A162" i="7"/>
  <c r="R161" i="7"/>
  <c r="Q161" i="7"/>
  <c r="P161" i="7"/>
  <c r="O161" i="7"/>
  <c r="N161" i="7"/>
  <c r="M161" i="7"/>
  <c r="L161" i="7"/>
  <c r="K161" i="7"/>
  <c r="J161" i="7"/>
  <c r="I161" i="7"/>
  <c r="H161" i="7"/>
  <c r="G161" i="7"/>
  <c r="F161" i="7"/>
  <c r="E161" i="7"/>
  <c r="D161" i="7"/>
  <c r="C161" i="7"/>
  <c r="B161" i="7"/>
  <c r="A161" i="7"/>
  <c r="R160" i="7"/>
  <c r="Q160" i="7"/>
  <c r="P160" i="7"/>
  <c r="O160" i="7"/>
  <c r="N160" i="7"/>
  <c r="M160" i="7"/>
  <c r="L160" i="7"/>
  <c r="K160" i="7"/>
  <c r="J160" i="7"/>
  <c r="I160" i="7"/>
  <c r="H160" i="7"/>
  <c r="G160" i="7"/>
  <c r="F160" i="7"/>
  <c r="E160" i="7"/>
  <c r="D160" i="7"/>
  <c r="C160" i="7"/>
  <c r="B160" i="7"/>
  <c r="A160" i="7"/>
  <c r="R159" i="7"/>
  <c r="Q159" i="7"/>
  <c r="P159" i="7"/>
  <c r="O159" i="7"/>
  <c r="N159" i="7"/>
  <c r="M159" i="7"/>
  <c r="L159" i="7"/>
  <c r="K159" i="7"/>
  <c r="J159" i="7"/>
  <c r="I159" i="7"/>
  <c r="H159" i="7"/>
  <c r="G159" i="7"/>
  <c r="F159" i="7"/>
  <c r="E159" i="7"/>
  <c r="D159" i="7"/>
  <c r="C159" i="7"/>
  <c r="B159" i="7"/>
  <c r="A159" i="7"/>
  <c r="R158" i="7"/>
  <c r="Q158" i="7"/>
  <c r="P158" i="7"/>
  <c r="O158" i="7"/>
  <c r="N158" i="7"/>
  <c r="M158" i="7"/>
  <c r="L158" i="7"/>
  <c r="K158" i="7"/>
  <c r="J158" i="7"/>
  <c r="I158" i="7"/>
  <c r="H158" i="7"/>
  <c r="G158" i="7"/>
  <c r="F158" i="7"/>
  <c r="E158" i="7"/>
  <c r="D158" i="7"/>
  <c r="C158" i="7"/>
  <c r="B158" i="7"/>
  <c r="A158" i="7"/>
  <c r="R157" i="7"/>
  <c r="Q157" i="7"/>
  <c r="P157" i="7"/>
  <c r="O157" i="7"/>
  <c r="N157" i="7"/>
  <c r="M157" i="7"/>
  <c r="L157" i="7"/>
  <c r="K157" i="7"/>
  <c r="J157" i="7"/>
  <c r="I157" i="7"/>
  <c r="H157" i="7"/>
  <c r="G157" i="7"/>
  <c r="F157" i="7"/>
  <c r="E157" i="7"/>
  <c r="D157" i="7"/>
  <c r="C157" i="7"/>
  <c r="B157" i="7"/>
  <c r="A157" i="7"/>
  <c r="R156" i="7"/>
  <c r="Q156" i="7"/>
  <c r="P156" i="7"/>
  <c r="O156" i="7"/>
  <c r="N156" i="7"/>
  <c r="M156" i="7"/>
  <c r="L156" i="7"/>
  <c r="K156" i="7"/>
  <c r="J156" i="7"/>
  <c r="I156" i="7"/>
  <c r="H156" i="7"/>
  <c r="G156" i="7"/>
  <c r="F156" i="7"/>
  <c r="E156" i="7"/>
  <c r="D156" i="7"/>
  <c r="C156" i="7"/>
  <c r="B156" i="7"/>
  <c r="A156" i="7"/>
  <c r="R155" i="7"/>
  <c r="Q155" i="7"/>
  <c r="P155" i="7"/>
  <c r="O155" i="7"/>
  <c r="N155" i="7"/>
  <c r="M155" i="7"/>
  <c r="L155" i="7"/>
  <c r="K155" i="7"/>
  <c r="J155" i="7"/>
  <c r="I155" i="7"/>
  <c r="H155" i="7"/>
  <c r="G155" i="7"/>
  <c r="F155" i="7"/>
  <c r="E155" i="7"/>
  <c r="D155" i="7"/>
  <c r="C155" i="7"/>
  <c r="B155" i="7"/>
  <c r="A155" i="7"/>
  <c r="R154" i="7"/>
  <c r="Q154" i="7"/>
  <c r="P154" i="7"/>
  <c r="O154" i="7"/>
  <c r="N154" i="7"/>
  <c r="M154" i="7"/>
  <c r="L154" i="7"/>
  <c r="K154" i="7"/>
  <c r="J154" i="7"/>
  <c r="I154" i="7"/>
  <c r="H154" i="7"/>
  <c r="G154" i="7"/>
  <c r="F154" i="7"/>
  <c r="E154" i="7"/>
  <c r="D154" i="7"/>
  <c r="C154" i="7"/>
  <c r="B154" i="7"/>
  <c r="A154" i="7"/>
  <c r="R153" i="7"/>
  <c r="Q153" i="7"/>
  <c r="P153" i="7"/>
  <c r="O153" i="7"/>
  <c r="N153" i="7"/>
  <c r="M153" i="7"/>
  <c r="L153" i="7"/>
  <c r="K153" i="7"/>
  <c r="J153" i="7"/>
  <c r="I153" i="7"/>
  <c r="H153" i="7"/>
  <c r="G153" i="7"/>
  <c r="F153" i="7"/>
  <c r="E153" i="7"/>
  <c r="D153" i="7"/>
  <c r="C153" i="7"/>
  <c r="B153" i="7"/>
  <c r="A153" i="7"/>
  <c r="R152" i="7"/>
  <c r="Q152" i="7"/>
  <c r="P152" i="7"/>
  <c r="O152" i="7"/>
  <c r="N152" i="7"/>
  <c r="M152" i="7"/>
  <c r="L152" i="7"/>
  <c r="K152" i="7"/>
  <c r="J152" i="7"/>
  <c r="I152" i="7"/>
  <c r="H152" i="7"/>
  <c r="G152" i="7"/>
  <c r="F152" i="7"/>
  <c r="E152" i="7"/>
  <c r="D152" i="7"/>
  <c r="C152" i="7"/>
  <c r="B152" i="7"/>
  <c r="A152" i="7"/>
  <c r="R151" i="7"/>
  <c r="Q151" i="7"/>
  <c r="P151" i="7"/>
  <c r="O151" i="7"/>
  <c r="N151" i="7"/>
  <c r="M151" i="7"/>
  <c r="L151" i="7"/>
  <c r="K151" i="7"/>
  <c r="J151" i="7"/>
  <c r="I151" i="7"/>
  <c r="H151" i="7"/>
  <c r="G151" i="7"/>
  <c r="F151" i="7"/>
  <c r="E151" i="7"/>
  <c r="D151" i="7"/>
  <c r="C151" i="7"/>
  <c r="B151" i="7"/>
  <c r="A151" i="7"/>
  <c r="R150" i="7"/>
  <c r="Q150" i="7"/>
  <c r="P150" i="7"/>
  <c r="O150" i="7"/>
  <c r="N150" i="7"/>
  <c r="M150" i="7"/>
  <c r="L150" i="7"/>
  <c r="K150" i="7"/>
  <c r="J150" i="7"/>
  <c r="I150" i="7"/>
  <c r="H150" i="7"/>
  <c r="G150" i="7"/>
  <c r="F150" i="7"/>
  <c r="E150" i="7"/>
  <c r="D150" i="7"/>
  <c r="C150" i="7"/>
  <c r="B150" i="7"/>
  <c r="A150" i="7"/>
  <c r="R149" i="7"/>
  <c r="Q149" i="7"/>
  <c r="P149" i="7"/>
  <c r="O149" i="7"/>
  <c r="N149" i="7"/>
  <c r="M149" i="7"/>
  <c r="L149" i="7"/>
  <c r="K149" i="7"/>
  <c r="J149" i="7"/>
  <c r="I149" i="7"/>
  <c r="H149" i="7"/>
  <c r="G149" i="7"/>
  <c r="F149" i="7"/>
  <c r="E149" i="7"/>
  <c r="D149" i="7"/>
  <c r="C149" i="7"/>
  <c r="B149" i="7"/>
  <c r="A149" i="7"/>
  <c r="R148" i="7"/>
  <c r="Q148" i="7"/>
  <c r="P148" i="7"/>
  <c r="O148" i="7"/>
  <c r="N148" i="7"/>
  <c r="M148" i="7"/>
  <c r="L148" i="7"/>
  <c r="K148" i="7"/>
  <c r="J148" i="7"/>
  <c r="I148" i="7"/>
  <c r="H148" i="7"/>
  <c r="G148" i="7"/>
  <c r="F148" i="7"/>
  <c r="E148" i="7"/>
  <c r="D148" i="7"/>
  <c r="C148" i="7"/>
  <c r="B148" i="7"/>
  <c r="A148" i="7"/>
  <c r="R147" i="7"/>
  <c r="Q147" i="7"/>
  <c r="P147" i="7"/>
  <c r="O147" i="7"/>
  <c r="N147" i="7"/>
  <c r="M147" i="7"/>
  <c r="L147" i="7"/>
  <c r="K147" i="7"/>
  <c r="J147" i="7"/>
  <c r="I147" i="7"/>
  <c r="H147" i="7"/>
  <c r="G147" i="7"/>
  <c r="F147" i="7"/>
  <c r="E147" i="7"/>
  <c r="D147" i="7"/>
  <c r="C147" i="7"/>
  <c r="B147" i="7"/>
  <c r="A147" i="7"/>
  <c r="R146" i="7"/>
  <c r="Q146" i="7"/>
  <c r="P146" i="7"/>
  <c r="O146" i="7"/>
  <c r="N146" i="7"/>
  <c r="M146" i="7"/>
  <c r="L146" i="7"/>
  <c r="K146" i="7"/>
  <c r="J146" i="7"/>
  <c r="I146" i="7"/>
  <c r="H146" i="7"/>
  <c r="G146" i="7"/>
  <c r="F146" i="7"/>
  <c r="E146" i="7"/>
  <c r="D146" i="7"/>
  <c r="C146" i="7"/>
  <c r="B146" i="7"/>
  <c r="A146" i="7"/>
  <c r="R145" i="7"/>
  <c r="Q145" i="7"/>
  <c r="P145" i="7"/>
  <c r="O145" i="7"/>
  <c r="N145" i="7"/>
  <c r="M145" i="7"/>
  <c r="L145" i="7"/>
  <c r="K145" i="7"/>
  <c r="J145" i="7"/>
  <c r="I145" i="7"/>
  <c r="H145" i="7"/>
  <c r="G145" i="7"/>
  <c r="F145" i="7"/>
  <c r="E145" i="7"/>
  <c r="D145" i="7"/>
  <c r="C145" i="7"/>
  <c r="B145" i="7"/>
  <c r="A145" i="7"/>
  <c r="R144" i="7"/>
  <c r="Q144" i="7"/>
  <c r="P144" i="7"/>
  <c r="O144" i="7"/>
  <c r="N144" i="7"/>
  <c r="M144" i="7"/>
  <c r="L144" i="7"/>
  <c r="K144" i="7"/>
  <c r="J144" i="7"/>
  <c r="I144" i="7"/>
  <c r="H144" i="7"/>
  <c r="G144" i="7"/>
  <c r="F144" i="7"/>
  <c r="E144" i="7"/>
  <c r="D144" i="7"/>
  <c r="C144" i="7"/>
  <c r="B144" i="7"/>
  <c r="A144" i="7"/>
  <c r="R143" i="7"/>
  <c r="Q143" i="7"/>
  <c r="P143" i="7"/>
  <c r="O143" i="7"/>
  <c r="N143" i="7"/>
  <c r="M143" i="7"/>
  <c r="L143" i="7"/>
  <c r="K143" i="7"/>
  <c r="J143" i="7"/>
  <c r="I143" i="7"/>
  <c r="H143" i="7"/>
  <c r="G143" i="7"/>
  <c r="F143" i="7"/>
  <c r="E143" i="7"/>
  <c r="D143" i="7"/>
  <c r="C143" i="7"/>
  <c r="B143" i="7"/>
  <c r="A143" i="7"/>
  <c r="R142" i="7"/>
  <c r="Q142" i="7"/>
  <c r="P142" i="7"/>
  <c r="O142" i="7"/>
  <c r="N142" i="7"/>
  <c r="M142" i="7"/>
  <c r="L142" i="7"/>
  <c r="K142" i="7"/>
  <c r="J142" i="7"/>
  <c r="I142" i="7"/>
  <c r="H142" i="7"/>
  <c r="G142" i="7"/>
  <c r="F142" i="7"/>
  <c r="E142" i="7"/>
  <c r="D142" i="7"/>
  <c r="C142" i="7"/>
  <c r="B142" i="7"/>
  <c r="A142" i="7"/>
  <c r="R141" i="7"/>
  <c r="Q141" i="7"/>
  <c r="P141" i="7"/>
  <c r="O141" i="7"/>
  <c r="N141" i="7"/>
  <c r="M141" i="7"/>
  <c r="L141" i="7"/>
  <c r="K141" i="7"/>
  <c r="J141" i="7"/>
  <c r="I141" i="7"/>
  <c r="H141" i="7"/>
  <c r="G141" i="7"/>
  <c r="F141" i="7"/>
  <c r="E141" i="7"/>
  <c r="D141" i="7"/>
  <c r="C141" i="7"/>
  <c r="B141" i="7"/>
  <c r="A141" i="7"/>
  <c r="R140" i="7"/>
  <c r="Q140" i="7"/>
  <c r="P140" i="7"/>
  <c r="O140" i="7"/>
  <c r="N140" i="7"/>
  <c r="M140" i="7"/>
  <c r="L140" i="7"/>
  <c r="K140" i="7"/>
  <c r="J140" i="7"/>
  <c r="I140" i="7"/>
  <c r="H140" i="7"/>
  <c r="G140" i="7"/>
  <c r="F140" i="7"/>
  <c r="E140" i="7"/>
  <c r="D140" i="7"/>
  <c r="C140" i="7"/>
  <c r="B140" i="7"/>
  <c r="A140" i="7"/>
  <c r="R139" i="7"/>
  <c r="Q139" i="7"/>
  <c r="P139" i="7"/>
  <c r="O139" i="7"/>
  <c r="N139" i="7"/>
  <c r="M139" i="7"/>
  <c r="L139" i="7"/>
  <c r="K139" i="7"/>
  <c r="J139" i="7"/>
  <c r="I139" i="7"/>
  <c r="H139" i="7"/>
  <c r="G139" i="7"/>
  <c r="F139" i="7"/>
  <c r="E139" i="7"/>
  <c r="D139" i="7"/>
  <c r="C139" i="7"/>
  <c r="B139" i="7"/>
  <c r="A139" i="7"/>
  <c r="R138" i="7"/>
  <c r="Q138" i="7"/>
  <c r="P138" i="7"/>
  <c r="O138" i="7"/>
  <c r="N138" i="7"/>
  <c r="M138" i="7"/>
  <c r="L138" i="7"/>
  <c r="K138" i="7"/>
  <c r="J138" i="7"/>
  <c r="I138" i="7"/>
  <c r="H138" i="7"/>
  <c r="G138" i="7"/>
  <c r="F138" i="7"/>
  <c r="E138" i="7"/>
  <c r="D138" i="7"/>
  <c r="C138" i="7"/>
  <c r="B138" i="7"/>
  <c r="A138" i="7"/>
  <c r="R137" i="7"/>
  <c r="Q137" i="7"/>
  <c r="P137" i="7"/>
  <c r="O137" i="7"/>
  <c r="N137" i="7"/>
  <c r="M137" i="7"/>
  <c r="L137" i="7"/>
  <c r="K137" i="7"/>
  <c r="J137" i="7"/>
  <c r="I137" i="7"/>
  <c r="H137" i="7"/>
  <c r="G137" i="7"/>
  <c r="F137" i="7"/>
  <c r="E137" i="7"/>
  <c r="D137" i="7"/>
  <c r="C137" i="7"/>
  <c r="B137" i="7"/>
  <c r="A137" i="7"/>
  <c r="R136" i="7"/>
  <c r="Q136" i="7"/>
  <c r="P136" i="7"/>
  <c r="O136" i="7"/>
  <c r="N136" i="7"/>
  <c r="M136" i="7"/>
  <c r="L136" i="7"/>
  <c r="K136" i="7"/>
  <c r="J136" i="7"/>
  <c r="I136" i="7"/>
  <c r="H136" i="7"/>
  <c r="G136" i="7"/>
  <c r="F136" i="7"/>
  <c r="E136" i="7"/>
  <c r="D136" i="7"/>
  <c r="C136" i="7"/>
  <c r="B136" i="7"/>
  <c r="A136" i="7"/>
  <c r="R135" i="7"/>
  <c r="Q135" i="7"/>
  <c r="P135" i="7"/>
  <c r="O135" i="7"/>
  <c r="N135" i="7"/>
  <c r="M135" i="7"/>
  <c r="L135" i="7"/>
  <c r="K135" i="7"/>
  <c r="J135" i="7"/>
  <c r="I135" i="7"/>
  <c r="H135" i="7"/>
  <c r="G135" i="7"/>
  <c r="F135" i="7"/>
  <c r="E135" i="7"/>
  <c r="D135" i="7"/>
  <c r="C135" i="7"/>
  <c r="B135" i="7"/>
  <c r="A135" i="7"/>
  <c r="R134" i="7"/>
  <c r="Q134" i="7"/>
  <c r="P134" i="7"/>
  <c r="O134" i="7"/>
  <c r="N134" i="7"/>
  <c r="M134" i="7"/>
  <c r="L134" i="7"/>
  <c r="K134" i="7"/>
  <c r="J134" i="7"/>
  <c r="I134" i="7"/>
  <c r="H134" i="7"/>
  <c r="G134" i="7"/>
  <c r="F134" i="7"/>
  <c r="E134" i="7"/>
  <c r="D134" i="7"/>
  <c r="C134" i="7"/>
  <c r="B134" i="7"/>
  <c r="A134" i="7"/>
  <c r="R133" i="7"/>
  <c r="Q133" i="7"/>
  <c r="P133" i="7"/>
  <c r="O133" i="7"/>
  <c r="N133" i="7"/>
  <c r="M133" i="7"/>
  <c r="L133" i="7"/>
  <c r="K133" i="7"/>
  <c r="J133" i="7"/>
  <c r="I133" i="7"/>
  <c r="H133" i="7"/>
  <c r="G133" i="7"/>
  <c r="F133" i="7"/>
  <c r="E133" i="7"/>
  <c r="D133" i="7"/>
  <c r="C133" i="7"/>
  <c r="B133" i="7"/>
  <c r="A133" i="7"/>
  <c r="R132" i="7"/>
  <c r="Q132" i="7"/>
  <c r="P132" i="7"/>
  <c r="O132" i="7"/>
  <c r="N132" i="7"/>
  <c r="M132" i="7"/>
  <c r="L132" i="7"/>
  <c r="K132" i="7"/>
  <c r="J132" i="7"/>
  <c r="I132" i="7"/>
  <c r="H132" i="7"/>
  <c r="G132" i="7"/>
  <c r="F132" i="7"/>
  <c r="E132" i="7"/>
  <c r="D132" i="7"/>
  <c r="C132" i="7"/>
  <c r="B132" i="7"/>
  <c r="A132" i="7"/>
  <c r="R131" i="7"/>
  <c r="Q131" i="7"/>
  <c r="P131" i="7"/>
  <c r="O131" i="7"/>
  <c r="N131" i="7"/>
  <c r="M131" i="7"/>
  <c r="L131" i="7"/>
  <c r="K131" i="7"/>
  <c r="J131" i="7"/>
  <c r="I131" i="7"/>
  <c r="H131" i="7"/>
  <c r="G131" i="7"/>
  <c r="F131" i="7"/>
  <c r="E131" i="7"/>
  <c r="D131" i="7"/>
  <c r="C131" i="7"/>
  <c r="B131" i="7"/>
  <c r="A131" i="7"/>
  <c r="R130" i="7"/>
  <c r="Q130" i="7"/>
  <c r="P130" i="7"/>
  <c r="O130" i="7"/>
  <c r="N130" i="7"/>
  <c r="M130" i="7"/>
  <c r="L130" i="7"/>
  <c r="K130" i="7"/>
  <c r="J130" i="7"/>
  <c r="I130" i="7"/>
  <c r="H130" i="7"/>
  <c r="G130" i="7"/>
  <c r="F130" i="7"/>
  <c r="E130" i="7"/>
  <c r="D130" i="7"/>
  <c r="C130" i="7"/>
  <c r="B130" i="7"/>
  <c r="A130" i="7"/>
  <c r="R129" i="7"/>
  <c r="Q129" i="7"/>
  <c r="P129" i="7"/>
  <c r="O129" i="7"/>
  <c r="N129" i="7"/>
  <c r="M129" i="7"/>
  <c r="L129" i="7"/>
  <c r="K129" i="7"/>
  <c r="J129" i="7"/>
  <c r="I129" i="7"/>
  <c r="H129" i="7"/>
  <c r="G129" i="7"/>
  <c r="F129" i="7"/>
  <c r="E129" i="7"/>
  <c r="D129" i="7"/>
  <c r="C129" i="7"/>
  <c r="B129" i="7"/>
  <c r="A129" i="7"/>
  <c r="R128" i="7"/>
  <c r="Q128" i="7"/>
  <c r="P128" i="7"/>
  <c r="O128" i="7"/>
  <c r="N128" i="7"/>
  <c r="M128" i="7"/>
  <c r="L128" i="7"/>
  <c r="K128" i="7"/>
  <c r="J128" i="7"/>
  <c r="I128" i="7"/>
  <c r="H128" i="7"/>
  <c r="G128" i="7"/>
  <c r="F128" i="7"/>
  <c r="E128" i="7"/>
  <c r="D128" i="7"/>
  <c r="C128" i="7"/>
  <c r="B128" i="7"/>
  <c r="A128" i="7"/>
  <c r="R127" i="7"/>
  <c r="Q127" i="7"/>
  <c r="P127" i="7"/>
  <c r="O127" i="7"/>
  <c r="N127" i="7"/>
  <c r="M127" i="7"/>
  <c r="L127" i="7"/>
  <c r="K127" i="7"/>
  <c r="J127" i="7"/>
  <c r="I127" i="7"/>
  <c r="H127" i="7"/>
  <c r="G127" i="7"/>
  <c r="F127" i="7"/>
  <c r="E127" i="7"/>
  <c r="D127" i="7"/>
  <c r="C127" i="7"/>
  <c r="B127" i="7"/>
  <c r="A127" i="7"/>
  <c r="R126" i="7"/>
  <c r="Q126" i="7"/>
  <c r="P126" i="7"/>
  <c r="O126" i="7"/>
  <c r="N126" i="7"/>
  <c r="M126" i="7"/>
  <c r="L126" i="7"/>
  <c r="K126" i="7"/>
  <c r="J126" i="7"/>
  <c r="I126" i="7"/>
  <c r="H126" i="7"/>
  <c r="G126" i="7"/>
  <c r="F126" i="7"/>
  <c r="E126" i="7"/>
  <c r="D126" i="7"/>
  <c r="C126" i="7"/>
  <c r="B126" i="7"/>
  <c r="A126" i="7"/>
  <c r="R125" i="7"/>
  <c r="Q125" i="7"/>
  <c r="P125" i="7"/>
  <c r="O125" i="7"/>
  <c r="N125" i="7"/>
  <c r="M125" i="7"/>
  <c r="L125" i="7"/>
  <c r="K125" i="7"/>
  <c r="J125" i="7"/>
  <c r="I125" i="7"/>
  <c r="H125" i="7"/>
  <c r="G125" i="7"/>
  <c r="F125" i="7"/>
  <c r="E125" i="7"/>
  <c r="D125" i="7"/>
  <c r="C125" i="7"/>
  <c r="B125" i="7"/>
  <c r="A125" i="7"/>
  <c r="R124" i="7"/>
  <c r="Q124" i="7"/>
  <c r="P124" i="7"/>
  <c r="O124" i="7"/>
  <c r="N124" i="7"/>
  <c r="M124" i="7"/>
  <c r="L124" i="7"/>
  <c r="K124" i="7"/>
  <c r="J124" i="7"/>
  <c r="I124" i="7"/>
  <c r="H124" i="7"/>
  <c r="G124" i="7"/>
  <c r="F124" i="7"/>
  <c r="E124" i="7"/>
  <c r="D124" i="7"/>
  <c r="C124" i="7"/>
  <c r="B124" i="7"/>
  <c r="A124" i="7"/>
  <c r="R123" i="7"/>
  <c r="Q123" i="7"/>
  <c r="P123" i="7"/>
  <c r="O123" i="7"/>
  <c r="N123" i="7"/>
  <c r="M123" i="7"/>
  <c r="L123" i="7"/>
  <c r="K123" i="7"/>
  <c r="J123" i="7"/>
  <c r="I123" i="7"/>
  <c r="H123" i="7"/>
  <c r="G123" i="7"/>
  <c r="F123" i="7"/>
  <c r="E123" i="7"/>
  <c r="D123" i="7"/>
  <c r="C123" i="7"/>
  <c r="B123" i="7"/>
  <c r="A123" i="7"/>
  <c r="R122" i="7"/>
  <c r="Q122" i="7"/>
  <c r="P122" i="7"/>
  <c r="O122" i="7"/>
  <c r="N122" i="7"/>
  <c r="M122" i="7"/>
  <c r="L122" i="7"/>
  <c r="K122" i="7"/>
  <c r="J122" i="7"/>
  <c r="I122" i="7"/>
  <c r="H122" i="7"/>
  <c r="G122" i="7"/>
  <c r="F122" i="7"/>
  <c r="E122" i="7"/>
  <c r="D122" i="7"/>
  <c r="C122" i="7"/>
  <c r="B122" i="7"/>
  <c r="A122" i="7"/>
  <c r="R121" i="7"/>
  <c r="Q121" i="7"/>
  <c r="P121" i="7"/>
  <c r="O121" i="7"/>
  <c r="N121" i="7"/>
  <c r="M121" i="7"/>
  <c r="L121" i="7"/>
  <c r="K121" i="7"/>
  <c r="J121" i="7"/>
  <c r="I121" i="7"/>
  <c r="H121" i="7"/>
  <c r="G121" i="7"/>
  <c r="F121" i="7"/>
  <c r="E121" i="7"/>
  <c r="D121" i="7"/>
  <c r="C121" i="7"/>
  <c r="B121" i="7"/>
  <c r="A121" i="7"/>
  <c r="R120" i="7"/>
  <c r="Q120" i="7"/>
  <c r="P120" i="7"/>
  <c r="O120" i="7"/>
  <c r="N120" i="7"/>
  <c r="M120" i="7"/>
  <c r="L120" i="7"/>
  <c r="K120" i="7"/>
  <c r="J120" i="7"/>
  <c r="I120" i="7"/>
  <c r="H120" i="7"/>
  <c r="G120" i="7"/>
  <c r="F120" i="7"/>
  <c r="E120" i="7"/>
  <c r="D120" i="7"/>
  <c r="C120" i="7"/>
  <c r="B120" i="7"/>
  <c r="A120" i="7"/>
  <c r="R119" i="7"/>
  <c r="Q119" i="7"/>
  <c r="P119" i="7"/>
  <c r="O119" i="7"/>
  <c r="N119" i="7"/>
  <c r="M119" i="7"/>
  <c r="L119" i="7"/>
  <c r="K119" i="7"/>
  <c r="J119" i="7"/>
  <c r="I119" i="7"/>
  <c r="H119" i="7"/>
  <c r="G119" i="7"/>
  <c r="F119" i="7"/>
  <c r="E119" i="7"/>
  <c r="D119" i="7"/>
  <c r="C119" i="7"/>
  <c r="B119" i="7"/>
  <c r="A119" i="7"/>
  <c r="R118" i="7"/>
  <c r="Q118" i="7"/>
  <c r="P118" i="7"/>
  <c r="O118" i="7"/>
  <c r="N118" i="7"/>
  <c r="M118" i="7"/>
  <c r="L118" i="7"/>
  <c r="K118" i="7"/>
  <c r="J118" i="7"/>
  <c r="I118" i="7"/>
  <c r="H118" i="7"/>
  <c r="G118" i="7"/>
  <c r="F118" i="7"/>
  <c r="E118" i="7"/>
  <c r="D118" i="7"/>
  <c r="C118" i="7"/>
  <c r="B118" i="7"/>
  <c r="A118" i="7"/>
  <c r="R117" i="7"/>
  <c r="Q117" i="7"/>
  <c r="P117" i="7"/>
  <c r="O117" i="7"/>
  <c r="N117" i="7"/>
  <c r="M117" i="7"/>
  <c r="L117" i="7"/>
  <c r="K117" i="7"/>
  <c r="J117" i="7"/>
  <c r="I117" i="7"/>
  <c r="H117" i="7"/>
  <c r="G117" i="7"/>
  <c r="F117" i="7"/>
  <c r="E117" i="7"/>
  <c r="D117" i="7"/>
  <c r="C117" i="7"/>
  <c r="B117" i="7"/>
  <c r="A117" i="7"/>
  <c r="R116" i="7"/>
  <c r="Q116" i="7"/>
  <c r="P116" i="7"/>
  <c r="O116" i="7"/>
  <c r="N116" i="7"/>
  <c r="M116" i="7"/>
  <c r="L116" i="7"/>
  <c r="K116" i="7"/>
  <c r="J116" i="7"/>
  <c r="I116" i="7"/>
  <c r="H116" i="7"/>
  <c r="G116" i="7"/>
  <c r="F116" i="7"/>
  <c r="E116" i="7"/>
  <c r="D116" i="7"/>
  <c r="C116" i="7"/>
  <c r="B116" i="7"/>
  <c r="A116" i="7"/>
  <c r="R115" i="7"/>
  <c r="Q115" i="7"/>
  <c r="P115" i="7"/>
  <c r="O115" i="7"/>
  <c r="N115" i="7"/>
  <c r="M115" i="7"/>
  <c r="L115" i="7"/>
  <c r="K115" i="7"/>
  <c r="J115" i="7"/>
  <c r="I115" i="7"/>
  <c r="H115" i="7"/>
  <c r="G115" i="7"/>
  <c r="F115" i="7"/>
  <c r="E115" i="7"/>
  <c r="D115" i="7"/>
  <c r="C115" i="7"/>
  <c r="B115" i="7"/>
  <c r="A115" i="7"/>
  <c r="R114" i="7"/>
  <c r="Q114" i="7"/>
  <c r="P114" i="7"/>
  <c r="O114" i="7"/>
  <c r="N114" i="7"/>
  <c r="M114" i="7"/>
  <c r="L114" i="7"/>
  <c r="K114" i="7"/>
  <c r="J114" i="7"/>
  <c r="I114" i="7"/>
  <c r="H114" i="7"/>
  <c r="G114" i="7"/>
  <c r="F114" i="7"/>
  <c r="E114" i="7"/>
  <c r="D114" i="7"/>
  <c r="C114" i="7"/>
  <c r="B114" i="7"/>
  <c r="A114" i="7"/>
  <c r="R113" i="7"/>
  <c r="Q113" i="7"/>
  <c r="P113" i="7"/>
  <c r="O113" i="7"/>
  <c r="N113" i="7"/>
  <c r="M113" i="7"/>
  <c r="L113" i="7"/>
  <c r="K113" i="7"/>
  <c r="J113" i="7"/>
  <c r="I113" i="7"/>
  <c r="H113" i="7"/>
  <c r="G113" i="7"/>
  <c r="F113" i="7"/>
  <c r="E113" i="7"/>
  <c r="D113" i="7"/>
  <c r="C113" i="7"/>
  <c r="B113" i="7"/>
  <c r="A113" i="7"/>
  <c r="R112" i="7"/>
  <c r="Q112" i="7"/>
  <c r="P112" i="7"/>
  <c r="O112" i="7"/>
  <c r="N112" i="7"/>
  <c r="M112" i="7"/>
  <c r="L112" i="7"/>
  <c r="K112" i="7"/>
  <c r="J112" i="7"/>
  <c r="I112" i="7"/>
  <c r="H112" i="7"/>
  <c r="G112" i="7"/>
  <c r="F112" i="7"/>
  <c r="E112" i="7"/>
  <c r="D112" i="7"/>
  <c r="C112" i="7"/>
  <c r="B112" i="7"/>
  <c r="A112" i="7"/>
  <c r="R111" i="7"/>
  <c r="Q111" i="7"/>
  <c r="P111" i="7"/>
  <c r="O111" i="7"/>
  <c r="N111" i="7"/>
  <c r="M111" i="7"/>
  <c r="L111" i="7"/>
  <c r="K111" i="7"/>
  <c r="J111" i="7"/>
  <c r="I111" i="7"/>
  <c r="H111" i="7"/>
  <c r="G111" i="7"/>
  <c r="F111" i="7"/>
  <c r="E111" i="7"/>
  <c r="D111" i="7"/>
  <c r="C111" i="7"/>
  <c r="B111" i="7"/>
  <c r="A111" i="7"/>
  <c r="R110" i="7"/>
  <c r="Q110" i="7"/>
  <c r="P110" i="7"/>
  <c r="O110" i="7"/>
  <c r="N110" i="7"/>
  <c r="M110" i="7"/>
  <c r="L110" i="7"/>
  <c r="K110" i="7"/>
  <c r="J110" i="7"/>
  <c r="I110" i="7"/>
  <c r="H110" i="7"/>
  <c r="G110" i="7"/>
  <c r="F110" i="7"/>
  <c r="E110" i="7"/>
  <c r="D110" i="7"/>
  <c r="C110" i="7"/>
  <c r="B110" i="7"/>
  <c r="A110" i="7"/>
  <c r="R109" i="7"/>
  <c r="Q109" i="7"/>
  <c r="P109" i="7"/>
  <c r="O109" i="7"/>
  <c r="N109" i="7"/>
  <c r="M109" i="7"/>
  <c r="L109" i="7"/>
  <c r="K109" i="7"/>
  <c r="J109" i="7"/>
  <c r="I109" i="7"/>
  <c r="H109" i="7"/>
  <c r="G109" i="7"/>
  <c r="F109" i="7"/>
  <c r="E109" i="7"/>
  <c r="D109" i="7"/>
  <c r="C109" i="7"/>
  <c r="B109" i="7"/>
  <c r="A109" i="7"/>
  <c r="R108" i="7"/>
  <c r="Q108" i="7"/>
  <c r="P108" i="7"/>
  <c r="O108" i="7"/>
  <c r="N108" i="7"/>
  <c r="M108" i="7"/>
  <c r="L108" i="7"/>
  <c r="K108" i="7"/>
  <c r="J108" i="7"/>
  <c r="I108" i="7"/>
  <c r="H108" i="7"/>
  <c r="G108" i="7"/>
  <c r="F108" i="7"/>
  <c r="E108" i="7"/>
  <c r="D108" i="7"/>
  <c r="C108" i="7"/>
  <c r="B108" i="7"/>
  <c r="A108" i="7"/>
  <c r="R107" i="7"/>
  <c r="Q107" i="7"/>
  <c r="P107" i="7"/>
  <c r="O107" i="7"/>
  <c r="N107" i="7"/>
  <c r="M107" i="7"/>
  <c r="L107" i="7"/>
  <c r="K107" i="7"/>
  <c r="J107" i="7"/>
  <c r="I107" i="7"/>
  <c r="H107" i="7"/>
  <c r="G107" i="7"/>
  <c r="F107" i="7"/>
  <c r="E107" i="7"/>
  <c r="D107" i="7"/>
  <c r="C107" i="7"/>
  <c r="B107" i="7"/>
  <c r="A107" i="7"/>
  <c r="R106" i="7"/>
  <c r="Q106" i="7"/>
  <c r="P106" i="7"/>
  <c r="O106" i="7"/>
  <c r="N106" i="7"/>
  <c r="M106" i="7"/>
  <c r="L106" i="7"/>
  <c r="K106" i="7"/>
  <c r="J106" i="7"/>
  <c r="I106" i="7"/>
  <c r="H106" i="7"/>
  <c r="G106" i="7"/>
  <c r="F106" i="7"/>
  <c r="E106" i="7"/>
  <c r="D106" i="7"/>
  <c r="C106" i="7"/>
  <c r="B106" i="7"/>
  <c r="A106" i="7"/>
  <c r="R105" i="7"/>
  <c r="Q105" i="7"/>
  <c r="P105" i="7"/>
  <c r="O105" i="7"/>
  <c r="N105" i="7"/>
  <c r="M105" i="7"/>
  <c r="L105" i="7"/>
  <c r="K105" i="7"/>
  <c r="J105" i="7"/>
  <c r="I105" i="7"/>
  <c r="H105" i="7"/>
  <c r="G105" i="7"/>
  <c r="F105" i="7"/>
  <c r="E105" i="7"/>
  <c r="D105" i="7"/>
  <c r="C105" i="7"/>
  <c r="B105" i="7"/>
  <c r="A105" i="7"/>
  <c r="R104" i="7"/>
  <c r="Q104" i="7"/>
  <c r="P104" i="7"/>
  <c r="O104" i="7"/>
  <c r="N104" i="7"/>
  <c r="M104" i="7"/>
  <c r="L104" i="7"/>
  <c r="K104" i="7"/>
  <c r="J104" i="7"/>
  <c r="I104" i="7"/>
  <c r="H104" i="7"/>
  <c r="G104" i="7"/>
  <c r="F104" i="7"/>
  <c r="E104" i="7"/>
  <c r="D104" i="7"/>
  <c r="C104" i="7"/>
  <c r="B104" i="7"/>
  <c r="A104" i="7"/>
  <c r="R103" i="7"/>
  <c r="Q103" i="7"/>
  <c r="P103" i="7"/>
  <c r="O103" i="7"/>
  <c r="N103" i="7"/>
  <c r="M103" i="7"/>
  <c r="L103" i="7"/>
  <c r="K103" i="7"/>
  <c r="J103" i="7"/>
  <c r="I103" i="7"/>
  <c r="H103" i="7"/>
  <c r="G103" i="7"/>
  <c r="F103" i="7"/>
  <c r="E103" i="7"/>
  <c r="D103" i="7"/>
  <c r="C103" i="7"/>
  <c r="B103" i="7"/>
  <c r="A103" i="7"/>
  <c r="R102" i="7"/>
  <c r="Q102" i="7"/>
  <c r="P102" i="7"/>
  <c r="O102" i="7"/>
  <c r="N102" i="7"/>
  <c r="M102" i="7"/>
  <c r="L102" i="7"/>
  <c r="K102" i="7"/>
  <c r="J102" i="7"/>
  <c r="I102" i="7"/>
  <c r="H102" i="7"/>
  <c r="G102" i="7"/>
  <c r="F102" i="7"/>
  <c r="E102" i="7"/>
  <c r="D102" i="7"/>
  <c r="C102" i="7"/>
  <c r="B102" i="7"/>
  <c r="A102" i="7"/>
  <c r="R101" i="7"/>
  <c r="Q101" i="7"/>
  <c r="P101" i="7"/>
  <c r="O101" i="7"/>
  <c r="N101" i="7"/>
  <c r="M101" i="7"/>
  <c r="L101" i="7"/>
  <c r="K101" i="7"/>
  <c r="J101" i="7"/>
  <c r="I101" i="7"/>
  <c r="H101" i="7"/>
  <c r="G101" i="7"/>
  <c r="F101" i="7"/>
  <c r="E101" i="7"/>
  <c r="D101" i="7"/>
  <c r="C101" i="7"/>
  <c r="B101" i="7"/>
  <c r="A101" i="7"/>
  <c r="R100" i="7"/>
  <c r="Q100" i="7"/>
  <c r="P100" i="7"/>
  <c r="O100" i="7"/>
  <c r="N100" i="7"/>
  <c r="M100" i="7"/>
  <c r="L100" i="7"/>
  <c r="K100" i="7"/>
  <c r="J100" i="7"/>
  <c r="I100" i="7"/>
  <c r="H100" i="7"/>
  <c r="G100" i="7"/>
  <c r="F100" i="7"/>
  <c r="E100" i="7"/>
  <c r="D100" i="7"/>
  <c r="C100" i="7"/>
  <c r="B100" i="7"/>
  <c r="A100" i="7"/>
  <c r="R99" i="7"/>
  <c r="Q99" i="7"/>
  <c r="P99" i="7"/>
  <c r="O99" i="7"/>
  <c r="N99" i="7"/>
  <c r="M99" i="7"/>
  <c r="L99" i="7"/>
  <c r="K99" i="7"/>
  <c r="J99" i="7"/>
  <c r="I99" i="7"/>
  <c r="H99" i="7"/>
  <c r="G99" i="7"/>
  <c r="F99" i="7"/>
  <c r="E99" i="7"/>
  <c r="D99" i="7"/>
  <c r="C99" i="7"/>
  <c r="B99" i="7"/>
  <c r="A99" i="7"/>
  <c r="R98" i="7"/>
  <c r="Q98" i="7"/>
  <c r="P98" i="7"/>
  <c r="O98" i="7"/>
  <c r="N98" i="7"/>
  <c r="M98" i="7"/>
  <c r="L98" i="7"/>
  <c r="K98" i="7"/>
  <c r="J98" i="7"/>
  <c r="I98" i="7"/>
  <c r="H98" i="7"/>
  <c r="G98" i="7"/>
  <c r="F98" i="7"/>
  <c r="E98" i="7"/>
  <c r="D98" i="7"/>
  <c r="C98" i="7"/>
  <c r="B98" i="7"/>
  <c r="A98" i="7"/>
  <c r="R97" i="7"/>
  <c r="Q97" i="7"/>
  <c r="P97" i="7"/>
  <c r="O97" i="7"/>
  <c r="N97" i="7"/>
  <c r="M97" i="7"/>
  <c r="L97" i="7"/>
  <c r="K97" i="7"/>
  <c r="J97" i="7"/>
  <c r="I97" i="7"/>
  <c r="H97" i="7"/>
  <c r="G97" i="7"/>
  <c r="F97" i="7"/>
  <c r="E97" i="7"/>
  <c r="D97" i="7"/>
  <c r="C97" i="7"/>
  <c r="B97" i="7"/>
  <c r="A97" i="7"/>
  <c r="R96" i="7"/>
  <c r="Q96" i="7"/>
  <c r="P96" i="7"/>
  <c r="O96" i="7"/>
  <c r="N96" i="7"/>
  <c r="M96" i="7"/>
  <c r="L96" i="7"/>
  <c r="K96" i="7"/>
  <c r="J96" i="7"/>
  <c r="I96" i="7"/>
  <c r="H96" i="7"/>
  <c r="G96" i="7"/>
  <c r="F96" i="7"/>
  <c r="E96" i="7"/>
  <c r="D96" i="7"/>
  <c r="C96" i="7"/>
  <c r="B96" i="7"/>
  <c r="A96" i="7"/>
  <c r="R95" i="7"/>
  <c r="Q95" i="7"/>
  <c r="P95" i="7"/>
  <c r="O95" i="7"/>
  <c r="N95" i="7"/>
  <c r="M95" i="7"/>
  <c r="L95" i="7"/>
  <c r="K95" i="7"/>
  <c r="J95" i="7"/>
  <c r="I95" i="7"/>
  <c r="H95" i="7"/>
  <c r="G95" i="7"/>
  <c r="F95" i="7"/>
  <c r="E95" i="7"/>
  <c r="D95" i="7"/>
  <c r="C95" i="7"/>
  <c r="B95" i="7"/>
  <c r="A95" i="7"/>
  <c r="R94" i="7"/>
  <c r="Q94" i="7"/>
  <c r="P94" i="7"/>
  <c r="O94" i="7"/>
  <c r="N94" i="7"/>
  <c r="M94" i="7"/>
  <c r="L94" i="7"/>
  <c r="K94" i="7"/>
  <c r="J94" i="7"/>
  <c r="I94" i="7"/>
  <c r="H94" i="7"/>
  <c r="G94" i="7"/>
  <c r="F94" i="7"/>
  <c r="E94" i="7"/>
  <c r="D94" i="7"/>
  <c r="C94" i="7"/>
  <c r="B94" i="7"/>
  <c r="A94" i="7"/>
  <c r="R93" i="7"/>
  <c r="Q93" i="7"/>
  <c r="P93" i="7"/>
  <c r="O93" i="7"/>
  <c r="N93" i="7"/>
  <c r="M93" i="7"/>
  <c r="L93" i="7"/>
  <c r="K93" i="7"/>
  <c r="J93" i="7"/>
  <c r="I93" i="7"/>
  <c r="H93" i="7"/>
  <c r="G93" i="7"/>
  <c r="F93" i="7"/>
  <c r="E93" i="7"/>
  <c r="D93" i="7"/>
  <c r="C93" i="7"/>
  <c r="B93" i="7"/>
  <c r="A93" i="7"/>
  <c r="R92" i="7"/>
  <c r="Q92" i="7"/>
  <c r="P92" i="7"/>
  <c r="O92" i="7"/>
  <c r="N92" i="7"/>
  <c r="M92" i="7"/>
  <c r="L92" i="7"/>
  <c r="K92" i="7"/>
  <c r="J92" i="7"/>
  <c r="I92" i="7"/>
  <c r="H92" i="7"/>
  <c r="G92" i="7"/>
  <c r="F92" i="7"/>
  <c r="E92" i="7"/>
  <c r="D92" i="7"/>
  <c r="C92" i="7"/>
  <c r="B92" i="7"/>
  <c r="A92" i="7"/>
  <c r="R91" i="7"/>
  <c r="Q91" i="7"/>
  <c r="P91" i="7"/>
  <c r="O91" i="7"/>
  <c r="N91" i="7"/>
  <c r="M91" i="7"/>
  <c r="L91" i="7"/>
  <c r="K91" i="7"/>
  <c r="J91" i="7"/>
  <c r="I91" i="7"/>
  <c r="H91" i="7"/>
  <c r="G91" i="7"/>
  <c r="F91" i="7"/>
  <c r="E91" i="7"/>
  <c r="D91" i="7"/>
  <c r="C91" i="7"/>
  <c r="B91" i="7"/>
  <c r="A91" i="7"/>
  <c r="R90" i="7"/>
  <c r="Q90" i="7"/>
  <c r="P90" i="7"/>
  <c r="O90" i="7"/>
  <c r="N90" i="7"/>
  <c r="M90" i="7"/>
  <c r="L90" i="7"/>
  <c r="K90" i="7"/>
  <c r="J90" i="7"/>
  <c r="I90" i="7"/>
  <c r="H90" i="7"/>
  <c r="G90" i="7"/>
  <c r="F90" i="7"/>
  <c r="E90" i="7"/>
  <c r="D90" i="7"/>
  <c r="C90" i="7"/>
  <c r="B90" i="7"/>
  <c r="A90" i="7"/>
  <c r="R89" i="7"/>
  <c r="Q89" i="7"/>
  <c r="P89" i="7"/>
  <c r="O89" i="7"/>
  <c r="N89" i="7"/>
  <c r="M89" i="7"/>
  <c r="L89" i="7"/>
  <c r="K89" i="7"/>
  <c r="J89" i="7"/>
  <c r="I89" i="7"/>
  <c r="H89" i="7"/>
  <c r="G89" i="7"/>
  <c r="F89" i="7"/>
  <c r="E89" i="7"/>
  <c r="D89" i="7"/>
  <c r="C89" i="7"/>
  <c r="B89" i="7"/>
  <c r="A89" i="7"/>
  <c r="R88" i="7"/>
  <c r="Q88" i="7"/>
  <c r="P88" i="7"/>
  <c r="O88" i="7"/>
  <c r="N88" i="7"/>
  <c r="M88" i="7"/>
  <c r="L88" i="7"/>
  <c r="K88" i="7"/>
  <c r="J88" i="7"/>
  <c r="I88" i="7"/>
  <c r="H88" i="7"/>
  <c r="G88" i="7"/>
  <c r="F88" i="7"/>
  <c r="E88" i="7"/>
  <c r="D88" i="7"/>
  <c r="C88" i="7"/>
  <c r="B88" i="7"/>
  <c r="A88" i="7"/>
  <c r="R87" i="7"/>
  <c r="Q87" i="7"/>
  <c r="P87" i="7"/>
  <c r="O87" i="7"/>
  <c r="N87" i="7"/>
  <c r="M87" i="7"/>
  <c r="L87" i="7"/>
  <c r="K87" i="7"/>
  <c r="J87" i="7"/>
  <c r="I87" i="7"/>
  <c r="H87" i="7"/>
  <c r="G87" i="7"/>
  <c r="F87" i="7"/>
  <c r="E87" i="7"/>
  <c r="D87" i="7"/>
  <c r="C87" i="7"/>
  <c r="B87" i="7"/>
  <c r="A87" i="7"/>
  <c r="R86" i="7"/>
  <c r="Q86" i="7"/>
  <c r="P86" i="7"/>
  <c r="O86" i="7"/>
  <c r="N86" i="7"/>
  <c r="M86" i="7"/>
  <c r="L86" i="7"/>
  <c r="K86" i="7"/>
  <c r="J86" i="7"/>
  <c r="I86" i="7"/>
  <c r="H86" i="7"/>
  <c r="G86" i="7"/>
  <c r="F86" i="7"/>
  <c r="E86" i="7"/>
  <c r="D86" i="7"/>
  <c r="C86" i="7"/>
  <c r="B86" i="7"/>
  <c r="A86" i="7"/>
  <c r="R85" i="7"/>
  <c r="Q85" i="7"/>
  <c r="P85" i="7"/>
  <c r="O85" i="7"/>
  <c r="N85" i="7"/>
  <c r="M85" i="7"/>
  <c r="L85" i="7"/>
  <c r="K85" i="7"/>
  <c r="J85" i="7"/>
  <c r="I85" i="7"/>
  <c r="H85" i="7"/>
  <c r="G85" i="7"/>
  <c r="F85" i="7"/>
  <c r="E85" i="7"/>
  <c r="D85" i="7"/>
  <c r="C85" i="7"/>
  <c r="B85" i="7"/>
  <c r="A85" i="7"/>
  <c r="R84" i="7"/>
  <c r="Q84" i="7"/>
  <c r="P84" i="7"/>
  <c r="O84" i="7"/>
  <c r="N84" i="7"/>
  <c r="M84" i="7"/>
  <c r="L84" i="7"/>
  <c r="K84" i="7"/>
  <c r="J84" i="7"/>
  <c r="I84" i="7"/>
  <c r="H84" i="7"/>
  <c r="G84" i="7"/>
  <c r="F84" i="7"/>
  <c r="E84" i="7"/>
  <c r="D84" i="7"/>
  <c r="C84" i="7"/>
  <c r="B84" i="7"/>
  <c r="A84" i="7"/>
  <c r="R83" i="7"/>
  <c r="Q83" i="7"/>
  <c r="P83" i="7"/>
  <c r="O83" i="7"/>
  <c r="N83" i="7"/>
  <c r="M83" i="7"/>
  <c r="L83" i="7"/>
  <c r="K83" i="7"/>
  <c r="J83" i="7"/>
  <c r="I83" i="7"/>
  <c r="H83" i="7"/>
  <c r="G83" i="7"/>
  <c r="F83" i="7"/>
  <c r="E83" i="7"/>
  <c r="D83" i="7"/>
  <c r="C83" i="7"/>
  <c r="B83" i="7"/>
  <c r="A83" i="7"/>
  <c r="R82" i="7"/>
  <c r="Q82" i="7"/>
  <c r="P82" i="7"/>
  <c r="O82" i="7"/>
  <c r="N82" i="7"/>
  <c r="M82" i="7"/>
  <c r="L82" i="7"/>
  <c r="K82" i="7"/>
  <c r="J82" i="7"/>
  <c r="I82" i="7"/>
  <c r="H82" i="7"/>
  <c r="G82" i="7"/>
  <c r="F82" i="7"/>
  <c r="E82" i="7"/>
  <c r="D82" i="7"/>
  <c r="C82" i="7"/>
  <c r="B82" i="7"/>
  <c r="A82" i="7"/>
  <c r="R81" i="7"/>
  <c r="Q81" i="7"/>
  <c r="P81" i="7"/>
  <c r="O81" i="7"/>
  <c r="N81" i="7"/>
  <c r="M81" i="7"/>
  <c r="L81" i="7"/>
  <c r="K81" i="7"/>
  <c r="J81" i="7"/>
  <c r="I81" i="7"/>
  <c r="H81" i="7"/>
  <c r="G81" i="7"/>
  <c r="F81" i="7"/>
  <c r="E81" i="7"/>
  <c r="D81" i="7"/>
  <c r="C81" i="7"/>
  <c r="B81" i="7"/>
  <c r="A81" i="7"/>
  <c r="R80" i="7"/>
  <c r="Q80" i="7"/>
  <c r="P80" i="7"/>
  <c r="O80" i="7"/>
  <c r="N80" i="7"/>
  <c r="M80" i="7"/>
  <c r="L80" i="7"/>
  <c r="K80" i="7"/>
  <c r="J80" i="7"/>
  <c r="I80" i="7"/>
  <c r="H80" i="7"/>
  <c r="G80" i="7"/>
  <c r="F80" i="7"/>
  <c r="E80" i="7"/>
  <c r="D80" i="7"/>
  <c r="C80" i="7"/>
  <c r="B80" i="7"/>
  <c r="A80" i="7"/>
  <c r="R79" i="7"/>
  <c r="Q79" i="7"/>
  <c r="P79" i="7"/>
  <c r="O79" i="7"/>
  <c r="N79" i="7"/>
  <c r="M79" i="7"/>
  <c r="L79" i="7"/>
  <c r="K79" i="7"/>
  <c r="J79" i="7"/>
  <c r="I79" i="7"/>
  <c r="H79" i="7"/>
  <c r="G79" i="7"/>
  <c r="F79" i="7"/>
  <c r="E79" i="7"/>
  <c r="D79" i="7"/>
  <c r="C79" i="7"/>
  <c r="B79" i="7"/>
  <c r="A79" i="7"/>
  <c r="R78" i="7"/>
  <c r="Q78" i="7"/>
  <c r="P78" i="7"/>
  <c r="O78" i="7"/>
  <c r="N78" i="7"/>
  <c r="M78" i="7"/>
  <c r="L78" i="7"/>
  <c r="K78" i="7"/>
  <c r="J78" i="7"/>
  <c r="I78" i="7"/>
  <c r="H78" i="7"/>
  <c r="G78" i="7"/>
  <c r="F78" i="7"/>
  <c r="E78" i="7"/>
  <c r="D78" i="7"/>
  <c r="C78" i="7"/>
  <c r="B78" i="7"/>
  <c r="A78" i="7"/>
  <c r="R77" i="7"/>
  <c r="Q77" i="7"/>
  <c r="P77" i="7"/>
  <c r="O77" i="7"/>
  <c r="N77" i="7"/>
  <c r="M77" i="7"/>
  <c r="L77" i="7"/>
  <c r="K77" i="7"/>
  <c r="J77" i="7"/>
  <c r="I77" i="7"/>
  <c r="H77" i="7"/>
  <c r="G77" i="7"/>
  <c r="F77" i="7"/>
  <c r="E77" i="7"/>
  <c r="D77" i="7"/>
  <c r="C77" i="7"/>
  <c r="B77" i="7"/>
  <c r="A77" i="7"/>
  <c r="R76" i="7"/>
  <c r="Q76" i="7"/>
  <c r="P76" i="7"/>
  <c r="O76" i="7"/>
  <c r="N76" i="7"/>
  <c r="M76" i="7"/>
  <c r="L76" i="7"/>
  <c r="K76" i="7"/>
  <c r="J76" i="7"/>
  <c r="I76" i="7"/>
  <c r="H76" i="7"/>
  <c r="G76" i="7"/>
  <c r="F76" i="7"/>
  <c r="E76" i="7"/>
  <c r="D76" i="7"/>
  <c r="C76" i="7"/>
  <c r="B76" i="7"/>
  <c r="A76" i="7"/>
  <c r="R75" i="7"/>
  <c r="Q75" i="7"/>
  <c r="P75" i="7"/>
  <c r="O75" i="7"/>
  <c r="N75" i="7"/>
  <c r="M75" i="7"/>
  <c r="L75" i="7"/>
  <c r="K75" i="7"/>
  <c r="J75" i="7"/>
  <c r="I75" i="7"/>
  <c r="H75" i="7"/>
  <c r="G75" i="7"/>
  <c r="F75" i="7"/>
  <c r="E75" i="7"/>
  <c r="D75" i="7"/>
  <c r="C75" i="7"/>
  <c r="B75" i="7"/>
  <c r="A75" i="7"/>
  <c r="R74" i="7"/>
  <c r="Q74" i="7"/>
  <c r="P74" i="7"/>
  <c r="O74" i="7"/>
  <c r="N74" i="7"/>
  <c r="M74" i="7"/>
  <c r="L74" i="7"/>
  <c r="K74" i="7"/>
  <c r="J74" i="7"/>
  <c r="I74" i="7"/>
  <c r="H74" i="7"/>
  <c r="G74" i="7"/>
  <c r="F74" i="7"/>
  <c r="E74" i="7"/>
  <c r="D74" i="7"/>
  <c r="C74" i="7"/>
  <c r="B74" i="7"/>
  <c r="A74" i="7"/>
  <c r="R73" i="7"/>
  <c r="Q73" i="7"/>
  <c r="P73" i="7"/>
  <c r="O73" i="7"/>
  <c r="N73" i="7"/>
  <c r="M73" i="7"/>
  <c r="L73" i="7"/>
  <c r="K73" i="7"/>
  <c r="J73" i="7"/>
  <c r="I73" i="7"/>
  <c r="H73" i="7"/>
  <c r="G73" i="7"/>
  <c r="F73" i="7"/>
  <c r="E73" i="7"/>
  <c r="D73" i="7"/>
  <c r="C73" i="7"/>
  <c r="B73" i="7"/>
  <c r="A73" i="7"/>
  <c r="R72" i="7"/>
  <c r="Q72" i="7"/>
  <c r="P72" i="7"/>
  <c r="O72" i="7"/>
  <c r="N72" i="7"/>
  <c r="M72" i="7"/>
  <c r="L72" i="7"/>
  <c r="K72" i="7"/>
  <c r="J72" i="7"/>
  <c r="I72" i="7"/>
  <c r="H72" i="7"/>
  <c r="G72" i="7"/>
  <c r="F72" i="7"/>
  <c r="E72" i="7"/>
  <c r="D72" i="7"/>
  <c r="C72" i="7"/>
  <c r="B72" i="7"/>
  <c r="A72" i="7"/>
  <c r="R71" i="7"/>
  <c r="Q71" i="7"/>
  <c r="P71" i="7"/>
  <c r="O71" i="7"/>
  <c r="N71" i="7"/>
  <c r="M71" i="7"/>
  <c r="L71" i="7"/>
  <c r="K71" i="7"/>
  <c r="J71" i="7"/>
  <c r="I71" i="7"/>
  <c r="H71" i="7"/>
  <c r="G71" i="7"/>
  <c r="F71" i="7"/>
  <c r="E71" i="7"/>
  <c r="D71" i="7"/>
  <c r="C71" i="7"/>
  <c r="B71" i="7"/>
  <c r="A71" i="7"/>
  <c r="R70" i="7"/>
  <c r="Q70" i="7"/>
  <c r="P70" i="7"/>
  <c r="O70" i="7"/>
  <c r="N70" i="7"/>
  <c r="M70" i="7"/>
  <c r="L70" i="7"/>
  <c r="K70" i="7"/>
  <c r="J70" i="7"/>
  <c r="I70" i="7"/>
  <c r="H70" i="7"/>
  <c r="G70" i="7"/>
  <c r="F70" i="7"/>
  <c r="E70" i="7"/>
  <c r="D70" i="7"/>
  <c r="C70" i="7"/>
  <c r="B70" i="7"/>
  <c r="A70" i="7"/>
  <c r="R69" i="7"/>
  <c r="Q69" i="7"/>
  <c r="P69" i="7"/>
  <c r="O69" i="7"/>
  <c r="N69" i="7"/>
  <c r="M69" i="7"/>
  <c r="L69" i="7"/>
  <c r="K69" i="7"/>
  <c r="J69" i="7"/>
  <c r="I69" i="7"/>
  <c r="H69" i="7"/>
  <c r="G69" i="7"/>
  <c r="F69" i="7"/>
  <c r="E69" i="7"/>
  <c r="D69" i="7"/>
  <c r="C69" i="7"/>
  <c r="B69" i="7"/>
  <c r="A69" i="7"/>
  <c r="R68" i="7"/>
  <c r="Q68" i="7"/>
  <c r="P68" i="7"/>
  <c r="O68" i="7"/>
  <c r="N68" i="7"/>
  <c r="M68" i="7"/>
  <c r="L68" i="7"/>
  <c r="K68" i="7"/>
  <c r="J68" i="7"/>
  <c r="I68" i="7"/>
  <c r="H68" i="7"/>
  <c r="G68" i="7"/>
  <c r="F68" i="7"/>
  <c r="E68" i="7"/>
  <c r="D68" i="7"/>
  <c r="C68" i="7"/>
  <c r="B68" i="7"/>
  <c r="A68" i="7"/>
  <c r="R67" i="7"/>
  <c r="Q67" i="7"/>
  <c r="P67" i="7"/>
  <c r="O67" i="7"/>
  <c r="N67" i="7"/>
  <c r="M67" i="7"/>
  <c r="L67" i="7"/>
  <c r="K67" i="7"/>
  <c r="J67" i="7"/>
  <c r="I67" i="7"/>
  <c r="H67" i="7"/>
  <c r="G67" i="7"/>
  <c r="F67" i="7"/>
  <c r="E67" i="7"/>
  <c r="D67" i="7"/>
  <c r="C67" i="7"/>
  <c r="B67" i="7"/>
  <c r="A67" i="7"/>
  <c r="R66" i="7"/>
  <c r="Q66" i="7"/>
  <c r="P66" i="7"/>
  <c r="O66" i="7"/>
  <c r="N66" i="7"/>
  <c r="M66" i="7"/>
  <c r="L66" i="7"/>
  <c r="K66" i="7"/>
  <c r="J66" i="7"/>
  <c r="I66" i="7"/>
  <c r="H66" i="7"/>
  <c r="G66" i="7"/>
  <c r="F66" i="7"/>
  <c r="E66" i="7"/>
  <c r="D66" i="7"/>
  <c r="C66" i="7"/>
  <c r="B66" i="7"/>
  <c r="A66" i="7"/>
  <c r="R65" i="7"/>
  <c r="Q65" i="7"/>
  <c r="P65" i="7"/>
  <c r="O65" i="7"/>
  <c r="N65" i="7"/>
  <c r="M65" i="7"/>
  <c r="L65" i="7"/>
  <c r="K65" i="7"/>
  <c r="J65" i="7"/>
  <c r="I65" i="7"/>
  <c r="H65" i="7"/>
  <c r="G65" i="7"/>
  <c r="F65" i="7"/>
  <c r="E65" i="7"/>
  <c r="D65" i="7"/>
  <c r="C65" i="7"/>
  <c r="B65" i="7"/>
  <c r="A65" i="7"/>
  <c r="R64" i="7"/>
  <c r="Q64" i="7"/>
  <c r="P64" i="7"/>
  <c r="O64" i="7"/>
  <c r="N64" i="7"/>
  <c r="M64" i="7"/>
  <c r="L64" i="7"/>
  <c r="K64" i="7"/>
  <c r="J64" i="7"/>
  <c r="I64" i="7"/>
  <c r="H64" i="7"/>
  <c r="G64" i="7"/>
  <c r="F64" i="7"/>
  <c r="E64" i="7"/>
  <c r="D64" i="7"/>
  <c r="C64" i="7"/>
  <c r="B64" i="7"/>
  <c r="A64" i="7"/>
  <c r="R63" i="7"/>
  <c r="Q63" i="7"/>
  <c r="P63" i="7"/>
  <c r="O63" i="7"/>
  <c r="N63" i="7"/>
  <c r="M63" i="7"/>
  <c r="L63" i="7"/>
  <c r="K63" i="7"/>
  <c r="J63" i="7"/>
  <c r="I63" i="7"/>
  <c r="H63" i="7"/>
  <c r="G63" i="7"/>
  <c r="F63" i="7"/>
  <c r="E63" i="7"/>
  <c r="D63" i="7"/>
  <c r="C63" i="7"/>
  <c r="B63" i="7"/>
  <c r="A63" i="7"/>
  <c r="R62" i="7"/>
  <c r="Q62" i="7"/>
  <c r="P62" i="7"/>
  <c r="O62" i="7"/>
  <c r="N62" i="7"/>
  <c r="M62" i="7"/>
  <c r="L62" i="7"/>
  <c r="K62" i="7"/>
  <c r="J62" i="7"/>
  <c r="I62" i="7"/>
  <c r="H62" i="7"/>
  <c r="G62" i="7"/>
  <c r="F62" i="7"/>
  <c r="E62" i="7"/>
  <c r="D62" i="7"/>
  <c r="C62" i="7"/>
  <c r="B62" i="7"/>
  <c r="A62" i="7"/>
  <c r="R61" i="7"/>
  <c r="Q61" i="7"/>
  <c r="P61" i="7"/>
  <c r="O61" i="7"/>
  <c r="N61" i="7"/>
  <c r="M61" i="7"/>
  <c r="L61" i="7"/>
  <c r="K61" i="7"/>
  <c r="J61" i="7"/>
  <c r="I61" i="7"/>
  <c r="H61" i="7"/>
  <c r="G61" i="7"/>
  <c r="F61" i="7"/>
  <c r="E61" i="7"/>
  <c r="D61" i="7"/>
  <c r="C61" i="7"/>
  <c r="B61" i="7"/>
  <c r="A61" i="7"/>
  <c r="R60" i="7"/>
  <c r="Q60" i="7"/>
  <c r="P60" i="7"/>
  <c r="O60" i="7"/>
  <c r="N60" i="7"/>
  <c r="M60" i="7"/>
  <c r="L60" i="7"/>
  <c r="K60" i="7"/>
  <c r="J60" i="7"/>
  <c r="I60" i="7"/>
  <c r="H60" i="7"/>
  <c r="G60" i="7"/>
  <c r="F60" i="7"/>
  <c r="E60" i="7"/>
  <c r="D60" i="7"/>
  <c r="C60" i="7"/>
  <c r="B60" i="7"/>
  <c r="A60" i="7"/>
  <c r="R59" i="7"/>
  <c r="Q59" i="7"/>
  <c r="P59" i="7"/>
  <c r="O59" i="7"/>
  <c r="N59" i="7"/>
  <c r="M59" i="7"/>
  <c r="L59" i="7"/>
  <c r="K59" i="7"/>
  <c r="J59" i="7"/>
  <c r="I59" i="7"/>
  <c r="H59" i="7"/>
  <c r="G59" i="7"/>
  <c r="F59" i="7"/>
  <c r="E59" i="7"/>
  <c r="D59" i="7"/>
  <c r="C59" i="7"/>
  <c r="B59" i="7"/>
  <c r="A59" i="7"/>
  <c r="R58" i="7"/>
  <c r="Q58" i="7"/>
  <c r="P58" i="7"/>
  <c r="O58" i="7"/>
  <c r="N58" i="7"/>
  <c r="M58" i="7"/>
  <c r="L58" i="7"/>
  <c r="K58" i="7"/>
  <c r="J58" i="7"/>
  <c r="I58" i="7"/>
  <c r="H58" i="7"/>
  <c r="G58" i="7"/>
  <c r="F58" i="7"/>
  <c r="E58" i="7"/>
  <c r="D58" i="7"/>
  <c r="C58" i="7"/>
  <c r="B58" i="7"/>
  <c r="A58" i="7"/>
  <c r="R57" i="7"/>
  <c r="Q57" i="7"/>
  <c r="P57" i="7"/>
  <c r="O57" i="7"/>
  <c r="N57" i="7"/>
  <c r="M57" i="7"/>
  <c r="L57" i="7"/>
  <c r="K57" i="7"/>
  <c r="J57" i="7"/>
  <c r="I57" i="7"/>
  <c r="H57" i="7"/>
  <c r="G57" i="7"/>
  <c r="F57" i="7"/>
  <c r="E57" i="7"/>
  <c r="D57" i="7"/>
  <c r="C57" i="7"/>
  <c r="B57" i="7"/>
  <c r="A57" i="7"/>
  <c r="R56" i="7"/>
  <c r="Q56" i="7"/>
  <c r="P56" i="7"/>
  <c r="O56" i="7"/>
  <c r="N56" i="7"/>
  <c r="M56" i="7"/>
  <c r="L56" i="7"/>
  <c r="K56" i="7"/>
  <c r="J56" i="7"/>
  <c r="I56" i="7"/>
  <c r="H56" i="7"/>
  <c r="G56" i="7"/>
  <c r="F56" i="7"/>
  <c r="E56" i="7"/>
  <c r="D56" i="7"/>
  <c r="C56" i="7"/>
  <c r="B56" i="7"/>
  <c r="A56" i="7"/>
  <c r="R55" i="7"/>
  <c r="Q55" i="7"/>
  <c r="P55" i="7"/>
  <c r="O55" i="7"/>
  <c r="N55" i="7"/>
  <c r="M55" i="7"/>
  <c r="L55" i="7"/>
  <c r="K55" i="7"/>
  <c r="J55" i="7"/>
  <c r="I55" i="7"/>
  <c r="H55" i="7"/>
  <c r="G55" i="7"/>
  <c r="F55" i="7"/>
  <c r="E55" i="7"/>
  <c r="D55" i="7"/>
  <c r="C55" i="7"/>
  <c r="B55" i="7"/>
  <c r="A55" i="7"/>
  <c r="R54" i="7"/>
  <c r="Q54" i="7"/>
  <c r="P54" i="7"/>
  <c r="O54" i="7"/>
  <c r="N54" i="7"/>
  <c r="M54" i="7"/>
  <c r="L54" i="7"/>
  <c r="K54" i="7"/>
  <c r="J54" i="7"/>
  <c r="I54" i="7"/>
  <c r="H54" i="7"/>
  <c r="G54" i="7"/>
  <c r="F54" i="7"/>
  <c r="E54" i="7"/>
  <c r="D54" i="7"/>
  <c r="C54" i="7"/>
  <c r="B54" i="7"/>
  <c r="A54" i="7"/>
  <c r="R53" i="7"/>
  <c r="Q53" i="7"/>
  <c r="P53" i="7"/>
  <c r="O53" i="7"/>
  <c r="N53" i="7"/>
  <c r="M53" i="7"/>
  <c r="L53" i="7"/>
  <c r="K53" i="7"/>
  <c r="J53" i="7"/>
  <c r="I53" i="7"/>
  <c r="H53" i="7"/>
  <c r="G53" i="7"/>
  <c r="F53" i="7"/>
  <c r="E53" i="7"/>
  <c r="D53" i="7"/>
  <c r="C53" i="7"/>
  <c r="B53" i="7"/>
  <c r="A53" i="7"/>
  <c r="R52" i="7"/>
  <c r="Q52" i="7"/>
  <c r="P52" i="7"/>
  <c r="O52" i="7"/>
  <c r="N52" i="7"/>
  <c r="M52" i="7"/>
  <c r="L52" i="7"/>
  <c r="K52" i="7"/>
  <c r="J52" i="7"/>
  <c r="I52" i="7"/>
  <c r="H52" i="7"/>
  <c r="G52" i="7"/>
  <c r="F52" i="7"/>
  <c r="E52" i="7"/>
  <c r="D52" i="7"/>
  <c r="C52" i="7"/>
  <c r="B52" i="7"/>
  <c r="A52" i="7"/>
  <c r="R51" i="7"/>
  <c r="Q51" i="7"/>
  <c r="P51" i="7"/>
  <c r="O51" i="7"/>
  <c r="N51" i="7"/>
  <c r="M51" i="7"/>
  <c r="L51" i="7"/>
  <c r="K51" i="7"/>
  <c r="J51" i="7"/>
  <c r="I51" i="7"/>
  <c r="H51" i="7"/>
  <c r="G51" i="7"/>
  <c r="F51" i="7"/>
  <c r="E51" i="7"/>
  <c r="D51" i="7"/>
  <c r="C51" i="7"/>
  <c r="B51" i="7"/>
  <c r="A51" i="7"/>
  <c r="R50" i="7"/>
  <c r="Q50" i="7"/>
  <c r="P50" i="7"/>
  <c r="O50" i="7"/>
  <c r="N50" i="7"/>
  <c r="M50" i="7"/>
  <c r="L50" i="7"/>
  <c r="K50" i="7"/>
  <c r="J50" i="7"/>
  <c r="I50" i="7"/>
  <c r="H50" i="7"/>
  <c r="G50" i="7"/>
  <c r="F50" i="7"/>
  <c r="E50" i="7"/>
  <c r="D50" i="7"/>
  <c r="C50" i="7"/>
  <c r="B50" i="7"/>
  <c r="A50" i="7"/>
  <c r="R49" i="7"/>
  <c r="Q49" i="7"/>
  <c r="P49" i="7"/>
  <c r="O49" i="7"/>
  <c r="N49" i="7"/>
  <c r="M49" i="7"/>
  <c r="L49" i="7"/>
  <c r="K49" i="7"/>
  <c r="J49" i="7"/>
  <c r="I49" i="7"/>
  <c r="H49" i="7"/>
  <c r="G49" i="7"/>
  <c r="F49" i="7"/>
  <c r="E49" i="7"/>
  <c r="D49" i="7"/>
  <c r="C49" i="7"/>
  <c r="B49" i="7"/>
  <c r="A49" i="7"/>
  <c r="R48" i="7"/>
  <c r="Q48" i="7"/>
  <c r="P48" i="7"/>
  <c r="O48" i="7"/>
  <c r="N48" i="7"/>
  <c r="M48" i="7"/>
  <c r="L48" i="7"/>
  <c r="K48" i="7"/>
  <c r="J48" i="7"/>
  <c r="I48" i="7"/>
  <c r="H48" i="7"/>
  <c r="G48" i="7"/>
  <c r="F48" i="7"/>
  <c r="E48" i="7"/>
  <c r="D48" i="7"/>
  <c r="C48" i="7"/>
  <c r="B48" i="7"/>
  <c r="A48" i="7"/>
  <c r="R47" i="7"/>
  <c r="Q47" i="7"/>
  <c r="P47" i="7"/>
  <c r="O47" i="7"/>
  <c r="N47" i="7"/>
  <c r="M47" i="7"/>
  <c r="L47" i="7"/>
  <c r="K47" i="7"/>
  <c r="J47" i="7"/>
  <c r="I47" i="7"/>
  <c r="H47" i="7"/>
  <c r="G47" i="7"/>
  <c r="F47" i="7"/>
  <c r="E47" i="7"/>
  <c r="D47" i="7"/>
  <c r="C47" i="7"/>
  <c r="B47" i="7"/>
  <c r="A47" i="7"/>
  <c r="R46" i="7"/>
  <c r="Q46" i="7"/>
  <c r="P46" i="7"/>
  <c r="O46" i="7"/>
  <c r="N46" i="7"/>
  <c r="M46" i="7"/>
  <c r="L46" i="7"/>
  <c r="K46" i="7"/>
  <c r="J46" i="7"/>
  <c r="I46" i="7"/>
  <c r="H46" i="7"/>
  <c r="G46" i="7"/>
  <c r="F46" i="7"/>
  <c r="E46" i="7"/>
  <c r="D46" i="7"/>
  <c r="C46" i="7"/>
  <c r="B46" i="7"/>
  <c r="A46" i="7"/>
  <c r="R45" i="7"/>
  <c r="Q45" i="7"/>
  <c r="P45" i="7"/>
  <c r="O45" i="7"/>
  <c r="N45" i="7"/>
  <c r="M45" i="7"/>
  <c r="L45" i="7"/>
  <c r="K45" i="7"/>
  <c r="J45" i="7"/>
  <c r="I45" i="7"/>
  <c r="H45" i="7"/>
  <c r="G45" i="7"/>
  <c r="F45" i="7"/>
  <c r="E45" i="7"/>
  <c r="D45" i="7"/>
  <c r="C45" i="7"/>
  <c r="B45" i="7"/>
  <c r="A45" i="7"/>
  <c r="R44" i="7"/>
  <c r="Q44" i="7"/>
  <c r="P44" i="7"/>
  <c r="O44" i="7"/>
  <c r="N44" i="7"/>
  <c r="M44" i="7"/>
  <c r="L44" i="7"/>
  <c r="K44" i="7"/>
  <c r="J44" i="7"/>
  <c r="I44" i="7"/>
  <c r="H44" i="7"/>
  <c r="G44" i="7"/>
  <c r="F44" i="7"/>
  <c r="E44" i="7"/>
  <c r="D44" i="7"/>
  <c r="C44" i="7"/>
  <c r="B44" i="7"/>
  <c r="A44" i="7"/>
  <c r="R43" i="7"/>
  <c r="Q43" i="7"/>
  <c r="P43" i="7"/>
  <c r="O43" i="7"/>
  <c r="N43" i="7"/>
  <c r="M43" i="7"/>
  <c r="L43" i="7"/>
  <c r="K43" i="7"/>
  <c r="J43" i="7"/>
  <c r="I43" i="7"/>
  <c r="H43" i="7"/>
  <c r="G43" i="7"/>
  <c r="F43" i="7"/>
  <c r="E43" i="7"/>
  <c r="D43" i="7"/>
  <c r="C43" i="7"/>
  <c r="B43" i="7"/>
  <c r="A43" i="7"/>
  <c r="R42" i="7"/>
  <c r="Q42" i="7"/>
  <c r="P42" i="7"/>
  <c r="O42" i="7"/>
  <c r="N42" i="7"/>
  <c r="M42" i="7"/>
  <c r="L42" i="7"/>
  <c r="K42" i="7"/>
  <c r="J42" i="7"/>
  <c r="I42" i="7"/>
  <c r="H42" i="7"/>
  <c r="G42" i="7"/>
  <c r="F42" i="7"/>
  <c r="E42" i="7"/>
  <c r="D42" i="7"/>
  <c r="C42" i="7"/>
  <c r="B42" i="7"/>
  <c r="A42" i="7"/>
  <c r="R41" i="7"/>
  <c r="Q41" i="7"/>
  <c r="P41" i="7"/>
  <c r="O41" i="7"/>
  <c r="N41" i="7"/>
  <c r="M41" i="7"/>
  <c r="L41" i="7"/>
  <c r="K41" i="7"/>
  <c r="J41" i="7"/>
  <c r="I41" i="7"/>
  <c r="H41" i="7"/>
  <c r="G41" i="7"/>
  <c r="F41" i="7"/>
  <c r="E41" i="7"/>
  <c r="D41" i="7"/>
  <c r="C41" i="7"/>
  <c r="B41" i="7"/>
  <c r="A41" i="7"/>
  <c r="R40" i="7"/>
  <c r="Q40" i="7"/>
  <c r="P40" i="7"/>
  <c r="O40" i="7"/>
  <c r="N40" i="7"/>
  <c r="M40" i="7"/>
  <c r="L40" i="7"/>
  <c r="K40" i="7"/>
  <c r="J40" i="7"/>
  <c r="I40" i="7"/>
  <c r="H40" i="7"/>
  <c r="G40" i="7"/>
  <c r="F40" i="7"/>
  <c r="E40" i="7"/>
  <c r="D40" i="7"/>
  <c r="C40" i="7"/>
  <c r="B40" i="7"/>
  <c r="A40" i="7"/>
  <c r="R39" i="7"/>
  <c r="Q39" i="7"/>
  <c r="P39" i="7"/>
  <c r="O39" i="7"/>
  <c r="N39" i="7"/>
  <c r="M39" i="7"/>
  <c r="L39" i="7"/>
  <c r="K39" i="7"/>
  <c r="J39" i="7"/>
  <c r="I39" i="7"/>
  <c r="H39" i="7"/>
  <c r="G39" i="7"/>
  <c r="F39" i="7"/>
  <c r="E39" i="7"/>
  <c r="D39" i="7"/>
  <c r="C39" i="7"/>
  <c r="B39" i="7"/>
  <c r="A39" i="7"/>
  <c r="R38" i="7"/>
  <c r="Q38" i="7"/>
  <c r="P38" i="7"/>
  <c r="O38" i="7"/>
  <c r="N38" i="7"/>
  <c r="M38" i="7"/>
  <c r="L38" i="7"/>
  <c r="K38" i="7"/>
  <c r="J38" i="7"/>
  <c r="I38" i="7"/>
  <c r="H38" i="7"/>
  <c r="G38" i="7"/>
  <c r="F38" i="7"/>
  <c r="E38" i="7"/>
  <c r="D38" i="7"/>
  <c r="C38" i="7"/>
  <c r="B38" i="7"/>
  <c r="A38" i="7"/>
  <c r="R37" i="7"/>
  <c r="Q37" i="7"/>
  <c r="P37" i="7"/>
  <c r="O37" i="7"/>
  <c r="N37" i="7"/>
  <c r="M37" i="7"/>
  <c r="L37" i="7"/>
  <c r="K37" i="7"/>
  <c r="J37" i="7"/>
  <c r="I37" i="7"/>
  <c r="H37" i="7"/>
  <c r="G37" i="7"/>
  <c r="F37" i="7"/>
  <c r="E37" i="7"/>
  <c r="D37" i="7"/>
  <c r="C37" i="7"/>
  <c r="B37" i="7"/>
  <c r="A37" i="7"/>
  <c r="R36" i="7"/>
  <c r="Q36" i="7"/>
  <c r="P36" i="7"/>
  <c r="O36" i="7"/>
  <c r="N36" i="7"/>
  <c r="M36" i="7"/>
  <c r="L36" i="7"/>
  <c r="K36" i="7"/>
  <c r="J36" i="7"/>
  <c r="I36" i="7"/>
  <c r="H36" i="7"/>
  <c r="G36" i="7"/>
  <c r="F36" i="7"/>
  <c r="E36" i="7"/>
  <c r="D36" i="7"/>
  <c r="C36" i="7"/>
  <c r="B36" i="7"/>
  <c r="A36" i="7"/>
  <c r="R35" i="7"/>
  <c r="Q35" i="7"/>
  <c r="P35" i="7"/>
  <c r="O35" i="7"/>
  <c r="N35" i="7"/>
  <c r="M35" i="7"/>
  <c r="L35" i="7"/>
  <c r="K35" i="7"/>
  <c r="J35" i="7"/>
  <c r="I35" i="7"/>
  <c r="H35" i="7"/>
  <c r="G35" i="7"/>
  <c r="F35" i="7"/>
  <c r="E35" i="7"/>
  <c r="D35" i="7"/>
  <c r="C35" i="7"/>
  <c r="B35" i="7"/>
  <c r="A35" i="7"/>
  <c r="R34" i="7"/>
  <c r="Q34" i="7"/>
  <c r="P34" i="7"/>
  <c r="O34" i="7"/>
  <c r="N34" i="7"/>
  <c r="M34" i="7"/>
  <c r="L34" i="7"/>
  <c r="K34" i="7"/>
  <c r="J34" i="7"/>
  <c r="I34" i="7"/>
  <c r="H34" i="7"/>
  <c r="G34" i="7"/>
  <c r="F34" i="7"/>
  <c r="E34" i="7"/>
  <c r="D34" i="7"/>
  <c r="C34" i="7"/>
  <c r="B34" i="7"/>
  <c r="A34" i="7"/>
  <c r="R33" i="7"/>
  <c r="Q33" i="7"/>
  <c r="P33" i="7"/>
  <c r="O33" i="7"/>
  <c r="N33" i="7"/>
  <c r="M33" i="7"/>
  <c r="L33" i="7"/>
  <c r="K33" i="7"/>
  <c r="J33" i="7"/>
  <c r="I33" i="7"/>
  <c r="H33" i="7"/>
  <c r="G33" i="7"/>
  <c r="F33" i="7"/>
  <c r="E33" i="7"/>
  <c r="D33" i="7"/>
  <c r="C33" i="7"/>
  <c r="B33" i="7"/>
  <c r="A33" i="7"/>
  <c r="R32" i="7"/>
  <c r="Q32" i="7"/>
  <c r="P32" i="7"/>
  <c r="O32" i="7"/>
  <c r="N32" i="7"/>
  <c r="M32" i="7"/>
  <c r="L32" i="7"/>
  <c r="K32" i="7"/>
  <c r="J32" i="7"/>
  <c r="I32" i="7"/>
  <c r="H32" i="7"/>
  <c r="G32" i="7"/>
  <c r="F32" i="7"/>
  <c r="E32" i="7"/>
  <c r="D32" i="7"/>
  <c r="C32" i="7"/>
  <c r="B32" i="7"/>
  <c r="A32" i="7"/>
  <c r="R31" i="7"/>
  <c r="Q31" i="7"/>
  <c r="P31" i="7"/>
  <c r="O31" i="7"/>
  <c r="N31" i="7"/>
  <c r="M31" i="7"/>
  <c r="L31" i="7"/>
  <c r="K31" i="7"/>
  <c r="J31" i="7"/>
  <c r="I31" i="7"/>
  <c r="H31" i="7"/>
  <c r="G31" i="7"/>
  <c r="F31" i="7"/>
  <c r="E31" i="7"/>
  <c r="D31" i="7"/>
  <c r="C31" i="7"/>
  <c r="B31" i="7"/>
  <c r="A31" i="7"/>
  <c r="R30" i="7"/>
  <c r="Q30" i="7"/>
  <c r="P30" i="7"/>
  <c r="O30" i="7"/>
  <c r="N30" i="7"/>
  <c r="M30" i="7"/>
  <c r="L30" i="7"/>
  <c r="K30" i="7"/>
  <c r="J30" i="7"/>
  <c r="I30" i="7"/>
  <c r="H30" i="7"/>
  <c r="G30" i="7"/>
  <c r="F30" i="7"/>
  <c r="E30" i="7"/>
  <c r="D30" i="7"/>
  <c r="C30" i="7"/>
  <c r="B30" i="7"/>
  <c r="A30" i="7"/>
  <c r="R29" i="7"/>
  <c r="Q29" i="7"/>
  <c r="P29" i="7"/>
  <c r="O29" i="7"/>
  <c r="N29" i="7"/>
  <c r="M29" i="7"/>
  <c r="L29" i="7"/>
  <c r="K29" i="7"/>
  <c r="J29" i="7"/>
  <c r="I29" i="7"/>
  <c r="H29" i="7"/>
  <c r="G29" i="7"/>
  <c r="F29" i="7"/>
  <c r="E29" i="7"/>
  <c r="D29" i="7"/>
  <c r="C29" i="7"/>
  <c r="B29" i="7"/>
  <c r="A29" i="7"/>
  <c r="R28" i="7"/>
  <c r="Q28" i="7"/>
  <c r="P28" i="7"/>
  <c r="O28" i="7"/>
  <c r="N28" i="7"/>
  <c r="M28" i="7"/>
  <c r="L28" i="7"/>
  <c r="K28" i="7"/>
  <c r="J28" i="7"/>
  <c r="I28" i="7"/>
  <c r="H28" i="7"/>
  <c r="G28" i="7"/>
  <c r="F28" i="7"/>
  <c r="E28" i="7"/>
  <c r="D28" i="7"/>
  <c r="C28" i="7"/>
  <c r="B28" i="7"/>
  <c r="A28" i="7"/>
  <c r="R27" i="7"/>
  <c r="Q27" i="7"/>
  <c r="P27" i="7"/>
  <c r="O27" i="7"/>
  <c r="N27" i="7"/>
  <c r="M27" i="7"/>
  <c r="L27" i="7"/>
  <c r="K27" i="7"/>
  <c r="J27" i="7"/>
  <c r="I27" i="7"/>
  <c r="H27" i="7"/>
  <c r="G27" i="7"/>
  <c r="F27" i="7"/>
  <c r="E27" i="7"/>
  <c r="D27" i="7"/>
  <c r="C27" i="7"/>
  <c r="B27" i="7"/>
  <c r="A27" i="7"/>
  <c r="R26" i="7"/>
  <c r="Q26" i="7"/>
  <c r="P26" i="7"/>
  <c r="O26" i="7"/>
  <c r="N26" i="7"/>
  <c r="M26" i="7"/>
  <c r="L26" i="7"/>
  <c r="K26" i="7"/>
  <c r="J26" i="7"/>
  <c r="I26" i="7"/>
  <c r="H26" i="7"/>
  <c r="G26" i="7"/>
  <c r="F26" i="7"/>
  <c r="E26" i="7"/>
  <c r="D26" i="7"/>
  <c r="C26" i="7"/>
  <c r="B26" i="7"/>
  <c r="A26" i="7"/>
  <c r="R25" i="7"/>
  <c r="Q25" i="7"/>
  <c r="P25" i="7"/>
  <c r="O25" i="7"/>
  <c r="N25" i="7"/>
  <c r="M25" i="7"/>
  <c r="L25" i="7"/>
  <c r="K25" i="7"/>
  <c r="J25" i="7"/>
  <c r="I25" i="7"/>
  <c r="H25" i="7"/>
  <c r="G25" i="7"/>
  <c r="F25" i="7"/>
  <c r="E25" i="7"/>
  <c r="D25" i="7"/>
  <c r="C25" i="7"/>
  <c r="B25" i="7"/>
  <c r="A25" i="7"/>
  <c r="R24" i="7"/>
  <c r="Q24" i="7"/>
  <c r="P24" i="7"/>
  <c r="O24" i="7"/>
  <c r="N24" i="7"/>
  <c r="M24" i="7"/>
  <c r="L24" i="7"/>
  <c r="K24" i="7"/>
  <c r="J24" i="7"/>
  <c r="I24" i="7"/>
  <c r="H24" i="7"/>
  <c r="G24" i="7"/>
  <c r="F24" i="7"/>
  <c r="E24" i="7"/>
  <c r="D24" i="7"/>
  <c r="C24" i="7"/>
  <c r="B24" i="7"/>
  <c r="A24" i="7"/>
  <c r="R23" i="7"/>
  <c r="Q23" i="7"/>
  <c r="P23" i="7"/>
  <c r="O23" i="7"/>
  <c r="N23" i="7"/>
  <c r="M23" i="7"/>
  <c r="L23" i="7"/>
  <c r="K23" i="7"/>
  <c r="J23" i="7"/>
  <c r="I23" i="7"/>
  <c r="H23" i="7"/>
  <c r="G23" i="7"/>
  <c r="F23" i="7"/>
  <c r="E23" i="7"/>
  <c r="D23" i="7"/>
  <c r="C23" i="7"/>
  <c r="B23" i="7"/>
  <c r="A23" i="7"/>
  <c r="R22" i="7"/>
  <c r="Q22" i="7"/>
  <c r="P22" i="7"/>
  <c r="O22" i="7"/>
  <c r="N22" i="7"/>
  <c r="M22" i="7"/>
  <c r="L22" i="7"/>
  <c r="K22" i="7"/>
  <c r="J22" i="7"/>
  <c r="I22" i="7"/>
  <c r="H22" i="7"/>
  <c r="G22" i="7"/>
  <c r="F22" i="7"/>
  <c r="E22" i="7"/>
  <c r="D22" i="7"/>
  <c r="C22" i="7"/>
  <c r="B22" i="7"/>
  <c r="A22" i="7"/>
  <c r="R21" i="7"/>
  <c r="Q21" i="7"/>
  <c r="P21" i="7"/>
  <c r="O21" i="7"/>
  <c r="N21" i="7"/>
  <c r="M21" i="7"/>
  <c r="L21" i="7"/>
  <c r="K21" i="7"/>
  <c r="J21" i="7"/>
  <c r="I21" i="7"/>
  <c r="H21" i="7"/>
  <c r="G21" i="7"/>
  <c r="F21" i="7"/>
  <c r="E21" i="7"/>
  <c r="D21" i="7"/>
  <c r="C21" i="7"/>
  <c r="B21" i="7"/>
  <c r="A21" i="7"/>
  <c r="R20" i="7"/>
  <c r="Q20" i="7"/>
  <c r="P20" i="7"/>
  <c r="O20" i="7"/>
  <c r="N20" i="7"/>
  <c r="M20" i="7"/>
  <c r="L20" i="7"/>
  <c r="K20" i="7"/>
  <c r="J20" i="7"/>
  <c r="I20" i="7"/>
  <c r="H20" i="7"/>
  <c r="G20" i="7"/>
  <c r="F20" i="7"/>
  <c r="E20" i="7"/>
  <c r="D20" i="7"/>
  <c r="C20" i="7"/>
  <c r="B20" i="7"/>
  <c r="A20" i="7"/>
  <c r="R19" i="7"/>
  <c r="Q19" i="7"/>
  <c r="P19" i="7"/>
  <c r="O19" i="7"/>
  <c r="N19" i="7"/>
  <c r="M19" i="7"/>
  <c r="L19" i="7"/>
  <c r="K19" i="7"/>
  <c r="J19" i="7"/>
  <c r="I19" i="7"/>
  <c r="H19" i="7"/>
  <c r="G19" i="7"/>
  <c r="F19" i="7"/>
  <c r="E19" i="7"/>
  <c r="D19" i="7"/>
  <c r="C19" i="7"/>
  <c r="B19" i="7"/>
  <c r="A19" i="7"/>
  <c r="R18" i="7"/>
  <c r="Q18" i="7"/>
  <c r="P18" i="7"/>
  <c r="O18" i="7"/>
  <c r="N18" i="7"/>
  <c r="M18" i="7"/>
  <c r="L18" i="7"/>
  <c r="K18" i="7"/>
  <c r="J18" i="7"/>
  <c r="I18" i="7"/>
  <c r="H18" i="7"/>
  <c r="G18" i="7"/>
  <c r="F18" i="7"/>
  <c r="E18" i="7"/>
  <c r="D18" i="7"/>
  <c r="C18" i="7"/>
  <c r="B18" i="7"/>
  <c r="A18" i="7"/>
  <c r="R17" i="7"/>
  <c r="Q17" i="7"/>
  <c r="P17" i="7"/>
  <c r="O17" i="7"/>
  <c r="N17" i="7"/>
  <c r="M17" i="7"/>
  <c r="L17" i="7"/>
  <c r="K17" i="7"/>
  <c r="J17" i="7"/>
  <c r="I17" i="7"/>
  <c r="H17" i="7"/>
  <c r="G17" i="7"/>
  <c r="F17" i="7"/>
  <c r="E17" i="7"/>
  <c r="D17" i="7"/>
  <c r="C17" i="7"/>
  <c r="B17" i="7"/>
  <c r="A17" i="7"/>
  <c r="R16" i="7"/>
  <c r="Q16" i="7"/>
  <c r="P16" i="7"/>
  <c r="O16" i="7"/>
  <c r="N16" i="7"/>
  <c r="M16" i="7"/>
  <c r="L16" i="7"/>
  <c r="K16" i="7"/>
  <c r="J16" i="7"/>
  <c r="I16" i="7"/>
  <c r="H16" i="7"/>
  <c r="G16" i="7"/>
  <c r="F16" i="7"/>
  <c r="E16" i="7"/>
  <c r="D16" i="7"/>
  <c r="C16" i="7"/>
  <c r="B16" i="7"/>
  <c r="A16" i="7"/>
  <c r="R15" i="7"/>
  <c r="Q15" i="7"/>
  <c r="P15" i="7"/>
  <c r="O15" i="7"/>
  <c r="N15" i="7"/>
  <c r="M15" i="7"/>
  <c r="L15" i="7"/>
  <c r="K15" i="7"/>
  <c r="J15" i="7"/>
  <c r="I15" i="7"/>
  <c r="H15" i="7"/>
  <c r="G15" i="7"/>
  <c r="F15" i="7"/>
  <c r="E15" i="7"/>
  <c r="D15" i="7"/>
  <c r="C15" i="7"/>
  <c r="B15" i="7"/>
  <c r="A15" i="7"/>
  <c r="R14" i="7"/>
  <c r="Q14" i="7"/>
  <c r="P14" i="7"/>
  <c r="O14" i="7"/>
  <c r="N14" i="7"/>
  <c r="M14" i="7"/>
  <c r="L14" i="7"/>
  <c r="K14" i="7"/>
  <c r="J14" i="7"/>
  <c r="I14" i="7"/>
  <c r="H14" i="7"/>
  <c r="G14" i="7"/>
  <c r="F14" i="7"/>
  <c r="E14" i="7"/>
  <c r="D14" i="7"/>
  <c r="C14" i="7"/>
  <c r="B14" i="7"/>
  <c r="A14" i="7"/>
  <c r="R13" i="7"/>
  <c r="Q13" i="7"/>
  <c r="P13" i="7"/>
  <c r="O13" i="7"/>
  <c r="N13" i="7"/>
  <c r="M13" i="7"/>
  <c r="L13" i="7"/>
  <c r="K13" i="7"/>
  <c r="J13" i="7"/>
  <c r="I13" i="7"/>
  <c r="H13" i="7"/>
  <c r="G13" i="7"/>
  <c r="F13" i="7"/>
  <c r="E13" i="7"/>
  <c r="D13" i="7"/>
  <c r="C13" i="7"/>
  <c r="B13" i="7"/>
  <c r="A13" i="7"/>
  <c r="R12" i="7"/>
  <c r="Q12" i="7"/>
  <c r="P12" i="7"/>
  <c r="O12" i="7"/>
  <c r="N12" i="7"/>
  <c r="M12" i="7"/>
  <c r="L12" i="7"/>
  <c r="K12" i="7"/>
  <c r="J12" i="7"/>
  <c r="I12" i="7"/>
  <c r="H12" i="7"/>
  <c r="G12" i="7"/>
  <c r="F12" i="7"/>
  <c r="E12" i="7"/>
  <c r="D12" i="7"/>
  <c r="C12" i="7"/>
  <c r="B12" i="7"/>
  <c r="A12" i="7"/>
  <c r="R11" i="7"/>
  <c r="Q11" i="7"/>
  <c r="P11" i="7"/>
  <c r="O11" i="7"/>
  <c r="N11" i="7"/>
  <c r="M11" i="7"/>
  <c r="L11" i="7"/>
  <c r="K11" i="7"/>
  <c r="J11" i="7"/>
  <c r="I11" i="7"/>
  <c r="H11" i="7"/>
  <c r="G11" i="7"/>
  <c r="F11" i="7"/>
  <c r="E11" i="7"/>
  <c r="D11" i="7"/>
  <c r="C11" i="7"/>
  <c r="B11" i="7"/>
  <c r="A11" i="7"/>
  <c r="R10" i="7"/>
  <c r="Q10" i="7"/>
  <c r="P10" i="7"/>
  <c r="O10" i="7"/>
  <c r="N10" i="7"/>
  <c r="M10" i="7"/>
  <c r="L10" i="7"/>
  <c r="K10" i="7"/>
  <c r="J10" i="7"/>
  <c r="I10" i="7"/>
  <c r="H10" i="7"/>
  <c r="G10" i="7"/>
  <c r="F10" i="7"/>
  <c r="E10" i="7"/>
  <c r="D10" i="7"/>
  <c r="C10" i="7"/>
  <c r="B10" i="7"/>
  <c r="A10" i="7"/>
  <c r="R9" i="7"/>
  <c r="Q9" i="7"/>
  <c r="P9" i="7"/>
  <c r="O9" i="7"/>
  <c r="N9" i="7"/>
  <c r="M9" i="7"/>
  <c r="L9" i="7"/>
  <c r="K9" i="7"/>
  <c r="J9" i="7"/>
  <c r="I9" i="7"/>
  <c r="H9" i="7"/>
  <c r="G9" i="7"/>
  <c r="F9" i="7"/>
  <c r="E9" i="7"/>
  <c r="D9" i="7"/>
  <c r="C9" i="7"/>
  <c r="B9" i="7"/>
  <c r="A9" i="7"/>
  <c r="R8" i="7"/>
  <c r="Q8" i="7"/>
  <c r="P8" i="7"/>
  <c r="O8" i="7"/>
  <c r="N8" i="7"/>
  <c r="M8" i="7"/>
  <c r="L8" i="7"/>
  <c r="K8" i="7"/>
  <c r="J8" i="7"/>
  <c r="I8" i="7"/>
  <c r="H8" i="7"/>
  <c r="G8" i="7"/>
  <c r="F8" i="7"/>
  <c r="E8" i="7"/>
  <c r="D8" i="7"/>
  <c r="C8" i="7"/>
  <c r="B8" i="7"/>
  <c r="A8" i="7"/>
  <c r="R7" i="7"/>
  <c r="Q7" i="7"/>
  <c r="P7" i="7"/>
  <c r="O7" i="7"/>
  <c r="N7" i="7"/>
  <c r="M7" i="7"/>
  <c r="L7" i="7"/>
  <c r="K7" i="7"/>
  <c r="J7" i="7"/>
  <c r="I7" i="7"/>
  <c r="H7" i="7"/>
  <c r="G7" i="7"/>
  <c r="F7" i="7"/>
  <c r="E7" i="7"/>
  <c r="D7" i="7"/>
  <c r="C7" i="7"/>
  <c r="B7" i="7"/>
  <c r="A7" i="7"/>
  <c r="R6" i="7"/>
  <c r="Q6" i="7"/>
  <c r="P6" i="7"/>
  <c r="O6" i="7"/>
  <c r="N6" i="7"/>
  <c r="M6" i="7"/>
  <c r="L6" i="7"/>
  <c r="K6" i="7"/>
  <c r="J6" i="7"/>
  <c r="I6" i="7"/>
  <c r="H6" i="7"/>
  <c r="G6" i="7"/>
  <c r="F6" i="7"/>
  <c r="E6" i="7"/>
  <c r="D6" i="7"/>
  <c r="C6" i="7"/>
  <c r="B6" i="7"/>
  <c r="A6" i="7"/>
  <c r="R5" i="7"/>
  <c r="Q5" i="7"/>
  <c r="P5" i="7"/>
  <c r="O5" i="7"/>
  <c r="N5" i="7"/>
  <c r="M5" i="7"/>
  <c r="L5" i="7"/>
  <c r="K5" i="7"/>
  <c r="J5" i="7"/>
  <c r="I5" i="7"/>
  <c r="H5" i="7"/>
  <c r="G5" i="7"/>
  <c r="F5" i="7"/>
  <c r="E5" i="7"/>
  <c r="D5" i="7"/>
  <c r="C5" i="7"/>
  <c r="B5" i="7"/>
  <c r="A5" i="7"/>
  <c r="A2" i="7"/>
  <c r="F53" i="6"/>
  <c r="E53" i="6"/>
  <c r="D53" i="6"/>
  <c r="C53" i="6"/>
  <c r="F52" i="6"/>
  <c r="E52" i="6"/>
  <c r="D52" i="6"/>
  <c r="C52" i="6"/>
  <c r="F51" i="6"/>
  <c r="E51" i="6"/>
  <c r="D51" i="6"/>
  <c r="C51" i="6"/>
  <c r="F50" i="6"/>
  <c r="E50" i="6"/>
  <c r="D50" i="6"/>
  <c r="C50" i="6"/>
  <c r="F49" i="6"/>
  <c r="E49" i="6"/>
  <c r="D49" i="6"/>
  <c r="C49" i="6"/>
  <c r="F48" i="6"/>
  <c r="E48" i="6"/>
  <c r="D48" i="6"/>
  <c r="C48" i="6"/>
  <c r="F47" i="6"/>
  <c r="E47" i="6"/>
  <c r="D47" i="6"/>
  <c r="C47" i="6"/>
  <c r="F46" i="6"/>
  <c r="E46" i="6"/>
  <c r="D46" i="6"/>
  <c r="C46" i="6"/>
  <c r="F45" i="6"/>
  <c r="E45" i="6"/>
  <c r="D45" i="6"/>
  <c r="C45" i="6"/>
  <c r="F44" i="6"/>
  <c r="E44" i="6"/>
  <c r="D44" i="6"/>
  <c r="C44" i="6"/>
  <c r="F43" i="6"/>
  <c r="E43" i="6"/>
  <c r="D43" i="6"/>
  <c r="C43" i="6"/>
  <c r="F42" i="6"/>
  <c r="E42" i="6"/>
  <c r="D42" i="6"/>
  <c r="C42" i="6"/>
  <c r="F41" i="6"/>
  <c r="E41" i="6"/>
  <c r="D41" i="6"/>
  <c r="C41" i="6"/>
  <c r="F40" i="6"/>
  <c r="E40" i="6"/>
  <c r="D40" i="6"/>
  <c r="C40" i="6"/>
  <c r="F39" i="6"/>
  <c r="E39" i="6"/>
  <c r="D39" i="6"/>
  <c r="C39" i="6"/>
  <c r="F38" i="6"/>
  <c r="E38" i="6"/>
  <c r="D38" i="6"/>
  <c r="C38" i="6"/>
  <c r="F37" i="6"/>
  <c r="E37" i="6"/>
  <c r="D37" i="6"/>
  <c r="C37" i="6"/>
  <c r="F36" i="6"/>
  <c r="E36" i="6"/>
  <c r="D36" i="6"/>
  <c r="C36" i="6"/>
  <c r="F35" i="6"/>
  <c r="E35" i="6"/>
  <c r="D35" i="6"/>
  <c r="C35" i="6"/>
  <c r="F34" i="6"/>
  <c r="E34" i="6"/>
  <c r="D34" i="6"/>
  <c r="C34" i="6"/>
  <c r="F33" i="6"/>
  <c r="E33" i="6"/>
  <c r="D33" i="6"/>
  <c r="C33" i="6"/>
  <c r="F32" i="6"/>
  <c r="E32" i="6"/>
  <c r="D32" i="6"/>
  <c r="C32" i="6"/>
  <c r="F31" i="6"/>
  <c r="E31" i="6"/>
  <c r="D31" i="6"/>
  <c r="C31" i="6"/>
  <c r="F27" i="6"/>
  <c r="E27" i="6"/>
  <c r="D27" i="6"/>
  <c r="C27" i="6"/>
  <c r="F26" i="6"/>
  <c r="E26" i="6"/>
  <c r="D26" i="6"/>
  <c r="C26" i="6"/>
  <c r="F25" i="6"/>
  <c r="E25" i="6"/>
  <c r="D25" i="6"/>
  <c r="C25" i="6"/>
  <c r="F24" i="6"/>
  <c r="E24" i="6"/>
  <c r="D24" i="6"/>
  <c r="C24" i="6"/>
  <c r="F23" i="6"/>
  <c r="E23" i="6"/>
  <c r="D23" i="6"/>
  <c r="C23" i="6"/>
  <c r="F22" i="6"/>
  <c r="E22" i="6"/>
  <c r="D22" i="6"/>
  <c r="C22" i="6"/>
  <c r="H18" i="6"/>
  <c r="F18" i="6"/>
  <c r="E18" i="6"/>
  <c r="D18" i="6"/>
  <c r="C18" i="6"/>
  <c r="H17" i="6"/>
  <c r="F17" i="6"/>
  <c r="E17" i="6"/>
  <c r="D17" i="6"/>
  <c r="C17" i="6"/>
  <c r="H16" i="6"/>
  <c r="F16" i="6"/>
  <c r="E16" i="6"/>
  <c r="D16" i="6"/>
  <c r="C16" i="6"/>
  <c r="H15" i="6"/>
  <c r="F15" i="6"/>
  <c r="E15" i="6"/>
  <c r="D15" i="6"/>
  <c r="C15" i="6"/>
  <c r="H14" i="6"/>
  <c r="F14" i="6"/>
  <c r="E14" i="6"/>
  <c r="D14" i="6"/>
  <c r="C14" i="6"/>
  <c r="H13" i="6"/>
  <c r="F13" i="6"/>
  <c r="E13" i="6"/>
  <c r="D13" i="6"/>
  <c r="C13" i="6"/>
  <c r="H12" i="6"/>
  <c r="F12" i="6"/>
  <c r="E12" i="6"/>
  <c r="D12" i="6"/>
  <c r="C12" i="6"/>
  <c r="H11" i="6"/>
  <c r="F11" i="6"/>
  <c r="E11" i="6"/>
  <c r="D11" i="6"/>
  <c r="C11" i="6"/>
  <c r="H10" i="6"/>
  <c r="F10" i="6"/>
  <c r="E10" i="6"/>
  <c r="D10" i="6"/>
  <c r="C10" i="6"/>
  <c r="H9" i="6"/>
  <c r="F9" i="6"/>
  <c r="E9" i="6"/>
  <c r="D9" i="6"/>
  <c r="C9" i="6"/>
  <c r="H8" i="6"/>
  <c r="F8" i="6"/>
  <c r="E8" i="6"/>
  <c r="D8" i="6"/>
  <c r="C8" i="6"/>
  <c r="H7" i="6"/>
  <c r="F7" i="6"/>
  <c r="E7" i="6"/>
  <c r="D7" i="6"/>
  <c r="C7" i="6"/>
  <c r="H6" i="6"/>
  <c r="F6" i="6"/>
  <c r="E6" i="6"/>
  <c r="D6" i="6"/>
  <c r="C6" i="6"/>
  <c r="A2" i="6"/>
  <c r="B84" i="5"/>
  <c r="B83" i="5"/>
  <c r="B82" i="5"/>
  <c r="B81" i="5"/>
  <c r="B80" i="5"/>
  <c r="B79" i="5"/>
  <c r="B78" i="5"/>
  <c r="B77" i="5"/>
  <c r="B76" i="5"/>
  <c r="B75" i="5"/>
  <c r="B74" i="5"/>
  <c r="B73" i="5"/>
  <c r="B72" i="5"/>
  <c r="B71" i="5"/>
  <c r="B70" i="5"/>
  <c r="B69" i="5"/>
  <c r="B68" i="5"/>
  <c r="B67" i="5"/>
  <c r="B66" i="5"/>
  <c r="B65" i="5"/>
  <c r="B64" i="5"/>
  <c r="B63" i="5"/>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B12" i="5"/>
  <c r="B11" i="5"/>
  <c r="B10" i="5"/>
  <c r="B9" i="5"/>
  <c r="B8" i="5"/>
  <c r="B7" i="5"/>
  <c r="B6" i="5"/>
  <c r="B5" i="5"/>
  <c r="A2" i="5"/>
  <c r="H36" i="4"/>
  <c r="G36" i="4"/>
  <c r="F36" i="4"/>
  <c r="E36" i="4"/>
  <c r="H35" i="4"/>
  <c r="G35" i="4"/>
  <c r="F35" i="4"/>
  <c r="E35" i="4"/>
  <c r="H34" i="4"/>
  <c r="G34" i="4"/>
  <c r="F34" i="4"/>
  <c r="E34" i="4"/>
  <c r="H33" i="4"/>
  <c r="G33" i="4"/>
  <c r="F33" i="4"/>
  <c r="E33" i="4"/>
  <c r="H32" i="4"/>
  <c r="G32" i="4"/>
  <c r="F32" i="4"/>
  <c r="E32" i="4"/>
  <c r="H31" i="4"/>
  <c r="G31" i="4"/>
  <c r="F31" i="4"/>
  <c r="E31" i="4"/>
  <c r="H30" i="4"/>
  <c r="G30" i="4"/>
  <c r="F30" i="4"/>
  <c r="E30" i="4"/>
  <c r="H29" i="4"/>
  <c r="G29" i="4"/>
  <c r="F29" i="4"/>
  <c r="E29" i="4"/>
  <c r="H28" i="4"/>
  <c r="G28" i="4"/>
  <c r="F28" i="4"/>
  <c r="E28" i="4"/>
  <c r="H27" i="4"/>
  <c r="G27" i="4"/>
  <c r="F27" i="4"/>
  <c r="E27" i="4"/>
  <c r="H26" i="4"/>
  <c r="G26" i="4"/>
  <c r="F26" i="4"/>
  <c r="E26" i="4"/>
  <c r="H25" i="4"/>
  <c r="G25" i="4"/>
  <c r="F25" i="4"/>
  <c r="E25" i="4"/>
  <c r="H24" i="4"/>
  <c r="G24" i="4"/>
  <c r="F24" i="4"/>
  <c r="E24" i="4"/>
  <c r="H23" i="4"/>
  <c r="G23" i="4"/>
  <c r="F23" i="4"/>
  <c r="E23" i="4"/>
  <c r="H22" i="4"/>
  <c r="G22" i="4"/>
  <c r="F22" i="4"/>
  <c r="E22" i="4"/>
  <c r="I18" i="4"/>
  <c r="H18" i="4"/>
  <c r="G18" i="4"/>
  <c r="E18" i="4"/>
  <c r="D18" i="4"/>
  <c r="C18" i="4"/>
  <c r="I17" i="4"/>
  <c r="H17" i="4"/>
  <c r="G17" i="4"/>
  <c r="E17" i="4"/>
  <c r="D17" i="4"/>
  <c r="C17" i="4"/>
  <c r="I16" i="4"/>
  <c r="H16" i="4"/>
  <c r="G16" i="4"/>
  <c r="E16" i="4"/>
  <c r="D16" i="4"/>
  <c r="C16" i="4"/>
  <c r="I15" i="4"/>
  <c r="H15" i="4"/>
  <c r="G15" i="4"/>
  <c r="E15" i="4"/>
  <c r="D15" i="4"/>
  <c r="C15" i="4"/>
  <c r="I14" i="4"/>
  <c r="H14" i="4"/>
  <c r="G14" i="4"/>
  <c r="E14" i="4"/>
  <c r="D14" i="4"/>
  <c r="C14" i="4"/>
  <c r="I13" i="4"/>
  <c r="H13" i="4"/>
  <c r="G13" i="4"/>
  <c r="E13" i="4"/>
  <c r="D13" i="4"/>
  <c r="C13" i="4"/>
  <c r="I12" i="4"/>
  <c r="H12" i="4"/>
  <c r="G12" i="4"/>
  <c r="E12" i="4"/>
  <c r="D12" i="4"/>
  <c r="C12" i="4"/>
  <c r="I11" i="4"/>
  <c r="H11" i="4"/>
  <c r="G11" i="4"/>
  <c r="E11" i="4"/>
  <c r="D11" i="4"/>
  <c r="C11" i="4"/>
  <c r="I10" i="4"/>
  <c r="H10" i="4"/>
  <c r="G10" i="4"/>
  <c r="E10" i="4"/>
  <c r="D10" i="4"/>
  <c r="C10" i="4"/>
  <c r="I9" i="4"/>
  <c r="H9" i="4"/>
  <c r="G9" i="4"/>
  <c r="E9" i="4"/>
  <c r="D9" i="4"/>
  <c r="C9" i="4"/>
  <c r="I8" i="4"/>
  <c r="H8" i="4"/>
  <c r="G8" i="4"/>
  <c r="E8" i="4"/>
  <c r="D8" i="4"/>
  <c r="C8" i="4"/>
  <c r="I7" i="4"/>
  <c r="H7" i="4"/>
  <c r="G7" i="4"/>
  <c r="E7" i="4"/>
  <c r="D7" i="4"/>
  <c r="C7" i="4"/>
  <c r="I6" i="4"/>
  <c r="H6" i="4"/>
  <c r="G6" i="4"/>
  <c r="E6" i="4"/>
  <c r="D6" i="4"/>
  <c r="C6" i="4"/>
  <c r="A2" i="4"/>
  <c r="I61" i="3" a="1"/>
  <c r="I60" i="3" a="1"/>
  <c r="D24" i="3"/>
  <c r="C17" i="3"/>
  <c r="C16" i="3"/>
  <c r="C15" i="3"/>
  <c r="C14" i="3"/>
  <c r="C13" i="3"/>
  <c r="C12" i="3"/>
  <c r="C11" i="3"/>
  <c r="C10" i="3"/>
  <c r="C9" i="3"/>
  <c r="C8" i="3"/>
  <c r="C7" i="3"/>
  <c r="F6" i="3"/>
  <c r="C6" i="3"/>
  <c r="A2" i="3"/>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9" i="2"/>
  <c r="C5" i="2"/>
  <c r="B85" i="11" l="1"/>
  <c r="B84" i="11"/>
  <c r="B83" i="11"/>
  <c r="B82" i="11"/>
  <c r="B81" i="11"/>
  <c r="B80" i="11"/>
  <c r="B79" i="11"/>
  <c r="B78" i="11"/>
  <c r="B77" i="11"/>
  <c r="B76" i="11"/>
  <c r="B75" i="11"/>
  <c r="B74" i="11"/>
  <c r="B73" i="11"/>
  <c r="B72" i="11"/>
  <c r="B71" i="11"/>
  <c r="B70" i="11"/>
  <c r="B69" i="11"/>
  <c r="B68" i="11"/>
  <c r="B67" i="11"/>
  <c r="B66" i="11"/>
  <c r="B65" i="11"/>
  <c r="B64" i="11"/>
  <c r="B63" i="11"/>
  <c r="B62" i="11"/>
  <c r="B61" i="11"/>
  <c r="B60" i="11"/>
  <c r="B59" i="11"/>
  <c r="B58" i="11"/>
  <c r="B57" i="11"/>
  <c r="B56" i="11"/>
  <c r="B55" i="11"/>
  <c r="B54" i="11"/>
  <c r="B53" i="11"/>
  <c r="B52" i="11"/>
  <c r="B51" i="11"/>
  <c r="B50" i="11"/>
  <c r="B49" i="11"/>
  <c r="B48" i="11"/>
  <c r="B47" i="11"/>
  <c r="B46" i="11"/>
  <c r="B45" i="11"/>
  <c r="B44" i="11"/>
  <c r="B43" i="11"/>
  <c r="B42" i="11"/>
  <c r="B41" i="11"/>
  <c r="B40" i="11"/>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B7" i="11"/>
  <c r="B6" i="11"/>
  <c r="C53" i="11"/>
  <c r="D36" i="11"/>
  <c r="E27" i="11"/>
  <c r="H11" i="11"/>
  <c r="C11" i="11"/>
  <c r="C38" i="10"/>
  <c r="C27" i="10"/>
  <c r="C24" i="10"/>
  <c r="C20" i="10"/>
  <c r="C19" i="10"/>
  <c r="C17" i="10"/>
  <c r="C16" i="10"/>
  <c r="C12" i="10"/>
  <c r="C11" i="10"/>
  <c r="C10" i="10"/>
  <c r="C9" i="10"/>
  <c r="C8" i="10"/>
  <c r="C7" i="10"/>
  <c r="C6" i="10"/>
  <c r="F5" i="10"/>
  <c r="C5" i="10"/>
  <c r="C13" i="2"/>
  <c r="C68" i="5"/>
  <c r="E54" i="23"/>
  <c r="F54" i="23" s="1"/>
  <c r="E53" i="23"/>
  <c r="F53" i="23" s="1"/>
  <c r="E52" i="23"/>
  <c r="F52" i="23" s="1"/>
  <c r="E51" i="23"/>
  <c r="F51" i="23" s="1"/>
  <c r="E50" i="23"/>
  <c r="F50" i="23" s="1"/>
  <c r="E49" i="23"/>
  <c r="F49" i="23" s="1"/>
  <c r="E48" i="23"/>
  <c r="F48" i="23" s="1"/>
  <c r="E47" i="23"/>
  <c r="F47" i="23" s="1"/>
  <c r="E46" i="23"/>
  <c r="F46" i="23" s="1"/>
  <c r="E45" i="23"/>
  <c r="F45" i="23" s="1"/>
  <c r="E44" i="23"/>
  <c r="F44" i="23" s="1"/>
  <c r="E43" i="23"/>
  <c r="F43" i="23" s="1"/>
  <c r="E42" i="23"/>
  <c r="F42" i="23" s="1"/>
  <c r="E41" i="23"/>
  <c r="F41" i="23" s="1"/>
  <c r="E40" i="23"/>
  <c r="F40" i="23" s="1"/>
  <c r="E39" i="23"/>
  <c r="F39" i="23" s="1"/>
  <c r="E38" i="23"/>
  <c r="F38" i="23" s="1"/>
  <c r="E37" i="23"/>
  <c r="F37" i="23" s="1"/>
  <c r="E36" i="23"/>
  <c r="F36" i="23" s="1"/>
  <c r="E35" i="23"/>
  <c r="F35" i="23" s="1"/>
  <c r="E34" i="23"/>
  <c r="F34" i="23" s="1"/>
  <c r="E33" i="23"/>
  <c r="F33" i="23" s="1"/>
  <c r="E32" i="23"/>
  <c r="F32" i="23" s="1"/>
  <c r="E31" i="23"/>
  <c r="F31" i="23" s="1"/>
  <c r="E30" i="23"/>
  <c r="F30" i="23" s="1"/>
  <c r="E29" i="23"/>
  <c r="F29" i="23" s="1"/>
  <c r="E28" i="23"/>
  <c r="F28" i="23" s="1"/>
  <c r="E27" i="23"/>
  <c r="F27" i="23" s="1"/>
  <c r="E26" i="23"/>
  <c r="F26" i="23" s="1"/>
  <c r="E25" i="23"/>
  <c r="F25" i="23" s="1"/>
  <c r="E24" i="23"/>
  <c r="F24" i="23" s="1"/>
  <c r="E23" i="23"/>
  <c r="F23" i="23" s="1"/>
  <c r="E22" i="23"/>
  <c r="F22" i="23" s="1"/>
  <c r="E21" i="23"/>
  <c r="F21" i="23" s="1"/>
  <c r="E20" i="23"/>
  <c r="F20" i="23" s="1"/>
  <c r="E19" i="23"/>
  <c r="F19" i="23" s="1"/>
  <c r="I59" i="20"/>
  <c r="I58" i="20"/>
  <c r="I57" i="20"/>
  <c r="I56" i="20"/>
  <c r="I55" i="20"/>
  <c r="I54" i="20"/>
  <c r="I53" i="20"/>
  <c r="I52" i="20"/>
  <c r="I51" i="20"/>
  <c r="I50" i="20"/>
  <c r="I49" i="20"/>
  <c r="I48" i="20"/>
  <c r="I47" i="20"/>
  <c r="I46" i="20"/>
  <c r="I45" i="20"/>
  <c r="I44" i="20"/>
  <c r="I43" i="20"/>
  <c r="I42" i="20"/>
  <c r="I41" i="20"/>
  <c r="I40" i="20"/>
  <c r="I39" i="20"/>
  <c r="I38" i="20"/>
  <c r="I37" i="20"/>
  <c r="I36" i="20"/>
  <c r="I35" i="20"/>
  <c r="I34" i="20"/>
  <c r="I33" i="20"/>
  <c r="I32" i="20"/>
  <c r="I31" i="20"/>
  <c r="I30" i="20"/>
  <c r="I29" i="20"/>
  <c r="I28" i="20"/>
  <c r="E62" i="17"/>
  <c r="E61" i="17"/>
  <c r="E58" i="17"/>
  <c r="E53" i="17"/>
  <c r="E48" i="17"/>
  <c r="E42" i="17"/>
  <c r="E37" i="17"/>
  <c r="E32" i="17"/>
  <c r="J15" i="17"/>
  <c r="J9" i="17"/>
  <c r="G49" i="14"/>
  <c r="F83" i="11"/>
  <c r="E82" i="11"/>
  <c r="H81" i="11"/>
  <c r="F81" i="11"/>
  <c r="D81" i="11"/>
  <c r="C76" i="11"/>
  <c r="E75" i="11"/>
  <c r="F74" i="11"/>
  <c r="E71" i="11"/>
  <c r="G70" i="11"/>
  <c r="C70" i="11"/>
  <c r="F69" i="11"/>
  <c r="I68" i="11"/>
  <c r="F68" i="11"/>
  <c r="F64" i="11"/>
  <c r="G63" i="11"/>
  <c r="I62" i="11"/>
  <c r="D62" i="11"/>
  <c r="F61" i="11"/>
  <c r="C61" i="11"/>
  <c r="E60" i="11"/>
  <c r="I59" i="11"/>
  <c r="E59" i="11"/>
  <c r="H58" i="11"/>
  <c r="C58" i="11"/>
  <c r="F57" i="11"/>
  <c r="I56" i="11"/>
  <c r="E56" i="11"/>
  <c r="H55" i="11"/>
  <c r="E55" i="11"/>
  <c r="H54" i="11"/>
  <c r="D8" i="9"/>
  <c r="D33" i="10" s="1"/>
  <c r="E6" i="9"/>
  <c r="D6" i="9"/>
  <c r="D31" i="10" s="1"/>
  <c r="G56" i="14"/>
  <c r="G53" i="14"/>
  <c r="E13" i="12"/>
  <c r="E9" i="12"/>
  <c r="E6" i="12"/>
  <c r="E85" i="11"/>
  <c r="G84" i="11"/>
  <c r="C84" i="11"/>
  <c r="G83" i="11"/>
  <c r="D83" i="11"/>
  <c r="G79" i="11"/>
  <c r="C79" i="11"/>
  <c r="I78" i="11"/>
  <c r="F78" i="11"/>
  <c r="D76" i="11"/>
  <c r="G75" i="11"/>
  <c r="C75" i="11"/>
  <c r="G74" i="11"/>
  <c r="D74" i="11"/>
  <c r="H73" i="11"/>
  <c r="E73" i="11"/>
  <c r="H70" i="11"/>
  <c r="I69" i="11"/>
  <c r="E69" i="11"/>
  <c r="H68" i="11"/>
  <c r="D68" i="11"/>
  <c r="G67" i="11"/>
  <c r="C67" i="11"/>
  <c r="G66" i="11"/>
  <c r="D66" i="11"/>
  <c r="H65" i="11"/>
  <c r="E65" i="11"/>
  <c r="C59" i="11"/>
  <c r="D58" i="11"/>
  <c r="G57" i="11"/>
  <c r="C54" i="11"/>
  <c r="D53" i="11"/>
  <c r="F52" i="11"/>
  <c r="I51" i="11"/>
  <c r="E51" i="11"/>
  <c r="G50" i="11"/>
  <c r="E50" i="11"/>
  <c r="H49" i="11"/>
  <c r="D49" i="11"/>
  <c r="G48" i="11"/>
  <c r="F45" i="11"/>
  <c r="E42" i="11"/>
  <c r="G41" i="11"/>
  <c r="C37" i="11"/>
  <c r="E36" i="11"/>
  <c r="H35" i="11"/>
  <c r="E35" i="11"/>
  <c r="G32" i="11"/>
  <c r="C32" i="11"/>
  <c r="G31" i="11"/>
  <c r="C31" i="11"/>
  <c r="H30" i="11"/>
  <c r="D30" i="11"/>
  <c r="I27" i="11"/>
  <c r="D27" i="11"/>
  <c r="I26" i="11"/>
  <c r="G26" i="11"/>
  <c r="E26" i="11"/>
  <c r="G24" i="11"/>
  <c r="D24" i="11"/>
  <c r="I23" i="11"/>
  <c r="G23" i="11"/>
  <c r="E23" i="11"/>
  <c r="F21" i="11"/>
  <c r="C19" i="11"/>
  <c r="G18" i="11"/>
  <c r="D18" i="11"/>
  <c r="H17" i="11"/>
  <c r="E17" i="11"/>
  <c r="I16" i="11"/>
  <c r="E16" i="11"/>
  <c r="H13" i="11"/>
  <c r="C13" i="11"/>
  <c r="G12" i="11"/>
  <c r="D12" i="11"/>
  <c r="I11" i="11"/>
  <c r="F11" i="11"/>
  <c r="E11" i="11"/>
  <c r="F8" i="4"/>
  <c r="F6" i="4"/>
  <c r="I61" i="3"/>
  <c r="D21" i="3" s="1"/>
  <c r="E14" i="3"/>
  <c r="E10" i="3"/>
  <c r="E53" i="18"/>
  <c r="E49" i="18"/>
  <c r="E37" i="18"/>
  <c r="E35" i="18"/>
  <c r="E30" i="18"/>
  <c r="E18" i="18"/>
  <c r="E60" i="17"/>
  <c r="E55" i="17"/>
  <c r="E50" i="17"/>
  <c r="E47" i="17"/>
  <c r="E44" i="17"/>
  <c r="E39" i="17"/>
  <c r="E34" i="17"/>
  <c r="E28" i="17"/>
  <c r="J12" i="17"/>
  <c r="J6" i="17"/>
  <c r="D11" i="15"/>
  <c r="D10" i="15"/>
  <c r="D9" i="15"/>
  <c r="D8" i="15"/>
  <c r="E15" i="12"/>
  <c r="E14" i="12"/>
  <c r="E7" i="12"/>
  <c r="D85" i="11"/>
  <c r="H84" i="11"/>
  <c r="E84" i="11"/>
  <c r="H79" i="11"/>
  <c r="E79" i="11"/>
  <c r="H78" i="11"/>
  <c r="E78" i="11"/>
  <c r="C78" i="11"/>
  <c r="H77" i="11"/>
  <c r="F77" i="11"/>
  <c r="C77" i="11"/>
  <c r="G76" i="11"/>
  <c r="I75" i="11"/>
  <c r="F75" i="11"/>
  <c r="E72" i="11"/>
  <c r="G71" i="11"/>
  <c r="C68" i="11"/>
  <c r="F67" i="11"/>
  <c r="I66" i="11"/>
  <c r="F66" i="11"/>
  <c r="D63" i="11"/>
  <c r="E62" i="11"/>
  <c r="G61" i="11"/>
  <c r="I60" i="11"/>
  <c r="C60" i="11"/>
  <c r="I55" i="11"/>
  <c r="D52" i="11"/>
  <c r="F51" i="11"/>
  <c r="E48" i="11"/>
  <c r="F47" i="11"/>
  <c r="G46" i="11"/>
  <c r="H45" i="11"/>
  <c r="D45" i="11"/>
  <c r="G44" i="11"/>
  <c r="C44" i="11"/>
  <c r="F43" i="11"/>
  <c r="C39" i="11"/>
  <c r="E38" i="11"/>
  <c r="I37" i="11"/>
  <c r="F37" i="11"/>
  <c r="C35" i="11"/>
  <c r="G34" i="11"/>
  <c r="D34" i="11"/>
  <c r="H33" i="11"/>
  <c r="E33" i="11"/>
  <c r="D31" i="11"/>
  <c r="G30" i="11"/>
  <c r="E30" i="11"/>
  <c r="I29" i="11"/>
  <c r="F29" i="11"/>
  <c r="I28" i="11"/>
  <c r="G28" i="11"/>
  <c r="C28" i="11"/>
  <c r="G27" i="11"/>
  <c r="E8" i="9"/>
  <c r="H37" i="6"/>
  <c r="H35" i="6"/>
  <c r="G35" i="6"/>
  <c r="G25" i="6"/>
  <c r="G22" i="6"/>
  <c r="I18" i="6"/>
  <c r="G17" i="6"/>
  <c r="I16" i="6"/>
  <c r="G15" i="6"/>
  <c r="I14" i="6"/>
  <c r="G13" i="6"/>
  <c r="I12" i="6"/>
  <c r="C84" i="5"/>
  <c r="C76" i="5"/>
  <c r="C75" i="5"/>
  <c r="C72" i="5"/>
  <c r="C71" i="5"/>
  <c r="C70" i="5"/>
  <c r="C67" i="5"/>
  <c r="C66" i="5"/>
  <c r="C65" i="5"/>
  <c r="I60" i="3"/>
  <c r="E24" i="3"/>
  <c r="E45" i="2"/>
  <c r="D45" i="2"/>
  <c r="C45" i="2"/>
  <c r="E44" i="2"/>
  <c r="C44" i="2"/>
  <c r="E43" i="2"/>
  <c r="D43" i="2"/>
  <c r="C43" i="2"/>
  <c r="E41" i="2"/>
  <c r="D41" i="2"/>
  <c r="C41" i="2"/>
  <c r="E39" i="2"/>
  <c r="D39" i="2"/>
  <c r="C39" i="2"/>
  <c r="E37" i="2"/>
  <c r="D37" i="2"/>
  <c r="C37" i="2"/>
  <c r="E35" i="2"/>
  <c r="D35" i="2"/>
  <c r="C35" i="2"/>
  <c r="E32" i="2"/>
  <c r="D32" i="2"/>
  <c r="C32" i="2"/>
  <c r="E29" i="2"/>
  <c r="D29" i="2"/>
  <c r="C29" i="2"/>
  <c r="E27" i="2"/>
  <c r="D27" i="2"/>
  <c r="C27" i="2"/>
  <c r="E25" i="2"/>
  <c r="D25" i="2"/>
  <c r="C25" i="2"/>
  <c r="C24" i="2"/>
  <c r="E23" i="2"/>
  <c r="D23" i="2"/>
  <c r="C23" i="2"/>
  <c r="E21" i="2"/>
  <c r="D21" i="2"/>
  <c r="C21" i="2"/>
  <c r="E19" i="2"/>
  <c r="D19" i="2"/>
  <c r="C19" i="2"/>
  <c r="E16" i="2"/>
  <c r="C16" i="2"/>
  <c r="E15" i="2"/>
  <c r="D15" i="2"/>
  <c r="C15" i="2"/>
  <c r="E13" i="2"/>
  <c r="D13" i="2"/>
  <c r="E11" i="2"/>
  <c r="D11" i="2"/>
  <c r="C11" i="2"/>
  <c r="I27" i="20"/>
  <c r="I26" i="20"/>
  <c r="I25" i="20"/>
  <c r="I24" i="20"/>
  <c r="E48" i="18"/>
  <c r="E41" i="18"/>
  <c r="E32" i="18"/>
  <c r="E27" i="18"/>
  <c r="E24" i="18"/>
  <c r="E20" i="18"/>
  <c r="D14" i="15"/>
  <c r="G52" i="14"/>
  <c r="I76" i="13"/>
  <c r="D8" i="13" s="1"/>
  <c r="E11" i="12"/>
  <c r="E10" i="12"/>
  <c r="I83" i="11"/>
  <c r="I82" i="11"/>
  <c r="G82" i="11"/>
  <c r="C82" i="11"/>
  <c r="I81" i="11"/>
  <c r="G81" i="11"/>
  <c r="E81" i="11"/>
  <c r="C81" i="11"/>
  <c r="I80" i="11"/>
  <c r="G80" i="11"/>
  <c r="F80" i="11"/>
  <c r="D80" i="11"/>
  <c r="I76" i="11"/>
  <c r="E76" i="11"/>
  <c r="H75" i="11"/>
  <c r="D75" i="11"/>
  <c r="H74" i="11"/>
  <c r="E74" i="11"/>
  <c r="I73" i="11"/>
  <c r="F73" i="11"/>
  <c r="C73" i="11"/>
  <c r="H72" i="11"/>
  <c r="F72" i="11"/>
  <c r="I71" i="11"/>
  <c r="C71" i="11"/>
  <c r="E70" i="11"/>
  <c r="G69" i="11"/>
  <c r="D69" i="11"/>
  <c r="C65" i="11"/>
  <c r="E64" i="11"/>
  <c r="H63" i="11"/>
  <c r="G62" i="11"/>
  <c r="I61" i="11"/>
  <c r="H60" i="11"/>
  <c r="G59" i="11"/>
  <c r="I58" i="11"/>
  <c r="E58" i="11"/>
  <c r="H57" i="11"/>
  <c r="C57" i="11"/>
  <c r="F56" i="11"/>
  <c r="G52" i="11"/>
  <c r="E49" i="11"/>
  <c r="H48" i="11"/>
  <c r="H47" i="11"/>
  <c r="D47" i="11"/>
  <c r="F46" i="11"/>
  <c r="C46" i="11"/>
  <c r="E45" i="11"/>
  <c r="H44" i="11"/>
  <c r="E44" i="11"/>
  <c r="H43" i="11"/>
  <c r="D43" i="11"/>
  <c r="G42" i="11"/>
  <c r="D42" i="11"/>
  <c r="H41" i="11"/>
  <c r="F41" i="11"/>
  <c r="C41" i="11"/>
  <c r="F40" i="11"/>
  <c r="C40" i="11"/>
  <c r="H39" i="11"/>
  <c r="C36" i="11"/>
  <c r="G35" i="11"/>
  <c r="D35" i="11"/>
  <c r="H34" i="11"/>
  <c r="E34" i="11"/>
  <c r="I33" i="11"/>
  <c r="G33" i="11"/>
  <c r="C33" i="11"/>
  <c r="H32" i="11"/>
  <c r="G29" i="11"/>
  <c r="C29" i="11"/>
  <c r="F28" i="11"/>
  <c r="D28" i="11"/>
  <c r="H27" i="11"/>
  <c r="F27" i="11"/>
  <c r="H25" i="11"/>
  <c r="C25" i="11"/>
  <c r="H24" i="11"/>
  <c r="F24" i="11"/>
  <c r="C24" i="11"/>
  <c r="H23" i="11"/>
  <c r="F23" i="11"/>
  <c r="C23" i="11"/>
  <c r="H22" i="11"/>
  <c r="F22" i="11"/>
  <c r="C22" i="11"/>
  <c r="H21" i="11"/>
  <c r="G21" i="11"/>
  <c r="D21" i="11"/>
  <c r="I20" i="11"/>
  <c r="G20" i="11"/>
  <c r="D20" i="11"/>
  <c r="I19" i="11"/>
  <c r="F19" i="11"/>
  <c r="C17" i="11"/>
  <c r="G16" i="11"/>
  <c r="C16" i="11"/>
  <c r="G15" i="11"/>
  <c r="D15" i="11"/>
  <c r="I14" i="11"/>
  <c r="F14" i="11"/>
  <c r="I13" i="11"/>
  <c r="F13" i="11"/>
  <c r="I10" i="11"/>
  <c r="F10" i="11"/>
  <c r="D10" i="11"/>
  <c r="I9" i="11"/>
  <c r="G9" i="11"/>
  <c r="D9" i="11"/>
  <c r="I8" i="11"/>
  <c r="G8" i="11"/>
  <c r="D8" i="11"/>
  <c r="I7" i="11"/>
  <c r="G7" i="11"/>
  <c r="D7" i="11"/>
  <c r="E7" i="9"/>
  <c r="G37" i="6"/>
  <c r="H34" i="6"/>
  <c r="G34" i="6"/>
  <c r="I15" i="6"/>
  <c r="G14" i="6"/>
  <c r="I13" i="6"/>
  <c r="G12" i="6"/>
  <c r="I11" i="6"/>
  <c r="G10" i="6"/>
  <c r="I9" i="6"/>
  <c r="G8" i="6"/>
  <c r="I7" i="6"/>
  <c r="C59" i="5"/>
  <c r="C58" i="5"/>
  <c r="C57" i="5"/>
  <c r="C53" i="5"/>
  <c r="C51" i="5"/>
  <c r="C49" i="5"/>
  <c r="C48" i="5"/>
  <c r="C47" i="5"/>
  <c r="C46" i="5"/>
  <c r="C42" i="5"/>
  <c r="C38" i="5"/>
  <c r="C36" i="5"/>
  <c r="C35" i="5"/>
  <c r="C33" i="5"/>
  <c r="C26" i="5"/>
  <c r="C25" i="5"/>
  <c r="C14" i="5"/>
  <c r="F17" i="4"/>
  <c r="F16" i="4"/>
  <c r="F13" i="4"/>
  <c r="F12" i="4"/>
  <c r="F7" i="4"/>
  <c r="E15" i="3"/>
  <c r="E12" i="3"/>
  <c r="E46" i="2"/>
  <c r="D46" i="2"/>
  <c r="C46" i="2"/>
  <c r="D44" i="2"/>
  <c r="E42" i="2"/>
  <c r="D42" i="2"/>
  <c r="C42" i="2"/>
  <c r="E40" i="2"/>
  <c r="D40" i="2"/>
  <c r="C40" i="2"/>
  <c r="E38" i="2"/>
  <c r="D38" i="2"/>
  <c r="C38" i="2"/>
  <c r="E36" i="2"/>
  <c r="D36" i="2"/>
  <c r="C36" i="2"/>
  <c r="E34" i="2"/>
  <c r="D34" i="2"/>
  <c r="C34" i="2"/>
  <c r="E33" i="2"/>
  <c r="D33" i="2"/>
  <c r="C33" i="2"/>
  <c r="E31" i="2"/>
  <c r="D31" i="2"/>
  <c r="C31" i="2"/>
  <c r="E30" i="2"/>
  <c r="D30" i="2"/>
  <c r="C30" i="2"/>
  <c r="E28" i="2"/>
  <c r="D28" i="2"/>
  <c r="C28" i="2"/>
  <c r="E26" i="2"/>
  <c r="D26" i="2"/>
  <c r="C26" i="2"/>
  <c r="E24" i="2"/>
  <c r="D24" i="2"/>
  <c r="E22" i="2"/>
  <c r="D22" i="2"/>
  <c r="C22" i="2"/>
  <c r="E20" i="2"/>
  <c r="D20" i="2"/>
  <c r="C20" i="2"/>
  <c r="E18" i="2"/>
  <c r="D18" i="2"/>
  <c r="C18" i="2"/>
  <c r="E17" i="2"/>
  <c r="D17" i="2"/>
  <c r="C17" i="2"/>
  <c r="D16" i="2"/>
  <c r="E14" i="2"/>
  <c r="D14" i="2"/>
  <c r="C14" i="2"/>
  <c r="E12" i="2"/>
  <c r="D12" i="2"/>
  <c r="C12" i="2"/>
  <c r="E47" i="18"/>
  <c r="E43" i="18"/>
  <c r="E34" i="18"/>
  <c r="E29" i="18"/>
  <c r="E22" i="18"/>
  <c r="E19" i="18"/>
  <c r="E57" i="17"/>
  <c r="E52" i="17"/>
  <c r="E49" i="17"/>
  <c r="E41" i="17"/>
  <c r="E36" i="17"/>
  <c r="E29" i="17"/>
  <c r="J13" i="17"/>
  <c r="J10" i="17"/>
  <c r="J8" i="17"/>
  <c r="D13" i="15"/>
  <c r="D12" i="15"/>
  <c r="D6" i="15"/>
  <c r="G55" i="14"/>
  <c r="G48" i="14"/>
  <c r="F65" i="11"/>
  <c r="D64" i="11"/>
  <c r="E63" i="11"/>
  <c r="H62" i="11"/>
  <c r="H61" i="11"/>
  <c r="G60" i="11"/>
  <c r="H53" i="11"/>
  <c r="I47" i="11"/>
  <c r="G43" i="11"/>
  <c r="I42" i="11"/>
  <c r="C42" i="11"/>
  <c r="D41" i="11"/>
  <c r="H40" i="11"/>
  <c r="D40" i="11"/>
  <c r="G39" i="11"/>
  <c r="D39" i="11"/>
  <c r="G38" i="11"/>
  <c r="C38" i="11"/>
  <c r="G37" i="11"/>
  <c r="I36" i="11"/>
  <c r="F36" i="11"/>
  <c r="I35" i="11"/>
  <c r="F35" i="11"/>
  <c r="I34" i="11"/>
  <c r="F34" i="11"/>
  <c r="C34" i="11"/>
  <c r="F33" i="11"/>
  <c r="D33" i="11"/>
  <c r="I32" i="11"/>
  <c r="E32" i="11"/>
  <c r="I31" i="11"/>
  <c r="F31" i="11"/>
  <c r="C27" i="11"/>
  <c r="H26" i="11"/>
  <c r="F26" i="11"/>
  <c r="D26" i="11"/>
  <c r="C26" i="11"/>
  <c r="I25" i="11"/>
  <c r="G25" i="11"/>
  <c r="E25" i="11"/>
  <c r="D23" i="11"/>
  <c r="I22" i="11"/>
  <c r="G22" i="11"/>
  <c r="D22" i="11"/>
  <c r="C20" i="11"/>
  <c r="G19" i="11"/>
  <c r="D19" i="11"/>
  <c r="H18" i="11"/>
  <c r="E18" i="11"/>
  <c r="I17" i="11"/>
  <c r="F17" i="11"/>
  <c r="F15" i="11"/>
  <c r="E13" i="11"/>
  <c r="I12" i="11"/>
  <c r="F12" i="11"/>
  <c r="C12" i="11"/>
  <c r="C33" i="10"/>
  <c r="H50" i="6"/>
  <c r="G48" i="6"/>
  <c r="H44" i="6"/>
  <c r="G44" i="6"/>
  <c r="H42" i="6"/>
  <c r="G42" i="6"/>
  <c r="H41" i="6"/>
  <c r="G41" i="6"/>
  <c r="H39" i="6"/>
  <c r="G39" i="6"/>
  <c r="H38" i="6"/>
  <c r="G38" i="6"/>
  <c r="H36" i="6"/>
  <c r="G36" i="6"/>
  <c r="H31" i="6"/>
  <c r="G31" i="6"/>
  <c r="G27" i="6"/>
  <c r="G26" i="6"/>
  <c r="G24" i="6"/>
  <c r="G23" i="6"/>
  <c r="G16" i="6"/>
  <c r="I10" i="6"/>
  <c r="G9" i="6"/>
  <c r="I8" i="6"/>
  <c r="G7" i="6"/>
  <c r="I6" i="6"/>
  <c r="C82" i="5"/>
  <c r="C81" i="5"/>
  <c r="C80" i="5"/>
  <c r="C79" i="5"/>
  <c r="C78" i="5"/>
  <c r="C73" i="5"/>
  <c r="C69" i="5"/>
  <c r="F68" i="5"/>
  <c r="D68" i="5"/>
  <c r="C56" i="5"/>
  <c r="C41" i="5"/>
  <c r="C39" i="5"/>
  <c r="D39" i="5" s="1"/>
  <c r="C37" i="5"/>
  <c r="C34" i="5"/>
  <c r="C32" i="5"/>
  <c r="C31" i="5"/>
  <c r="C30" i="5"/>
  <c r="C27" i="5"/>
  <c r="C24" i="5"/>
  <c r="C17" i="5"/>
  <c r="C16" i="5"/>
  <c r="C13" i="5"/>
  <c r="C12" i="5"/>
  <c r="C11" i="5"/>
  <c r="C10" i="5"/>
  <c r="F14" i="4"/>
  <c r="F11" i="4"/>
  <c r="F10" i="4"/>
  <c r="F9" i="4"/>
  <c r="E51" i="18"/>
  <c r="E46" i="18"/>
  <c r="E44" i="18"/>
  <c r="E40" i="18"/>
  <c r="E38" i="18"/>
  <c r="E33" i="18"/>
  <c r="E28" i="18"/>
  <c r="E26" i="18"/>
  <c r="E21" i="18"/>
  <c r="E56" i="17"/>
  <c r="E51" i="17"/>
  <c r="E45" i="17"/>
  <c r="E43" i="17"/>
  <c r="E40" i="17"/>
  <c r="E35" i="17"/>
  <c r="E30" i="17"/>
  <c r="J14" i="17"/>
  <c r="J11" i="17"/>
  <c r="J7" i="17"/>
  <c r="G54" i="14"/>
  <c r="G47" i="14"/>
  <c r="E18" i="12"/>
  <c r="E17" i="12"/>
  <c r="E16" i="12"/>
  <c r="E12" i="12"/>
  <c r="E8" i="12"/>
  <c r="C39" i="10"/>
  <c r="E9" i="9"/>
  <c r="D9" i="9"/>
  <c r="D7" i="9"/>
  <c r="D32" i="10" s="1"/>
  <c r="H51" i="6"/>
  <c r="G51" i="6"/>
  <c r="G50" i="6"/>
  <c r="H48" i="6"/>
  <c r="E59" i="17"/>
  <c r="E54" i="17"/>
  <c r="E46" i="17"/>
  <c r="E38" i="17"/>
  <c r="E33" i="17"/>
  <c r="E31" i="17"/>
  <c r="E27" i="17"/>
  <c r="G59" i="14"/>
  <c r="G58" i="14"/>
  <c r="G51" i="14"/>
  <c r="G46" i="14"/>
  <c r="C34" i="10"/>
  <c r="C32" i="10"/>
  <c r="C31" i="10"/>
  <c r="H53" i="6"/>
  <c r="G53" i="6"/>
  <c r="H52" i="6"/>
  <c r="G52" i="6"/>
  <c r="H49" i="6"/>
  <c r="G49" i="6"/>
  <c r="H47" i="6"/>
  <c r="G47" i="6"/>
  <c r="H46" i="6"/>
  <c r="G46" i="6"/>
  <c r="H45" i="6"/>
  <c r="G45" i="6"/>
  <c r="H43" i="6"/>
  <c r="G43" i="6"/>
  <c r="H40" i="6"/>
  <c r="G40" i="6"/>
  <c r="H33" i="6"/>
  <c r="G33" i="6"/>
  <c r="H32" i="6"/>
  <c r="G32" i="6"/>
  <c r="G18" i="6"/>
  <c r="I17" i="6"/>
  <c r="G11" i="6"/>
  <c r="G6" i="6"/>
  <c r="C83" i="5"/>
  <c r="C77" i="5"/>
  <c r="C74" i="5"/>
  <c r="C64" i="5"/>
  <c r="D64" i="5" s="1"/>
  <c r="C63" i="5"/>
  <c r="C62" i="5"/>
  <c r="C61" i="5"/>
  <c r="C60" i="5"/>
  <c r="C55" i="5"/>
  <c r="C54" i="5"/>
  <c r="C52" i="5"/>
  <c r="C50" i="5"/>
  <c r="C45" i="5"/>
  <c r="C44" i="5"/>
  <c r="C43" i="5"/>
  <c r="C40" i="5"/>
  <c r="C29" i="5"/>
  <c r="C28" i="5"/>
  <c r="C23" i="5"/>
  <c r="C22" i="5"/>
  <c r="C21" i="5"/>
  <c r="C20" i="5"/>
  <c r="C19" i="5"/>
  <c r="C18" i="5"/>
  <c r="C15" i="5"/>
  <c r="C9" i="5"/>
  <c r="C8" i="5"/>
  <c r="C7" i="5"/>
  <c r="C6" i="5"/>
  <c r="C5" i="5"/>
  <c r="F18" i="4"/>
  <c r="F15" i="4"/>
  <c r="E52" i="18"/>
  <c r="E50" i="18"/>
  <c r="E45" i="18"/>
  <c r="E42" i="18"/>
  <c r="E39" i="18"/>
  <c r="E36" i="18"/>
  <c r="E31" i="18"/>
  <c r="E25" i="18"/>
  <c r="E23" i="18"/>
  <c r="G57" i="14"/>
  <c r="G50" i="14"/>
  <c r="G45" i="14"/>
  <c r="K81" i="5" l="1"/>
  <c r="H81" i="5"/>
  <c r="E81" i="5"/>
  <c r="I53" i="11"/>
  <c r="E53" i="11"/>
  <c r="H52" i="11"/>
  <c r="C52" i="11"/>
  <c r="G51" i="11"/>
  <c r="C51" i="11"/>
  <c r="F50" i="11"/>
  <c r="C50" i="11"/>
  <c r="C43" i="11"/>
  <c r="I41" i="11"/>
  <c r="E41" i="11"/>
  <c r="I40" i="11"/>
  <c r="E40" i="11"/>
  <c r="I39" i="11"/>
  <c r="E39" i="11"/>
  <c r="I38" i="11"/>
  <c r="F38" i="11"/>
  <c r="H37" i="11"/>
  <c r="E37" i="11"/>
  <c r="H36" i="11"/>
  <c r="G81" i="5"/>
  <c r="K80" i="5"/>
  <c r="H80" i="5"/>
  <c r="G80" i="5"/>
  <c r="H79" i="5"/>
  <c r="E79" i="5"/>
  <c r="D79" i="5"/>
  <c r="K69" i="5"/>
  <c r="I69" i="5"/>
  <c r="G69" i="5"/>
  <c r="E69" i="5"/>
  <c r="E21" i="3"/>
  <c r="I85" i="11"/>
  <c r="F85" i="11"/>
  <c r="H80" i="11"/>
  <c r="E80" i="11"/>
  <c r="C80" i="11"/>
  <c r="I79" i="11"/>
  <c r="F79" i="11"/>
  <c r="D79" i="11"/>
  <c r="E77" i="11"/>
  <c r="I74" i="11"/>
  <c r="C74" i="11"/>
  <c r="G73" i="11"/>
  <c r="I72" i="11"/>
  <c r="C72" i="11"/>
  <c r="H71" i="11"/>
  <c r="F71" i="11"/>
  <c r="I70" i="11"/>
  <c r="D70" i="11"/>
  <c r="H69" i="11"/>
  <c r="C69" i="11"/>
  <c r="G68" i="11"/>
  <c r="E68" i="11"/>
  <c r="H67" i="11"/>
  <c r="D67" i="11"/>
  <c r="H66" i="11"/>
  <c r="E66" i="11"/>
  <c r="C66" i="11"/>
  <c r="G65" i="11"/>
  <c r="D65" i="11"/>
  <c r="I64" i="11"/>
  <c r="C64" i="11"/>
  <c r="F63" i="11"/>
  <c r="C63" i="11"/>
  <c r="F62" i="11"/>
  <c r="C62" i="11"/>
  <c r="E61" i="11"/>
  <c r="E57" i="11"/>
  <c r="H56" i="11"/>
  <c r="D56" i="11"/>
  <c r="G55" i="11"/>
  <c r="D55" i="11"/>
  <c r="G54" i="11"/>
  <c r="D54" i="11"/>
  <c r="G53" i="11"/>
  <c r="H10" i="11"/>
  <c r="C10" i="11"/>
  <c r="F9" i="11"/>
  <c r="C9" i="11"/>
  <c r="H8" i="11"/>
  <c r="E8" i="11"/>
  <c r="C6" i="11"/>
  <c r="I65" i="11"/>
  <c r="G64" i="11"/>
  <c r="D61" i="11"/>
  <c r="D60" i="11"/>
  <c r="F59" i="11"/>
  <c r="G58" i="11"/>
  <c r="C55" i="11"/>
  <c r="E54" i="11"/>
  <c r="F53" i="11"/>
  <c r="I52" i="11"/>
  <c r="E52" i="11"/>
  <c r="H51" i="11"/>
  <c r="D51" i="11"/>
  <c r="H50" i="11"/>
  <c r="D50" i="11"/>
  <c r="G49" i="11"/>
  <c r="C49" i="11"/>
  <c r="F48" i="11"/>
  <c r="C48" i="11"/>
  <c r="E47" i="11"/>
  <c r="I46" i="11"/>
  <c r="E46" i="11"/>
  <c r="I45" i="11"/>
  <c r="C45" i="11"/>
  <c r="F44" i="11"/>
  <c r="G40" i="11"/>
  <c r="D37" i="11"/>
  <c r="G36" i="11"/>
  <c r="F32" i="11"/>
  <c r="D32" i="11"/>
  <c r="H31" i="11"/>
  <c r="E31" i="11"/>
  <c r="I30" i="11"/>
  <c r="F30" i="11"/>
  <c r="C30" i="11"/>
  <c r="H29" i="11"/>
  <c r="E29" i="11"/>
  <c r="D29" i="11"/>
  <c r="H28" i="11"/>
  <c r="E28" i="11"/>
  <c r="F25" i="11"/>
  <c r="D25" i="11"/>
  <c r="I24" i="11"/>
  <c r="E24" i="11"/>
  <c r="E22" i="11"/>
  <c r="I21" i="11"/>
  <c r="E21" i="11"/>
  <c r="C21" i="11"/>
  <c r="H20" i="11"/>
  <c r="F20" i="11"/>
  <c r="C18" i="11"/>
  <c r="G17" i="11"/>
  <c r="D17" i="11"/>
  <c r="H16" i="11"/>
  <c r="D16" i="11"/>
  <c r="H15" i="11"/>
  <c r="E15" i="11"/>
  <c r="G14" i="11"/>
  <c r="D14" i="11"/>
  <c r="G11" i="11"/>
  <c r="D11" i="11"/>
  <c r="H9" i="11"/>
  <c r="E9" i="11"/>
  <c r="I6" i="11"/>
  <c r="F6" i="11"/>
  <c r="D6" i="11"/>
  <c r="H85" i="11"/>
  <c r="G85" i="11"/>
  <c r="C85" i="11"/>
  <c r="I84" i="11"/>
  <c r="F84" i="11"/>
  <c r="D84" i="11"/>
  <c r="H83" i="11"/>
  <c r="E83" i="11"/>
  <c r="C83" i="11"/>
  <c r="H82" i="11"/>
  <c r="F82" i="11"/>
  <c r="D82" i="11"/>
  <c r="G78" i="11"/>
  <c r="D78" i="11"/>
  <c r="I77" i="11"/>
  <c r="G77" i="11"/>
  <c r="D77" i="11"/>
  <c r="H76" i="11"/>
  <c r="F76" i="11"/>
  <c r="D73" i="11"/>
  <c r="G72" i="11"/>
  <c r="D72" i="11"/>
  <c r="D71" i="11"/>
  <c r="F70" i="11"/>
  <c r="I67" i="11"/>
  <c r="E67" i="11"/>
  <c r="H64" i="11"/>
  <c r="I63" i="11"/>
  <c r="F60" i="11"/>
  <c r="H59" i="11"/>
  <c r="D59" i="11"/>
  <c r="F58" i="11"/>
  <c r="I57" i="11"/>
  <c r="D57" i="11"/>
  <c r="G56" i="11"/>
  <c r="C56" i="11"/>
  <c r="F55" i="11"/>
  <c r="I54" i="11"/>
  <c r="F54" i="11"/>
  <c r="I50" i="11"/>
  <c r="I49" i="11"/>
  <c r="F49" i="11"/>
  <c r="I48" i="11"/>
  <c r="D48" i="11"/>
  <c r="G47" i="11"/>
  <c r="C47" i="11"/>
  <c r="H46" i="11"/>
  <c r="D46" i="11"/>
  <c r="G45" i="11"/>
  <c r="I44" i="11"/>
  <c r="D44" i="11"/>
  <c r="I43" i="11"/>
  <c r="E43" i="11"/>
  <c r="H42" i="11"/>
  <c r="F42" i="11"/>
  <c r="F39" i="11"/>
  <c r="H38" i="11"/>
  <c r="D38" i="11"/>
  <c r="E20" i="11"/>
  <c r="H19" i="11"/>
  <c r="E19" i="11"/>
  <c r="I18" i="11"/>
  <c r="F18" i="11"/>
  <c r="F16" i="11"/>
  <c r="I15" i="11"/>
  <c r="C15" i="11"/>
  <c r="H14" i="11"/>
  <c r="E14" i="11"/>
  <c r="C14" i="11"/>
  <c r="G13" i="11"/>
  <c r="D13" i="11"/>
  <c r="H12" i="11"/>
  <c r="E12" i="11"/>
  <c r="G10" i="11"/>
  <c r="E10" i="11"/>
  <c r="F8" i="11"/>
  <c r="C8" i="11"/>
  <c r="H7" i="11"/>
  <c r="F7" i="11"/>
  <c r="E7" i="11"/>
  <c r="C7" i="11"/>
  <c r="H6" i="11"/>
  <c r="G6" i="11"/>
  <c r="E6" i="11"/>
  <c r="E67" i="5"/>
  <c r="E66" i="5"/>
  <c r="K64" i="5"/>
  <c r="J64" i="5"/>
  <c r="I64" i="5"/>
  <c r="E64" i="5"/>
  <c r="H64" i="5"/>
  <c r="I77" i="5"/>
  <c r="F77" i="5"/>
  <c r="D77" i="5"/>
  <c r="K74" i="5"/>
  <c r="J74" i="5"/>
  <c r="G74" i="5"/>
  <c r="E74" i="5"/>
  <c r="D74" i="5"/>
  <c r="G64" i="5"/>
  <c r="K62" i="5"/>
  <c r="J62" i="5"/>
  <c r="H62" i="5"/>
  <c r="F62" i="5"/>
  <c r="D62" i="5"/>
  <c r="H60" i="5"/>
  <c r="D60" i="5"/>
  <c r="E59" i="5"/>
  <c r="F58" i="5"/>
  <c r="E58" i="5"/>
  <c r="J45" i="5"/>
  <c r="H45" i="5"/>
  <c r="F45" i="5"/>
  <c r="D45" i="5"/>
  <c r="E37" i="5"/>
  <c r="D34" i="5"/>
  <c r="K32" i="5"/>
  <c r="J32" i="5"/>
  <c r="I32" i="5"/>
  <c r="H32" i="5"/>
  <c r="F32" i="5"/>
  <c r="D32" i="5"/>
  <c r="E31" i="5"/>
  <c r="J30" i="5"/>
  <c r="H30" i="5"/>
  <c r="F30" i="5"/>
  <c r="D30" i="5"/>
  <c r="K28" i="5"/>
  <c r="E22" i="5"/>
  <c r="F19" i="5"/>
  <c r="H15" i="5"/>
  <c r="D15" i="5"/>
  <c r="J9" i="5"/>
  <c r="H9" i="5"/>
  <c r="G7" i="5"/>
  <c r="F5" i="5"/>
  <c r="K44" i="5"/>
  <c r="I44" i="5"/>
  <c r="F44" i="5"/>
  <c r="D44" i="5"/>
  <c r="D43" i="5"/>
  <c r="K40" i="5"/>
  <c r="I40" i="5"/>
  <c r="G40" i="5"/>
  <c r="E40" i="5"/>
  <c r="D40" i="5"/>
  <c r="K29" i="5"/>
  <c r="J29" i="5"/>
  <c r="I29" i="5"/>
  <c r="G29" i="5"/>
  <c r="F29" i="5"/>
  <c r="D29" i="5"/>
  <c r="K23" i="5"/>
  <c r="I23" i="5"/>
  <c r="G23" i="5"/>
  <c r="F23" i="5"/>
  <c r="D23" i="5"/>
  <c r="K22" i="5"/>
  <c r="I22" i="5"/>
  <c r="G22" i="5"/>
  <c r="J19" i="5"/>
  <c r="H19" i="5"/>
  <c r="D19" i="5"/>
  <c r="K15" i="5"/>
  <c r="J15" i="5"/>
  <c r="I15" i="5"/>
  <c r="F15" i="5"/>
  <c r="F9" i="5"/>
  <c r="D7" i="5"/>
  <c r="I5" i="5"/>
  <c r="D5" i="5"/>
  <c r="F65" i="5"/>
  <c r="I28" i="5"/>
  <c r="G28" i="5"/>
  <c r="E28" i="5"/>
  <c r="J24" i="5"/>
  <c r="I24" i="5"/>
  <c r="G24" i="5"/>
  <c r="E24" i="5"/>
  <c r="J21" i="5"/>
  <c r="H21" i="5"/>
  <c r="E21" i="5"/>
  <c r="K20" i="5"/>
  <c r="I20" i="5"/>
  <c r="F20" i="5"/>
  <c r="D20" i="5"/>
  <c r="J18" i="5"/>
  <c r="H18" i="5"/>
  <c r="F18" i="5"/>
  <c r="D18" i="5"/>
  <c r="K8" i="5"/>
  <c r="H8" i="5"/>
  <c r="F8" i="5"/>
  <c r="D8" i="5"/>
  <c r="K6" i="5"/>
  <c r="H6" i="5"/>
  <c r="F6" i="5"/>
  <c r="D6" i="5"/>
  <c r="E12" i="5"/>
  <c r="F11" i="5"/>
  <c r="F10" i="5"/>
  <c r="K68" i="5"/>
  <c r="J68" i="5"/>
  <c r="H68" i="5"/>
  <c r="I58" i="5"/>
  <c r="G58" i="5"/>
  <c r="D58" i="5"/>
  <c r="J51" i="5"/>
  <c r="H51" i="5"/>
  <c r="F51" i="5"/>
  <c r="D51" i="5"/>
  <c r="J48" i="5"/>
  <c r="H48" i="5"/>
  <c r="F48" i="5"/>
  <c r="D48" i="5"/>
  <c r="H46" i="5"/>
  <c r="E46" i="5"/>
  <c r="K42" i="5"/>
  <c r="J42" i="5"/>
  <c r="I42" i="5"/>
  <c r="H42" i="5"/>
  <c r="G42" i="5"/>
  <c r="F42" i="5"/>
  <c r="D42" i="5"/>
  <c r="E41" i="5"/>
  <c r="K39" i="5"/>
  <c r="I39" i="5"/>
  <c r="K58" i="5"/>
  <c r="J58" i="5"/>
  <c r="H58" i="5"/>
  <c r="E80" i="5"/>
  <c r="D80" i="5"/>
  <c r="H78" i="5"/>
  <c r="F78" i="5"/>
  <c r="D78" i="5"/>
  <c r="K73" i="5"/>
  <c r="J73" i="5"/>
  <c r="H73" i="5"/>
  <c r="F73" i="5"/>
  <c r="D73" i="5"/>
  <c r="I68" i="5"/>
  <c r="G68" i="5"/>
  <c r="E68" i="5"/>
  <c r="J57" i="5"/>
  <c r="H57" i="5"/>
  <c r="F57" i="5"/>
  <c r="D57" i="5"/>
  <c r="J53" i="5"/>
  <c r="H53" i="5"/>
  <c r="F53" i="5"/>
  <c r="D53" i="5"/>
  <c r="I52" i="5"/>
  <c r="G52" i="5"/>
  <c r="E52" i="5"/>
  <c r="G50" i="5"/>
  <c r="E50" i="5"/>
  <c r="J49" i="5"/>
  <c r="H49" i="5"/>
  <c r="F49" i="5"/>
  <c r="D49" i="5"/>
  <c r="K47" i="5"/>
  <c r="H47" i="5"/>
  <c r="F47" i="5"/>
  <c r="J39" i="5"/>
  <c r="H39" i="5"/>
  <c r="F39" i="5"/>
  <c r="E75" i="5"/>
  <c r="F43" i="2"/>
  <c r="D23" i="3"/>
  <c r="E23" i="3" s="1"/>
  <c r="D22" i="3"/>
  <c r="E22" i="3" s="1"/>
  <c r="K67" i="5"/>
  <c r="J67" i="5"/>
  <c r="I67" i="5"/>
  <c r="H67" i="5"/>
  <c r="F67" i="5"/>
  <c r="D67" i="5"/>
  <c r="K66" i="5"/>
  <c r="J66" i="5"/>
  <c r="I66" i="5"/>
  <c r="H66" i="5"/>
  <c r="G66" i="5"/>
  <c r="G59" i="5"/>
  <c r="C18" i="10"/>
  <c r="K84" i="5"/>
  <c r="J84" i="5"/>
  <c r="I84" i="5"/>
  <c r="H84" i="5"/>
  <c r="G84" i="5"/>
  <c r="F84" i="5"/>
  <c r="E84" i="5"/>
  <c r="D84" i="5"/>
  <c r="J75" i="5"/>
  <c r="H75" i="5"/>
  <c r="G75" i="5"/>
  <c r="K72" i="5"/>
  <c r="I72" i="5"/>
  <c r="G72" i="5"/>
  <c r="E72" i="5"/>
  <c r="K71" i="5"/>
  <c r="I71" i="5"/>
  <c r="G71" i="5"/>
  <c r="E71" i="5"/>
  <c r="K70" i="5"/>
  <c r="I70" i="5"/>
  <c r="F70" i="5"/>
  <c r="E70" i="5"/>
  <c r="G67" i="5"/>
  <c r="F66" i="5"/>
  <c r="F41" i="2"/>
  <c r="F39" i="2"/>
  <c r="F37" i="2"/>
  <c r="F35" i="2"/>
  <c r="F32" i="2"/>
  <c r="F29" i="2"/>
  <c r="F27" i="2"/>
  <c r="F25" i="2"/>
  <c r="F24" i="2"/>
  <c r="F23" i="2"/>
  <c r="F21" i="2"/>
  <c r="F19" i="2"/>
  <c r="F16" i="2"/>
  <c r="F15" i="2"/>
  <c r="F13" i="2"/>
  <c r="F11" i="2"/>
  <c r="K52" i="5"/>
  <c r="K57" i="5"/>
  <c r="I57" i="5"/>
  <c r="G57" i="5"/>
  <c r="E57" i="5"/>
  <c r="K56" i="5"/>
  <c r="I56" i="5"/>
  <c r="H56" i="5"/>
  <c r="F56" i="5"/>
  <c r="D56" i="5"/>
  <c r="K55" i="5"/>
  <c r="I55" i="5"/>
  <c r="H55" i="5"/>
  <c r="F55" i="5"/>
  <c r="D55" i="5"/>
  <c r="K53" i="5"/>
  <c r="I53" i="5"/>
  <c r="G53" i="5"/>
  <c r="E53" i="5"/>
  <c r="K51" i="5"/>
  <c r="I51" i="5"/>
  <c r="G51" i="5"/>
  <c r="E51" i="5"/>
  <c r="K50" i="5"/>
  <c r="I50" i="5"/>
  <c r="H50" i="5"/>
  <c r="F50" i="5"/>
  <c r="D50" i="5"/>
  <c r="K49" i="5"/>
  <c r="I49" i="5"/>
  <c r="G49" i="5"/>
  <c r="E49" i="5"/>
  <c r="K48" i="5"/>
  <c r="I48" i="5"/>
  <c r="G48" i="5"/>
  <c r="E48" i="5"/>
  <c r="J47" i="5"/>
  <c r="I47" i="5"/>
  <c r="G47" i="5"/>
  <c r="E47" i="5"/>
  <c r="K46" i="5"/>
  <c r="J46" i="5"/>
  <c r="I46" i="5"/>
  <c r="G46" i="5"/>
  <c r="F46" i="5"/>
  <c r="J41" i="5"/>
  <c r="H41" i="5"/>
  <c r="F41" i="5"/>
  <c r="D41" i="5"/>
  <c r="K38" i="5"/>
  <c r="J38" i="5"/>
  <c r="H38" i="5"/>
  <c r="F38" i="5"/>
  <c r="G36" i="5"/>
  <c r="D36" i="5"/>
  <c r="K35" i="5"/>
  <c r="J35" i="5"/>
  <c r="I35" i="5"/>
  <c r="H35" i="5"/>
  <c r="G35" i="5"/>
  <c r="E35" i="5"/>
  <c r="H33" i="5"/>
  <c r="G33" i="5"/>
  <c r="F33" i="5"/>
  <c r="E33" i="5"/>
  <c r="D33" i="5"/>
  <c r="J26" i="5"/>
  <c r="H26" i="5"/>
  <c r="F26" i="5"/>
  <c r="D26" i="5"/>
  <c r="K25" i="5"/>
  <c r="J25" i="5"/>
  <c r="H25" i="5"/>
  <c r="G25" i="5"/>
  <c r="E25" i="5"/>
  <c r="J16" i="5"/>
  <c r="H16" i="5"/>
  <c r="F16" i="5"/>
  <c r="D16" i="5"/>
  <c r="J14" i="5"/>
  <c r="G14" i="5"/>
  <c r="E14" i="5"/>
  <c r="K13" i="5"/>
  <c r="I13" i="5"/>
  <c r="G13" i="5"/>
  <c r="F13" i="5"/>
  <c r="D13" i="5"/>
  <c r="K11" i="5"/>
  <c r="I11" i="5"/>
  <c r="G11" i="5"/>
  <c r="E11" i="5"/>
  <c r="E10" i="5"/>
  <c r="F46" i="2"/>
  <c r="F42" i="2"/>
  <c r="F40" i="2"/>
  <c r="F38" i="2"/>
  <c r="F36" i="2"/>
  <c r="F34" i="2"/>
  <c r="F33" i="2"/>
  <c r="F31" i="2"/>
  <c r="F30" i="2"/>
  <c r="F28" i="2"/>
  <c r="F26" i="2"/>
  <c r="F22" i="2"/>
  <c r="F20" i="2"/>
  <c r="F18" i="2"/>
  <c r="F17" i="2"/>
  <c r="K41" i="5"/>
  <c r="I41" i="5"/>
  <c r="G41" i="5"/>
  <c r="E13" i="5"/>
  <c r="K12" i="5"/>
  <c r="G12" i="5"/>
  <c r="J11" i="5"/>
  <c r="H11" i="5"/>
  <c r="J50" i="5"/>
  <c r="F14" i="2"/>
  <c r="F12" i="2"/>
  <c r="K82" i="5"/>
  <c r="J82" i="5"/>
  <c r="I82" i="5"/>
  <c r="H82" i="5"/>
  <c r="G82" i="5"/>
  <c r="F82" i="5"/>
  <c r="E82" i="5"/>
  <c r="D82" i="5"/>
  <c r="J81" i="5"/>
  <c r="I81" i="5"/>
  <c r="F81" i="5"/>
  <c r="D81" i="5"/>
  <c r="J80" i="5"/>
  <c r="I80" i="5"/>
  <c r="F80" i="5"/>
  <c r="K79" i="5"/>
  <c r="J79" i="5"/>
  <c r="I79" i="5"/>
  <c r="G79" i="5"/>
  <c r="F79" i="5"/>
  <c r="K78" i="5"/>
  <c r="J78" i="5"/>
  <c r="I78" i="5"/>
  <c r="G78" i="5"/>
  <c r="E78" i="5"/>
  <c r="H76" i="5"/>
  <c r="F76" i="5"/>
  <c r="D76" i="5"/>
  <c r="K75" i="5"/>
  <c r="I75" i="5"/>
  <c r="F75" i="5"/>
  <c r="D75" i="5"/>
  <c r="I73" i="5"/>
  <c r="G73" i="5"/>
  <c r="E73" i="5"/>
  <c r="J72" i="5"/>
  <c r="H72" i="5"/>
  <c r="F72" i="5"/>
  <c r="D72" i="5"/>
  <c r="J70" i="5"/>
  <c r="H70" i="5"/>
  <c r="G70" i="5"/>
  <c r="D70" i="5"/>
  <c r="J69" i="5"/>
  <c r="H69" i="5"/>
  <c r="F69" i="5"/>
  <c r="D69" i="5"/>
  <c r="K60" i="5"/>
  <c r="G60" i="5"/>
  <c r="E60" i="5"/>
  <c r="J56" i="5"/>
  <c r="G56" i="5"/>
  <c r="E56" i="5"/>
  <c r="K54" i="5"/>
  <c r="H54" i="5"/>
  <c r="F54" i="5"/>
  <c r="D54" i="5"/>
  <c r="J52" i="5"/>
  <c r="H52" i="5"/>
  <c r="F52" i="5"/>
  <c r="D52" i="5"/>
  <c r="J13" i="5"/>
  <c r="H13" i="5"/>
  <c r="J12" i="5"/>
  <c r="I12" i="5"/>
  <c r="H10" i="5"/>
  <c r="G39" i="5"/>
  <c r="E39" i="5"/>
  <c r="I38" i="5"/>
  <c r="G38" i="5"/>
  <c r="E38" i="5"/>
  <c r="D38" i="5"/>
  <c r="K37" i="5"/>
  <c r="J37" i="5"/>
  <c r="I37" i="5"/>
  <c r="H37" i="5"/>
  <c r="G37" i="5"/>
  <c r="F37" i="5"/>
  <c r="D37" i="5"/>
  <c r="K36" i="5"/>
  <c r="J36" i="5"/>
  <c r="I36" i="5"/>
  <c r="H36" i="5"/>
  <c r="F36" i="5"/>
  <c r="E36" i="5"/>
  <c r="F35" i="5"/>
  <c r="D35" i="5"/>
  <c r="K34" i="5"/>
  <c r="J34" i="5"/>
  <c r="I34" i="5"/>
  <c r="H34" i="5"/>
  <c r="G34" i="5"/>
  <c r="F34" i="5"/>
  <c r="E34" i="5"/>
  <c r="K33" i="5"/>
  <c r="J33" i="5"/>
  <c r="I33" i="5"/>
  <c r="G32" i="5"/>
  <c r="E32" i="5"/>
  <c r="K31" i="5"/>
  <c r="I31" i="5"/>
  <c r="H31" i="5"/>
  <c r="F31" i="5"/>
  <c r="K30" i="5"/>
  <c r="I30" i="5"/>
  <c r="G30" i="5"/>
  <c r="E30" i="5"/>
  <c r="I27" i="5"/>
  <c r="G27" i="5"/>
  <c r="E27" i="5"/>
  <c r="K26" i="5"/>
  <c r="I26" i="5"/>
  <c r="G26" i="5"/>
  <c r="E26" i="5"/>
  <c r="K24" i="5"/>
  <c r="H24" i="5"/>
  <c r="F24" i="5"/>
  <c r="D24" i="5"/>
  <c r="J17" i="5"/>
  <c r="H17" i="5"/>
  <c r="F17" i="5"/>
  <c r="D17" i="5"/>
  <c r="K16" i="5"/>
  <c r="I16" i="5"/>
  <c r="G16" i="5"/>
  <c r="E16" i="5"/>
  <c r="D11" i="5"/>
  <c r="K10" i="5"/>
  <c r="J10" i="5"/>
  <c r="I10" i="5"/>
  <c r="G10" i="5"/>
  <c r="C25" i="10"/>
  <c r="K83" i="5"/>
  <c r="J83" i="5"/>
  <c r="I83" i="5"/>
  <c r="H83" i="5"/>
  <c r="G83" i="5"/>
  <c r="F83" i="5"/>
  <c r="E83" i="5"/>
  <c r="D83" i="5"/>
  <c r="K77" i="5"/>
  <c r="J77" i="5"/>
  <c r="H77" i="5"/>
  <c r="G77" i="5"/>
  <c r="E77" i="5"/>
  <c r="K76" i="5"/>
  <c r="J76" i="5"/>
  <c r="I76" i="5"/>
  <c r="G76" i="5"/>
  <c r="E76" i="5"/>
  <c r="I74" i="5"/>
  <c r="H74" i="5"/>
  <c r="F74" i="5"/>
  <c r="J71" i="5"/>
  <c r="H71" i="5"/>
  <c r="F71" i="5"/>
  <c r="D71" i="5"/>
  <c r="D66" i="5"/>
  <c r="K65" i="5"/>
  <c r="J65" i="5"/>
  <c r="I65" i="5"/>
  <c r="H65" i="5"/>
  <c r="G65" i="5"/>
  <c r="E65" i="5"/>
  <c r="D65" i="5"/>
  <c r="F64" i="5"/>
  <c r="K63" i="5"/>
  <c r="J63" i="5"/>
  <c r="I63" i="5"/>
  <c r="H63" i="5"/>
  <c r="G63" i="5"/>
  <c r="F63" i="5"/>
  <c r="E63" i="5"/>
  <c r="D63" i="5"/>
  <c r="I62" i="5"/>
  <c r="G62" i="5"/>
  <c r="E62" i="5"/>
  <c r="K61" i="5"/>
  <c r="J61" i="5"/>
  <c r="I61" i="5"/>
  <c r="H61" i="5"/>
  <c r="G61" i="5"/>
  <c r="F61" i="5"/>
  <c r="E61" i="5"/>
  <c r="D61" i="5"/>
  <c r="J60" i="5"/>
  <c r="I60" i="5"/>
  <c r="F60" i="5"/>
  <c r="J59" i="5"/>
  <c r="H59" i="5"/>
  <c r="F59" i="5"/>
  <c r="D59" i="5"/>
  <c r="J55" i="5"/>
  <c r="G55" i="5"/>
  <c r="E55" i="5"/>
  <c r="J54" i="5"/>
  <c r="I54" i="5"/>
  <c r="G54" i="5"/>
  <c r="E54" i="5"/>
  <c r="D47" i="5"/>
  <c r="D46" i="5"/>
  <c r="K45" i="5"/>
  <c r="I45" i="5"/>
  <c r="G45" i="5"/>
  <c r="E45" i="5"/>
  <c r="J44" i="5"/>
  <c r="H44" i="5"/>
  <c r="G44" i="5"/>
  <c r="E44" i="5"/>
  <c r="K43" i="5"/>
  <c r="J43" i="5"/>
  <c r="I43" i="5"/>
  <c r="H43" i="5"/>
  <c r="G43" i="5"/>
  <c r="F43" i="5"/>
  <c r="E43" i="5"/>
  <c r="E42" i="5"/>
  <c r="J40" i="5"/>
  <c r="H40" i="5"/>
  <c r="F40" i="5"/>
  <c r="J31" i="5"/>
  <c r="G31" i="5"/>
  <c r="D31" i="5"/>
  <c r="H29" i="5"/>
  <c r="E29" i="5"/>
  <c r="J28" i="5"/>
  <c r="H28" i="5"/>
  <c r="F28" i="5"/>
  <c r="D28" i="5"/>
  <c r="K27" i="5"/>
  <c r="J27" i="5"/>
  <c r="H27" i="5"/>
  <c r="F27" i="5"/>
  <c r="D27" i="5"/>
  <c r="I25" i="5"/>
  <c r="F25" i="5"/>
  <c r="D25" i="5"/>
  <c r="J23" i="5"/>
  <c r="H23" i="5"/>
  <c r="E23" i="5"/>
  <c r="J22" i="5"/>
  <c r="H22" i="5"/>
  <c r="F22" i="5"/>
  <c r="D22" i="5"/>
  <c r="K21" i="5"/>
  <c r="I21" i="5"/>
  <c r="G21" i="5"/>
  <c r="F21" i="5"/>
  <c r="D21" i="5"/>
  <c r="J20" i="5"/>
  <c r="H20" i="5"/>
  <c r="G20" i="5"/>
  <c r="E20" i="5"/>
  <c r="K19" i="5"/>
  <c r="I19" i="5"/>
  <c r="G19" i="5"/>
  <c r="E19" i="5"/>
  <c r="K18" i="5"/>
  <c r="I18" i="5"/>
  <c r="G18" i="5"/>
  <c r="E18" i="5"/>
  <c r="K17" i="5"/>
  <c r="I17" i="5"/>
  <c r="G17" i="5"/>
  <c r="E17" i="5"/>
  <c r="G15" i="5"/>
  <c r="E15" i="5"/>
  <c r="K14" i="5"/>
  <c r="I14" i="5"/>
  <c r="H14" i="5"/>
  <c r="F14" i="5"/>
  <c r="D14" i="5"/>
  <c r="H12" i="5"/>
  <c r="F12" i="5"/>
  <c r="D12" i="5"/>
  <c r="D10" i="5"/>
  <c r="K9" i="5"/>
  <c r="I9" i="5"/>
  <c r="G9" i="5"/>
  <c r="E9" i="5"/>
  <c r="D9" i="5"/>
  <c r="J8" i="5"/>
  <c r="I8" i="5"/>
  <c r="G8" i="5"/>
  <c r="E8" i="5"/>
  <c r="K7" i="5"/>
  <c r="J7" i="5"/>
  <c r="I7" i="5"/>
  <c r="H7" i="5"/>
  <c r="F7" i="5"/>
  <c r="E7" i="5"/>
  <c r="J6" i="5"/>
  <c r="I6" i="5"/>
  <c r="G6" i="5"/>
  <c r="E6" i="5"/>
  <c r="K5" i="5"/>
  <c r="J5" i="5"/>
  <c r="H5" i="5"/>
  <c r="G5" i="5"/>
  <c r="E5" i="5"/>
  <c r="F45" i="2"/>
  <c r="F44" i="2"/>
  <c r="K59" i="5"/>
  <c r="I59" i="5"/>
  <c r="E9" i="17"/>
  <c r="E52" i="14"/>
  <c r="E48" i="14"/>
  <c r="E57" i="14"/>
  <c r="E10" i="17"/>
  <c r="E51" i="14"/>
  <c r="E14" i="17"/>
  <c r="E59" i="14"/>
  <c r="E7" i="17"/>
  <c r="E13" i="17"/>
  <c r="E47" i="14"/>
  <c r="E56" i="14"/>
  <c r="E46" i="14"/>
  <c r="E50" i="14"/>
  <c r="E53" i="14"/>
  <c r="E8" i="17"/>
  <c r="E58" i="14"/>
  <c r="E11" i="17"/>
  <c r="E55" i="14"/>
  <c r="E45" i="14"/>
  <c r="E6" i="17"/>
  <c r="E15" i="17"/>
  <c r="E54" i="14"/>
  <c r="E49" i="14"/>
  <c r="E12" i="17"/>
</calcChain>
</file>

<file path=xl/sharedStrings.xml><?xml version="1.0" encoding="utf-8"?>
<sst xmlns="http://schemas.openxmlformats.org/spreadsheetml/2006/main" count="11492" uniqueCount="1849">
  <si>
    <t>MITRA Analytics Engine v6 — How This Workbook Works</t>
  </si>
  <si>
    <t>ARCHITECTURE OVERVIEW</t>
  </si>
  <si>
    <t>1.</t>
  </si>
  <si>
    <t>RAW DATA SHEETS (RAW_DISTRICT, RAW_AR_CONTENT, RAW_QUIZ)</t>
  </si>
  <si>
    <t>These three sheets are the ONLY place where dashboard exports get pasted. Every other sheet reads from them via live formulas. Never type analytics numbers anywhere else.</t>
  </si>
  <si>
    <t>2.</t>
  </si>
  <si>
    <t>STATE SELECTOR (Sheet 02)</t>
  </si>
  <si>
    <t>Pick 'All India' or any state from the dropdown in cell D4. This single cell drives every other sheet in the workbook through the named cell 'SelectedScope'.</t>
  </si>
  <si>
    <t>3.</t>
  </si>
  <si>
    <t>DYNAMIC DISTRICT/STATE LIST (Sheet 02, below the selector)</t>
  </si>
  <si>
    <t>When a state is chosen, this list shows that state's districts with live metrics. When 'All India' is chosen, it shows all 36 states instead. Header label switches automatically between STATE and DISTRICT.</t>
  </si>
  <si>
    <t>4.</t>
  </si>
  <si>
    <t>ANALYTICS SHEETS (03-11)</t>
  </si>
  <si>
    <t>Every number on these sheets is a formula referencing RAW_DISTRICT / RAW_AR_CONTENT / RAW_QUIZ, filtered to the SelectedScope. Change the scope in Sheet 02 and every sheet recalculates instantly — no manual filtering.</t>
  </si>
  <si>
    <t>5.</t>
  </si>
  <si>
    <t>CURRICULUM &amp; QUIZ TRACKERS (Sheets 07-08)</t>
  </si>
  <si>
    <t>Live filterable mirrors of RAW_AR_CONTENT and RAW_QUIZ. Use the column filter buttons (Excel AutoFilter, already enabled) to drill into any field — Subject, Class, Tier, Status, Board, Language. Nothing here is typed manually.</t>
  </si>
  <si>
    <t>6.</t>
  </si>
  <si>
    <t>GOVERNMENT KPI SUMMARY (Sheet 10)</t>
  </si>
  <si>
    <t>Minister-level summary that links to Sheets 03, 04, 06, 07, 08, 09. Designed to be the direct input for automated PPT generation — each row is tagged with a suggested PPT Chart Type.</t>
  </si>
  <si>
    <t>HOW TO REFRESH MONTHLY DATA</t>
  </si>
  <si>
    <t>Step 1</t>
  </si>
  <si>
    <t>Export from Dashboard</t>
  </si>
  <si>
    <t>Dashboard → Analytics → Export → Select Month → Download district-level, AR content, and quiz CSV/Excel exports.</t>
  </si>
  <si>
    <t>Step 2</t>
  </si>
  <si>
    <t>Paste into RAW_DISTRICT</t>
  </si>
  <si>
    <t>Open the RAW_DISTRICT sheet. Paste district-level figures into the matching columns (State and District columns are already pre-filled for all 36 states + all districts — just fill in the metric columns).</t>
  </si>
  <si>
    <t>Step 3</t>
  </si>
  <si>
    <t>Paste into RAW_AR_CONTENT</t>
  </si>
  <si>
    <t>Open RAW_AR_CONTENT. Paste AR module performance metrics (Launches, Completion %, Pre/Post scores, etc) against the matching State + Module rows.</t>
  </si>
  <si>
    <t>Step 4</t>
  </si>
  <si>
    <t>Paste into RAW_QUIZ</t>
  </si>
  <si>
    <t>Open RAW_QUIZ. Paste quiz attempt/score/completion metrics against the matching State + Quiz rows.</t>
  </si>
  <si>
    <t>Step 5</t>
  </si>
  <si>
    <t>Pick your scope</t>
  </si>
  <si>
    <t>Go to Sheet 02. Choose 'All India' for the national report, or a specific state for that state's drilldown.</t>
  </si>
  <si>
    <t>Step 6</t>
  </si>
  <si>
    <t>Review every sheet</t>
  </si>
  <si>
    <t>Sheets 03-11 are now populated automatically. Use Sheet 10 (Govt KPI Summary) as the master view for presentations.</t>
  </si>
  <si>
    <t>Step 7</t>
  </si>
  <si>
    <t>Generate PPT</t>
  </si>
  <si>
    <t>Feed Sheet 10 to your reporting engine. Each row specifies a suggested chart type. The dynamic scope title (cell A2 on every analytics sheet) gives the correct slide subtitle automatically.</t>
  </si>
  <si>
    <t>Step 8</t>
  </si>
  <si>
    <t>Archive</t>
  </si>
  <si>
    <t>Save a dated copy before refreshing next month's RAW data (e.g. MITRA_Analytics_May2026.xlsx).</t>
  </si>
  <si>
    <t>FORMULA COLOR CONVENTION</t>
  </si>
  <si>
    <t>Blue text</t>
  </si>
  <si>
    <t>RAW DATA — paste dashboard exports here.</t>
  </si>
  <si>
    <t>Found only in RAW_DISTRICT, RAW_AR_CONTENT, RAW_QUIZ.</t>
  </si>
  <si>
    <t>Green text</t>
  </si>
  <si>
    <t>LIVE FORMULA — calculated automatically.</t>
  </si>
  <si>
    <t>Found on every analytics sheet. Never overtype these cells.</t>
  </si>
  <si>
    <t>Black text</t>
  </si>
  <si>
    <t>Static labels and structure.</t>
  </si>
  <si>
    <t>Headers, section titles, fixed reference text.</t>
  </si>
  <si>
    <t>IMPORTANT NOTES</t>
  </si>
  <si>
    <t>Note</t>
  </si>
  <si>
    <t>All formulas use SUMPRODUCT/SUMIFS/INDEX/MATCH — compatible with Excel 2010 and newer.</t>
  </si>
  <si>
    <t>No FILTER(), SORT(), or UNIQUE() dynamic-array functions are used, so this file opens without repair prompts in any Excel version.</t>
  </si>
  <si>
    <t>The hidden sheet named REF contains all dropdown master lists.</t>
  </si>
  <si>
    <t>Do not edit, hide/unhide, or delete this sheet.</t>
  </si>
  <si>
    <t>No formula in this workbook references its own cell.</t>
  </si>
  <si>
    <t>Verified with automated recalculation — zero circular references, zero formula errors.</t>
  </si>
  <si>
    <t>STATE SELECTOR — Choose a Scope for the Entire Workbook</t>
  </si>
  <si>
    <t>SELECT SCOPE — choose 'All India' for national view, or a state for state + district drill-down</t>
  </si>
  <si>
    <t>▶  Selected Scope:</t>
  </si>
  <si>
    <t>All India</t>
  </si>
  <si>
    <t>Scope Type:</t>
  </si>
  <si>
    <t>Below: districts of the selected state (or all states, if 'All India'). All analytics sheets (03–13) auto-recalculate for this scope — no manual filtering required. Compatible with all Excel versions (Excel 2010+) — no dynamic array functions used.</t>
  </si>
  <si>
    <t>Live Snapshot — Active Users, Avg Quiz Score %, Module Completion %, Engagement</t>
  </si>
  <si>
    <t>Name</t>
  </si>
  <si>
    <t>Active Users</t>
  </si>
  <si>
    <t>Avg Quiz Score %</t>
  </si>
  <si>
    <t>Module Completion %</t>
  </si>
  <si>
    <t>Engagement Level</t>
  </si>
  <si>
    <t>REACH &amp; ENGAGEMENT ANALYTICS</t>
  </si>
  <si>
    <t>All figures are LIVE FORMULAS reading from RAW_DISTRICT. Change the scope in Sheet 02 to recalculate this entire sheet.</t>
  </si>
  <si>
    <t>REACH KPIs</t>
  </si>
  <si>
    <t>#</t>
  </si>
  <si>
    <t>Metric</t>
  </si>
  <si>
    <t>Value</t>
  </si>
  <si>
    <t>Benchmark</t>
  </si>
  <si>
    <t>Meets Benchmark?</t>
  </si>
  <si>
    <t>Districts Reporting</t>
  </si>
  <si>
    <t>Schools Active</t>
  </si>
  <si>
    <t>Connectivity Mode (Most Common)</t>
  </si>
  <si>
    <t>Notes</t>
  </si>
  <si>
    <t>1</t>
  </si>
  <si>
    <t>Total Active Users</t>
  </si>
  <si>
    <t>—</t>
  </si>
  <si>
    <t>2</t>
  </si>
  <si>
    <t>Avg Daily Active Users (DAU)</t>
  </si>
  <si>
    <t>3</t>
  </si>
  <si>
    <t>Total Sessions</t>
  </si>
  <si>
    <t>4</t>
  </si>
  <si>
    <t>Offline Sessions</t>
  </si>
  <si>
    <t>5</t>
  </si>
  <si>
    <t>Offline Usage %</t>
  </si>
  <si>
    <t>&lt; 20%</t>
  </si>
  <si>
    <t>6</t>
  </si>
  <si>
    <t>AR Sessions</t>
  </si>
  <si>
    <t>7</t>
  </si>
  <si>
    <t>AR Module Completion %</t>
  </si>
  <si>
    <t>≥ 65%</t>
  </si>
  <si>
    <t>8</t>
  </si>
  <si>
    <t>Quiz Attempts</t>
  </si>
  <si>
    <t>9</t>
  </si>
  <si>
    <t>≥ 60%</t>
  </si>
  <si>
    <t>10</t>
  </si>
  <si>
    <t>AR-Capable Device %</t>
  </si>
  <si>
    <t>≥ 70%</t>
  </si>
  <si>
    <t>11</t>
  </si>
  <si>
    <t>12</t>
  </si>
  <si>
    <t>Teacher Logins (Total)</t>
  </si>
  <si>
    <t>ENGAGEMENT TIER BREAKDOWN</t>
  </si>
  <si>
    <t>Tier (by Active Users per District)</t>
  </si>
  <si>
    <t>Definition</t>
  </si>
  <si>
    <t>District Count</t>
  </si>
  <si>
    <t>% of Districts</t>
  </si>
  <si>
    <t>Avg Quiz Score in Tier</t>
  </si>
  <si>
    <t>Avg AR Completion in Tier</t>
  </si>
  <si>
    <t>Top District in Tier</t>
  </si>
  <si>
    <t>High Engagement Districts</t>
  </si>
  <si>
    <t>Active users ≥ 80th percentile</t>
  </si>
  <si>
    <t>Medium Engagement Districts</t>
  </si>
  <si>
    <t>Active users 40th–80th percentile</t>
  </si>
  <si>
    <t>Low Engagement Districts</t>
  </si>
  <si>
    <t>Active users &gt; 0, &lt; 40th percentile</t>
  </si>
  <si>
    <t>Zero-Activity Districts</t>
  </si>
  <si>
    <t>No recorded active users this month</t>
  </si>
  <si>
    <t>P40_THRESHOLD (helper - do not edit)</t>
  </si>
  <si>
    <t>P80_THRESHOLD (helper - do not edit)</t>
  </si>
  <si>
    <t>LEARNING OUTCOMES ANALYTICS</t>
  </si>
  <si>
    <t>SOURCE: RAW_AR_CONTENT (Dashboard Curriculum Map) + RAW_QUIZ (Dashboard Quiz Management). Every row below is a LIVE FORMULA — no manual entry.</t>
  </si>
  <si>
    <t>A. PRE vs POST AR MODULE SCORE — BY SUBJECT (from Published AR Content)</t>
  </si>
  <si>
    <t>Subject</t>
  </si>
  <si>
    <t>Modules Published</t>
  </si>
  <si>
    <t>Avg Pre-Module Score %</t>
  </si>
  <si>
    <t>Avg Post-Module Score %</t>
  </si>
  <si>
    <t>Score Uplift (pp)</t>
  </si>
  <si>
    <t>AR Completion %</t>
  </si>
  <si>
    <t>Quizzes Published</t>
  </si>
  <si>
    <t>Science</t>
  </si>
  <si>
    <t>Mathematics</t>
  </si>
  <si>
    <t>History</t>
  </si>
  <si>
    <t>Geography</t>
  </si>
  <si>
    <t>Biology</t>
  </si>
  <si>
    <t>Chemistry</t>
  </si>
  <si>
    <t>Physics</t>
  </si>
  <si>
    <t>English</t>
  </si>
  <si>
    <t>Hindi</t>
  </si>
  <si>
    <t>Environmental Science</t>
  </si>
  <si>
    <t>Civics</t>
  </si>
  <si>
    <t>Economics</t>
  </si>
  <si>
    <t>Computer Science</t>
  </si>
  <si>
    <t>B. AR MODULE LEARNING IMPACT — TOP MODULES (from Published Content)</t>
  </si>
  <si>
    <t>AR Module Title</t>
  </si>
  <si>
    <t>Class</t>
  </si>
  <si>
    <t>Launches</t>
  </si>
  <si>
    <t>Completion %</t>
  </si>
  <si>
    <t>Pre→Post Uplift (pp)</t>
  </si>
  <si>
    <t>Replay %</t>
  </si>
  <si>
    <t>AR Tier</t>
  </si>
  <si>
    <t>Solar System 3D</t>
  </si>
  <si>
    <t>Class 8</t>
  </si>
  <si>
    <t>Animated</t>
  </si>
  <si>
    <t>Source: RAW_AR_CONTENT</t>
  </si>
  <si>
    <t>Cell Division</t>
  </si>
  <si>
    <t>Class 9</t>
  </si>
  <si>
    <t>Interactive</t>
  </si>
  <si>
    <t>Atoms and Molecules</t>
  </si>
  <si>
    <t>Photosynthesis</t>
  </si>
  <si>
    <t>Class 7</t>
  </si>
  <si>
    <t>Basic 3D</t>
  </si>
  <si>
    <t>Fractions 3D Model</t>
  </si>
  <si>
    <t>Trigonometry 3D</t>
  </si>
  <si>
    <t>Class 10</t>
  </si>
  <si>
    <t>Mughal Empire AR</t>
  </si>
  <si>
    <t>Water Cycle Simulation</t>
  </si>
  <si>
    <t>Class 6</t>
  </si>
  <si>
    <t>Human Anatomy AR</t>
  </si>
  <si>
    <t>Class 11</t>
  </si>
  <si>
    <t>Fully Immersive</t>
  </si>
  <si>
    <t>Laws of Motion</t>
  </si>
  <si>
    <t>Periodic Table 3D</t>
  </si>
  <si>
    <t>Electricity Circuits</t>
  </si>
  <si>
    <t>Indian Constitution</t>
  </si>
  <si>
    <t>Food Chain</t>
  </si>
  <si>
    <t>Quadratic Equations</t>
  </si>
  <si>
    <t>DISTRICT-LEVEL DRILLDOWN</t>
  </si>
  <si>
    <t>SOURCE: RAW_DISTRICT. Shows every district of the selected state (or all districts nationally if All India). Updates live with Sheet 02 scope.</t>
  </si>
  <si>
    <t>District</t>
  </si>
  <si>
    <t>State</t>
  </si>
  <si>
    <t>Area Type</t>
  </si>
  <si>
    <t>Connectivity</t>
  </si>
  <si>
    <t>Risk Level</t>
  </si>
  <si>
    <t>QUIZ &amp; ASSESSMENT PERFORMANCE</t>
  </si>
  <si>
    <t>SOURCE: RAW_QUIZ (Dashboard Quiz Management + App Quiz Response Telemetry). All values are LIVE FORMULAS.</t>
  </si>
  <si>
    <t>A. QUIZ PERFORMANCE BY SUBJECT</t>
  </si>
  <si>
    <t>Total Attempts</t>
  </si>
  <si>
    <t>Avg Score %</t>
  </si>
  <si>
    <t>Completions</t>
  </si>
  <si>
    <t>Abandoned</t>
  </si>
  <si>
    <t>Abandon %</t>
  </si>
  <si>
    <t>B. QUIZ PERFORMANCE BY BLOOM'S TAXONOMY LEVEL</t>
  </si>
  <si>
    <t>Bloom's Level</t>
  </si>
  <si>
    <t>Quizzes Tagged</t>
  </si>
  <si>
    <t>National Target %</t>
  </si>
  <si>
    <t>Meets Target?</t>
  </si>
  <si>
    <t>L1 Remember</t>
  </si>
  <si>
    <t>≤ 30%</t>
  </si>
  <si>
    <t>L2 Understand</t>
  </si>
  <si>
    <t>≥ 20%</t>
  </si>
  <si>
    <t>L3 Apply</t>
  </si>
  <si>
    <t>L4 Analyse</t>
  </si>
  <si>
    <t>≥ 15%</t>
  </si>
  <si>
    <t>L5 Evaluate</t>
  </si>
  <si>
    <t>≥ 10%</t>
  </si>
  <si>
    <t>L6 Create</t>
  </si>
  <si>
    <t>≥ 5%</t>
  </si>
  <si>
    <t>C. QUIZ PERFORMANCE BY LANGUAGE</t>
  </si>
  <si>
    <t>Language</t>
  </si>
  <si>
    <t>Quizzes Available</t>
  </si>
  <si>
    <t>Score vs Hindi (pp)</t>
  </si>
  <si>
    <t>Assamese</t>
  </si>
  <si>
    <t>Bengali</t>
  </si>
  <si>
    <t>Bodo</t>
  </si>
  <si>
    <t>Dogri</t>
  </si>
  <si>
    <t>Gujarati</t>
  </si>
  <si>
    <t>Kannada</t>
  </si>
  <si>
    <t>Kashmiri</t>
  </si>
  <si>
    <t>Konkani</t>
  </si>
  <si>
    <t>Maithili</t>
  </si>
  <si>
    <t>Malayalam</t>
  </si>
  <si>
    <t>Manipuri</t>
  </si>
  <si>
    <t>Marathi</t>
  </si>
  <si>
    <t>Nepali</t>
  </si>
  <si>
    <t>Odia</t>
  </si>
  <si>
    <t>Punjabi</t>
  </si>
  <si>
    <t>Sanskrit</t>
  </si>
  <si>
    <t>Santali</t>
  </si>
  <si>
    <t>Sindhi</t>
  </si>
  <si>
    <t>Tamil</t>
  </si>
  <si>
    <t>Telugu</t>
  </si>
  <si>
    <t>Urdu</t>
  </si>
  <si>
    <t>CURRICULUM MAP — LIVE AR CONTENT INVENTORY</t>
  </si>
  <si>
    <t>LIVE MIRROR of RAW_AR_CONTENT, filtered to selected scope. Use column filter buttons below to drill into any field (Subject, Class, Tier, Status, Board, Language). Source: Dashboard Curriculum Map — no manual entries.</t>
  </si>
  <si>
    <t>Status</t>
  </si>
  <si>
    <t>NCERT Mapped</t>
  </si>
  <si>
    <t>Board</t>
  </si>
  <si>
    <t>Total Launches</t>
  </si>
  <si>
    <t>Unique Students</t>
  </si>
  <si>
    <t>Avg Dwell (min)</t>
  </si>
  <si>
    <t>Pre-Module Avg Score %</t>
  </si>
  <si>
    <t>Post-Module Avg Score %</t>
  </si>
  <si>
    <t>Published Date</t>
  </si>
  <si>
    <t>QUIZ BANK — LIVE QUIZ INVENTORY</t>
  </si>
  <si>
    <t>LIVE MIRROR of RAW_QUIZ, filtered to selected scope. Use column filter buttons to drill into any field. Source: Dashboard Quiz Management + App Quiz Response Telemetry — no manual entries.</t>
  </si>
  <si>
    <t>Quiz Title</t>
  </si>
  <si>
    <t>Bloom's Level Focus</t>
  </si>
  <si>
    <t>Questions Count</t>
  </si>
  <si>
    <t>Attempts This Month</t>
  </si>
  <si>
    <t>Correct Answers</t>
  </si>
  <si>
    <t>Abandoned Attempts</t>
  </si>
  <si>
    <t>Total Attempt Time (min)</t>
  </si>
  <si>
    <t>COMPLIANCE STATUS &amp; ACTIVE ALERTS</t>
  </si>
  <si>
    <t>SOURCE: RAW_DISTRICT Risk Level + Aspirational District flags. Compliance items reference Dashboard Security/Audit logs. No manual entries.</t>
  </si>
  <si>
    <t>A. AT-RISK DISTRICTS — LIVE FLAGS</t>
  </si>
  <si>
    <t>% of Districts in Scope</t>
  </si>
  <si>
    <t>Avg Active Users in Tier</t>
  </si>
  <si>
    <t>Top Affected District</t>
  </si>
  <si>
    <t>Action Threshold</t>
  </si>
  <si>
    <t>No Risk</t>
  </si>
  <si>
    <t>Watch</t>
  </si>
  <si>
    <t>At Risk</t>
  </si>
  <si>
    <t>Critical</t>
  </si>
  <si>
    <t>B. ASPIRATIONAL DISTRICTS — LIVE STATUS</t>
  </si>
  <si>
    <t>% of Total ADP Districts</t>
  </si>
  <si>
    <t>Avg Quiz Score</t>
  </si>
  <si>
    <t>Avg AR Completion</t>
  </si>
  <si>
    <t>Avg Active Users</t>
  </si>
  <si>
    <t>ADP Districts in Scope</t>
  </si>
  <si>
    <t>112 nationally</t>
  </si>
  <si>
    <t>C. DPDPA 2023 &amp; SECURITY COMPLIANCE — PLATFORM-WIDE (National Scope Only)</t>
  </si>
  <si>
    <t>Compliance Metric</t>
  </si>
  <si>
    <t>Target</t>
  </si>
  <si>
    <t>Legal Provision</t>
  </si>
  <si>
    <t>Last Verified</t>
  </si>
  <si>
    <t>Source</t>
  </si>
  <si>
    <t>Student Data Consent Granted %</t>
  </si>
  <si>
    <t>100%</t>
  </si>
  <si>
    <t>Low</t>
  </si>
  <si>
    <t>DPDPA 2023 §6</t>
  </si>
  <si>
    <t>Dashboard Audit Log</t>
  </si>
  <si>
    <t>Parental Consent for Under-18 %</t>
  </si>
  <si>
    <t>High</t>
  </si>
  <si>
    <t>DPDPA 2023 §9</t>
  </si>
  <si>
    <t>Mandatory</t>
  </si>
  <si>
    <t>Data Deletion Requests Fulfilled %</t>
  </si>
  <si>
    <t>DPDPA §13</t>
  </si>
  <si>
    <t>PII Encrypted in Transit %</t>
  </si>
  <si>
    <t>IT Act §43A</t>
  </si>
  <si>
    <t>Backend Security Log</t>
  </si>
  <si>
    <t>TLS 1.3</t>
  </si>
  <si>
    <t>PII Encrypted at Rest %</t>
  </si>
  <si>
    <t>AES-256</t>
  </si>
  <si>
    <t>Data Localization (India servers only)</t>
  </si>
  <si>
    <t>Compliant</t>
  </si>
  <si>
    <t>Infra Audit</t>
  </si>
  <si>
    <t>2FA Adoption — All Admins %</t>
  </si>
  <si>
    <t>CERT-In 2022</t>
  </si>
  <si>
    <t>Dashboard Admin Log</t>
  </si>
  <si>
    <t>Audit Log Completeness %</t>
  </si>
  <si>
    <t>Backend Audit Log</t>
  </si>
  <si>
    <t>Child Safety Content Flags</t>
  </si>
  <si>
    <t>0</t>
  </si>
  <si>
    <t>POCSO Act</t>
  </si>
  <si>
    <t>Content Moderation Log</t>
  </si>
  <si>
    <t>MITRA — MONTHLY GOVERNMENT KPI SUMMARY</t>
  </si>
  <si>
    <t>P1 — REACH &amp; ENGAGEMENT  (live link to Sheet 03)</t>
  </si>
  <si>
    <t>KPI</t>
  </si>
  <si>
    <t>Districts in Scope</t>
  </si>
  <si>
    <t>PPT Chart Type</t>
  </si>
  <si>
    <t>KPI Card</t>
  </si>
  <si>
    <t>Gauge Chart</t>
  </si>
  <si>
    <t>P2 — LEARNING OUTCOMES  (live link to Sheet 04)</t>
  </si>
  <si>
    <t>Top Subject</t>
  </si>
  <si>
    <t>Bottom Subject</t>
  </si>
  <si>
    <t>Avg Pre-Module Score % (National)</t>
  </si>
  <si>
    <t>Bar Chart</t>
  </si>
  <si>
    <t>Avg Post-Module Score % (National)</t>
  </si>
  <si>
    <t>Avg Score Uplift (pp)</t>
  </si>
  <si>
    <t>≥ 10 pp</t>
  </si>
  <si>
    <t>Key learning signal</t>
  </si>
  <si>
    <t>Avg AR Completion % (National)</t>
  </si>
  <si>
    <t>Avg Quiz Score % (National)</t>
  </si>
  <si>
    <t>P3 — QUIZ &amp; ASSESSMENT  (live link to Sheet 06)</t>
  </si>
  <si>
    <t>National Avg Quiz Score % (by Subject avg)</t>
  </si>
  <si>
    <t>Avg Completion % (by Subject avg)</t>
  </si>
  <si>
    <t>≥ 80%</t>
  </si>
  <si>
    <t>Bloom's L1 Remember Share %</t>
  </si>
  <si>
    <t>Bloom's L3 Apply Share %</t>
  </si>
  <si>
    <t>P4 — RISK &amp; COMPLIANCE  (live link to Sheet 09)</t>
  </si>
  <si>
    <t>% of Scope</t>
  </si>
  <si>
    <t>Severity</t>
  </si>
  <si>
    <t>Critical Risk Districts</t>
  </si>
  <si>
    <t>Pie Chart</t>
  </si>
  <si>
    <t>At-Risk Districts</t>
  </si>
  <si>
    <t>Watch-List Districts</t>
  </si>
  <si>
    <t>Medium</t>
  </si>
  <si>
    <t>P5 — CONTENT &amp; CURRICULUM  (live link to Sheets 07-08)</t>
  </si>
  <si>
    <t>AR Modules Published in Scope</t>
  </si>
  <si>
    <t>Quizzes Published in Scope</t>
  </si>
  <si>
    <t>PPT GENERATION NOTES — FOR ENGINE</t>
  </si>
  <si>
    <t>Instruction</t>
  </si>
  <si>
    <t>Detail</t>
  </si>
  <si>
    <t>Slide 1 — Title</t>
  </si>
  <si>
    <t>Use cell A2 (dynamic scope title) as the presentation subtitle.</t>
  </si>
  <si>
    <t>Slide 2 — Reach KPIs</t>
  </si>
  <si>
    <t>Pull P1 block as KPI cards (4-6 cards per slide).</t>
  </si>
  <si>
    <t>Slide 3 — Learning Outcomes</t>
  </si>
  <si>
    <t>Pull P2 block as a bar chart: Pre vs Post score by subject (source: Sheet 04 rows 6-18).</t>
  </si>
  <si>
    <t>Slide 4 — Quiz Performance</t>
  </si>
  <si>
    <t>Pull P3 block + Sheet 06 Bloom's Level table as stacked bar.</t>
  </si>
  <si>
    <t>Slide 5 — Risk Map</t>
  </si>
  <si>
    <t>Pull P4 block as a pie/donut chart of district risk distribution.</t>
  </si>
  <si>
    <t>Slide 6 — District Drilldown</t>
  </si>
  <si>
    <t>If scope = a State, pull Sheet 05 (top 10 by Active Users) as a table slide.</t>
  </si>
  <si>
    <t>Slide 7 — Content Coverage</t>
  </si>
  <si>
    <t>Pull P5 block + Sheet 07/08 filtered counts as KPI cards.</t>
  </si>
  <si>
    <t>Data refresh</t>
  </si>
  <si>
    <t>All values in this sheet are LIVE FORMULAS. Re-run PPT generation after changing Sheet 02 scope or refreshing RAW_* sheets — no manual recalculation needed.</t>
  </si>
  <si>
    <t>SCHOOL &amp; BLOCK-LEVEL REACH</t>
  </si>
  <si>
    <t>SOURCE: RAW_DISTRICT (Schools Active, Teacher Logins columns). All figures are LIVE FORMULAS — no manual school-level entry.</t>
  </si>
  <si>
    <t>A. SCHOOLS &amp; TEACHER ENGAGEMENT — BY DISTRICT (in scope)</t>
  </si>
  <si>
    <t>Teacher Logins</t>
  </si>
  <si>
    <t>SESSION &amp; ENGAGEMENT ANALYTICS</t>
  </si>
  <si>
    <t>SOURCE: RAW_SESSION (App analytics telemetry). All cells are LIVE FORMULAS — feed data into RAW_SESSION sheet.</t>
  </si>
  <si>
    <t>A. SESSION VOLUME &amp; QUALITY KPIs</t>
  </si>
  <si>
    <t>Value (Scope)</t>
  </si>
  <si>
    <t>This Month</t>
  </si>
  <si>
    <t>Prev Month</t>
  </si>
  <si>
    <t>MoM Change</t>
  </si>
  <si>
    <t>Top State</t>
  </si>
  <si>
    <t>Bottom State</t>
  </si>
  <si>
    <t>Total Sessions (Scope)</t>
  </si>
  <si>
    <t>Avg Session Duration (min)</t>
  </si>
  <si>
    <t>≥ 12 min</t>
  </si>
  <si>
    <t>Bounce Sessions &lt; 1 min (%)</t>
  </si>
  <si>
    <t>&lt; 15%</t>
  </si>
  <si>
    <t>Sessions 1–5 min (%)</t>
  </si>
  <si>
    <t>Sessions 5–15 min (%)</t>
  </si>
  <si>
    <t>Sessions 15–30 min (%)</t>
  </si>
  <si>
    <t>Sessions &gt; 30 min (%)</t>
  </si>
  <si>
    <t>After-School Peak 4–8PM (%)</t>
  </si>
  <si>
    <t>In-School Hours 9AM–3PM (%)</t>
  </si>
  <si>
    <t>App Crash Rate (%)</t>
  </si>
  <si>
    <t>&lt; 0.5%</t>
  </si>
  <si>
    <t>Cold Start Load Time (sec)</t>
  </si>
  <si>
    <t>&lt; 3 sec</t>
  </si>
  <si>
    <t>ANR Rate (%)</t>
  </si>
  <si>
    <t>&lt; 1%</t>
  </si>
  <si>
    <t>13</t>
  </si>
  <si>
    <t>Rage Tap Events (Total)</t>
  </si>
  <si>
    <t>B. NAVIGATION &amp; SCREEN BEHAVIOUR — BY STATE (from App Telemetry)</t>
  </si>
  <si>
    <t>Screen / Event</t>
  </si>
  <si>
    <t>Sessions</t>
  </si>
  <si>
    <t>% of Total</t>
  </si>
  <si>
    <t>Avg Time (sec)</t>
  </si>
  <si>
    <t>Exit Rate %</t>
  </si>
  <si>
    <t>Rage Taps</t>
  </si>
  <si>
    <t>Feature Discovery %</t>
  </si>
  <si>
    <t>Next Screen</t>
  </si>
  <si>
    <t>Home / Dashboard Screen</t>
  </si>
  <si>
    <t>Curriculum Map Screen</t>
  </si>
  <si>
    <t>Subject Selection Event</t>
  </si>
  <si>
    <t>Topic Selection Event</t>
  </si>
  <si>
    <t>AR Module Launch</t>
  </si>
  <si>
    <t>AR Module Completed</t>
  </si>
  <si>
    <t>Quiz Accessed Post-Module</t>
  </si>
  <si>
    <t>Search Feature Used</t>
  </si>
  <si>
    <t>Language Toggle Used</t>
  </si>
  <si>
    <t>Accessibility Panel Opened</t>
  </si>
  <si>
    <t>Offline Mode Triggered</t>
  </si>
  <si>
    <t>Notification Tap → App Open</t>
  </si>
  <si>
    <t>AR Interrupted (Backgrounded)</t>
  </si>
  <si>
    <t>Settings Screen Accessed</t>
  </si>
  <si>
    <t>Profile / Progress Screen</t>
  </si>
  <si>
    <t>C. STUDENT JOURNEY FUNNEL — SCOPE VIEW</t>
  </si>
  <si>
    <t>Funnel Stage</t>
  </si>
  <si>
    <t>Users (Scope)</t>
  </si>
  <si>
    <t>Drop-off from Prev</t>
  </si>
  <si>
    <t>Drop-off %</t>
  </si>
  <si>
    <t>Target %</t>
  </si>
  <si>
    <t>Gap to Target</t>
  </si>
  <si>
    <t>App Installed (Cumulative)</t>
  </si>
  <si>
    <t>RAW_DISTRICT: Active Users col</t>
  </si>
  <si>
    <t>Baseline</t>
  </si>
  <si>
    <t>Account Registered</t>
  </si>
  <si>
    <t>85%</t>
  </si>
  <si>
    <t>RAW_SESSION telemetry</t>
  </si>
  <si>
    <t>First AR Module Launched</t>
  </si>
  <si>
    <t>60%</t>
  </si>
  <si>
    <t>RAW_AR_CONTENT: Unique Students</t>
  </si>
  <si>
    <t>Activation</t>
  </si>
  <si>
    <t>First Quiz Attempted</t>
  </si>
  <si>
    <t>50%</t>
  </si>
  <si>
    <t>RAW_QUIZ: Unique Students</t>
  </si>
  <si>
    <t>Active at 7 Days</t>
  </si>
  <si>
    <t>40%</t>
  </si>
  <si>
    <t>RAW_SESSION retention</t>
  </si>
  <si>
    <t>Retention</t>
  </si>
  <si>
    <t>Active at 30 Days</t>
  </si>
  <si>
    <t>25%</t>
  </si>
  <si>
    <t>STUDENT COHORT ANALYTICS &amp; EQUITY METRICS</t>
  </si>
  <si>
    <t>SOURCE: RAW_DISTRICT (Area Type) + RAW_SESSION (retention) + App telemetry. Equity metrics require demographics to be captured in dashboard registration flow.</t>
  </si>
  <si>
    <t>A. ENGAGEMENT TIER SEGMENTATION (from RAW_DISTRICT active user distribution)</t>
  </si>
  <si>
    <t>Tier</t>
  </si>
  <si>
    <t>District Count (Scope)</t>
  </si>
  <si>
    <t>Avg AR Completion %</t>
  </si>
  <si>
    <t>MoM Tier Movement</t>
  </si>
  <si>
    <t>Top District</t>
  </si>
  <si>
    <t>Power Districts</t>
  </si>
  <si>
    <t>Regular Districts</t>
  </si>
  <si>
    <t>Active users 40–80th percentile</t>
  </si>
  <si>
    <t>Low Activity Districts</t>
  </si>
  <si>
    <t>Zero Activity Districts</t>
  </si>
  <si>
    <t>No sessions this month</t>
  </si>
  <si>
    <t>B. GENDER-DISAGGREGATED ANALYTICS (from App Registration Telemetry)</t>
  </si>
  <si>
    <t>Gender</t>
  </si>
  <si>
    <t>% of MAU</t>
  </si>
  <si>
    <t>MoM Change %</t>
  </si>
  <si>
    <t>Male</t>
  </si>
  <si>
    <t>App registration data</t>
  </si>
  <si>
    <t>Female</t>
  </si>
  <si>
    <t>Transgender</t>
  </si>
  <si>
    <t>Not Disclosed</t>
  </si>
  <si>
    <t>C. SOCIAL CATEGORY (SC/ST/OBC/GEN) OUTCOMES</t>
  </si>
  <si>
    <t>Social Category</t>
  </si>
  <si>
    <t>Score Gap vs General (pp)</t>
  </si>
  <si>
    <t>Lowest State</t>
  </si>
  <si>
    <t>NEP 2020 Equity Flag</t>
  </si>
  <si>
    <t>General</t>
  </si>
  <si>
    <t>OBC</t>
  </si>
  <si>
    <t>SC</t>
  </si>
  <si>
    <t>ST</t>
  </si>
  <si>
    <t>EWS</t>
  </si>
  <si>
    <t>D. URBAN vs RURAL LEARNING GAP (from RAW_DISTRICT Area Type)</t>
  </si>
  <si>
    <t>Avg Session (min)</t>
  </si>
  <si>
    <t>Device AR-Capable %</t>
  </si>
  <si>
    <t>Score Gap vs Urban (pp)</t>
  </si>
  <si>
    <t>Urban</t>
  </si>
  <si>
    <t>Semi-Urban</t>
  </si>
  <si>
    <t>Rural</t>
  </si>
  <si>
    <t>Tribal / Remote</t>
  </si>
  <si>
    <t>E. FIRST 7-DAY BEHAVIOUR — RETENTION PREDICTOR</t>
  </si>
  <si>
    <t>Behaviour in First 7 Days</t>
  </si>
  <si>
    <t>Users Who Did This</t>
  </si>
  <si>
    <t>% of New Users</t>
  </si>
  <si>
    <t>30-Day Retention Rate</t>
  </si>
  <si>
    <t>90-Day Retention Rate</t>
  </si>
  <si>
    <t>Strongest Predictor?</t>
  </si>
  <si>
    <t>Completed ≥ 1 AR module in Day 1</t>
  </si>
  <si>
    <t>RAW_SESSION retention data</t>
  </si>
  <si>
    <t>Attempted ≥ 1 quiz in first 3 days</t>
  </si>
  <si>
    <t>≥ 3 sessions in first week</t>
  </si>
  <si>
    <t>Enabled TTS or Accessibility</t>
  </si>
  <si>
    <t>Opened app on ≥ 5 different days</t>
  </si>
  <si>
    <t>Replied to first push notification</t>
  </si>
  <si>
    <t>None of the above (passive install)</t>
  </si>
  <si>
    <t>P80_THRESHOLD (helper)</t>
  </si>
  <si>
    <t>P40_THRESHOLD (helper)</t>
  </si>
  <si>
    <t>GEOGRAPHIC REACH, GEOFENCE &amp; ADP TRACKER</t>
  </si>
  <si>
    <t>SOURCE: RAW_DISTRICT (all geographic fields) + Dashboard Geofence configuration. All aggregation formulas are scope-aware.</t>
  </si>
  <si>
    <t>A. STATE-LEVEL HEATMAP DATA (All 36 States — scope-filtered)</t>
  </si>
  <si>
    <t>Total Users</t>
  </si>
  <si>
    <t>MAU</t>
  </si>
  <si>
    <t>Geofences Active</t>
  </si>
  <si>
    <t>Districts Covered</t>
  </si>
  <si>
    <t>Andaman and Nicobar Islands</t>
  </si>
  <si>
    <t>Andhra Pradesh</t>
  </si>
  <si>
    <t>Arunachal Pradesh</t>
  </si>
  <si>
    <t>Assam</t>
  </si>
  <si>
    <t>Bihar</t>
  </si>
  <si>
    <t>Chandigarh</t>
  </si>
  <si>
    <t>Chhattisgarh</t>
  </si>
  <si>
    <t>Dadra and Nagar Haveli and Daman and Diu</t>
  </si>
  <si>
    <t>Delhi</t>
  </si>
  <si>
    <t>Goa</t>
  </si>
  <si>
    <t>Gujarat</t>
  </si>
  <si>
    <t>Haryana</t>
  </si>
  <si>
    <t>Himachal Pradesh</t>
  </si>
  <si>
    <t>Jammu and Kashmir</t>
  </si>
  <si>
    <t>Jharkhand</t>
  </si>
  <si>
    <t>Karnataka</t>
  </si>
  <si>
    <t>Kerala</t>
  </si>
  <si>
    <t>Ladakh</t>
  </si>
  <si>
    <t>Lakshadweep</t>
  </si>
  <si>
    <t>Madhya Pradesh</t>
  </si>
  <si>
    <t>Maharashtra</t>
  </si>
  <si>
    <t>Manipur</t>
  </si>
  <si>
    <t>Meghalaya</t>
  </si>
  <si>
    <t>Mizoram</t>
  </si>
  <si>
    <t>Nagaland</t>
  </si>
  <si>
    <t>Odisha</t>
  </si>
  <si>
    <t>Puducherry</t>
  </si>
  <si>
    <t>Punjab</t>
  </si>
  <si>
    <t>Rajasthan</t>
  </si>
  <si>
    <t>Sikkim</t>
  </si>
  <si>
    <t>Tamil Nadu</t>
  </si>
  <si>
    <t>Telangana</t>
  </si>
  <si>
    <t>Tripura</t>
  </si>
  <si>
    <t>Uttar Pradesh</t>
  </si>
  <si>
    <t>Uttarakhand</t>
  </si>
  <si>
    <t>West Bengal</t>
  </si>
  <si>
    <t>B. OFFLINE vs ONLINE BREAKDOWN — KEY LOW-CONNECTIVITY DISTRICTS</t>
  </si>
  <si>
    <t>Online Sessions</t>
  </si>
  <si>
    <t>Offline %</t>
  </si>
  <si>
    <t>Avg Offline Duration (min)</t>
  </si>
  <si>
    <t>Modules Cached</t>
  </si>
  <si>
    <t>Sync Events</t>
  </si>
  <si>
    <t>Sync Success Rate %</t>
  </si>
  <si>
    <t>Jaisalmer</t>
  </si>
  <si>
    <t>Barmer</t>
  </si>
  <si>
    <t>Sonbhadra</t>
  </si>
  <si>
    <t>Araria</t>
  </si>
  <si>
    <t>Kishanganj</t>
  </si>
  <si>
    <t>Karbi Anglong</t>
  </si>
  <si>
    <t>West Singhbhum</t>
  </si>
  <si>
    <t>Malkangiri</t>
  </si>
  <si>
    <t>Sukma</t>
  </si>
  <si>
    <t>Alirajpur</t>
  </si>
  <si>
    <t>East Garo Hills</t>
  </si>
  <si>
    <t>Mon</t>
  </si>
  <si>
    <t>Kurung Kumey</t>
  </si>
  <si>
    <t>Tamenglong</t>
  </si>
  <si>
    <t>Dhalai</t>
  </si>
  <si>
    <t>C. ASPIRATIONAL DISTRICTS PROGRAMME (ADP) — LIVE STATUS</t>
  </si>
  <si>
    <t>ADP District</t>
  </si>
  <si>
    <t>ADP Rank</t>
  </si>
  <si>
    <t>MITRA Active Users</t>
  </si>
  <si>
    <t>Score vs Non-ADP (pp)</t>
  </si>
  <si>
    <t>Improvement MoM</t>
  </si>
  <si>
    <t>Priority Action</t>
  </si>
  <si>
    <t>YSR Kadapa</t>
  </si>
  <si>
    <t>Udalguri</t>
  </si>
  <si>
    <t>Begusarai</t>
  </si>
  <si>
    <t>Bijapur</t>
  </si>
  <si>
    <t>Dantewada</t>
  </si>
  <si>
    <t>Kondagaon</t>
  </si>
  <si>
    <t>Dang</t>
  </si>
  <si>
    <t>Chamba</t>
  </si>
  <si>
    <t>Khunti</t>
  </si>
  <si>
    <t>Pakur</t>
  </si>
  <si>
    <t>Raichur</t>
  </si>
  <si>
    <t>Yadgir</t>
  </si>
  <si>
    <t>14</t>
  </si>
  <si>
    <t>Barwani</t>
  </si>
  <si>
    <t>15</t>
  </si>
  <si>
    <t>Vidisha</t>
  </si>
  <si>
    <t>16</t>
  </si>
  <si>
    <t>Nandurbar</t>
  </si>
  <si>
    <t>17</t>
  </si>
  <si>
    <t>Chandel</t>
  </si>
  <si>
    <t>18</t>
  </si>
  <si>
    <t>Ri Bhoi</t>
  </si>
  <si>
    <t>19</t>
  </si>
  <si>
    <t>20</t>
  </si>
  <si>
    <t>21</t>
  </si>
  <si>
    <t>Rayagada</t>
  </si>
  <si>
    <t>22</t>
  </si>
  <si>
    <t>Baran</t>
  </si>
  <si>
    <t>23</t>
  </si>
  <si>
    <t>Jalore</t>
  </si>
  <si>
    <t>24</t>
  </si>
  <si>
    <t>Kumuram Bheem</t>
  </si>
  <si>
    <t>25</t>
  </si>
  <si>
    <t>Bahraich</t>
  </si>
  <si>
    <t>26</t>
  </si>
  <si>
    <t>Siddharthnagar</t>
  </si>
  <si>
    <t>27</t>
  </si>
  <si>
    <t>Uttar Dinajpur</t>
  </si>
  <si>
    <t>DEVICE CAPABILITY &amp; CONNECTIVITY ANALYTICS</t>
  </si>
  <si>
    <t>SOURCE: RAW_DEVICE (App device telemetry export). All values are LIVE FORMULAS reading from RAW_DEVICE, filtered to SelectedScope.</t>
  </si>
  <si>
    <t>A. DEVICE CAPABILITY LANDSCAPE (Scope-Aggregated)</t>
  </si>
  <si>
    <t>Device / Metric</t>
  </si>
  <si>
    <t>% of Total Devices</t>
  </si>
  <si>
    <t>State with Highest %</t>
  </si>
  <si>
    <t>State with Lowest %</t>
  </si>
  <si>
    <t>Action Required</t>
  </si>
  <si>
    <t>AR-Capable Devices (Count)</t>
  </si>
  <si>
    <t>Total Devices (Count)</t>
  </si>
  <si>
    <t>Devices &lt; 2 GB RAM</t>
  </si>
  <si>
    <t>Devices 2–4 GB RAM</t>
  </si>
  <si>
    <t>Devices &gt; 4 GB RAM</t>
  </si>
  <si>
    <t>Android 8 and below</t>
  </si>
  <si>
    <t>&lt; 5%</t>
  </si>
  <si>
    <t>Android 9–11</t>
  </si>
  <si>
    <t>Android 12+</t>
  </si>
  <si>
    <t>iOS Devices</t>
  </si>
  <si>
    <t>WiFi Sessions %</t>
  </si>
  <si>
    <t>4G/LTE Sessions %</t>
  </si>
  <si>
    <t>3G Sessions %</t>
  </si>
  <si>
    <t>2G/Edge Sessions %</t>
  </si>
  <si>
    <t>Offline Sessions %</t>
  </si>
  <si>
    <t>Avg Battery Drain per AR Session %</t>
  </si>
  <si>
    <t>&lt; 8%</t>
  </si>
  <si>
    <t>B. CONNECTIVITY PROFILE BY STATE (from RAW_DEVICE)</t>
  </si>
  <si>
    <t>AR-Capable Devices</t>
  </si>
  <si>
    <t>4G Sessions %</t>
  </si>
  <si>
    <t>Avg Battery Drain %</t>
  </si>
  <si>
    <t>LANGUAGE, MEDIUM &amp; ACCESSIBILITY ANALYTICS</t>
  </si>
  <si>
    <t>SOURCE: RAW_LANGUAGE (App language/accessibility telemetry). Scope-aware — all values filtered to SelectedScope via SUMPRODUCT formulas.</t>
  </si>
  <si>
    <t>A. LANGUAGE USAGE BY STATE (from RAW_LANGUAGE)</t>
  </si>
  <si>
    <t>Primary Language Used</t>
  </si>
  <si>
    <t>Sessions in Primary Lang</t>
  </si>
  <si>
    <t>Sessions in Hindi</t>
  </si>
  <si>
    <t>Sessions in English</t>
  </si>
  <si>
    <t>Language Switches/Session</t>
  </si>
  <si>
    <t>TTS Used %</t>
  </si>
  <si>
    <t>Subtitles Used %</t>
  </si>
  <si>
    <t>B. MEDIUM OF INSTRUCTION — OUTCOME ANALYSIS (from App Telemetry)</t>
  </si>
  <si>
    <t>Score vs English Baseline (pp)</t>
  </si>
  <si>
    <t>States Dominant</t>
  </si>
  <si>
    <t>Preferred Subject</t>
  </si>
  <si>
    <t>Hindi Medium</t>
  </si>
  <si>
    <t>English Medium</t>
  </si>
  <si>
    <t>Regional Language Medium</t>
  </si>
  <si>
    <t>Bilingual Hindi+Regional</t>
  </si>
  <si>
    <t>Bilingual English+Regional</t>
  </si>
  <si>
    <t>C. ACCESSIBILITY FEATURE UTILIZATION (from RAW_LANGUAGE)</t>
  </si>
  <si>
    <t>Accessibility Feature</t>
  </si>
  <si>
    <t>Users Using It</t>
  </si>
  <si>
    <t>% of MAU (Scope)</t>
  </si>
  <si>
    <t>Most Used State</t>
  </si>
  <si>
    <t>Most Used Class</t>
  </si>
  <si>
    <t>MoM Δ %</t>
  </si>
  <si>
    <t>Avg Session Longer With Feature?</t>
  </si>
  <si>
    <t>Feature Availability?</t>
  </si>
  <si>
    <t>Text-to-Speech — Hindi</t>
  </si>
  <si>
    <t>Text-to-Speech — Regional Language</t>
  </si>
  <si>
    <t>Text-to-Speech — English</t>
  </si>
  <si>
    <t>Subtitles / Closed Captions</t>
  </si>
  <si>
    <t>High Contrast Mode</t>
  </si>
  <si>
    <t>Large Text Mode</t>
  </si>
  <si>
    <t>Color Blind Mode</t>
  </si>
  <si>
    <t>Slow Animation Mode</t>
  </si>
  <si>
    <t>Screen Reader Compatibility</t>
  </si>
  <si>
    <t>2D Fallback Mode (non-AR)</t>
  </si>
  <si>
    <t>Haptic Feedback</t>
  </si>
  <si>
    <t>NOTIFICATION, PUSH &amp; RE-ENGAGEMENT ANALYTICS</t>
  </si>
  <si>
    <t>SOURCE: RAW_NOTIFICATION (Firebase FCM export). Scope-filtered SUMPRODUCT formulas aggregate by SelectedScope and notification type.</t>
  </si>
  <si>
    <t>A. CAMPAIGN PERFORMANCE BY NOTIFICATION TYPE</t>
  </si>
  <si>
    <t>Notification Type</t>
  </si>
  <si>
    <t>Total Sent (Scope)</t>
  </si>
  <si>
    <t>Delivered</t>
  </si>
  <si>
    <t>Delivery %</t>
  </si>
  <si>
    <t>Open Rate %</t>
  </si>
  <si>
    <t>CTR %</t>
  </si>
  <si>
    <t>Conversion %</t>
  </si>
  <si>
    <t>Opt-Outs</t>
  </si>
  <si>
    <t>Opt-Out Rate %</t>
  </si>
  <si>
    <t>New AR Module</t>
  </si>
  <si>
    <t>Quiz Reminder</t>
  </si>
  <si>
    <t>Weekly Progress</t>
  </si>
  <si>
    <t>Achievement Badge</t>
  </si>
  <si>
    <t>Exam Alert</t>
  </si>
  <si>
    <t>Govt Announcement</t>
  </si>
  <si>
    <t>District Campaign</t>
  </si>
  <si>
    <t>Re-engagement</t>
  </si>
  <si>
    <t>Offline Sync Done</t>
  </si>
  <si>
    <t>Content Update</t>
  </si>
  <si>
    <t>B. RE-ENGAGEMENT WIN-BACK EFFECTIVENESS</t>
  </si>
  <si>
    <t>Lapse Segment</t>
  </si>
  <si>
    <t>Users Targeted</t>
  </si>
  <si>
    <t>Re-engaged in 48hrs</t>
  </si>
  <si>
    <t>Win-back Rate %</t>
  </si>
  <si>
    <t>Notification Type Used</t>
  </si>
  <si>
    <t>Best Performing State</t>
  </si>
  <si>
    <t>Worst Performing State</t>
  </si>
  <si>
    <t>Avg Days to Re-engage</t>
  </si>
  <si>
    <t>Campaign Cost (₹)</t>
  </si>
  <si>
    <t>Inactive 7 Days</t>
  </si>
  <si>
    <t>Inactive 14 Days</t>
  </si>
  <si>
    <t>Inactive 30 Days</t>
  </si>
  <si>
    <t>Inactive 60 Days</t>
  </si>
  <si>
    <t>Never Opened App</t>
  </si>
  <si>
    <t>C. NOTIFICATION OPT-OUT TREND — ALL 36 STATES</t>
  </si>
  <si>
    <t>Total Subscribed</t>
  </si>
  <si>
    <t>Opt-Outs This Month</t>
  </si>
  <si>
    <t>Opt-Out Trigger Type</t>
  </si>
  <si>
    <t>MoM Opt-Out Change</t>
  </si>
  <si>
    <t>Action Taken</t>
  </si>
  <si>
    <t>Recalibration Done?</t>
  </si>
  <si>
    <t>CONTENT UPDATE, CDN &amp; SYNC LAG ANALYTICS</t>
  </si>
  <si>
    <t>SOURCE: RAW_CDN (Backend/CDN export). All platform-level metrics from CDN logs; state-level sync lag from RAW_CDN per-state rows.</t>
  </si>
  <si>
    <t>A. CDN PLATFORM-LEVEL KPIs (National Average from RAW_CDN)</t>
  </si>
  <si>
    <t>SLA Target</t>
  </si>
  <si>
    <t>SLA Met?</t>
  </si>
  <si>
    <t>National Avg</t>
  </si>
  <si>
    <t>Scope vs National</t>
  </si>
  <si>
    <t>State with Worst</t>
  </si>
  <si>
    <t>Action</t>
  </si>
  <si>
    <t>CDN Uptime (%)</t>
  </si>
  <si>
    <t>99.9%</t>
  </si>
  <si>
    <t>Avg CDN Response Time (ms)</t>
  </si>
  <si>
    <t>&lt; 500 ms</t>
  </si>
  <si>
    <t>CDN Cache Hit Rate (%)</t>
  </si>
  <si>
    <t>&gt; 80%</t>
  </si>
  <si>
    <t>Avg Content Sync Lag (days)</t>
  </si>
  <si>
    <t>&lt; 2 days</t>
  </si>
  <si>
    <t>Failed Sync Events (Total)</t>
  </si>
  <si>
    <t>App Latest Version Coverage (%)</t>
  </si>
  <si>
    <t>≥ 90%</t>
  </si>
  <si>
    <t>App Crash Rate % (avg)</t>
  </si>
  <si>
    <t>P95 API Latency (ms)</t>
  </si>
  <si>
    <t>&lt; 800 ms</t>
  </si>
  <si>
    <t>P99 API Latency (ms)</t>
  </si>
  <si>
    <t>&lt; 2000 ms</t>
  </si>
  <si>
    <t>B. APP VERSION UPDATE ADOPTION — ALL 36 STATES</t>
  </si>
  <si>
    <t>Users on Latest Version</t>
  </si>
  <si>
    <t>Users on Older Version</t>
  </si>
  <si>
    <t>Adoption Rate %</t>
  </si>
  <si>
    <t>Avg Sync Lag (Days)</t>
  </si>
  <si>
    <t>Received Date</t>
  </si>
  <si>
    <t>Lag (Days)</t>
  </si>
  <si>
    <t>PREDICTIVE ANALYTICS, CHURN ALERTS &amp; RETENTION COHORTS</t>
  </si>
  <si>
    <t>SOURCE: RAW_DISTRICT (Risk Level, MoM change) + RAW_SESSION (retention). At-risk district flags auto-calculate from RAW_DISTRICT data.</t>
  </si>
  <si>
    <t>A. AT-RISK DISTRICT FLAGS — LIVE FROM RAW_DISTRICT</t>
  </si>
  <si>
    <t>Current MAU</t>
  </si>
  <si>
    <t>Prev Month MAU</t>
  </si>
  <si>
    <t>Decline %</t>
  </si>
  <si>
    <t>Last Active Date</t>
  </si>
  <si>
    <t>Alert Sent?</t>
  </si>
  <si>
    <t>Decline Trigger</t>
  </si>
  <si>
    <t>Recommended Action</t>
  </si>
  <si>
    <t>Low sessions / Device issue / Holiday</t>
  </si>
  <si>
    <t>B. 12-MONTH RETENTION COHORT TABLE</t>
  </si>
  <si>
    <t>Cohort (Month Joined)</t>
  </si>
  <si>
    <t>Users in Cohort</t>
  </si>
  <si>
    <t>Active M1</t>
  </si>
  <si>
    <t>Active M3</t>
  </si>
  <si>
    <t>Active M6</t>
  </si>
  <si>
    <t>Active M12</t>
  </si>
  <si>
    <t>M1 Retention %</t>
  </si>
  <si>
    <t>M3 Retention %</t>
  </si>
  <si>
    <t>M6 Retention %</t>
  </si>
  <si>
    <t>M12 Retention %</t>
  </si>
  <si>
    <t>January 2025</t>
  </si>
  <si>
    <t>February 2025</t>
  </si>
  <si>
    <t>March 2025</t>
  </si>
  <si>
    <t>April 2025</t>
  </si>
  <si>
    <t>May 2025</t>
  </si>
  <si>
    <t>June 2025</t>
  </si>
  <si>
    <t>July 2025</t>
  </si>
  <si>
    <t>August 2025</t>
  </si>
  <si>
    <t>September 2025</t>
  </si>
  <si>
    <t>October 2025</t>
  </si>
  <si>
    <t>November 2025</t>
  </si>
  <si>
    <t>December 2025</t>
  </si>
  <si>
    <t>C. SEASONAL USAGE PATTERN TRACKER</t>
  </si>
  <si>
    <t>Month</t>
  </si>
  <si>
    <t>Expected Usage Index</t>
  </si>
  <si>
    <t>Actual Usage Index</t>
  </si>
  <si>
    <t>Variance</t>
  </si>
  <si>
    <t>Seasonal Event / Cause</t>
  </si>
  <si>
    <t>Campaign Sent?</t>
  </si>
  <si>
    <t>Campaign Type</t>
  </si>
  <si>
    <t>Recovery Time (Days)</t>
  </si>
  <si>
    <t>October</t>
  </si>
  <si>
    <t>Harvest / Dussehra</t>
  </si>
  <si>
    <t>November</t>
  </si>
  <si>
    <t>Chhath Puja</t>
  </si>
  <si>
    <t>Dussehra / Navratri</t>
  </si>
  <si>
    <t>September</t>
  </si>
  <si>
    <t>Ganesh Chaturthi</t>
  </si>
  <si>
    <t>August</t>
  </si>
  <si>
    <t>Onam</t>
  </si>
  <si>
    <t>Diwali</t>
  </si>
  <si>
    <t>Durga Puja</t>
  </si>
  <si>
    <t>January</t>
  </si>
  <si>
    <t>Pongal</t>
  </si>
  <si>
    <t>Navratri</t>
  </si>
  <si>
    <t>April</t>
  </si>
  <si>
    <t>Bihu</t>
  </si>
  <si>
    <t>FEEDBACK, SENTIMENT &amp; QUALITATIVE ANALYTICS</t>
  </si>
  <si>
    <t>SOURCE: RAW_FEEDBACK (In-app rating + NPS export). Module ratings and NPS auto-aggregate from RAW_FEEDBACK per scope.</t>
  </si>
  <si>
    <t>A. IN-APP MODULE RATING &amp; TAG ANALYSIS</t>
  </si>
  <si>
    <t>AR Module</t>
  </si>
  <si>
    <t>Avg Rating (1-5)</t>
  </si>
  <si>
    <t>Total Ratings</t>
  </si>
  <si>
    <t>% Loved It</t>
  </si>
  <si>
    <t>% Confusing</t>
  </si>
  <si>
    <t>% Too Fast</t>
  </si>
  <si>
    <t>% Too Easy</t>
  </si>
  <si>
    <t>% Boring</t>
  </si>
  <si>
    <t>Review / Monitor / OK</t>
  </si>
  <si>
    <t>B. NPS — STUDENT NET PROMOTER SCORE (from RAW_FEEDBACK)</t>
  </si>
  <si>
    <t>Respondents</t>
  </si>
  <si>
    <t>Promoters (9-10)</t>
  </si>
  <si>
    <t>Passives (7-8)</t>
  </si>
  <si>
    <t>Detractors (0-6)</t>
  </si>
  <si>
    <t>NPS Score</t>
  </si>
  <si>
    <t>Prev Quarter NPS</t>
  </si>
  <si>
    <t>NPS Change</t>
  </si>
  <si>
    <t>Key Theme</t>
  </si>
  <si>
    <t>C. CONTENT WISHLIST / MODULE REQUEST TRACKER</t>
  </si>
  <si>
    <t>Requested Topic</t>
  </si>
  <si>
    <t>Request Count</t>
  </si>
  <si>
    <t>Top Requesting State</t>
  </si>
  <si>
    <t>Exam Weightage</t>
  </si>
  <si>
    <t>AR Module Exists?</t>
  </si>
  <si>
    <t>Production Priority</t>
  </si>
  <si>
    <t>Target Release Month</t>
  </si>
  <si>
    <t>Digestive System 3D</t>
  </si>
  <si>
    <t>No</t>
  </si>
  <si>
    <t>P1</t>
  </si>
  <si>
    <t>Pythagorean Theorem</t>
  </si>
  <si>
    <t>World War II Timeline</t>
  </si>
  <si>
    <t>Climate Change Simulation</t>
  </si>
  <si>
    <t>Chemical Bonding 3D</t>
  </si>
  <si>
    <t>Indian Rivers 3D Map</t>
  </si>
  <si>
    <t>Ecosystem Food Chain</t>
  </si>
  <si>
    <t>Crop Production AR</t>
  </si>
  <si>
    <t>Agriculture</t>
  </si>
  <si>
    <t>D. TEACHER CONTENT QUALITY FEEDBACK (Quarterly)</t>
  </si>
  <si>
    <t>Module Name</t>
  </si>
  <si>
    <t>Teachers Rated</t>
  </si>
  <si>
    <t>Curriculum Alignment (1-5)</t>
  </si>
  <si>
    <t>Language Appropriateness (1-5)</t>
  </si>
  <si>
    <t>Student Response (1-5)</t>
  </si>
  <si>
    <t>Avg Teacher Score</t>
  </si>
  <si>
    <t>Improvement Needed?</t>
  </si>
  <si>
    <t>PLATFORM HEALTH, API SLA &amp; INFRASTRUCTURE ANALYTICS</t>
  </si>
  <si>
    <t>SOURCE: RAW_CDN (P95/P99 latency, crash rates) + Backend API monitoring export. Platform-wide metrics — scope narrows to state-specific CDN performance.</t>
  </si>
  <si>
    <t>A. API ENDPOINT HEALTH — LATENCY &amp; ERROR RATES</t>
  </si>
  <si>
    <t>API Endpoint</t>
  </si>
  <si>
    <t>Avg Response (ms)</t>
  </si>
  <si>
    <t>P95 Latency (ms)</t>
  </si>
  <si>
    <t>P99 Latency (ms)</t>
  </si>
  <si>
    <t>Error Rate %</t>
  </si>
  <si>
    <t>SLA Target (ms)</t>
  </si>
  <si>
    <t>Top Error Type</t>
  </si>
  <si>
    <t>/api/auth/login</t>
  </si>
  <si>
    <t>&lt; 300 ms</t>
  </si>
  <si>
    <t>Authentication</t>
  </si>
  <si>
    <t>/api/curriculum/tree</t>
  </si>
  <si>
    <t>Curriculum load</t>
  </si>
  <si>
    <t>/api/unity/assets</t>
  </si>
  <si>
    <t>AR asset fetch</t>
  </si>
  <si>
    <t>/api/quiz</t>
  </si>
  <si>
    <t>&lt; 400 ms</t>
  </si>
  <si>
    <t>Quiz list</t>
  </si>
  <si>
    <t>/api/quiz/{id}/submit</t>
  </si>
  <si>
    <t>Score submission</t>
  </si>
  <si>
    <t>/api/analytics/report</t>
  </si>
  <si>
    <t>Analytics fetch</t>
  </si>
  <si>
    <t>/api/geofence</t>
  </si>
  <si>
    <t>Geofence check</t>
  </si>
  <si>
    <t>/api/notifications/send</t>
  </si>
  <si>
    <t>Push trigger</t>
  </si>
  <si>
    <t>/api/user/profile</t>
  </si>
  <si>
    <t>Profile load</t>
  </si>
  <si>
    <t>/api/offline/sync</t>
  </si>
  <si>
    <t>&lt; 1000 ms</t>
  </si>
  <si>
    <t>Offline sync</t>
  </si>
  <si>
    <t>B. FIREBASE FCM PUSH DELIVERY FAILURE BREAKDOWN</t>
  </si>
  <si>
    <t>Failure Reason</t>
  </si>
  <si>
    <t>Count This Month</t>
  </si>
  <si>
    <t>% of Total Failures</t>
  </si>
  <si>
    <t>Prev Month Count</t>
  </si>
  <si>
    <t>MoM Δ</t>
  </si>
  <si>
    <t>State Most Affected</t>
  </si>
  <si>
    <t>Fix Required</t>
  </si>
  <si>
    <t>Priority</t>
  </si>
  <si>
    <t>Token Expired / Invalid</t>
  </si>
  <si>
    <t>Refresh token</t>
  </si>
  <si>
    <t>Users who uninstalled/reinstalled</t>
  </si>
  <si>
    <t>Device Offline at Send Time</t>
  </si>
  <si>
    <t>Schedule retry</t>
  </si>
  <si>
    <t>Expected for offline zones</t>
  </si>
  <si>
    <t>App Uninstalled</t>
  </si>
  <si>
    <t>Remove from list</t>
  </si>
  <si>
    <t>Churn confirmation signal</t>
  </si>
  <si>
    <t>FCM Rate Limit Hit</t>
  </si>
  <si>
    <t>Reduce burst</t>
  </si>
  <si>
    <t>Infra scaling needed</t>
  </si>
  <si>
    <t>Notification Opted Out</t>
  </si>
  <si>
    <t>Respect opt-out</t>
  </si>
  <si>
    <t>Compliance</t>
  </si>
  <si>
    <t>Payload Too Large (&gt; 4 KB)</t>
  </si>
  <si>
    <t>Reduce payload</t>
  </si>
  <si>
    <t>Android Battery Saver Blocked</t>
  </si>
  <si>
    <t>Foreground alert</t>
  </si>
  <si>
    <t>Low-end device issue</t>
  </si>
  <si>
    <t>C. SECURITY EVENTS LOG SUMMARY</t>
  </si>
  <si>
    <t>Event Type</t>
  </si>
  <si>
    <t>Resolved %</t>
  </si>
  <si>
    <t>Avg Resolution (hrs)</t>
  </si>
  <si>
    <t>Recurring?</t>
  </si>
  <si>
    <t>State Affected</t>
  </si>
  <si>
    <t>Root Cause</t>
  </si>
  <si>
    <t>Failed Login Attempts &gt; 5</t>
  </si>
  <si>
    <t>Brute force attempt</t>
  </si>
  <si>
    <t>IP block</t>
  </si>
  <si>
    <t>Role-Based Access Violations</t>
  </si>
  <si>
    <t>Config error / insider</t>
  </si>
  <si>
    <t>Audit and fix</t>
  </si>
  <si>
    <t>API Rate Limit Breaches</t>
  </si>
  <si>
    <t>Traffic spike</t>
  </si>
  <si>
    <t>Throttle</t>
  </si>
  <si>
    <t>Suspicious IP / Bot Traffic</t>
  </si>
  <si>
    <t>Automated scraping</t>
  </si>
  <si>
    <t>WAF rule</t>
  </si>
  <si>
    <t>Data Export Anomalies</t>
  </si>
  <si>
    <t>Bulk export attempt</t>
  </si>
  <si>
    <t>Alert DPO</t>
  </si>
  <si>
    <t>Session Hijack Attempts</t>
  </si>
  <si>
    <t>Token reuse</t>
  </si>
  <si>
    <t>Force logout + MFA</t>
  </si>
  <si>
    <t>Unauthorized Admin Access</t>
  </si>
  <si>
    <t>Credential leak</t>
  </si>
  <si>
    <t>Reset + MFA</t>
  </si>
  <si>
    <t>ADVERTISEMENT &amp; CAMPAIGN ANALYTICS</t>
  </si>
  <si>
    <t>SOURCE: RAW_ADS (Ad Manager export). Section A shows campaign data from RAW_ADS. Section B aggregates ad reach per state.</t>
  </si>
  <si>
    <t>A. ACTIVE CAMPAIGN PERFORMANCE (Live from RAW_ADS)</t>
  </si>
  <si>
    <t>Campaign Name</t>
  </si>
  <si>
    <t>Type</t>
  </si>
  <si>
    <t>Target State</t>
  </si>
  <si>
    <t>Impressions</t>
  </si>
  <si>
    <t>Unique Reach</t>
  </si>
  <si>
    <t>Avg View Duration (sec)</t>
  </si>
  <si>
    <t>Revenue (₹)</t>
  </si>
  <si>
    <t>Period</t>
  </si>
  <si>
    <t>B. STATE-WISE AD REACH &amp; COMPLIANCE — ALL 36 STATES</t>
  </si>
  <si>
    <t>Unique Users Reached</t>
  </si>
  <si>
    <t>Ad Revenue (₹)</t>
  </si>
  <si>
    <t>Best Ad Type</t>
  </si>
  <si>
    <t>Frequency Compliance?</t>
  </si>
  <si>
    <t>Age Group Verified?</t>
  </si>
  <si>
    <t>Compliance Status</t>
  </si>
  <si>
    <t>TEACHER EFFECTIVENESS &amp; DASHBOARD ADOPTION ANALYTICS</t>
  </si>
  <si>
    <t>SOURCE: Dashboard admin logs (Role-wise login activity) + RAW_DISTRICT (Teacher Logins col Q). Scope-aware SUMPRODUCT formulas.</t>
  </si>
  <si>
    <t>A. DASHBOARD USER ACTIVITY BY ROLE</t>
  </si>
  <si>
    <t>Role</t>
  </si>
  <si>
    <t>Dashboard Logins (Month)</t>
  </si>
  <si>
    <t>Avg Sessions/Month</t>
  </si>
  <si>
    <t>Most Used Feature</t>
  </si>
  <si>
    <t>Inactive &gt; 30 Days</t>
  </si>
  <si>
    <t>2FA Adopted %</t>
  </si>
  <si>
    <t>Last Login (Recent)</t>
  </si>
  <si>
    <t>Master Admin</t>
  </si>
  <si>
    <t>Admin</t>
  </si>
  <si>
    <t>District Officer</t>
  </si>
  <si>
    <t>Education Secretary</t>
  </si>
  <si>
    <t>Dept of Education</t>
  </si>
  <si>
    <t>Developer</t>
  </si>
  <si>
    <t>Data Manager</t>
  </si>
  <si>
    <t>View Only</t>
  </si>
  <si>
    <t>Teacher</t>
  </si>
  <si>
    <t>Content Reviewer</t>
  </si>
  <si>
    <t>B. TEACHER-LED vs SELF-STUDY — BY STATE (from RAW_DISTRICT Teacher Logins)</t>
  </si>
  <si>
    <t>Teacher Logins (Month)</t>
  </si>
  <si>
    <t>Student Sessions (Month)</t>
  </si>
  <si>
    <t>Teacher-Led Session %</t>
  </si>
  <si>
    <t>Self-Study Session %</t>
  </si>
  <si>
    <t>Avg Score — Teacher-Led</t>
  </si>
  <si>
    <t>Avg Score — Self-Study</t>
  </si>
  <si>
    <t>Score Difference (pp)</t>
  </si>
  <si>
    <t>C. INACTIVE TEACHER IDENTIFICATION (from Dashboard Audit Log)</t>
  </si>
  <si>
    <t>School</t>
  </si>
  <si>
    <t>Teacher ID / Name</t>
  </si>
  <si>
    <t>Last Login Date</t>
  </si>
  <si>
    <t>Days Since Login</t>
  </si>
  <si>
    <t>Class Active?</t>
  </si>
  <si>
    <t>Re-onboarding Sent?</t>
  </si>
  <si>
    <t>RAW DATA — DISTRICT-LEVEL MONTHLY EXPORT (Dashboard Source of Truth)</t>
  </si>
  <si>
    <t>PASTE DASHBOARD EXPORT HERE. Every other sheet in this workbook reads from this table via formulas. Do not insert/delete columns.</t>
  </si>
  <si>
    <t>Report Month</t>
  </si>
  <si>
    <t>DAU Avg</t>
  </si>
  <si>
    <t>Quiz Correct Answers</t>
  </si>
  <si>
    <t>AR Completions</t>
  </si>
  <si>
    <t>Total Devices</t>
  </si>
  <si>
    <t>Connectivity Level</t>
  </si>
  <si>
    <t>Aspirational District</t>
  </si>
  <si>
    <t>Scope Match Rank</t>
  </si>
  <si>
    <t>Nicobars</t>
  </si>
  <si>
    <t>April 2026</t>
  </si>
  <si>
    <t>North and Middle Andaman</t>
  </si>
  <si>
    <t>South Andaman</t>
  </si>
  <si>
    <t>Alluri Sitharama Raju</t>
  </si>
  <si>
    <t>Anakapalli</t>
  </si>
  <si>
    <t>Ananthapuramu</t>
  </si>
  <si>
    <t>Bapatla</t>
  </si>
  <si>
    <t>Chittoor</t>
  </si>
  <si>
    <t>East Godavari</t>
  </si>
  <si>
    <t>Eluru</t>
  </si>
  <si>
    <t>Guntur</t>
  </si>
  <si>
    <t>Kakinada</t>
  </si>
  <si>
    <t>Krishna</t>
  </si>
  <si>
    <t>Kurnool</t>
  </si>
  <si>
    <t>Nandyal</t>
  </si>
  <si>
    <t>Nellore</t>
  </si>
  <si>
    <t>Palnadu</t>
  </si>
  <si>
    <t>Prakasam</t>
  </si>
  <si>
    <t>Srikakulam</t>
  </si>
  <si>
    <t>Tirupati</t>
  </si>
  <si>
    <t>Visakhapatnam</t>
  </si>
  <si>
    <t>Vizianagaram</t>
  </si>
  <si>
    <t>West Godavari</t>
  </si>
  <si>
    <t>Anjaw</t>
  </si>
  <si>
    <t>Changlang</t>
  </si>
  <si>
    <t>Dibang Valley</t>
  </si>
  <si>
    <t>East Kameng</t>
  </si>
  <si>
    <t>East Siang</t>
  </si>
  <si>
    <t>Itanagar Capital Complex</t>
  </si>
  <si>
    <t>Kamle</t>
  </si>
  <si>
    <t>Kra Daadi</t>
  </si>
  <si>
    <t>Lohit</t>
  </si>
  <si>
    <t>Longding</t>
  </si>
  <si>
    <t>Lower Dibang Valley</t>
  </si>
  <si>
    <t>Lower Siang</t>
  </si>
  <si>
    <t>Lower Subansiri</t>
  </si>
  <si>
    <t>Namsai</t>
  </si>
  <si>
    <t>Papum Pare</t>
  </si>
  <si>
    <t>Tawang</t>
  </si>
  <si>
    <t>Tirap</t>
  </si>
  <si>
    <t>Upper Siang</t>
  </si>
  <si>
    <t>Upper Subansiri</t>
  </si>
  <si>
    <t>West Kameng</t>
  </si>
  <si>
    <t>West Siang</t>
  </si>
  <si>
    <t>Barpeta</t>
  </si>
  <si>
    <t>Biswanath</t>
  </si>
  <si>
    <t>Bongaigaon</t>
  </si>
  <si>
    <t>Cachar</t>
  </si>
  <si>
    <t>Chirang</t>
  </si>
  <si>
    <t>Darrang</t>
  </si>
  <si>
    <t>Dhemaji</t>
  </si>
  <si>
    <t>Dhubri</t>
  </si>
  <si>
    <t>Dibrugarh</t>
  </si>
  <si>
    <t>Dima Hasao</t>
  </si>
  <si>
    <t>Goalpara</t>
  </si>
  <si>
    <t>Golaghat</t>
  </si>
  <si>
    <t>Hailakandi</t>
  </si>
  <si>
    <t>Hojai</t>
  </si>
  <si>
    <t>Jorhat</t>
  </si>
  <si>
    <t>Kamrup</t>
  </si>
  <si>
    <t>Kamrup Metropolitan</t>
  </si>
  <si>
    <t>Karimganj</t>
  </si>
  <si>
    <t>Kokrajhar</t>
  </si>
  <si>
    <t>Lakhimpur</t>
  </si>
  <si>
    <t>Majuli</t>
  </si>
  <si>
    <t>Morigaon</t>
  </si>
  <si>
    <t>Nagaon</t>
  </si>
  <si>
    <t>Nalbari</t>
  </si>
  <si>
    <t>Sivasagar</t>
  </si>
  <si>
    <t>Sonitpur</t>
  </si>
  <si>
    <t>Tinsukia</t>
  </si>
  <si>
    <t>Arwal</t>
  </si>
  <si>
    <t>Aurangabad</t>
  </si>
  <si>
    <t>Banka</t>
  </si>
  <si>
    <t>Bhagalpur</t>
  </si>
  <si>
    <t>Bhojpur</t>
  </si>
  <si>
    <t>Buxar</t>
  </si>
  <si>
    <t>Darbhanga</t>
  </si>
  <si>
    <t>East Champaran</t>
  </si>
  <si>
    <t>Gaya</t>
  </si>
  <si>
    <t>Gopalganj</t>
  </si>
  <si>
    <t>Jamui</t>
  </si>
  <si>
    <t>Jehanabad</t>
  </si>
  <si>
    <t>Kaimur</t>
  </si>
  <si>
    <t>Katihar</t>
  </si>
  <si>
    <t>Khagaria</t>
  </si>
  <si>
    <t>Lakhisarai</t>
  </si>
  <si>
    <t>Madhepura</t>
  </si>
  <si>
    <t>Madhubani</t>
  </si>
  <si>
    <t>Munger</t>
  </si>
  <si>
    <t>Muzaffarpur</t>
  </si>
  <si>
    <t>Nalanda</t>
  </si>
  <si>
    <t>Nawada</t>
  </si>
  <si>
    <t>Patna</t>
  </si>
  <si>
    <t>Purnia</t>
  </si>
  <si>
    <t>Rohtas</t>
  </si>
  <si>
    <t>Saharsa</t>
  </si>
  <si>
    <t>Samastipur</t>
  </si>
  <si>
    <t>Saran</t>
  </si>
  <si>
    <t>Sheikhpura</t>
  </si>
  <si>
    <t>Sheohar</t>
  </si>
  <si>
    <t>Sitamarhi</t>
  </si>
  <si>
    <t>Siwan</t>
  </si>
  <si>
    <t>Supaul</t>
  </si>
  <si>
    <t>Vaishali</t>
  </si>
  <si>
    <t>West Champaran</t>
  </si>
  <si>
    <t>Balod</t>
  </si>
  <si>
    <t>Baloda Bazar</t>
  </si>
  <si>
    <t>Balrampur</t>
  </si>
  <si>
    <t>Bastar</t>
  </si>
  <si>
    <t>Bemetara</t>
  </si>
  <si>
    <t>Bilaspur</t>
  </si>
  <si>
    <t>Dhamtari</t>
  </si>
  <si>
    <t>Durg</t>
  </si>
  <si>
    <t>Gariaband</t>
  </si>
  <si>
    <t>Janjgir-Champa</t>
  </si>
  <si>
    <t>Jashpur</t>
  </si>
  <si>
    <t>Kabirdham</t>
  </si>
  <si>
    <t>Kanker</t>
  </si>
  <si>
    <t>Korba</t>
  </si>
  <si>
    <t>Koriya</t>
  </si>
  <si>
    <t>Mahasamund</t>
  </si>
  <si>
    <t>Mungeli</t>
  </si>
  <si>
    <t>Narayanpur</t>
  </si>
  <si>
    <t>Raigarh</t>
  </si>
  <si>
    <t>Raipur</t>
  </si>
  <si>
    <t>Rajnandgaon</t>
  </si>
  <si>
    <t>Surajpur</t>
  </si>
  <si>
    <t>Surguja</t>
  </si>
  <si>
    <t>Dadra and Nagar Haveli</t>
  </si>
  <si>
    <t>Daman</t>
  </si>
  <si>
    <t>Diu</t>
  </si>
  <si>
    <t>Central Delhi</t>
  </si>
  <si>
    <t>East Delhi</t>
  </si>
  <si>
    <t>New Delhi</t>
  </si>
  <si>
    <t>North Delhi</t>
  </si>
  <si>
    <t>North East Delhi</t>
  </si>
  <si>
    <t>North West Delhi</t>
  </si>
  <si>
    <t>Shahdara</t>
  </si>
  <si>
    <t>South Delhi</t>
  </si>
  <si>
    <t>South East Delhi</t>
  </si>
  <si>
    <t>South West Delhi</t>
  </si>
  <si>
    <t>West Delhi</t>
  </si>
  <si>
    <t>North Goa</t>
  </si>
  <si>
    <t>South Goa</t>
  </si>
  <si>
    <t>Ahmedabad</t>
  </si>
  <si>
    <t>Amreli</t>
  </si>
  <si>
    <t>Anand</t>
  </si>
  <si>
    <t>Aravalli</t>
  </si>
  <si>
    <t>Banaskantha</t>
  </si>
  <si>
    <t>Bharuch</t>
  </si>
  <si>
    <t>Bhavnagar</t>
  </si>
  <si>
    <t>Botad</t>
  </si>
  <si>
    <t>Chhota Udaipur</t>
  </si>
  <si>
    <t>Dahod</t>
  </si>
  <si>
    <t>Devbhoomi Dwarka</t>
  </si>
  <si>
    <t>Gandhinagar</t>
  </si>
  <si>
    <t>Gir Somnath</t>
  </si>
  <si>
    <t>Jamnagar</t>
  </si>
  <si>
    <t>Junagadh</t>
  </si>
  <si>
    <t>Kheda</t>
  </si>
  <si>
    <t>Kutch</t>
  </si>
  <si>
    <t>Mahisagar</t>
  </si>
  <si>
    <t>Mehsana</t>
  </si>
  <si>
    <t>Morbi</t>
  </si>
  <si>
    <t>Narmada</t>
  </si>
  <si>
    <t>Navsari</t>
  </si>
  <si>
    <t>Panchmahal</t>
  </si>
  <si>
    <t>Patan</t>
  </si>
  <si>
    <t>Porbandar</t>
  </si>
  <si>
    <t>Rajkot</t>
  </si>
  <si>
    <t>Sabarkantha</t>
  </si>
  <si>
    <t>Surat</t>
  </si>
  <si>
    <t>Surendranagar</t>
  </si>
  <si>
    <t>Tapi</t>
  </si>
  <si>
    <t>Vadodara</t>
  </si>
  <si>
    <t>Valsad</t>
  </si>
  <si>
    <t>Ambala</t>
  </si>
  <si>
    <t>Bhiwani</t>
  </si>
  <si>
    <t>Charkhi Dadri</t>
  </si>
  <si>
    <t>Faridabad</t>
  </si>
  <si>
    <t>Fatehabad</t>
  </si>
  <si>
    <t>Gurugram</t>
  </si>
  <si>
    <t>Hisar</t>
  </si>
  <si>
    <t>Jhajjar</t>
  </si>
  <si>
    <t>Jind</t>
  </si>
  <si>
    <t>Kaithal</t>
  </si>
  <si>
    <t>Karnal</t>
  </si>
  <si>
    <t>Kurukshetra</t>
  </si>
  <si>
    <t>Mahendragarh</t>
  </si>
  <si>
    <t>Nuh</t>
  </si>
  <si>
    <t>Palwal</t>
  </si>
  <si>
    <t>Panchkula</t>
  </si>
  <si>
    <t>Panipat</t>
  </si>
  <si>
    <t>Rewari</t>
  </si>
  <si>
    <t>Rohtak</t>
  </si>
  <si>
    <t>Sirsa</t>
  </si>
  <si>
    <t>Sonipat</t>
  </si>
  <si>
    <t>Yamunanagar</t>
  </si>
  <si>
    <t>Hamirpur</t>
  </si>
  <si>
    <t>Kangra</t>
  </si>
  <si>
    <t>Kinnaur</t>
  </si>
  <si>
    <t>Kullu</t>
  </si>
  <si>
    <t>Lahaul and Spiti</t>
  </si>
  <si>
    <t>Mandi</t>
  </si>
  <si>
    <t>Shimla</t>
  </si>
  <si>
    <t>Sirmaur</t>
  </si>
  <si>
    <t>Solan</t>
  </si>
  <si>
    <t>Una</t>
  </si>
  <si>
    <t>Anantnag</t>
  </si>
  <si>
    <t>Bandipora</t>
  </si>
  <si>
    <t>Baramulla</t>
  </si>
  <si>
    <t>Budgam</t>
  </si>
  <si>
    <t>Doda</t>
  </si>
  <si>
    <t>Ganderbal</t>
  </si>
  <si>
    <t>Jammu</t>
  </si>
  <si>
    <t>Kathua</t>
  </si>
  <si>
    <t>Kishtwar</t>
  </si>
  <si>
    <t>Kulgam</t>
  </si>
  <si>
    <t>Kupwara</t>
  </si>
  <si>
    <t>Poonch</t>
  </si>
  <si>
    <t>Pulwama</t>
  </si>
  <si>
    <t>Rajouri</t>
  </si>
  <si>
    <t>Ramban</t>
  </si>
  <si>
    <t>Reasi</t>
  </si>
  <si>
    <t>Samba</t>
  </si>
  <si>
    <t>Shopian</t>
  </si>
  <si>
    <t>Srinagar</t>
  </si>
  <si>
    <t>Udhampur</t>
  </si>
  <si>
    <t>Bokaro</t>
  </si>
  <si>
    <t>Chatra</t>
  </si>
  <si>
    <t>Deoghar</t>
  </si>
  <si>
    <t>Dhanbad</t>
  </si>
  <si>
    <t>Dumka</t>
  </si>
  <si>
    <t>East Singhbhum</t>
  </si>
  <si>
    <t>Garhwa</t>
  </si>
  <si>
    <t>Giridih</t>
  </si>
  <si>
    <t>Godda</t>
  </si>
  <si>
    <t>Gumla</t>
  </si>
  <si>
    <t>Hazaribagh</t>
  </si>
  <si>
    <t>Jamtara</t>
  </si>
  <si>
    <t>Koderma</t>
  </si>
  <si>
    <t>Latehar</t>
  </si>
  <si>
    <t>Lohardaga</t>
  </si>
  <si>
    <t>Palamu</t>
  </si>
  <si>
    <t>Ramgarh</t>
  </si>
  <si>
    <t>Ranchi</t>
  </si>
  <si>
    <t>Sahebganj</t>
  </si>
  <si>
    <t>Seraikela Kharsawan</t>
  </si>
  <si>
    <t>Simdega</t>
  </si>
  <si>
    <t>Bagalkote</t>
  </si>
  <si>
    <t>Ballari</t>
  </si>
  <si>
    <t>Belagavi</t>
  </si>
  <si>
    <t>Bengaluru Rural</t>
  </si>
  <si>
    <t>Bengaluru Urban</t>
  </si>
  <si>
    <t>Bidar</t>
  </si>
  <si>
    <t>Chamarajanagara</t>
  </si>
  <si>
    <t>Chikkaballapura</t>
  </si>
  <si>
    <t>Chikkamagaluru</t>
  </si>
  <si>
    <t>Chitradurga</t>
  </si>
  <si>
    <t>Dakshina Kannada</t>
  </si>
  <si>
    <t>Davanagere</t>
  </si>
  <si>
    <t>Dharwad</t>
  </si>
  <si>
    <t>Gadag</t>
  </si>
  <si>
    <t>Hassan</t>
  </si>
  <si>
    <t>Haveri</t>
  </si>
  <si>
    <t>Kalaburagi</t>
  </si>
  <si>
    <t>Kodagu</t>
  </si>
  <si>
    <t>Kolar</t>
  </si>
  <si>
    <t>Koppal</t>
  </si>
  <si>
    <t>Mandya</t>
  </si>
  <si>
    <t>Mysuru</t>
  </si>
  <si>
    <t>Ramanagara</t>
  </si>
  <si>
    <t>Shivamogga</t>
  </si>
  <si>
    <t>Tumakuru</t>
  </si>
  <si>
    <t>Udupi</t>
  </si>
  <si>
    <t>Uttara Kannada</t>
  </si>
  <si>
    <t>Vijayanagara</t>
  </si>
  <si>
    <t>Vijayapura</t>
  </si>
  <si>
    <t>Alappuzha</t>
  </si>
  <si>
    <t>Ernakulam</t>
  </si>
  <si>
    <t>Idukki</t>
  </si>
  <si>
    <t>Kannur</t>
  </si>
  <si>
    <t>Kasaragod</t>
  </si>
  <si>
    <t>Kollam</t>
  </si>
  <si>
    <t>Kottayam</t>
  </si>
  <si>
    <t>Kozhikode</t>
  </si>
  <si>
    <t>Malappuram</t>
  </si>
  <si>
    <t>Palakkad</t>
  </si>
  <si>
    <t>Pathanamthitta</t>
  </si>
  <si>
    <t>Thiruvananthapuram</t>
  </si>
  <si>
    <t>Thrissur</t>
  </si>
  <si>
    <t>Wayanad</t>
  </si>
  <si>
    <t>Kargil</t>
  </si>
  <si>
    <t>Leh</t>
  </si>
  <si>
    <t>Agar Malwa</t>
  </si>
  <si>
    <t>Anuppur</t>
  </si>
  <si>
    <t>Ashoknagar</t>
  </si>
  <si>
    <t>Balaghat</t>
  </si>
  <si>
    <t>Betul</t>
  </si>
  <si>
    <t>Bhind</t>
  </si>
  <si>
    <t>Bhopal</t>
  </si>
  <si>
    <t>Burhanpur</t>
  </si>
  <si>
    <t>Chhatarpur</t>
  </si>
  <si>
    <t>Chhindwara</t>
  </si>
  <si>
    <t>Damoh</t>
  </si>
  <si>
    <t>Datia</t>
  </si>
  <si>
    <t>Dewas</t>
  </si>
  <si>
    <t>Dhar</t>
  </si>
  <si>
    <t>Dindori</t>
  </si>
  <si>
    <t>Guna</t>
  </si>
  <si>
    <t>Gwalior</t>
  </si>
  <si>
    <t>Harda</t>
  </si>
  <si>
    <t>Hoshangabad</t>
  </si>
  <si>
    <t>Indore</t>
  </si>
  <si>
    <t>Jabalpur</t>
  </si>
  <si>
    <t>Jhabua</t>
  </si>
  <si>
    <t>Katni</t>
  </si>
  <si>
    <t>Khandwa</t>
  </si>
  <si>
    <t>Khargone</t>
  </si>
  <si>
    <t>Mandla</t>
  </si>
  <si>
    <t>Mandsaur</t>
  </si>
  <si>
    <t>Morena</t>
  </si>
  <si>
    <t>Narsimhapur</t>
  </si>
  <si>
    <t>Neemuch</t>
  </si>
  <si>
    <t>Panna</t>
  </si>
  <si>
    <t>Raisen</t>
  </si>
  <si>
    <t>Rajgarh</t>
  </si>
  <si>
    <t>Ratlam</t>
  </si>
  <si>
    <t>Rewa</t>
  </si>
  <si>
    <t>Sagar</t>
  </si>
  <si>
    <t>Satna</t>
  </si>
  <si>
    <t>Sehore</t>
  </si>
  <si>
    <t>Seoni</t>
  </si>
  <si>
    <t>Shahdol</t>
  </si>
  <si>
    <t>Shajapur</t>
  </si>
  <si>
    <t>Sheopur</t>
  </si>
  <si>
    <t>Shivpuri</t>
  </si>
  <si>
    <t>Sidhi</t>
  </si>
  <si>
    <t>Singrauli</t>
  </si>
  <si>
    <t>Tikamgarh</t>
  </si>
  <si>
    <t>Ujjain</t>
  </si>
  <si>
    <t>Umaria</t>
  </si>
  <si>
    <t>Ahmednagar</t>
  </si>
  <si>
    <t>Akola</t>
  </si>
  <si>
    <t>Amravati</t>
  </si>
  <si>
    <t>Beed</t>
  </si>
  <si>
    <t>Bhandara</t>
  </si>
  <si>
    <t>Buldhana</t>
  </si>
  <si>
    <t>Chandrapur</t>
  </si>
  <si>
    <t>Dhule</t>
  </si>
  <si>
    <t>Gadchiroli</t>
  </si>
  <si>
    <t>Gondia</t>
  </si>
  <si>
    <t>Hingoli</t>
  </si>
  <si>
    <t>Jalgaon</t>
  </si>
  <si>
    <t>Jalna</t>
  </si>
  <si>
    <t>Kolhapur</t>
  </si>
  <si>
    <t>Latur</t>
  </si>
  <si>
    <t>Mumbai City</t>
  </si>
  <si>
    <t>Mumbai Suburban</t>
  </si>
  <si>
    <t>Nagpur</t>
  </si>
  <si>
    <t>Nanded</t>
  </si>
  <si>
    <t>Nashik</t>
  </si>
  <si>
    <t>Osmanabad</t>
  </si>
  <si>
    <t>Palghar</t>
  </si>
  <si>
    <t>Parbhani</t>
  </si>
  <si>
    <t>Pune</t>
  </si>
  <si>
    <t>Raigad</t>
  </si>
  <si>
    <t>Ratnagiri</t>
  </si>
  <si>
    <t>Sangli</t>
  </si>
  <si>
    <t>Satara</t>
  </si>
  <si>
    <t>Sindhudurg</t>
  </si>
  <si>
    <t>Solapur</t>
  </si>
  <si>
    <t>Thane</t>
  </si>
  <si>
    <t>Wardha</t>
  </si>
  <si>
    <t>Washim</t>
  </si>
  <si>
    <t>Yavatmal</t>
  </si>
  <si>
    <t>Bishnupur</t>
  </si>
  <si>
    <t>Churachandpur</t>
  </si>
  <si>
    <t>Imphal East</t>
  </si>
  <si>
    <t>Imphal West</t>
  </si>
  <si>
    <t>Jiribam</t>
  </si>
  <si>
    <t>Kakching</t>
  </si>
  <si>
    <t>Kamjong</t>
  </si>
  <si>
    <t>Kangpokpi</t>
  </si>
  <si>
    <t>Noney</t>
  </si>
  <si>
    <t>Pherzawl</t>
  </si>
  <si>
    <t>Senapati</t>
  </si>
  <si>
    <t>Tengnoupal</t>
  </si>
  <si>
    <t>Thoubal</t>
  </si>
  <si>
    <t>Ukhrul</t>
  </si>
  <si>
    <t>East Jaintia Hills</t>
  </si>
  <si>
    <t>East Khasi Hills</t>
  </si>
  <si>
    <t>North Garo Hills</t>
  </si>
  <si>
    <t>South Garo Hills</t>
  </si>
  <si>
    <t>South West Garo Hills</t>
  </si>
  <si>
    <t>South West Khasi Hills</t>
  </si>
  <si>
    <t>West Garo Hills</t>
  </si>
  <si>
    <t>West Jaintia Hills</t>
  </si>
  <si>
    <t>West Khasi Hills</t>
  </si>
  <si>
    <t>Aizawl</t>
  </si>
  <si>
    <t>Champhai</t>
  </si>
  <si>
    <t>Hnahthial</t>
  </si>
  <si>
    <t>Khawzawl</t>
  </si>
  <si>
    <t>Kolasib</t>
  </si>
  <si>
    <t>Lawngtlai</t>
  </si>
  <si>
    <t>Lunglei</t>
  </si>
  <si>
    <t>Mamit</t>
  </si>
  <si>
    <t>Saiha</t>
  </si>
  <si>
    <t>Saitual</t>
  </si>
  <si>
    <t>Serchhip</t>
  </si>
  <si>
    <t>Chumoukedima</t>
  </si>
  <si>
    <t>Dimapur</t>
  </si>
  <si>
    <t>Kiphire</t>
  </si>
  <si>
    <t>Kohima</t>
  </si>
  <si>
    <t>Longleng</t>
  </si>
  <si>
    <t>Mokokchung</t>
  </si>
  <si>
    <t>Niuland</t>
  </si>
  <si>
    <t>Noklak</t>
  </si>
  <si>
    <t>Peren</t>
  </si>
  <si>
    <t>Phek</t>
  </si>
  <si>
    <t>Shamator</t>
  </si>
  <si>
    <t>Tuensang</t>
  </si>
  <si>
    <t>Wokha</t>
  </si>
  <si>
    <t>Zunheboto</t>
  </si>
  <si>
    <t>Angul</t>
  </si>
  <si>
    <t>Balangir</t>
  </si>
  <si>
    <t>Balasore</t>
  </si>
  <si>
    <t>Bargarh</t>
  </si>
  <si>
    <t>Bhadrak</t>
  </si>
  <si>
    <t>Boudh</t>
  </si>
  <si>
    <t>Cuttack</t>
  </si>
  <si>
    <t>Deogarh</t>
  </si>
  <si>
    <t>Dhenkanal</t>
  </si>
  <si>
    <t>Gajapati</t>
  </si>
  <si>
    <t>Ganjam</t>
  </si>
  <si>
    <t>Jagatsinghpur</t>
  </si>
  <si>
    <t>Jajpur</t>
  </si>
  <si>
    <t>Jharsuguda</t>
  </si>
  <si>
    <t>Kalahandi</t>
  </si>
  <si>
    <t>Kandhamal</t>
  </si>
  <si>
    <t>Kendrapara</t>
  </si>
  <si>
    <t>Kendujhar</t>
  </si>
  <si>
    <t>Khordha</t>
  </si>
  <si>
    <t>Koraput</t>
  </si>
  <si>
    <t>Mayurbhanj</t>
  </si>
  <si>
    <t>Nabarangapur</t>
  </si>
  <si>
    <t>Nayagarh</t>
  </si>
  <si>
    <t>Nuapada</t>
  </si>
  <si>
    <t>Puri</t>
  </si>
  <si>
    <t>Sambalpur</t>
  </si>
  <si>
    <t>Subarnapur</t>
  </si>
  <si>
    <t>Sundargarh</t>
  </si>
  <si>
    <t>Karaikal</t>
  </si>
  <si>
    <t>Mahe</t>
  </si>
  <si>
    <t>Yanam</t>
  </si>
  <si>
    <t>Amritsar</t>
  </si>
  <si>
    <t>Barnala</t>
  </si>
  <si>
    <t>Bathinda</t>
  </si>
  <si>
    <t>Faridkot</t>
  </si>
  <si>
    <t>Fatehgarh Sahib</t>
  </si>
  <si>
    <t>Fazilka</t>
  </si>
  <si>
    <t>Ferozepur</t>
  </si>
  <si>
    <t>Gurdaspur</t>
  </si>
  <si>
    <t>Hoshiarpur</t>
  </si>
  <si>
    <t>Jalandhar</t>
  </si>
  <si>
    <t>Kapurthala</t>
  </si>
  <si>
    <t>Ludhiana</t>
  </si>
  <si>
    <t>Malerkotla</t>
  </si>
  <si>
    <t>Mansa</t>
  </si>
  <si>
    <t>Moga</t>
  </si>
  <si>
    <t>Mohali</t>
  </si>
  <si>
    <t>Muktsar</t>
  </si>
  <si>
    <t>Nawanshahr</t>
  </si>
  <si>
    <t>Pathankot</t>
  </si>
  <si>
    <t>Patiala</t>
  </si>
  <si>
    <t>Rupnagar</t>
  </si>
  <si>
    <t>Sangrur</t>
  </si>
  <si>
    <t>Tarn Taran</t>
  </si>
  <si>
    <t>Ajmer</t>
  </si>
  <si>
    <t>Alwar</t>
  </si>
  <si>
    <t>Banswara</t>
  </si>
  <si>
    <t>Bharatpur</t>
  </si>
  <si>
    <t>Bhilwara</t>
  </si>
  <si>
    <t>Bikaner</t>
  </si>
  <si>
    <t>Bundi</t>
  </si>
  <si>
    <t>Chittorgarh</t>
  </si>
  <si>
    <t>Churu</t>
  </si>
  <si>
    <t>Dausa</t>
  </si>
  <si>
    <t>Dholpur</t>
  </si>
  <si>
    <t>Dungarpur</t>
  </si>
  <si>
    <t>Ganganagar</t>
  </si>
  <si>
    <t>Hanumangarh</t>
  </si>
  <si>
    <t>Jaipur</t>
  </si>
  <si>
    <t>Jhalawar</t>
  </si>
  <si>
    <t>Jhunjhunu</t>
  </si>
  <si>
    <t>Jodhpur</t>
  </si>
  <si>
    <t>Karauli</t>
  </si>
  <si>
    <t>Kota</t>
  </si>
  <si>
    <t>Nagaur</t>
  </si>
  <si>
    <t>Pali</t>
  </si>
  <si>
    <t>Pratapgarh</t>
  </si>
  <si>
    <t>Rajsamand</t>
  </si>
  <si>
    <t>Sawai Madhopur</t>
  </si>
  <si>
    <t>Sikar</t>
  </si>
  <si>
    <t>Sirohi</t>
  </si>
  <si>
    <t>Tonk</t>
  </si>
  <si>
    <t>Udaipur</t>
  </si>
  <si>
    <t>Gangtok</t>
  </si>
  <si>
    <t>Gyalshing</t>
  </si>
  <si>
    <t>Mangan</t>
  </si>
  <si>
    <t>Namchi</t>
  </si>
  <si>
    <t>Pakyong</t>
  </si>
  <si>
    <t>Soreng</t>
  </si>
  <si>
    <t>Ariyalur</t>
  </si>
  <si>
    <t>Chengalpattu</t>
  </si>
  <si>
    <t>Chennai</t>
  </si>
  <si>
    <t>Coimbatore</t>
  </si>
  <si>
    <t>Cuddalore</t>
  </si>
  <si>
    <t>Dharmapuri</t>
  </si>
  <si>
    <t>Dindigul</t>
  </si>
  <si>
    <t>Erode</t>
  </si>
  <si>
    <t>Kallakurichi</t>
  </si>
  <si>
    <t>Kancheepuram</t>
  </si>
  <si>
    <t>Kanyakumari</t>
  </si>
  <si>
    <t>Karur</t>
  </si>
  <si>
    <t>Krishnagiri</t>
  </si>
  <si>
    <t>Madurai</t>
  </si>
  <si>
    <t>Mayiladuthurai</t>
  </si>
  <si>
    <t>Nagapattinam</t>
  </si>
  <si>
    <t>Namakkal</t>
  </si>
  <si>
    <t>Nilgiris</t>
  </si>
  <si>
    <t>Perambalur</t>
  </si>
  <si>
    <t>Pudukkottai</t>
  </si>
  <si>
    <t>Ramanathapuram</t>
  </si>
  <si>
    <t>Ranipet</t>
  </si>
  <si>
    <t>Salem</t>
  </si>
  <si>
    <t>Sivaganga</t>
  </si>
  <si>
    <t>Tenkasi</t>
  </si>
  <si>
    <t>Thanjavur</t>
  </si>
  <si>
    <t>Theni</t>
  </si>
  <si>
    <t>Thoothukudi</t>
  </si>
  <si>
    <t>Tiruchirappalli</t>
  </si>
  <si>
    <t>Tirunelveli</t>
  </si>
  <si>
    <t>Tirupathur</t>
  </si>
  <si>
    <t>Tiruppur</t>
  </si>
  <si>
    <t>Tiruvallur</t>
  </si>
  <si>
    <t>Tiruvannamalai</t>
  </si>
  <si>
    <t>Tiruvarur</t>
  </si>
  <si>
    <t>Vellore</t>
  </si>
  <si>
    <t>Viluppuram</t>
  </si>
  <si>
    <t>Virudhunagar</t>
  </si>
  <si>
    <t>Adilabad</t>
  </si>
  <si>
    <t>Bhadradri Kothagudem</t>
  </si>
  <si>
    <t>Hanumakonda</t>
  </si>
  <si>
    <t>Hyderabad</t>
  </si>
  <si>
    <t>Jagtial</t>
  </si>
  <si>
    <t>Jangaon</t>
  </si>
  <si>
    <t>Jayashankar Bhupalpally</t>
  </si>
  <si>
    <t>Jogulamba Gadwal</t>
  </si>
  <si>
    <t>Kamareddy</t>
  </si>
  <si>
    <t>Karimnagar</t>
  </si>
  <si>
    <t>Khammam</t>
  </si>
  <si>
    <t>Mahabubabad</t>
  </si>
  <si>
    <t>Mahbubnagar</t>
  </si>
  <si>
    <t>Mancherial</t>
  </si>
  <si>
    <t>Medak</t>
  </si>
  <si>
    <t>Medchal-Malkajgiri</t>
  </si>
  <si>
    <t>Mulugu</t>
  </si>
  <si>
    <t>Nagarkurnool</t>
  </si>
  <si>
    <t>Nalgonda</t>
  </si>
  <si>
    <t>Narayanpet</t>
  </si>
  <si>
    <t>Nirmal</t>
  </si>
  <si>
    <t>Nizamabad</t>
  </si>
  <si>
    <t>Peddapalli</t>
  </si>
  <si>
    <t>Rajanna Sircilla</t>
  </si>
  <si>
    <t>Rangareddy</t>
  </si>
  <si>
    <t>Sangareddy</t>
  </si>
  <si>
    <t>Siddipet</t>
  </si>
  <si>
    <t>Suryapet</t>
  </si>
  <si>
    <t>Vikarabad</t>
  </si>
  <si>
    <t>Wanaparthy</t>
  </si>
  <si>
    <t>Warangal</t>
  </si>
  <si>
    <t>Yadadri Bhuvanagiri</t>
  </si>
  <si>
    <t>Gomati</t>
  </si>
  <si>
    <t>Khowai</t>
  </si>
  <si>
    <t>North Tripura</t>
  </si>
  <si>
    <t>Sepahijala</t>
  </si>
  <si>
    <t>South Tripura</t>
  </si>
  <si>
    <t>Unakoti</t>
  </si>
  <si>
    <t>West Tripura</t>
  </si>
  <si>
    <t>Agra</t>
  </si>
  <si>
    <t>Aligarh</t>
  </si>
  <si>
    <t>Ambedkar Nagar</t>
  </si>
  <si>
    <t>Amethi</t>
  </si>
  <si>
    <t>Amroha</t>
  </si>
  <si>
    <t>Auraiya</t>
  </si>
  <si>
    <t>Ayodhya</t>
  </si>
  <si>
    <t>Azamgarh</t>
  </si>
  <si>
    <t>Baghpat</t>
  </si>
  <si>
    <t>Ballia</t>
  </si>
  <si>
    <t>Banda</t>
  </si>
  <si>
    <t>Barabanki</t>
  </si>
  <si>
    <t>Bareilly</t>
  </si>
  <si>
    <t>Basti</t>
  </si>
  <si>
    <t>Bhadohi</t>
  </si>
  <si>
    <t>Bijnor</t>
  </si>
  <si>
    <t>Budaun</t>
  </si>
  <si>
    <t>Bulandshahr</t>
  </si>
  <si>
    <t>Chandauli</t>
  </si>
  <si>
    <t>Chitrakoot</t>
  </si>
  <si>
    <t>Deoria</t>
  </si>
  <si>
    <t>Etah</t>
  </si>
  <si>
    <t>Etawah</t>
  </si>
  <si>
    <t>Farrukhabad</t>
  </si>
  <si>
    <t>Fatehpur</t>
  </si>
  <si>
    <t>Firozabad</t>
  </si>
  <si>
    <t>Gautam Buddha Nagar</t>
  </si>
  <si>
    <t>Ghaziabad</t>
  </si>
  <si>
    <t>Ghazipur</t>
  </si>
  <si>
    <t>Gonda</t>
  </si>
  <si>
    <t>Gorakhpur</t>
  </si>
  <si>
    <t>Hapur</t>
  </si>
  <si>
    <t>Hardoi</t>
  </si>
  <si>
    <t>Hathras</t>
  </si>
  <si>
    <t>Jalaun</t>
  </si>
  <si>
    <t>Jaunpur</t>
  </si>
  <si>
    <t>Jhansi</t>
  </si>
  <si>
    <t>Kannauj</t>
  </si>
  <si>
    <t>Kanpur Dehat</t>
  </si>
  <si>
    <t>Kanpur Nagar</t>
  </si>
  <si>
    <t>Kasganj</t>
  </si>
  <si>
    <t>Kaushambi</t>
  </si>
  <si>
    <t>Kheri</t>
  </si>
  <si>
    <t>Kushinagar</t>
  </si>
  <si>
    <t>Lalitpur</t>
  </si>
  <si>
    <t>Lucknow</t>
  </si>
  <si>
    <t>Maharajganj</t>
  </si>
  <si>
    <t>Mahoba</t>
  </si>
  <si>
    <t>Mainpuri</t>
  </si>
  <si>
    <t>Mathura</t>
  </si>
  <si>
    <t>Mau</t>
  </si>
  <si>
    <t>Meerut</t>
  </si>
  <si>
    <t>Mirzapur</t>
  </si>
  <si>
    <t>Moradabad</t>
  </si>
  <si>
    <t>Muzaffarnagar</t>
  </si>
  <si>
    <t>Pilibhit</t>
  </si>
  <si>
    <t>Prayagraj</t>
  </si>
  <si>
    <t>Rae Bareli</t>
  </si>
  <si>
    <t>Rampur</t>
  </si>
  <si>
    <t>Saharanpur</t>
  </si>
  <si>
    <t>Sambhal</t>
  </si>
  <si>
    <t>Sant Kabir Nagar</t>
  </si>
  <si>
    <t>Shahjahanpur</t>
  </si>
  <si>
    <t>Shamli</t>
  </si>
  <si>
    <t>Shravasti</t>
  </si>
  <si>
    <t>Sitapur</t>
  </si>
  <si>
    <t>Sultanpur</t>
  </si>
  <si>
    <t>Unnao</t>
  </si>
  <si>
    <t>Varanasi</t>
  </si>
  <si>
    <t>Almora</t>
  </si>
  <si>
    <t>Bageshwar</t>
  </si>
  <si>
    <t>Chamoli</t>
  </si>
  <si>
    <t>Champawat</t>
  </si>
  <si>
    <t>Dehradun</t>
  </si>
  <si>
    <t>Haridwar</t>
  </si>
  <si>
    <t>Nainital</t>
  </si>
  <si>
    <t>Pauri Garhwal</t>
  </si>
  <si>
    <t>Pithoragarh</t>
  </si>
  <si>
    <t>Rudraprayag</t>
  </si>
  <si>
    <t>Tehri Garhwal</t>
  </si>
  <si>
    <t>Udham Singh Nagar</t>
  </si>
  <si>
    <t>Uttarkashi</t>
  </si>
  <si>
    <t>Alipurduar</t>
  </si>
  <si>
    <t>Bankura</t>
  </si>
  <si>
    <t>Birbhum</t>
  </si>
  <si>
    <t>Cooch Behar</t>
  </si>
  <si>
    <t>Dakshin Dinajpur</t>
  </si>
  <si>
    <t>Darjeeling</t>
  </si>
  <si>
    <t>Hooghly</t>
  </si>
  <si>
    <t>Howrah</t>
  </si>
  <si>
    <t>Jalpaiguri</t>
  </si>
  <si>
    <t>Jhargram</t>
  </si>
  <si>
    <t>Kalimpong</t>
  </si>
  <si>
    <t>Kolkata</t>
  </si>
  <si>
    <t>Malda</t>
  </si>
  <si>
    <t>Murshidabad</t>
  </si>
  <si>
    <t>Nadia</t>
  </si>
  <si>
    <t>North 24 Parganas</t>
  </si>
  <si>
    <t>Paschim Bardhaman</t>
  </si>
  <si>
    <t>Paschim Medinipur</t>
  </si>
  <si>
    <t>Purba Bardhaman</t>
  </si>
  <si>
    <t>Purba Medinipur</t>
  </si>
  <si>
    <t>Purulia</t>
  </si>
  <si>
    <t>South 24 Parganas</t>
  </si>
  <si>
    <t>RAW DATA — AR CONTENT PUBLISHED (Dashboard Curriculum Map Export)</t>
  </si>
  <si>
    <t>PASTE DASHBOARD CURRICULUM MAP EXPORT HERE. One row per AR module per state. Feeds Sheets 04, 05, 10.</t>
  </si>
  <si>
    <t>Active</t>
  </si>
  <si>
    <t>RAW DATA — QUIZZES PUBLISHED (Dashboard Quiz Management Export)</t>
  </si>
  <si>
    <t>PASTE DASHBOARD QUIZ MANAGEMENT EXPORT HERE. One row per quiz per state. Feeds Sheets 06, 11.</t>
  </si>
  <si>
    <t>Solar System — Unit Quiz</t>
  </si>
  <si>
    <t>Cell Division — Unit Quiz</t>
  </si>
  <si>
    <t>Atoms and Molecules — Unit Quiz</t>
  </si>
  <si>
    <t>Fractions — Unit Quiz</t>
  </si>
  <si>
    <t>Trigonometry — Unit Quiz</t>
  </si>
  <si>
    <t>Mughal Empire — Unit Quiz</t>
  </si>
  <si>
    <t>Laws of Motion — Unit Quiz</t>
  </si>
  <si>
    <t>Electricity — Unit Quiz</t>
  </si>
  <si>
    <t>Indian Constitution — Unit Quiz</t>
  </si>
  <si>
    <t>Quadratic Equations — Unit Quiz</t>
  </si>
  <si>
    <t>RAW DATA — SESSION &amp; SCREEN TELEMETRY (App Analytics Export)</t>
  </si>
  <si>
    <t>PASTE APP SESSION TELEMETRY HERE. One row per state per month. Feeds Sheets S1 (Session &amp; Engagement), S4 (Cohort &amp; Equity).</t>
  </si>
  <si>
    <t>Bounce Sessions (&lt;1min) %</t>
  </si>
  <si>
    <t>Sessions 1-5min %</t>
  </si>
  <si>
    <t>Sessions 5-15min %</t>
  </si>
  <si>
    <t>Sessions 15-30min %</t>
  </si>
  <si>
    <t>Sessions &gt;30min %</t>
  </si>
  <si>
    <t>Peak Session Hour (24h)</t>
  </si>
  <si>
    <t>After-School Sessions % (4-8PM)</t>
  </si>
  <si>
    <t>In-School Sessions % (9AM-3PM)</t>
  </si>
  <si>
    <t>App Crash Rate %</t>
  </si>
  <si>
    <t>ANR Rate %</t>
  </si>
  <si>
    <t>Rage Tap Events</t>
  </si>
  <si>
    <t>RAW DATA — LANGUAGE &amp; ACCESSIBILITY TELEMETRY (App Analytics Export)</t>
  </si>
  <si>
    <t>PASTE APP LANGUAGE/ACCESSIBILITY TELEMETRY HERE. One row per state. Feeds Sheets S5 (Language &amp; Accessibility).</t>
  </si>
  <si>
    <t>Language Switches per Session</t>
  </si>
  <si>
    <t>High Contrast Mode %</t>
  </si>
  <si>
    <t>Large Text Mode %</t>
  </si>
  <si>
    <t>Color Blind Mode %</t>
  </si>
  <si>
    <t>Screen Reader Events</t>
  </si>
  <si>
    <t>2D Fallback Sessions %</t>
  </si>
  <si>
    <t>Haptic Feedback %</t>
  </si>
  <si>
    <t>RAW DATA — NOTIFICATION &amp; PUSH CAMPAIGN TELEMETRY (Firebase Export)</t>
  </si>
  <si>
    <t>PASTE FIREBASE PUSH NOTIFICATION EXPORT HERE. One row per notification type per month. Feeds Sheet S6 (Notification &amp; Re-engagement).</t>
  </si>
  <si>
    <t>Sent</t>
  </si>
  <si>
    <t>Best Send Time</t>
  </si>
  <si>
    <t>Win-back in 48hrs %</t>
  </si>
  <si>
    <t>RAW DATA — DEVICE CAPABILITY &amp; CONNECTIVITY (App Telemetry Export)</t>
  </si>
  <si>
    <t>PASTE APP DEVICE/CONNECTIVITY TELEMETRY HERE. One row per state. Feeds Sheet S7 (Device &amp; Connectivity).</t>
  </si>
  <si>
    <t>Devices &lt;2GB RAM</t>
  </si>
  <si>
    <t>Devices 2-4GB RAM</t>
  </si>
  <si>
    <t>Devices &gt;4GB RAM</t>
  </si>
  <si>
    <t>Android 9-11</t>
  </si>
  <si>
    <t>RAW DATA — FEEDBACK, NPS &amp; SENTIMENT TELEMETRY (In-App Analytics Export)</t>
  </si>
  <si>
    <t>PASTE IN-APP FEEDBACK/NPS EXPORT HERE. One row per module or per state. Feeds Sheet S9 (Feedback &amp; Sentiment).</t>
  </si>
  <si>
    <t>State / Module</t>
  </si>
  <si>
    <t>Feedback Type (Module/NPS/Teacher)</t>
  </si>
  <si>
    <t>Total Responses</t>
  </si>
  <si>
    <t>NPS Promoters (9-10)</t>
  </si>
  <si>
    <t>NPS Passives (7-8)</t>
  </si>
  <si>
    <t>NPS Detractors (0-6)</t>
  </si>
  <si>
    <t>NPS</t>
  </si>
  <si>
    <t>Module Rating</t>
  </si>
  <si>
    <t>RAW DATA — CDN, SYNC &amp; PLATFORM HEALTH (Backend/CDN Export)</t>
  </si>
  <si>
    <t>PASTE CDN/BACKEND PERFORMANCE EXPORT HERE. One row per state. Feeds Sheet S8 (CDN &amp; Content Sync) and S10 (Platform Health).</t>
  </si>
  <si>
    <t>Failed Sync Events</t>
  </si>
  <si>
    <t>CDN Response Time (ms avg)</t>
  </si>
  <si>
    <t>CDN Cache Hit Rate %</t>
  </si>
  <si>
    <t>Data Delivered (GB)</t>
  </si>
  <si>
    <t>RAW DATA — ADVERTISEMENT CAMPAIGN ANALYTICS (Ad Manager Export)</t>
  </si>
  <si>
    <t>PASTE AD MANAGER EXPORT HERE. One row per campaign per state. Feeds Sheet S11 (Advertisement Analytics).</t>
  </si>
  <si>
    <t>Revenue (INR)</t>
  </si>
  <si>
    <t>Science Kit Launch</t>
  </si>
  <si>
    <t>Video</t>
  </si>
  <si>
    <t>Maths Olympiad 2026</t>
  </si>
  <si>
    <t>Banner</t>
  </si>
  <si>
    <t>History Book Fair</t>
  </si>
  <si>
    <t>Interstitial</t>
  </si>
  <si>
    <t>Republic Day Special</t>
  </si>
  <si>
    <t>Winter Science Fair</t>
  </si>
  <si>
    <t>[Campaign]</t>
  </si>
  <si>
    <t>STATES</t>
  </si>
  <si>
    <t>DISTRICTS</t>
  </si>
  <si>
    <t>LANGUAGES</t>
  </si>
  <si>
    <t>SUBJECTS</t>
  </si>
  <si>
    <t>CLASSES</t>
  </si>
  <si>
    <t>BOARDS</t>
  </si>
  <si>
    <t>AREA</t>
  </si>
  <si>
    <t>ENGAGE</t>
  </si>
  <si>
    <t>SEVERITY</t>
  </si>
  <si>
    <t>STATUS</t>
  </si>
  <si>
    <t>YESNO</t>
  </si>
  <si>
    <t>CONN</t>
  </si>
  <si>
    <t>MEDIUM</t>
  </si>
  <si>
    <t>MONTHS</t>
  </si>
  <si>
    <t>RISK</t>
  </si>
  <si>
    <t>ARTIER</t>
  </si>
  <si>
    <t>COMPLY</t>
  </si>
  <si>
    <t>BLOOM</t>
  </si>
  <si>
    <t>SELECTOR</t>
  </si>
  <si>
    <t>Class 1</t>
  </si>
  <si>
    <t>CBSE</t>
  </si>
  <si>
    <t>Yes</t>
  </si>
  <si>
    <t>WiFi</t>
  </si>
  <si>
    <t>Class 2</t>
  </si>
  <si>
    <t>ICSE</t>
  </si>
  <si>
    <t>Inactive</t>
  </si>
  <si>
    <t>4G / LTE</t>
  </si>
  <si>
    <t>February</t>
  </si>
  <si>
    <t>Non-Compliant</t>
  </si>
  <si>
    <t>Class 3</t>
  </si>
  <si>
    <t>State Board</t>
  </si>
  <si>
    <t>Planned</t>
  </si>
  <si>
    <t>Partial</t>
  </si>
  <si>
    <t>3G</t>
  </si>
  <si>
    <t>March</t>
  </si>
  <si>
    <t>Class 4</t>
  </si>
  <si>
    <t>NIOS</t>
  </si>
  <si>
    <t>None</t>
  </si>
  <si>
    <t>Paused</t>
  </si>
  <si>
    <t>N/A</t>
  </si>
  <si>
    <t>2G / Edge</t>
  </si>
  <si>
    <t>Under Review</t>
  </si>
  <si>
    <t>Class 5</t>
  </si>
  <si>
    <t>IB</t>
  </si>
  <si>
    <t>Offline Only</t>
  </si>
  <si>
    <t>May</t>
  </si>
  <si>
    <t>IGCSE</t>
  </si>
  <si>
    <t>June</t>
  </si>
  <si>
    <t>July</t>
  </si>
  <si>
    <t>Class 12</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</si>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</sst>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1"/>
      <color theme="1"/>
      <name val="Calibri"/>
      <family val="2"/>
      <scheme val="minor"/>
    </font>
    <font>
      <b/>
      <sz val="9"/>
      <name val="Arial"/>
    </font>
    <font>
      <b/>
      <sz val="13"/>
      <color rgb="FFFFFFFF"/>
      <name val="Arial"/>
    </font>
    <font>
      <i/>
      <sz val="9"/>
      <color rgb="FFFFFFFF"/>
      <name val="Arial"/>
    </font>
    <font>
      <b/>
      <sz val="9"/>
      <color rgb="FFFFFFFF"/>
      <name val="Arial"/>
    </font>
    <font>
      <sz val="9"/>
      <color rgb="FF0000FF"/>
      <name val="Arial"/>
    </font>
    <font>
      <sz val="9"/>
      <color rgb="FF006400"/>
      <name val="Arial"/>
    </font>
    <font>
      <b/>
      <sz val="10"/>
      <color rgb="FFFFFFFF"/>
      <name val="Arial"/>
    </font>
    <font>
      <b/>
      <sz val="12"/>
      <color rgb="FF0D1B3E"/>
      <name val="Arial"/>
    </font>
    <font>
      <b/>
      <sz val="13"/>
      <color rgb="FFFF6B1A"/>
      <name val="Arial"/>
    </font>
    <font>
      <i/>
      <sz val="9"/>
      <color rgb="FF606878"/>
      <name val="Arial"/>
    </font>
    <font>
      <b/>
      <sz val="9"/>
      <color rgb="FF006400"/>
      <name val="Arial"/>
    </font>
    <font>
      <i/>
      <sz val="9"/>
      <color rgb="FF404060"/>
      <name val="Arial"/>
    </font>
    <font>
      <b/>
      <sz val="10"/>
      <color rgb="FFD4A017"/>
      <name val="Arial"/>
    </font>
    <font>
      <sz val="9"/>
      <color rgb="FF1A1A2E"/>
      <name val="Arial"/>
    </font>
    <font>
      <sz val="8"/>
      <color rgb="FF999999"/>
      <name val="Arial"/>
    </font>
    <font>
      <b/>
      <sz val="14"/>
      <color rgb="FFFFFFFF"/>
      <name val="Arial"/>
    </font>
    <font>
      <sz val="9"/>
      <color rgb="FFA9BAD8"/>
      <name val="Arial"/>
    </font>
    <font>
      <b/>
      <sz val="9"/>
      <color rgb="FFFF6B1A"/>
      <name val="Arial"/>
    </font>
    <font>
      <b/>
      <sz val="9"/>
      <color rgb="FF0D1B3E"/>
      <name val="Arial"/>
    </font>
    <font>
      <sz val="9"/>
      <color rgb="FF404060"/>
      <name val="Arial"/>
    </font>
    <font>
      <sz val="8"/>
      <color rgb="FFBBBBBB"/>
      <name val="Arial"/>
    </font>
  </fonts>
  <fills count="12">
    <fill>
      <patternFill patternType="none"/>
    </fill>
    <fill>
      <patternFill patternType="gray125"/>
    </fill>
    <fill>
      <patternFill patternType="solid">
        <fgColor rgb="FFC0392B"/>
      </patternFill>
    </fill>
    <fill>
      <patternFill patternType="solid">
        <fgColor rgb="FF1A3260"/>
      </patternFill>
    </fill>
    <fill>
      <patternFill patternType="solid">
        <fgColor rgb="FFF4F6FB"/>
      </patternFill>
    </fill>
    <fill>
      <patternFill patternType="solid">
        <fgColor rgb="FFFFFFFF"/>
      </patternFill>
    </fill>
    <fill>
      <patternFill patternType="solid">
        <fgColor rgb="FF0D1B3E"/>
      </patternFill>
    </fill>
    <fill>
      <patternFill patternType="solid">
        <fgColor rgb="FF0E7C86"/>
      </patternFill>
    </fill>
    <fill>
      <patternFill patternType="solid">
        <fgColor rgb="FFFFF8DC"/>
      </patternFill>
    </fill>
    <fill>
      <patternFill patternType="solid">
        <fgColor rgb="FF2C4870"/>
      </patternFill>
    </fill>
    <fill>
      <patternFill patternType="solid">
        <fgColor rgb="FF1A5276"/>
      </patternFill>
    </fill>
    <fill>
      <patternFill patternType="solid">
        <fgColor rgb="FF4A235A"/>
      </patternFill>
    </fill>
  </fills>
  <borders count="5">
    <border>
      <left/>
      <right/>
      <top/>
      <bottom/>
      <diagonal/>
    </border>
    <border>
      <left style="thin">
        <color rgb="FFC8CFD8"/>
      </left>
      <right style="thin">
        <color rgb="FFC8CFD8"/>
      </right>
      <top style="thin">
        <color rgb="FFC8CFD8"/>
      </top>
      <bottom style="thin">
        <color rgb="FFC8CFD8"/>
      </bottom>
      <diagonal/>
    </border>
    <border>
      <left style="thin">
        <color rgb="FFDDE2EE"/>
      </left>
      <right style="thin">
        <color rgb="FFDDE2EE"/>
      </right>
      <top style="thin">
        <color rgb="FFDDE2EE"/>
      </top>
      <bottom style="thin">
        <color rgb="FFDDE2EE"/>
      </bottom>
      <diagonal/>
    </border>
    <border>
      <left style="medium">
        <color rgb="FFD4A017"/>
      </left>
      <right style="medium">
        <color rgb="FFD4A017"/>
      </right>
      <top style="medium">
        <color rgb="FFD4A017"/>
      </top>
      <bottom style="medium">
        <color rgb="FFD4A017"/>
      </bottom>
      <diagonal/>
    </border>
    <border>
      <left/>
      <right/>
      <top/>
      <bottom style="thin">
        <color rgb="FFC8CFD8"/>
      </bottom>
      <diagonal/>
    </border>
  </borders>
  <cellStyleXfs count="1">
    <xf numFmtId="0" fontId="0" fillId="0" borderId="0"/>
  </cellStyleXfs>
  <cellXfs count="49">
    <xf numFmtId="0" fontId="0" fillId="0" borderId="0" xfId="0"/>
    <xf numFmtId="0" fontId="18" fillId="0" borderId="0" xfId="0" applyFont="1"/>
    <xf numFmtId="0" fontId="19" fillId="0" borderId="0" xfId="0" applyFont="1" applyAlignment="1">
      <alignment horizontal="left" vertical="center" wrapText="1"/>
    </xf>
    <xf numFmtId="0" fontId="20" fillId="0" borderId="0" xfId="0" applyFont="1" applyAlignment="1">
      <alignment horizontal="left" vertical="center" wrapText="1"/>
    </xf>
    <xf numFmtId="0" fontId="14" fillId="0" borderId="0" xfId="0" applyFont="1" applyAlignment="1">
      <alignment horizontal="left" vertical="center" wrapText="1"/>
    </xf>
    <xf numFmtId="0" fontId="9" fillId="8" borderId="3" xfId="0" applyFont="1" applyFill="1" applyBorder="1" applyAlignment="1">
      <alignment horizontal="center" vertical="center" wrapText="1"/>
    </xf>
    <xf numFmtId="0" fontId="10" fillId="0" borderId="0" xfId="0" applyFont="1"/>
    <xf numFmtId="0" fontId="11" fillId="0" borderId="0" xfId="0" applyFont="1"/>
    <xf numFmtId="0" fontId="4" fillId="9" borderId="1" xfId="0" applyFont="1" applyFill="1" applyBorder="1" applyAlignment="1">
      <alignment horizontal="center" vertical="center" wrapText="1"/>
    </xf>
    <xf numFmtId="0" fontId="6" fillId="5" borderId="2" xfId="0" applyFont="1" applyFill="1" applyBorder="1" applyAlignment="1">
      <alignment horizontal="left" vertical="center" wrapText="1"/>
    </xf>
    <xf numFmtId="0" fontId="6" fillId="5" borderId="2" xfId="0" applyFont="1" applyFill="1" applyBorder="1" applyAlignment="1">
      <alignment horizontal="center" vertical="center" wrapText="1"/>
    </xf>
    <xf numFmtId="164" fontId="6" fillId="5" borderId="2" xfId="0" applyNumberFormat="1" applyFont="1" applyFill="1" applyBorder="1" applyAlignment="1">
      <alignment horizontal="center" vertical="center" wrapText="1"/>
    </xf>
    <xf numFmtId="0" fontId="6" fillId="4" borderId="2" xfId="0" applyFont="1" applyFill="1" applyBorder="1" applyAlignment="1">
      <alignment horizontal="left" vertical="center" wrapText="1"/>
    </xf>
    <xf numFmtId="0" fontId="6" fillId="4" borderId="2" xfId="0" applyFont="1" applyFill="1" applyBorder="1" applyAlignment="1">
      <alignment horizontal="center" vertical="center" wrapText="1"/>
    </xf>
    <xf numFmtId="164" fontId="6" fillId="4" borderId="2" xfId="0" applyNumberFormat="1" applyFont="1" applyFill="1" applyBorder="1" applyAlignment="1">
      <alignment horizontal="center" vertical="center" wrapText="1"/>
    </xf>
    <xf numFmtId="0" fontId="4" fillId="3" borderId="1" xfId="0" applyFont="1" applyFill="1" applyBorder="1" applyAlignment="1">
      <alignment horizontal="center" vertical="center" wrapText="1"/>
    </xf>
    <xf numFmtId="0" fontId="14" fillId="4" borderId="2" xfId="0" applyFont="1" applyFill="1" applyBorder="1" applyAlignment="1">
      <alignment horizontal="left" vertical="center" wrapText="1"/>
    </xf>
    <xf numFmtId="3" fontId="6" fillId="4" borderId="2" xfId="0" applyNumberFormat="1" applyFont="1" applyFill="1" applyBorder="1" applyAlignment="1">
      <alignment horizontal="left" vertical="center" wrapText="1"/>
    </xf>
    <xf numFmtId="0" fontId="14" fillId="5" borderId="2" xfId="0" applyFont="1" applyFill="1" applyBorder="1" applyAlignment="1">
      <alignment horizontal="left" vertical="center" wrapText="1"/>
    </xf>
    <xf numFmtId="3" fontId="6" fillId="5" borderId="2" xfId="0" applyNumberFormat="1" applyFont="1" applyFill="1" applyBorder="1" applyAlignment="1">
      <alignment horizontal="left" vertical="center" wrapText="1"/>
    </xf>
    <xf numFmtId="164" fontId="6" fillId="4" borderId="2" xfId="0" applyNumberFormat="1" applyFont="1" applyFill="1" applyBorder="1" applyAlignment="1">
      <alignment horizontal="left" vertical="center" wrapText="1"/>
    </xf>
    <xf numFmtId="164" fontId="6" fillId="5" borderId="2" xfId="0" applyNumberFormat="1" applyFont="1" applyFill="1" applyBorder="1" applyAlignment="1">
      <alignment horizontal="left" vertical="center" wrapText="1"/>
    </xf>
    <xf numFmtId="0" fontId="15" fillId="0" borderId="0" xfId="0" applyFont="1"/>
    <xf numFmtId="0" fontId="14" fillId="5" borderId="2" xfId="0" applyFont="1" applyFill="1" applyBorder="1" applyAlignment="1">
      <alignment horizontal="center" vertical="center" wrapText="1"/>
    </xf>
    <xf numFmtId="0" fontId="14" fillId="4" borderId="2"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21" fillId="0" borderId="0" xfId="0" applyFont="1"/>
    <xf numFmtId="0" fontId="4" fillId="2" borderId="1" xfId="0" applyFont="1" applyFill="1" applyBorder="1" applyAlignment="1">
      <alignment horizontal="center" vertical="center" wrapText="1"/>
    </xf>
    <xf numFmtId="0" fontId="5" fillId="4" borderId="2" xfId="0" applyFont="1" applyFill="1" applyBorder="1" applyAlignment="1">
      <alignment horizontal="left" vertical="center" wrapText="1"/>
    </xf>
    <xf numFmtId="0" fontId="6" fillId="0" borderId="0" xfId="0" applyFont="1"/>
    <xf numFmtId="0" fontId="5" fillId="5" borderId="2" xfId="0" applyFont="1" applyFill="1" applyBorder="1" applyAlignment="1">
      <alignment horizontal="left" vertical="center" wrapText="1"/>
    </xf>
    <xf numFmtId="0" fontId="1" fillId="0" borderId="0" xfId="0" applyFont="1"/>
    <xf numFmtId="0" fontId="2" fillId="6" borderId="1" xfId="0" applyFont="1" applyFill="1" applyBorder="1" applyAlignment="1">
      <alignment horizontal="center" vertical="center" wrapText="1"/>
    </xf>
    <xf numFmtId="0" fontId="0" fillId="0" borderId="0" xfId="0"/>
    <xf numFmtId="0" fontId="7" fillId="7" borderId="0" xfId="0" applyFont="1" applyFill="1" applyAlignment="1">
      <alignment horizontal="center" vertical="center" wrapText="1"/>
    </xf>
    <xf numFmtId="0" fontId="8" fillId="0" borderId="0" xfId="0" applyFont="1" applyAlignment="1">
      <alignment horizontal="left" vertical="center" wrapText="1"/>
    </xf>
    <xf numFmtId="0" fontId="12" fillId="0" borderId="0" xfId="0" applyFont="1" applyAlignment="1">
      <alignment horizontal="left" vertical="center" wrapText="1"/>
    </xf>
    <xf numFmtId="0" fontId="7" fillId="7" borderId="1" xfId="0" applyFont="1" applyFill="1" applyBorder="1" applyAlignment="1">
      <alignment horizontal="center" vertical="center" wrapText="1"/>
    </xf>
    <xf numFmtId="0" fontId="13" fillId="3" borderId="0" xfId="0" applyFont="1" applyFill="1" applyAlignment="1">
      <alignment horizontal="center" vertical="center" wrapText="1"/>
    </xf>
    <xf numFmtId="0" fontId="3" fillId="3"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7" fillId="3" borderId="0" xfId="0" applyFont="1" applyFill="1" applyAlignment="1">
      <alignment horizontal="center" vertical="center" wrapText="1"/>
    </xf>
    <xf numFmtId="0" fontId="7" fillId="11" borderId="1" xfId="0" applyFont="1" applyFill="1" applyBorder="1" applyAlignment="1">
      <alignment horizontal="center" vertical="center" wrapText="1"/>
    </xf>
    <xf numFmtId="0" fontId="16" fillId="6"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7" fillId="3" borderId="0" xfId="0" applyFont="1" applyFill="1" applyAlignment="1">
      <alignment vertical="center" wrapText="1"/>
    </xf>
    <xf numFmtId="0" fontId="0" fillId="0" borderId="0" xfId="0" applyAlignment="1"/>
    <xf numFmtId="0" fontId="4" fillId="3" borderId="4"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AW_DISTRICT" displayName="RAW_DISTRICT" ref="A3:V745">
  <autoFilter ref="A3:V745" xr:uid="{00000000-0009-0000-0100-000001000000}"/>
  <tableColumns count="22">
    <tableColumn id="1" xr3:uid="{00000000-0010-0000-0000-000001000000}" name="#"/>
    <tableColumn id="2" xr3:uid="{00000000-0010-0000-0000-000002000000}" name="State"/>
    <tableColumn id="3" xr3:uid="{00000000-0010-0000-0000-000003000000}" name="District"/>
    <tableColumn id="4" xr3:uid="{00000000-0010-0000-0000-000004000000}" name="Report Month"/>
    <tableColumn id="5" xr3:uid="{00000000-0010-0000-0000-000005000000}" name="Area Type"/>
    <tableColumn id="6" xr3:uid="{00000000-0010-0000-0000-000006000000}" name="Active Users"/>
    <tableColumn id="7" xr3:uid="{00000000-0010-0000-0000-000007000000}" name="DAU Avg"/>
    <tableColumn id="8" xr3:uid="{00000000-0010-0000-0000-000008000000}" name="Quiz Attempts"/>
    <tableColumn id="9" xr3:uid="{00000000-0010-0000-0000-000009000000}" name="Quiz Correct Answers"/>
    <tableColumn id="10" xr3:uid="{00000000-0010-0000-0000-00000A000000}" name="AR Sessions"/>
    <tableColumn id="11" xr3:uid="{00000000-0010-0000-0000-00000B000000}" name="AR Completions"/>
    <tableColumn id="12" xr3:uid="{00000000-0010-0000-0000-00000C000000}" name="Total Sessions"/>
    <tableColumn id="13" xr3:uid="{00000000-0010-0000-0000-00000D000000}" name="Offline Sessions"/>
    <tableColumn id="14" xr3:uid="{00000000-0010-0000-0000-00000E000000}" name="AR-Capable Devices"/>
    <tableColumn id="15" xr3:uid="{00000000-0010-0000-0000-00000F000000}" name="Total Devices"/>
    <tableColumn id="16" xr3:uid="{00000000-0010-0000-0000-000010000000}" name="Schools Active"/>
    <tableColumn id="17" xr3:uid="{00000000-0010-0000-0000-000011000000}" name="Teacher Logins"/>
    <tableColumn id="18" xr3:uid="{00000000-0010-0000-0000-000012000000}" name="Connectivity Level"/>
    <tableColumn id="19" xr3:uid="{00000000-0010-0000-0000-000013000000}" name="Risk Level"/>
    <tableColumn id="20" xr3:uid="{00000000-0010-0000-0000-000014000000}" name="Aspirational District"/>
    <tableColumn id="21" xr3:uid="{00000000-0010-0000-0000-000015000000}" name="Notes"/>
    <tableColumn id="22" xr3:uid="{00000000-0010-0000-0000-000016000000}" name="Scope Match Rank"/>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AW_AR_CONTENT" displayName="RAW_AR_CONTENT" ref="A3:R543">
  <autoFilter ref="A3:R543" xr:uid="{00000000-0009-0000-0100-000002000000}"/>
  <tableColumns count="18">
    <tableColumn id="1" xr3:uid="{00000000-0010-0000-0100-000001000000}" name="#"/>
    <tableColumn id="2" xr3:uid="{00000000-0010-0000-0100-000002000000}" name="State"/>
    <tableColumn id="3" xr3:uid="{00000000-0010-0000-0100-000003000000}" name="Subject"/>
    <tableColumn id="4" xr3:uid="{00000000-0010-0000-0100-000004000000}" name="Class"/>
    <tableColumn id="5" xr3:uid="{00000000-0010-0000-0100-000005000000}" name="AR Module Title"/>
    <tableColumn id="6" xr3:uid="{00000000-0010-0000-0100-000006000000}" name="AR Tier"/>
    <tableColumn id="7" xr3:uid="{00000000-0010-0000-0100-000007000000}" name="Status"/>
    <tableColumn id="8" xr3:uid="{00000000-0010-0000-0100-000008000000}" name="NCERT Mapped"/>
    <tableColumn id="9" xr3:uid="{00000000-0010-0000-0100-000009000000}" name="Board"/>
    <tableColumn id="10" xr3:uid="{00000000-0010-0000-0100-00000A000000}" name="Language"/>
    <tableColumn id="11" xr3:uid="{00000000-0010-0000-0100-00000B000000}" name="Total Launches"/>
    <tableColumn id="12" xr3:uid="{00000000-0010-0000-0100-00000C000000}" name="Unique Students"/>
    <tableColumn id="13" xr3:uid="{00000000-0010-0000-0100-00000D000000}" name="Avg Dwell (min)"/>
    <tableColumn id="14" xr3:uid="{00000000-0010-0000-0100-00000E000000}" name="Completion %"/>
    <tableColumn id="15" xr3:uid="{00000000-0010-0000-0100-00000F000000}" name="Replay %"/>
    <tableColumn id="16" xr3:uid="{00000000-0010-0000-0100-000010000000}" name="Pre-Module Avg Score %"/>
    <tableColumn id="17" xr3:uid="{00000000-0010-0000-0100-000011000000}" name="Post-Module Avg Score %"/>
    <tableColumn id="18" xr3:uid="{00000000-0010-0000-0100-000012000000}" name="Published Dat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AW_QUIZ" displayName="RAW_QUIZ" ref="A3:Q363">
  <autoFilter ref="A3:Q363" xr:uid="{00000000-0009-0000-0100-000003000000}"/>
  <tableColumns count="17">
    <tableColumn id="1" xr3:uid="{00000000-0010-0000-0200-000001000000}" name="#"/>
    <tableColumn id="2" xr3:uid="{00000000-0010-0000-0200-000002000000}" name="State"/>
    <tableColumn id="3" xr3:uid="{00000000-0010-0000-0200-000003000000}" name="Subject"/>
    <tableColumn id="4" xr3:uid="{00000000-0010-0000-0200-000004000000}" name="Class"/>
    <tableColumn id="5" xr3:uid="{00000000-0010-0000-0200-000005000000}" name="Quiz Title"/>
    <tableColumn id="6" xr3:uid="{00000000-0010-0000-0200-000006000000}" name="Board"/>
    <tableColumn id="7" xr3:uid="{00000000-0010-0000-0200-000007000000}" name="Status"/>
    <tableColumn id="8" xr3:uid="{00000000-0010-0000-0200-000008000000}" name="Bloom's Level Focus"/>
    <tableColumn id="9" xr3:uid="{00000000-0010-0000-0200-000009000000}" name="Language"/>
    <tableColumn id="10" xr3:uid="{00000000-0010-0000-0200-00000A000000}" name="Questions Count"/>
    <tableColumn id="11" xr3:uid="{00000000-0010-0000-0200-00000B000000}" name="Attempts This Month"/>
    <tableColumn id="12" xr3:uid="{00000000-0010-0000-0200-00000C000000}" name="Correct Answers"/>
    <tableColumn id="13" xr3:uid="{00000000-0010-0000-0200-00000D000000}" name="Completions"/>
    <tableColumn id="14" xr3:uid="{00000000-0010-0000-0200-00000E000000}" name="Abandoned Attempts"/>
    <tableColumn id="15" xr3:uid="{00000000-0010-0000-0200-00000F000000}" name="Total Attempt Time (min)"/>
    <tableColumn id="16" xr3:uid="{00000000-0010-0000-0200-000010000000}" name="Published Date"/>
    <tableColumn id="17" xr3:uid="{00000000-0010-0000-0200-000011000000}"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3"/>
  <sheetViews>
    <sheetView showGridLines="0" workbookViewId="0"/>
  </sheetViews>
  <sheetFormatPr defaultRowHeight="14.4" x14ac:dyDescent="0.3"/>
  <cols>
    <col min="1" max="1" width="3" customWidth="1"/>
    <col min="2" max="2" width="46" customWidth="1"/>
    <col min="3" max="3" width="52" customWidth="1"/>
  </cols>
  <sheetData>
    <row r="1" spans="1:3" ht="31.95" customHeight="1" x14ac:dyDescent="0.3">
      <c r="A1" s="32" t="s">
        <v>0</v>
      </c>
      <c r="B1" s="33"/>
      <c r="C1" s="33"/>
    </row>
    <row r="3" spans="1:3" ht="18" customHeight="1" x14ac:dyDescent="0.3">
      <c r="A3" s="1"/>
      <c r="B3" s="2" t="s">
        <v>1</v>
      </c>
      <c r="C3" s="3"/>
    </row>
    <row r="4" spans="1:3" ht="18" customHeight="1" x14ac:dyDescent="0.3">
      <c r="A4" s="1"/>
      <c r="B4" s="4"/>
      <c r="C4" s="3"/>
    </row>
    <row r="5" spans="1:3" ht="28.05" customHeight="1" x14ac:dyDescent="0.3">
      <c r="A5" s="1" t="s">
        <v>2</v>
      </c>
      <c r="B5" s="4" t="s">
        <v>3</v>
      </c>
      <c r="C5" s="3" t="s">
        <v>4</v>
      </c>
    </row>
    <row r="6" spans="1:3" ht="28.05" customHeight="1" x14ac:dyDescent="0.3">
      <c r="A6" s="1" t="s">
        <v>5</v>
      </c>
      <c r="B6" s="4" t="s">
        <v>6</v>
      </c>
      <c r="C6" s="3" t="s">
        <v>7</v>
      </c>
    </row>
    <row r="7" spans="1:3" ht="28.05" customHeight="1" x14ac:dyDescent="0.3">
      <c r="A7" s="1" t="s">
        <v>8</v>
      </c>
      <c r="B7" s="4" t="s">
        <v>9</v>
      </c>
      <c r="C7" s="3" t="s">
        <v>10</v>
      </c>
    </row>
    <row r="8" spans="1:3" ht="28.05" customHeight="1" x14ac:dyDescent="0.3">
      <c r="A8" s="1" t="s">
        <v>11</v>
      </c>
      <c r="B8" s="4" t="s">
        <v>12</v>
      </c>
      <c r="C8" s="3" t="s">
        <v>13</v>
      </c>
    </row>
    <row r="9" spans="1:3" ht="28.05" customHeight="1" x14ac:dyDescent="0.3">
      <c r="A9" s="1" t="s">
        <v>14</v>
      </c>
      <c r="B9" s="4" t="s">
        <v>15</v>
      </c>
      <c r="C9" s="3" t="s">
        <v>16</v>
      </c>
    </row>
    <row r="10" spans="1:3" ht="28.05" customHeight="1" x14ac:dyDescent="0.3">
      <c r="A10" s="1" t="s">
        <v>17</v>
      </c>
      <c r="B10" s="4" t="s">
        <v>18</v>
      </c>
      <c r="C10" s="3" t="s">
        <v>19</v>
      </c>
    </row>
    <row r="11" spans="1:3" ht="18" customHeight="1" x14ac:dyDescent="0.3">
      <c r="A11" s="1"/>
      <c r="B11" s="4"/>
      <c r="C11" s="3"/>
    </row>
    <row r="12" spans="1:3" ht="18" customHeight="1" x14ac:dyDescent="0.3">
      <c r="A12" s="1"/>
      <c r="B12" s="2" t="s">
        <v>20</v>
      </c>
      <c r="C12" s="3"/>
    </row>
    <row r="13" spans="1:3" ht="18" customHeight="1" x14ac:dyDescent="0.3">
      <c r="A13" s="1"/>
      <c r="B13" s="4"/>
      <c r="C13" s="3"/>
    </row>
    <row r="14" spans="1:3" ht="28.05" customHeight="1" x14ac:dyDescent="0.3">
      <c r="A14" s="1" t="s">
        <v>21</v>
      </c>
      <c r="B14" s="4" t="s">
        <v>22</v>
      </c>
      <c r="C14" s="3" t="s">
        <v>23</v>
      </c>
    </row>
    <row r="15" spans="1:3" ht="28.05" customHeight="1" x14ac:dyDescent="0.3">
      <c r="A15" s="1" t="s">
        <v>24</v>
      </c>
      <c r="B15" s="4" t="s">
        <v>25</v>
      </c>
      <c r="C15" s="3" t="s">
        <v>26</v>
      </c>
    </row>
    <row r="16" spans="1:3" ht="28.05" customHeight="1" x14ac:dyDescent="0.3">
      <c r="A16" s="1" t="s">
        <v>27</v>
      </c>
      <c r="B16" s="4" t="s">
        <v>28</v>
      </c>
      <c r="C16" s="3" t="s">
        <v>29</v>
      </c>
    </row>
    <row r="17" spans="1:3" ht="28.05" customHeight="1" x14ac:dyDescent="0.3">
      <c r="A17" s="1" t="s">
        <v>30</v>
      </c>
      <c r="B17" s="4" t="s">
        <v>31</v>
      </c>
      <c r="C17" s="3" t="s">
        <v>32</v>
      </c>
    </row>
    <row r="18" spans="1:3" ht="28.05" customHeight="1" x14ac:dyDescent="0.3">
      <c r="A18" s="1" t="s">
        <v>33</v>
      </c>
      <c r="B18" s="4" t="s">
        <v>34</v>
      </c>
      <c r="C18" s="3" t="s">
        <v>35</v>
      </c>
    </row>
    <row r="19" spans="1:3" ht="28.05" customHeight="1" x14ac:dyDescent="0.3">
      <c r="A19" s="1" t="s">
        <v>36</v>
      </c>
      <c r="B19" s="4" t="s">
        <v>37</v>
      </c>
      <c r="C19" s="3" t="s">
        <v>38</v>
      </c>
    </row>
    <row r="20" spans="1:3" ht="28.05" customHeight="1" x14ac:dyDescent="0.3">
      <c r="A20" s="1" t="s">
        <v>39</v>
      </c>
      <c r="B20" s="4" t="s">
        <v>40</v>
      </c>
      <c r="C20" s="3" t="s">
        <v>41</v>
      </c>
    </row>
    <row r="21" spans="1:3" ht="28.05" customHeight="1" x14ac:dyDescent="0.3">
      <c r="A21" s="1" t="s">
        <v>42</v>
      </c>
      <c r="B21" s="4" t="s">
        <v>43</v>
      </c>
      <c r="C21" s="3" t="s">
        <v>44</v>
      </c>
    </row>
    <row r="22" spans="1:3" ht="18" customHeight="1" x14ac:dyDescent="0.3">
      <c r="A22" s="1"/>
      <c r="B22" s="4"/>
      <c r="C22" s="3"/>
    </row>
    <row r="23" spans="1:3" ht="18" customHeight="1" x14ac:dyDescent="0.3">
      <c r="A23" s="1"/>
      <c r="B23" s="2" t="s">
        <v>45</v>
      </c>
      <c r="C23" s="3"/>
    </row>
    <row r="24" spans="1:3" ht="18" customHeight="1" x14ac:dyDescent="0.3">
      <c r="A24" s="1"/>
      <c r="B24" s="4"/>
      <c r="C24" s="3"/>
    </row>
    <row r="25" spans="1:3" ht="28.05" customHeight="1" x14ac:dyDescent="0.3">
      <c r="A25" s="1" t="s">
        <v>46</v>
      </c>
      <c r="B25" s="4" t="s">
        <v>47</v>
      </c>
      <c r="C25" s="3" t="s">
        <v>48</v>
      </c>
    </row>
    <row r="26" spans="1:3" ht="28.05" customHeight="1" x14ac:dyDescent="0.3">
      <c r="A26" s="1" t="s">
        <v>49</v>
      </c>
      <c r="B26" s="4" t="s">
        <v>50</v>
      </c>
      <c r="C26" s="3" t="s">
        <v>51</v>
      </c>
    </row>
    <row r="27" spans="1:3" ht="28.05" customHeight="1" x14ac:dyDescent="0.3">
      <c r="A27" s="1" t="s">
        <v>52</v>
      </c>
      <c r="B27" s="4" t="s">
        <v>53</v>
      </c>
      <c r="C27" s="3" t="s">
        <v>54</v>
      </c>
    </row>
    <row r="28" spans="1:3" ht="18" customHeight="1" x14ac:dyDescent="0.3">
      <c r="A28" s="1"/>
      <c r="B28" s="4"/>
      <c r="C28" s="3"/>
    </row>
    <row r="29" spans="1:3" ht="18" customHeight="1" x14ac:dyDescent="0.3">
      <c r="A29" s="1"/>
      <c r="B29" s="2" t="s">
        <v>55</v>
      </c>
      <c r="C29" s="3"/>
    </row>
    <row r="30" spans="1:3" ht="18" customHeight="1" x14ac:dyDescent="0.3">
      <c r="A30" s="1"/>
      <c r="B30" s="4"/>
      <c r="C30" s="3"/>
    </row>
    <row r="31" spans="1:3" ht="28.05" customHeight="1" x14ac:dyDescent="0.3">
      <c r="A31" s="1" t="s">
        <v>56</v>
      </c>
      <c r="B31" s="4" t="s">
        <v>57</v>
      </c>
      <c r="C31" s="3" t="s">
        <v>58</v>
      </c>
    </row>
    <row r="32" spans="1:3" ht="28.05" customHeight="1" x14ac:dyDescent="0.3">
      <c r="A32" s="1" t="s">
        <v>56</v>
      </c>
      <c r="B32" s="4" t="s">
        <v>59</v>
      </c>
      <c r="C32" s="3" t="s">
        <v>60</v>
      </c>
    </row>
    <row r="33" spans="1:3" ht="28.05" customHeight="1" x14ac:dyDescent="0.3">
      <c r="A33" s="1" t="s">
        <v>56</v>
      </c>
      <c r="B33" s="4" t="s">
        <v>61</v>
      </c>
      <c r="C33" s="3" t="s">
        <v>62</v>
      </c>
    </row>
  </sheetData>
  <mergeCells count="1">
    <mergeCell ref="A1:C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6"/>
  <sheetViews>
    <sheetView showGridLines="0" workbookViewId="0">
      <selection activeCell="D4" sqref="D4"/>
    </sheetView>
  </sheetViews>
  <sheetFormatPr defaultRowHeight="14.4" x14ac:dyDescent="0.3"/>
  <cols>
    <col min="1" max="1" width="3" customWidth="1"/>
    <col min="2" max="3" width="30" customWidth="1"/>
    <col min="4" max="7" width="16" customWidth="1"/>
  </cols>
  <sheetData>
    <row r="1" spans="1:7" ht="30" customHeight="1" x14ac:dyDescent="0.3">
      <c r="A1" s="32" t="s">
        <v>63</v>
      </c>
      <c r="B1" s="33"/>
      <c r="C1" s="33"/>
      <c r="D1" s="33"/>
      <c r="E1" s="33"/>
      <c r="F1" s="33"/>
      <c r="G1" s="33"/>
    </row>
    <row r="3" spans="1:7" ht="22.05" customHeight="1" x14ac:dyDescent="0.3">
      <c r="B3" s="34" t="s">
        <v>64</v>
      </c>
      <c r="C3" s="33"/>
      <c r="D3" s="33"/>
      <c r="E3" s="33"/>
      <c r="F3" s="33"/>
      <c r="G3" s="33"/>
    </row>
    <row r="4" spans="1:7" ht="31.95" customHeight="1" x14ac:dyDescent="0.3">
      <c r="B4" s="35" t="s">
        <v>65</v>
      </c>
      <c r="C4" s="33"/>
      <c r="D4" s="5" t="s">
        <v>66</v>
      </c>
    </row>
    <row r="5" spans="1:7" x14ac:dyDescent="0.3">
      <c r="B5" s="6" t="s">
        <v>67</v>
      </c>
      <c r="C5" s="7" t="str">
        <f>IF($D$4="All India","NATIONAL","STATE")</f>
        <v>NATIONAL</v>
      </c>
    </row>
    <row r="7" spans="1:7" ht="28.05" customHeight="1" x14ac:dyDescent="0.3">
      <c r="B7" s="36" t="s">
        <v>68</v>
      </c>
      <c r="C7" s="33"/>
      <c r="D7" s="33"/>
      <c r="E7" s="33"/>
      <c r="F7" s="33"/>
      <c r="G7" s="33"/>
    </row>
    <row r="9" spans="1:7" ht="19.95" customHeight="1" x14ac:dyDescent="0.3">
      <c r="B9" s="46" t="str">
        <f>IF($D$4="All India","STATE","DISTRICT")</f>
        <v>STATE</v>
      </c>
      <c r="C9" s="48" t="s">
        <v>69</v>
      </c>
      <c r="D9" s="48"/>
      <c r="E9" s="48"/>
      <c r="F9" s="48"/>
      <c r="G9" s="47"/>
    </row>
    <row r="10" spans="1:7" ht="31.95" customHeight="1" x14ac:dyDescent="0.3">
      <c r="B10" s="8" t="s">
        <v>70</v>
      </c>
      <c r="C10" s="8" t="s">
        <v>71</v>
      </c>
      <c r="D10" s="8" t="s">
        <v>72</v>
      </c>
      <c r="E10" s="8" t="s">
        <v>73</v>
      </c>
      <c r="F10" s="8" t="s">
        <v>74</v>
      </c>
    </row>
    <row r="11" spans="1:7" ht="15" customHeight="1" x14ac:dyDescent="0.3">
      <c r="B11" s="9" t="str">
        <f>IFERROR(IF($D$4="All India",INDEX({"Andaman and Nicobar Islands";"Andhra Pradesh";"Arunachal Pradesh";"Assam";"Bihar";"Chandigarh";"Chhattisgarh";"Dadra and Nagar Haveli and Daman and Diu";"Delhi";"Goa";"Gujarat";"Haryana";"Himachal Pradesh";"Jammu and Kashmir";"Jharkhand";"Karnataka";"Kerala";"Ladakh";"Lakshadweep";"Madhya Pradesh";"Maharashtra";"Manipur";"Meghalaya";"Mizoram";"Nagaland";"Odisha";"Puducherry";"Punjab";"Rajasthan";"Sikkim";"Tamil Nadu";"Telangana";"Tripura";"Uttar Pradesh";"Uttarakhand";"West Bengal"},1),INDEX('RAW_DISTRICT'!$C$4:$C$745,MATCH(1,'RAW_DISTRICT'!$V$4:$V$745,0))),"")</f>
        <v>Andaman and Nicobar Islands</v>
      </c>
      <c r="C11" s="10">
        <f>IFERROR(IF($B11="","",SUMIF(IF($D$4="All India",'RAW_DISTRICT'!$B$4:$B$745,'RAW_DISTRICT'!$C$4:$C$745),$B11,'RAW_DISTRICT'!$F$4:$F$745)),"")</f>
        <v>0</v>
      </c>
      <c r="D11" s="11" t="str">
        <f>IFERROR(IF($B11="","",SUMIF(IF($D$4="All India",'RAW_DISTRICT'!$B$4:$B$745,'RAW_DISTRICT'!$C$4:$C$745),$B11,'RAW_DISTRICT'!$I$4:$I$745)/SUMIF(IF($D$4="All India",'RAW_DISTRICT'!$B$4:$B$745,'RAW_DISTRICT'!$C$4:$C$745),$B11,'RAW_DISTRICT'!$H$4:$H$745)),"")</f>
        <v/>
      </c>
      <c r="E11" s="11" t="str">
        <f>IFERROR(IF($B11="","",SUMIF(IF($D$4="All India",'RAW_DISTRICT'!$B$4:$B$745,'RAW_DISTRICT'!$C$4:$C$745),$B11,'RAW_DISTRICT'!$K$4:$K$745)/SUMIF(IF($D$4="All India",'RAW_DISTRICT'!$B$4:$B$745,'RAW_DISTRICT'!$C$4:$C$745),$B11,'RAW_DISTRICT'!$J$4:$J$745)),"")</f>
        <v/>
      </c>
      <c r="F11" s="10" t="str">
        <f t="shared" ref="F11:F46" si="0">IFERROR(IF($C11="","",IF($C11&gt;=AVERAGE($C$11:$C$46)*1.2,"High",IF($C11&gt;=AVERAGE($C$11:$C$46)*0.7,"Medium","Low"))),"")</f>
        <v>High</v>
      </c>
    </row>
    <row r="12" spans="1:7" ht="15" customHeight="1" x14ac:dyDescent="0.3">
      <c r="B12" s="12" t="str">
        <f>IFERROR(IF($D$4="All India",INDEX({"Andaman and Nicobar Islands";"Andhra Pradesh";"Arunachal Pradesh";"Assam";"Bihar";"Chandigarh";"Chhattisgarh";"Dadra and Nagar Haveli and Daman and Diu";"Delhi";"Goa";"Gujarat";"Haryana";"Himachal Pradesh";"Jammu and Kashmir";"Jharkhand";"Karnataka";"Kerala";"Ladakh";"Lakshadweep";"Madhya Pradesh";"Maharashtra";"Manipur";"Meghalaya";"Mizoram";"Nagaland";"Odisha";"Puducherry";"Punjab";"Rajasthan";"Sikkim";"Tamil Nadu";"Telangana";"Tripura";"Uttar Pradesh";"Uttarakhand";"West Bengal"},2),INDEX('RAW_DISTRICT'!$C$4:$C$745,MATCH(2,'RAW_DISTRICT'!$V$4:$V$745,0))),"")</f>
        <v>Andhra Pradesh</v>
      </c>
      <c r="C12" s="13">
        <f>IFERROR(IF($B12="","",SUMIF(IF($D$4="All India",'RAW_DISTRICT'!$B$4:$B$745,'RAW_DISTRICT'!$C$4:$C$745),$B12,'RAW_DISTRICT'!$F$4:$F$745)),"")</f>
        <v>0</v>
      </c>
      <c r="D12" s="14" t="str">
        <f>IFERROR(IF($B12="","",SUMIF(IF($D$4="All India",'RAW_DISTRICT'!$B$4:$B$745,'RAW_DISTRICT'!$C$4:$C$745),$B12,'RAW_DISTRICT'!$I$4:$I$745)/SUMIF(IF($D$4="All India",'RAW_DISTRICT'!$B$4:$B$745,'RAW_DISTRICT'!$C$4:$C$745),$B12,'RAW_DISTRICT'!$H$4:$H$745)),"")</f>
        <v/>
      </c>
      <c r="E12" s="14" t="str">
        <f>IFERROR(IF($B12="","",SUMIF(IF($D$4="All India",'RAW_DISTRICT'!$B$4:$B$745,'RAW_DISTRICT'!$C$4:$C$745),$B12,'RAW_DISTRICT'!$K$4:$K$745)/SUMIF(IF($D$4="All India",'RAW_DISTRICT'!$B$4:$B$745,'RAW_DISTRICT'!$C$4:$C$745),$B12,'RAW_DISTRICT'!$J$4:$J$745)),"")</f>
        <v/>
      </c>
      <c r="F12" s="13" t="str">
        <f t="shared" si="0"/>
        <v>High</v>
      </c>
    </row>
    <row r="13" spans="1:7" ht="15" customHeight="1" x14ac:dyDescent="0.3">
      <c r="B13" s="9" t="str">
        <f>IFERROR(IF($D$4="All India",INDEX({"Andaman and Nicobar Islands";"Andhra Pradesh";"Arunachal Pradesh";"Assam";"Bihar";"Chandigarh";"Chhattisgarh";"Dadra and Nagar Haveli and Daman and Diu";"Delhi";"Goa";"Gujarat";"Haryana";"Himachal Pradesh";"Jammu and Kashmir";"Jharkhand";"Karnataka";"Kerala";"Ladakh";"Lakshadweep";"Madhya Pradesh";"Maharashtra";"Manipur";"Meghalaya";"Mizoram";"Nagaland";"Odisha";"Puducherry";"Punjab";"Rajasthan";"Sikkim";"Tamil Nadu";"Telangana";"Tripura";"Uttar Pradesh";"Uttarakhand";"West Bengal"},3),INDEX('RAW_DISTRICT'!$C$4:$C$745,MATCH(3,'RAW_DISTRICT'!$V$4:$V$745,0))),"")</f>
        <v>Arunachal Pradesh</v>
      </c>
      <c r="C13" s="10">
        <f>IFERROR(IF($B13="","",SUMIF(IF($D$4="All India",'RAW_DISTRICT'!$B$4:$B$745,'RAW_DISTRICT'!$C$4:$C$745),$B13,'RAW_DISTRICT'!$F$4:$F$745)),"")</f>
        <v>0</v>
      </c>
      <c r="D13" s="11" t="str">
        <f>IFERROR(IF($B13="","",SUMIF(IF($D$4="All India",'RAW_DISTRICT'!$B$4:$B$745,'RAW_DISTRICT'!$C$4:$C$745),$B13,'RAW_DISTRICT'!$I$4:$I$745)/SUMIF(IF($D$4="All India",'RAW_DISTRICT'!$B$4:$B$745,'RAW_DISTRICT'!$C$4:$C$745),$B13,'RAW_DISTRICT'!$H$4:$H$745)),"")</f>
        <v/>
      </c>
      <c r="E13" s="11" t="str">
        <f>IFERROR(IF($B13="","",SUMIF(IF($D$4="All India",'RAW_DISTRICT'!$B$4:$B$745,'RAW_DISTRICT'!$C$4:$C$745),$B13,'RAW_DISTRICT'!$K$4:$K$745)/SUMIF(IF($D$4="All India",'RAW_DISTRICT'!$B$4:$B$745,'RAW_DISTRICT'!$C$4:$C$745),$B13,'RAW_DISTRICT'!$J$4:$J$745)),"")</f>
        <v/>
      </c>
      <c r="F13" s="10" t="str">
        <f t="shared" si="0"/>
        <v>High</v>
      </c>
    </row>
    <row r="14" spans="1:7" ht="15" customHeight="1" x14ac:dyDescent="0.3">
      <c r="B14" s="12" t="str">
        <f>IFERROR(IF($D$4="All India",INDEX({"Andaman and Nicobar Islands";"Andhra Pradesh";"Arunachal Pradesh";"Assam";"Bihar";"Chandigarh";"Chhattisgarh";"Dadra and Nagar Haveli and Daman and Diu";"Delhi";"Goa";"Gujarat";"Haryana";"Himachal Pradesh";"Jammu and Kashmir";"Jharkhand";"Karnataka";"Kerala";"Ladakh";"Lakshadweep";"Madhya Pradesh";"Maharashtra";"Manipur";"Meghalaya";"Mizoram";"Nagaland";"Odisha";"Puducherry";"Punjab";"Rajasthan";"Sikkim";"Tamil Nadu";"Telangana";"Tripura";"Uttar Pradesh";"Uttarakhand";"West Bengal"},4),INDEX('RAW_DISTRICT'!$C$4:$C$745,MATCH(4,'RAW_DISTRICT'!$V$4:$V$745,0))),"")</f>
        <v>Assam</v>
      </c>
      <c r="C14" s="13">
        <f>IFERROR(IF($B14="","",SUMIF(IF($D$4="All India",'RAW_DISTRICT'!$B$4:$B$745,'RAW_DISTRICT'!$C$4:$C$745),$B14,'RAW_DISTRICT'!$F$4:$F$745)),"")</f>
        <v>0</v>
      </c>
      <c r="D14" s="14" t="str">
        <f>IFERROR(IF($B14="","",SUMIF(IF($D$4="All India",'RAW_DISTRICT'!$B$4:$B$745,'RAW_DISTRICT'!$C$4:$C$745),$B14,'RAW_DISTRICT'!$I$4:$I$745)/SUMIF(IF($D$4="All India",'RAW_DISTRICT'!$B$4:$B$745,'RAW_DISTRICT'!$C$4:$C$745),$B14,'RAW_DISTRICT'!$H$4:$H$745)),"")</f>
        <v/>
      </c>
      <c r="E14" s="14" t="str">
        <f>IFERROR(IF($B14="","",SUMIF(IF($D$4="All India",'RAW_DISTRICT'!$B$4:$B$745,'RAW_DISTRICT'!$C$4:$C$745),$B14,'RAW_DISTRICT'!$K$4:$K$745)/SUMIF(IF($D$4="All India",'RAW_DISTRICT'!$B$4:$B$745,'RAW_DISTRICT'!$C$4:$C$745),$B14,'RAW_DISTRICT'!$J$4:$J$745)),"")</f>
        <v/>
      </c>
      <c r="F14" s="13" t="str">
        <f t="shared" si="0"/>
        <v>High</v>
      </c>
    </row>
    <row r="15" spans="1:7" ht="15" customHeight="1" x14ac:dyDescent="0.3">
      <c r="B15" s="9" t="str">
        <f>IFERROR(IF($D$4="All India",INDEX({"Andaman and Nicobar Islands";"Andhra Pradesh";"Arunachal Pradesh";"Assam";"Bihar";"Chandigarh";"Chhattisgarh";"Dadra and Nagar Haveli and Daman and Diu";"Delhi";"Goa";"Gujarat";"Haryana";"Himachal Pradesh";"Jammu and Kashmir";"Jharkhand";"Karnataka";"Kerala";"Ladakh";"Lakshadweep";"Madhya Pradesh";"Maharashtra";"Manipur";"Meghalaya";"Mizoram";"Nagaland";"Odisha";"Puducherry";"Punjab";"Rajasthan";"Sikkim";"Tamil Nadu";"Telangana";"Tripura";"Uttar Pradesh";"Uttarakhand";"West Bengal"},5),INDEX('RAW_DISTRICT'!$C$4:$C$745,MATCH(5,'RAW_DISTRICT'!$V$4:$V$745,0))),"")</f>
        <v>Bihar</v>
      </c>
      <c r="C15" s="10">
        <f>IFERROR(IF($B15="","",SUMIF(IF($D$4="All India",'RAW_DISTRICT'!$B$4:$B$745,'RAW_DISTRICT'!$C$4:$C$745),$B15,'RAW_DISTRICT'!$F$4:$F$745)),"")</f>
        <v>0</v>
      </c>
      <c r="D15" s="11" t="str">
        <f>IFERROR(IF($B15="","",SUMIF(IF($D$4="All India",'RAW_DISTRICT'!$B$4:$B$745,'RAW_DISTRICT'!$C$4:$C$745),$B15,'RAW_DISTRICT'!$I$4:$I$745)/SUMIF(IF($D$4="All India",'RAW_DISTRICT'!$B$4:$B$745,'RAW_DISTRICT'!$C$4:$C$745),$B15,'RAW_DISTRICT'!$H$4:$H$745)),"")</f>
        <v/>
      </c>
      <c r="E15" s="11" t="str">
        <f>IFERROR(IF($B15="","",SUMIF(IF($D$4="All India",'RAW_DISTRICT'!$B$4:$B$745,'RAW_DISTRICT'!$C$4:$C$745),$B15,'RAW_DISTRICT'!$K$4:$K$745)/SUMIF(IF($D$4="All India",'RAW_DISTRICT'!$B$4:$B$745,'RAW_DISTRICT'!$C$4:$C$745),$B15,'RAW_DISTRICT'!$J$4:$J$745)),"")</f>
        <v/>
      </c>
      <c r="F15" s="10" t="str">
        <f t="shared" si="0"/>
        <v>High</v>
      </c>
    </row>
    <row r="16" spans="1:7" ht="15" customHeight="1" x14ac:dyDescent="0.3">
      <c r="B16" s="12" t="str">
        <f>IFERROR(IF($D$4="All India",INDEX({"Andaman and Nicobar Islands";"Andhra Pradesh";"Arunachal Pradesh";"Assam";"Bihar";"Chandigarh";"Chhattisgarh";"Dadra and Nagar Haveli and Daman and Diu";"Delhi";"Goa";"Gujarat";"Haryana";"Himachal Pradesh";"Jammu and Kashmir";"Jharkhand";"Karnataka";"Kerala";"Ladakh";"Lakshadweep";"Madhya Pradesh";"Maharashtra";"Manipur";"Meghalaya";"Mizoram";"Nagaland";"Odisha";"Puducherry";"Punjab";"Rajasthan";"Sikkim";"Tamil Nadu";"Telangana";"Tripura";"Uttar Pradesh";"Uttarakhand";"West Bengal"},6),INDEX('RAW_DISTRICT'!$C$4:$C$745,MATCH(6,'RAW_DISTRICT'!$V$4:$V$745,0))),"")</f>
        <v>Chandigarh</v>
      </c>
      <c r="C16" s="13">
        <f>IFERROR(IF($B16="","",SUMIF(IF($D$4="All India",'RAW_DISTRICT'!$B$4:$B$745,'RAW_DISTRICT'!$C$4:$C$745),$B16,'RAW_DISTRICT'!$F$4:$F$745)),"")</f>
        <v>0</v>
      </c>
      <c r="D16" s="14" t="str">
        <f>IFERROR(IF($B16="","",SUMIF(IF($D$4="All India",'RAW_DISTRICT'!$B$4:$B$745,'RAW_DISTRICT'!$C$4:$C$745),$B16,'RAW_DISTRICT'!$I$4:$I$745)/SUMIF(IF($D$4="All India",'RAW_DISTRICT'!$B$4:$B$745,'RAW_DISTRICT'!$C$4:$C$745),$B16,'RAW_DISTRICT'!$H$4:$H$745)),"")</f>
        <v/>
      </c>
      <c r="E16" s="14" t="str">
        <f>IFERROR(IF($B16="","",SUMIF(IF($D$4="All India",'RAW_DISTRICT'!$B$4:$B$745,'RAW_DISTRICT'!$C$4:$C$745),$B16,'RAW_DISTRICT'!$K$4:$K$745)/SUMIF(IF($D$4="All India",'RAW_DISTRICT'!$B$4:$B$745,'RAW_DISTRICT'!$C$4:$C$745),$B16,'RAW_DISTRICT'!$J$4:$J$745)),"")</f>
        <v/>
      </c>
      <c r="F16" s="13" t="str">
        <f t="shared" si="0"/>
        <v>High</v>
      </c>
    </row>
    <row r="17" spans="2:6" ht="15" customHeight="1" x14ac:dyDescent="0.3">
      <c r="B17" s="9" t="str">
        <f>IFERROR(IF($D$4="All India",INDEX({"Andaman and Nicobar Islands";"Andhra Pradesh";"Arunachal Pradesh";"Assam";"Bihar";"Chandigarh";"Chhattisgarh";"Dadra and Nagar Haveli and Daman and Diu";"Delhi";"Goa";"Gujarat";"Haryana";"Himachal Pradesh";"Jammu and Kashmir";"Jharkhand";"Karnataka";"Kerala";"Ladakh";"Lakshadweep";"Madhya Pradesh";"Maharashtra";"Manipur";"Meghalaya";"Mizoram";"Nagaland";"Odisha";"Puducherry";"Punjab";"Rajasthan";"Sikkim";"Tamil Nadu";"Telangana";"Tripura";"Uttar Pradesh";"Uttarakhand";"West Bengal"},7),INDEX('RAW_DISTRICT'!$C$4:$C$745,MATCH(7,'RAW_DISTRICT'!$V$4:$V$745,0))),"")</f>
        <v>Chhattisgarh</v>
      </c>
      <c r="C17" s="10">
        <f>IFERROR(IF($B17="","",SUMIF(IF($D$4="All India",'RAW_DISTRICT'!$B$4:$B$745,'RAW_DISTRICT'!$C$4:$C$745),$B17,'RAW_DISTRICT'!$F$4:$F$745)),"")</f>
        <v>0</v>
      </c>
      <c r="D17" s="11" t="str">
        <f>IFERROR(IF($B17="","",SUMIF(IF($D$4="All India",'RAW_DISTRICT'!$B$4:$B$745,'RAW_DISTRICT'!$C$4:$C$745),$B17,'RAW_DISTRICT'!$I$4:$I$745)/SUMIF(IF($D$4="All India",'RAW_DISTRICT'!$B$4:$B$745,'RAW_DISTRICT'!$C$4:$C$745),$B17,'RAW_DISTRICT'!$H$4:$H$745)),"")</f>
        <v/>
      </c>
      <c r="E17" s="11" t="str">
        <f>IFERROR(IF($B17="","",SUMIF(IF($D$4="All India",'RAW_DISTRICT'!$B$4:$B$745,'RAW_DISTRICT'!$C$4:$C$745),$B17,'RAW_DISTRICT'!$K$4:$K$745)/SUMIF(IF($D$4="All India",'RAW_DISTRICT'!$B$4:$B$745,'RAW_DISTRICT'!$C$4:$C$745),$B17,'RAW_DISTRICT'!$J$4:$J$745)),"")</f>
        <v/>
      </c>
      <c r="F17" s="10" t="str">
        <f t="shared" si="0"/>
        <v>High</v>
      </c>
    </row>
    <row r="18" spans="2:6" ht="15" customHeight="1" x14ac:dyDescent="0.3">
      <c r="B18" s="12" t="str">
        <f>IFERROR(IF($D$4="All India",INDEX({"Andaman and Nicobar Islands";"Andhra Pradesh";"Arunachal Pradesh";"Assam";"Bihar";"Chandigarh";"Chhattisgarh";"Dadra and Nagar Haveli and Daman and Diu";"Delhi";"Goa";"Gujarat";"Haryana";"Himachal Pradesh";"Jammu and Kashmir";"Jharkhand";"Karnataka";"Kerala";"Ladakh";"Lakshadweep";"Madhya Pradesh";"Maharashtra";"Manipur";"Meghalaya";"Mizoram";"Nagaland";"Odisha";"Puducherry";"Punjab";"Rajasthan";"Sikkim";"Tamil Nadu";"Telangana";"Tripura";"Uttar Pradesh";"Uttarakhand";"West Bengal"},8),INDEX('RAW_DISTRICT'!$C$4:$C$745,MATCH(8,'RAW_DISTRICT'!$V$4:$V$745,0))),"")</f>
        <v>Dadra and Nagar Haveli and Daman and Diu</v>
      </c>
      <c r="C18" s="13">
        <f>IFERROR(IF($B18="","",SUMIF(IF($D$4="All India",'RAW_DISTRICT'!$B$4:$B$745,'RAW_DISTRICT'!$C$4:$C$745),$B18,'RAW_DISTRICT'!$F$4:$F$745)),"")</f>
        <v>0</v>
      </c>
      <c r="D18" s="14" t="str">
        <f>IFERROR(IF($B18="","",SUMIF(IF($D$4="All India",'RAW_DISTRICT'!$B$4:$B$745,'RAW_DISTRICT'!$C$4:$C$745),$B18,'RAW_DISTRICT'!$I$4:$I$745)/SUMIF(IF($D$4="All India",'RAW_DISTRICT'!$B$4:$B$745,'RAW_DISTRICT'!$C$4:$C$745),$B18,'RAW_DISTRICT'!$H$4:$H$745)),"")</f>
        <v/>
      </c>
      <c r="E18" s="14" t="str">
        <f>IFERROR(IF($B18="","",SUMIF(IF($D$4="All India",'RAW_DISTRICT'!$B$4:$B$745,'RAW_DISTRICT'!$C$4:$C$745),$B18,'RAW_DISTRICT'!$K$4:$K$745)/SUMIF(IF($D$4="All India",'RAW_DISTRICT'!$B$4:$B$745,'RAW_DISTRICT'!$C$4:$C$745),$B18,'RAW_DISTRICT'!$J$4:$J$745)),"")</f>
        <v/>
      </c>
      <c r="F18" s="13" t="str">
        <f t="shared" si="0"/>
        <v>High</v>
      </c>
    </row>
    <row r="19" spans="2:6" ht="15" customHeight="1" x14ac:dyDescent="0.3">
      <c r="B19" s="9" t="str">
        <f>IFERROR(IF($D$4="All India",INDEX({"Andaman and Nicobar Islands";"Andhra Pradesh";"Arunachal Pradesh";"Assam";"Bihar";"Chandigarh";"Chhattisgarh";"Dadra and Nagar Haveli and Daman and Diu";"Delhi";"Goa";"Gujarat";"Haryana";"Himachal Pradesh";"Jammu and Kashmir";"Jharkhand";"Karnataka";"Kerala";"Ladakh";"Lakshadweep";"Madhya Pradesh";"Maharashtra";"Manipur";"Meghalaya";"Mizoram";"Nagaland";"Odisha";"Puducherry";"Punjab";"Rajasthan";"Sikkim";"Tamil Nadu";"Telangana";"Tripura";"Uttar Pradesh";"Uttarakhand";"West Bengal"},9),INDEX('RAW_DISTRICT'!$C$4:$C$745,MATCH(9,'RAW_DISTRICT'!$V$4:$V$745,0))),"")</f>
        <v>Delhi</v>
      </c>
      <c r="C19" s="10">
        <f>IFERROR(IF($B19="","",SUMIF(IF($D$4="All India",'RAW_DISTRICT'!$B$4:$B$745,'RAW_DISTRICT'!$C$4:$C$745),$B19,'RAW_DISTRICT'!$F$4:$F$745)),"")</f>
        <v>0</v>
      </c>
      <c r="D19" s="11" t="str">
        <f>IFERROR(IF($B19="","",SUMIF(IF($D$4="All India",'RAW_DISTRICT'!$B$4:$B$745,'RAW_DISTRICT'!$C$4:$C$745),$B19,'RAW_DISTRICT'!$I$4:$I$745)/SUMIF(IF($D$4="All India",'RAW_DISTRICT'!$B$4:$B$745,'RAW_DISTRICT'!$C$4:$C$745),$B19,'RAW_DISTRICT'!$H$4:$H$745)),"")</f>
        <v/>
      </c>
      <c r="E19" s="11" t="str">
        <f>IFERROR(IF($B19="","",SUMIF(IF($D$4="All India",'RAW_DISTRICT'!$B$4:$B$745,'RAW_DISTRICT'!$C$4:$C$745),$B19,'RAW_DISTRICT'!$K$4:$K$745)/SUMIF(IF($D$4="All India",'RAW_DISTRICT'!$B$4:$B$745,'RAW_DISTRICT'!$C$4:$C$745),$B19,'RAW_DISTRICT'!$J$4:$J$745)),"")</f>
        <v/>
      </c>
      <c r="F19" s="10" t="str">
        <f t="shared" si="0"/>
        <v>High</v>
      </c>
    </row>
    <row r="20" spans="2:6" ht="15" customHeight="1" x14ac:dyDescent="0.3">
      <c r="B20" s="12" t="str">
        <f>IFERROR(IF($D$4="All India",INDEX({"Andaman and Nicobar Islands";"Andhra Pradesh";"Arunachal Pradesh";"Assam";"Bihar";"Chandigarh";"Chhattisgarh";"Dadra and Nagar Haveli and Daman and Diu";"Delhi";"Goa";"Gujarat";"Haryana";"Himachal Pradesh";"Jammu and Kashmir";"Jharkhand";"Karnataka";"Kerala";"Ladakh";"Lakshadweep";"Madhya Pradesh";"Maharashtra";"Manipur";"Meghalaya";"Mizoram";"Nagaland";"Odisha";"Puducherry";"Punjab";"Rajasthan";"Sikkim";"Tamil Nadu";"Telangana";"Tripura";"Uttar Pradesh";"Uttarakhand";"West Bengal"},10),INDEX('RAW_DISTRICT'!$C$4:$C$745,MATCH(10,'RAW_DISTRICT'!$V$4:$V$745,0))),"")</f>
        <v>Goa</v>
      </c>
      <c r="C20" s="13">
        <f>IFERROR(IF($B20="","",SUMIF(IF($D$4="All India",'RAW_DISTRICT'!$B$4:$B$745,'RAW_DISTRICT'!$C$4:$C$745),$B20,'RAW_DISTRICT'!$F$4:$F$745)),"")</f>
        <v>0</v>
      </c>
      <c r="D20" s="14" t="str">
        <f>IFERROR(IF($B20="","",SUMIF(IF($D$4="All India",'RAW_DISTRICT'!$B$4:$B$745,'RAW_DISTRICT'!$C$4:$C$745),$B20,'RAW_DISTRICT'!$I$4:$I$745)/SUMIF(IF($D$4="All India",'RAW_DISTRICT'!$B$4:$B$745,'RAW_DISTRICT'!$C$4:$C$745),$B20,'RAW_DISTRICT'!$H$4:$H$745)),"")</f>
        <v/>
      </c>
      <c r="E20" s="14" t="str">
        <f>IFERROR(IF($B20="","",SUMIF(IF($D$4="All India",'RAW_DISTRICT'!$B$4:$B$745,'RAW_DISTRICT'!$C$4:$C$745),$B20,'RAW_DISTRICT'!$K$4:$K$745)/SUMIF(IF($D$4="All India",'RAW_DISTRICT'!$B$4:$B$745,'RAW_DISTRICT'!$C$4:$C$745),$B20,'RAW_DISTRICT'!$J$4:$J$745)),"")</f>
        <v/>
      </c>
      <c r="F20" s="13" t="str">
        <f t="shared" si="0"/>
        <v>High</v>
      </c>
    </row>
    <row r="21" spans="2:6" ht="15" customHeight="1" x14ac:dyDescent="0.3">
      <c r="B21" s="9" t="str">
        <f>IFERROR(IF($D$4="All India",INDEX({"Andaman and Nicobar Islands";"Andhra Pradesh";"Arunachal Pradesh";"Assam";"Bihar";"Chandigarh";"Chhattisgarh";"Dadra and Nagar Haveli and Daman and Diu";"Delhi";"Goa";"Gujarat";"Haryana";"Himachal Pradesh";"Jammu and Kashmir";"Jharkhand";"Karnataka";"Kerala";"Ladakh";"Lakshadweep";"Madhya Pradesh";"Maharashtra";"Manipur";"Meghalaya";"Mizoram";"Nagaland";"Odisha";"Puducherry";"Punjab";"Rajasthan";"Sikkim";"Tamil Nadu";"Telangana";"Tripura";"Uttar Pradesh";"Uttarakhand";"West Bengal"},11),INDEX('RAW_DISTRICT'!$C$4:$C$745,MATCH(11,'RAW_DISTRICT'!$V$4:$V$745,0))),"")</f>
        <v>Gujarat</v>
      </c>
      <c r="C21" s="10">
        <f>IFERROR(IF($B21="","",SUMIF(IF($D$4="All India",'RAW_DISTRICT'!$B$4:$B$745,'RAW_DISTRICT'!$C$4:$C$745),$B21,'RAW_DISTRICT'!$F$4:$F$745)),"")</f>
        <v>0</v>
      </c>
      <c r="D21" s="11" t="str">
        <f>IFERROR(IF($B21="","",SUMIF(IF($D$4="All India",'RAW_DISTRICT'!$B$4:$B$745,'RAW_DISTRICT'!$C$4:$C$745),$B21,'RAW_DISTRICT'!$I$4:$I$745)/SUMIF(IF($D$4="All India",'RAW_DISTRICT'!$B$4:$B$745,'RAW_DISTRICT'!$C$4:$C$745),$B21,'RAW_DISTRICT'!$H$4:$H$745)),"")</f>
        <v/>
      </c>
      <c r="E21" s="11" t="str">
        <f>IFERROR(IF($B21="","",SUMIF(IF($D$4="All India",'RAW_DISTRICT'!$B$4:$B$745,'RAW_DISTRICT'!$C$4:$C$745),$B21,'RAW_DISTRICT'!$K$4:$K$745)/SUMIF(IF($D$4="All India",'RAW_DISTRICT'!$B$4:$B$745,'RAW_DISTRICT'!$C$4:$C$745),$B21,'RAW_DISTRICT'!$J$4:$J$745)),"")</f>
        <v/>
      </c>
      <c r="F21" s="10" t="str">
        <f t="shared" si="0"/>
        <v>High</v>
      </c>
    </row>
    <row r="22" spans="2:6" ht="15" customHeight="1" x14ac:dyDescent="0.3">
      <c r="B22" s="12" t="str">
        <f>IFERROR(IF($D$4="All India",INDEX({"Andaman and Nicobar Islands";"Andhra Pradesh";"Arunachal Pradesh";"Assam";"Bihar";"Chandigarh";"Chhattisgarh";"Dadra and Nagar Haveli and Daman and Diu";"Delhi";"Goa";"Gujarat";"Haryana";"Himachal Pradesh";"Jammu and Kashmir";"Jharkhand";"Karnataka";"Kerala";"Ladakh";"Lakshadweep";"Madhya Pradesh";"Maharashtra";"Manipur";"Meghalaya";"Mizoram";"Nagaland";"Odisha";"Puducherry";"Punjab";"Rajasthan";"Sikkim";"Tamil Nadu";"Telangana";"Tripura";"Uttar Pradesh";"Uttarakhand";"West Bengal"},12),INDEX('RAW_DISTRICT'!$C$4:$C$745,MATCH(12,'RAW_DISTRICT'!$V$4:$V$745,0))),"")</f>
        <v>Haryana</v>
      </c>
      <c r="C22" s="13">
        <f>IFERROR(IF($B22="","",SUMIF(IF($D$4="All India",'RAW_DISTRICT'!$B$4:$B$745,'RAW_DISTRICT'!$C$4:$C$745),$B22,'RAW_DISTRICT'!$F$4:$F$745)),"")</f>
        <v>0</v>
      </c>
      <c r="D22" s="14" t="str">
        <f>IFERROR(IF($B22="","",SUMIF(IF($D$4="All India",'RAW_DISTRICT'!$B$4:$B$745,'RAW_DISTRICT'!$C$4:$C$745),$B22,'RAW_DISTRICT'!$I$4:$I$745)/SUMIF(IF($D$4="All India",'RAW_DISTRICT'!$B$4:$B$745,'RAW_DISTRICT'!$C$4:$C$745),$B22,'RAW_DISTRICT'!$H$4:$H$745)),"")</f>
        <v/>
      </c>
      <c r="E22" s="14" t="str">
        <f>IFERROR(IF($B22="","",SUMIF(IF($D$4="All India",'RAW_DISTRICT'!$B$4:$B$745,'RAW_DISTRICT'!$C$4:$C$745),$B22,'RAW_DISTRICT'!$K$4:$K$745)/SUMIF(IF($D$4="All India",'RAW_DISTRICT'!$B$4:$B$745,'RAW_DISTRICT'!$C$4:$C$745),$B22,'RAW_DISTRICT'!$J$4:$J$745)),"")</f>
        <v/>
      </c>
      <c r="F22" s="13" t="str">
        <f t="shared" si="0"/>
        <v>High</v>
      </c>
    </row>
    <row r="23" spans="2:6" ht="15" customHeight="1" x14ac:dyDescent="0.3">
      <c r="B23" s="9" t="str">
        <f>IFERROR(IF($D$4="All India",INDEX({"Andaman and Nicobar Islands";"Andhra Pradesh";"Arunachal Pradesh";"Assam";"Bihar";"Chandigarh";"Chhattisgarh";"Dadra and Nagar Haveli and Daman and Diu";"Delhi";"Goa";"Gujarat";"Haryana";"Himachal Pradesh";"Jammu and Kashmir";"Jharkhand";"Karnataka";"Kerala";"Ladakh";"Lakshadweep";"Madhya Pradesh";"Maharashtra";"Manipur";"Meghalaya";"Mizoram";"Nagaland";"Odisha";"Puducherry";"Punjab";"Rajasthan";"Sikkim";"Tamil Nadu";"Telangana";"Tripura";"Uttar Pradesh";"Uttarakhand";"West Bengal"},13),INDEX('RAW_DISTRICT'!$C$4:$C$745,MATCH(13,'RAW_DISTRICT'!$V$4:$V$745,0))),"")</f>
        <v>Himachal Pradesh</v>
      </c>
      <c r="C23" s="10">
        <f>IFERROR(IF($B23="","",SUMIF(IF($D$4="All India",'RAW_DISTRICT'!$B$4:$B$745,'RAW_DISTRICT'!$C$4:$C$745),$B23,'RAW_DISTRICT'!$F$4:$F$745)),"")</f>
        <v>0</v>
      </c>
      <c r="D23" s="11" t="str">
        <f>IFERROR(IF($B23="","",SUMIF(IF($D$4="All India",'RAW_DISTRICT'!$B$4:$B$745,'RAW_DISTRICT'!$C$4:$C$745),$B23,'RAW_DISTRICT'!$I$4:$I$745)/SUMIF(IF($D$4="All India",'RAW_DISTRICT'!$B$4:$B$745,'RAW_DISTRICT'!$C$4:$C$745),$B23,'RAW_DISTRICT'!$H$4:$H$745)),"")</f>
        <v/>
      </c>
      <c r="E23" s="11" t="str">
        <f>IFERROR(IF($B23="","",SUMIF(IF($D$4="All India",'RAW_DISTRICT'!$B$4:$B$745,'RAW_DISTRICT'!$C$4:$C$745),$B23,'RAW_DISTRICT'!$K$4:$K$745)/SUMIF(IF($D$4="All India",'RAW_DISTRICT'!$B$4:$B$745,'RAW_DISTRICT'!$C$4:$C$745),$B23,'RAW_DISTRICT'!$J$4:$J$745)),"")</f>
        <v/>
      </c>
      <c r="F23" s="10" t="str">
        <f t="shared" si="0"/>
        <v>High</v>
      </c>
    </row>
    <row r="24" spans="2:6" ht="15" customHeight="1" x14ac:dyDescent="0.3">
      <c r="B24" s="12" t="str">
        <f>IFERROR(IF($D$4="All India",INDEX({"Andaman and Nicobar Islands";"Andhra Pradesh";"Arunachal Pradesh";"Assam";"Bihar";"Chandigarh";"Chhattisgarh";"Dadra and Nagar Haveli and Daman and Diu";"Delhi";"Goa";"Gujarat";"Haryana";"Himachal Pradesh";"Jammu and Kashmir";"Jharkhand";"Karnataka";"Kerala";"Ladakh";"Lakshadweep";"Madhya Pradesh";"Maharashtra";"Manipur";"Meghalaya";"Mizoram";"Nagaland";"Odisha";"Puducherry";"Punjab";"Rajasthan";"Sikkim";"Tamil Nadu";"Telangana";"Tripura";"Uttar Pradesh";"Uttarakhand";"West Bengal"},14),INDEX('RAW_DISTRICT'!$C$4:$C$745,MATCH(14,'RAW_DISTRICT'!$V$4:$V$745,0))),"")</f>
        <v>Jammu and Kashmir</v>
      </c>
      <c r="C24" s="13">
        <f>IFERROR(IF($B24="","",SUMIF(IF($D$4="All India",'RAW_DISTRICT'!$B$4:$B$745,'RAW_DISTRICT'!$C$4:$C$745),$B24,'RAW_DISTRICT'!$F$4:$F$745)),"")</f>
        <v>0</v>
      </c>
      <c r="D24" s="14" t="str">
        <f>IFERROR(IF($B24="","",SUMIF(IF($D$4="All India",'RAW_DISTRICT'!$B$4:$B$745,'RAW_DISTRICT'!$C$4:$C$745),$B24,'RAW_DISTRICT'!$I$4:$I$745)/SUMIF(IF($D$4="All India",'RAW_DISTRICT'!$B$4:$B$745,'RAW_DISTRICT'!$C$4:$C$745),$B24,'RAW_DISTRICT'!$H$4:$H$745)),"")</f>
        <v/>
      </c>
      <c r="E24" s="14" t="str">
        <f>IFERROR(IF($B24="","",SUMIF(IF($D$4="All India",'RAW_DISTRICT'!$B$4:$B$745,'RAW_DISTRICT'!$C$4:$C$745),$B24,'RAW_DISTRICT'!$K$4:$K$745)/SUMIF(IF($D$4="All India",'RAW_DISTRICT'!$B$4:$B$745,'RAW_DISTRICT'!$C$4:$C$745),$B24,'RAW_DISTRICT'!$J$4:$J$745)),"")</f>
        <v/>
      </c>
      <c r="F24" s="13" t="str">
        <f t="shared" si="0"/>
        <v>High</v>
      </c>
    </row>
    <row r="25" spans="2:6" ht="15" customHeight="1" x14ac:dyDescent="0.3">
      <c r="B25" s="9" t="str">
        <f>IFERROR(IF($D$4="All India",INDEX({"Andaman and Nicobar Islands";"Andhra Pradesh";"Arunachal Pradesh";"Assam";"Bihar";"Chandigarh";"Chhattisgarh";"Dadra and Nagar Haveli and Daman and Diu";"Delhi";"Goa";"Gujarat";"Haryana";"Himachal Pradesh";"Jammu and Kashmir";"Jharkhand";"Karnataka";"Kerala";"Ladakh";"Lakshadweep";"Madhya Pradesh";"Maharashtra";"Manipur";"Meghalaya";"Mizoram";"Nagaland";"Odisha";"Puducherry";"Punjab";"Rajasthan";"Sikkim";"Tamil Nadu";"Telangana";"Tripura";"Uttar Pradesh";"Uttarakhand";"West Bengal"},15),INDEX('RAW_DISTRICT'!$C$4:$C$745,MATCH(15,'RAW_DISTRICT'!$V$4:$V$745,0))),"")</f>
        <v>Jharkhand</v>
      </c>
      <c r="C25" s="10">
        <f>IFERROR(IF($B25="","",SUMIF(IF($D$4="All India",'RAW_DISTRICT'!$B$4:$B$745,'RAW_DISTRICT'!$C$4:$C$745),$B25,'RAW_DISTRICT'!$F$4:$F$745)),"")</f>
        <v>0</v>
      </c>
      <c r="D25" s="11" t="str">
        <f>IFERROR(IF($B25="","",SUMIF(IF($D$4="All India",'RAW_DISTRICT'!$B$4:$B$745,'RAW_DISTRICT'!$C$4:$C$745),$B25,'RAW_DISTRICT'!$I$4:$I$745)/SUMIF(IF($D$4="All India",'RAW_DISTRICT'!$B$4:$B$745,'RAW_DISTRICT'!$C$4:$C$745),$B25,'RAW_DISTRICT'!$H$4:$H$745)),"")</f>
        <v/>
      </c>
      <c r="E25" s="11" t="str">
        <f>IFERROR(IF($B25="","",SUMIF(IF($D$4="All India",'RAW_DISTRICT'!$B$4:$B$745,'RAW_DISTRICT'!$C$4:$C$745),$B25,'RAW_DISTRICT'!$K$4:$K$745)/SUMIF(IF($D$4="All India",'RAW_DISTRICT'!$B$4:$B$745,'RAW_DISTRICT'!$C$4:$C$745),$B25,'RAW_DISTRICT'!$J$4:$J$745)),"")</f>
        <v/>
      </c>
      <c r="F25" s="10" t="str">
        <f t="shared" si="0"/>
        <v>High</v>
      </c>
    </row>
    <row r="26" spans="2:6" ht="15" customHeight="1" x14ac:dyDescent="0.3">
      <c r="B26" s="12" t="str">
        <f>IFERROR(IF($D$4="All India",INDEX({"Andaman and Nicobar Islands";"Andhra Pradesh";"Arunachal Pradesh";"Assam";"Bihar";"Chandigarh";"Chhattisgarh";"Dadra and Nagar Haveli and Daman and Diu";"Delhi";"Goa";"Gujarat";"Haryana";"Himachal Pradesh";"Jammu and Kashmir";"Jharkhand";"Karnataka";"Kerala";"Ladakh";"Lakshadweep";"Madhya Pradesh";"Maharashtra";"Manipur";"Meghalaya";"Mizoram";"Nagaland";"Odisha";"Puducherry";"Punjab";"Rajasthan";"Sikkim";"Tamil Nadu";"Telangana";"Tripura";"Uttar Pradesh";"Uttarakhand";"West Bengal"},16),INDEX('RAW_DISTRICT'!$C$4:$C$745,MATCH(16,'RAW_DISTRICT'!$V$4:$V$745,0))),"")</f>
        <v>Karnataka</v>
      </c>
      <c r="C26" s="13">
        <f>IFERROR(IF($B26="","",SUMIF(IF($D$4="All India",'RAW_DISTRICT'!$B$4:$B$745,'RAW_DISTRICT'!$C$4:$C$745),$B26,'RAW_DISTRICT'!$F$4:$F$745)),"")</f>
        <v>0</v>
      </c>
      <c r="D26" s="14" t="str">
        <f>IFERROR(IF($B26="","",SUMIF(IF($D$4="All India",'RAW_DISTRICT'!$B$4:$B$745,'RAW_DISTRICT'!$C$4:$C$745),$B26,'RAW_DISTRICT'!$I$4:$I$745)/SUMIF(IF($D$4="All India",'RAW_DISTRICT'!$B$4:$B$745,'RAW_DISTRICT'!$C$4:$C$745),$B26,'RAW_DISTRICT'!$H$4:$H$745)),"")</f>
        <v/>
      </c>
      <c r="E26" s="14" t="str">
        <f>IFERROR(IF($B26="","",SUMIF(IF($D$4="All India",'RAW_DISTRICT'!$B$4:$B$745,'RAW_DISTRICT'!$C$4:$C$745),$B26,'RAW_DISTRICT'!$K$4:$K$745)/SUMIF(IF($D$4="All India",'RAW_DISTRICT'!$B$4:$B$745,'RAW_DISTRICT'!$C$4:$C$745),$B26,'RAW_DISTRICT'!$J$4:$J$745)),"")</f>
        <v/>
      </c>
      <c r="F26" s="13" t="str">
        <f t="shared" si="0"/>
        <v>High</v>
      </c>
    </row>
    <row r="27" spans="2:6" ht="15" customHeight="1" x14ac:dyDescent="0.3">
      <c r="B27" s="9" t="str">
        <f>IFERROR(IF($D$4="All India",INDEX({"Andaman and Nicobar Islands";"Andhra Pradesh";"Arunachal Pradesh";"Assam";"Bihar";"Chandigarh";"Chhattisgarh";"Dadra and Nagar Haveli and Daman and Diu";"Delhi";"Goa";"Gujarat";"Haryana";"Himachal Pradesh";"Jammu and Kashmir";"Jharkhand";"Karnataka";"Kerala";"Ladakh";"Lakshadweep";"Madhya Pradesh";"Maharashtra";"Manipur";"Meghalaya";"Mizoram";"Nagaland";"Odisha";"Puducherry";"Punjab";"Rajasthan";"Sikkim";"Tamil Nadu";"Telangana";"Tripura";"Uttar Pradesh";"Uttarakhand";"West Bengal"},17),INDEX('RAW_DISTRICT'!$C$4:$C$745,MATCH(17,'RAW_DISTRICT'!$V$4:$V$745,0))),"")</f>
        <v>Kerala</v>
      </c>
      <c r="C27" s="10">
        <f>IFERROR(IF($B27="","",SUMIF(IF($D$4="All India",'RAW_DISTRICT'!$B$4:$B$745,'RAW_DISTRICT'!$C$4:$C$745),$B27,'RAW_DISTRICT'!$F$4:$F$745)),"")</f>
        <v>0</v>
      </c>
      <c r="D27" s="11" t="str">
        <f>IFERROR(IF($B27="","",SUMIF(IF($D$4="All India",'RAW_DISTRICT'!$B$4:$B$745,'RAW_DISTRICT'!$C$4:$C$745),$B27,'RAW_DISTRICT'!$I$4:$I$745)/SUMIF(IF($D$4="All India",'RAW_DISTRICT'!$B$4:$B$745,'RAW_DISTRICT'!$C$4:$C$745),$B27,'RAW_DISTRICT'!$H$4:$H$745)),"")</f>
        <v/>
      </c>
      <c r="E27" s="11" t="str">
        <f>IFERROR(IF($B27="","",SUMIF(IF($D$4="All India",'RAW_DISTRICT'!$B$4:$B$745,'RAW_DISTRICT'!$C$4:$C$745),$B27,'RAW_DISTRICT'!$K$4:$K$745)/SUMIF(IF($D$4="All India",'RAW_DISTRICT'!$B$4:$B$745,'RAW_DISTRICT'!$C$4:$C$745),$B27,'RAW_DISTRICT'!$J$4:$J$745)),"")</f>
        <v/>
      </c>
      <c r="F27" s="10" t="str">
        <f t="shared" si="0"/>
        <v>High</v>
      </c>
    </row>
    <row r="28" spans="2:6" ht="15" customHeight="1" x14ac:dyDescent="0.3">
      <c r="B28" s="12" t="str">
        <f>IFERROR(IF($D$4="All India",INDEX({"Andaman and Nicobar Islands";"Andhra Pradesh";"Arunachal Pradesh";"Assam";"Bihar";"Chandigarh";"Chhattisgarh";"Dadra and Nagar Haveli and Daman and Diu";"Delhi";"Goa";"Gujarat";"Haryana";"Himachal Pradesh";"Jammu and Kashmir";"Jharkhand";"Karnataka";"Kerala";"Ladakh";"Lakshadweep";"Madhya Pradesh";"Maharashtra";"Manipur";"Meghalaya";"Mizoram";"Nagaland";"Odisha";"Puducherry";"Punjab";"Rajasthan";"Sikkim";"Tamil Nadu";"Telangana";"Tripura";"Uttar Pradesh";"Uttarakhand";"West Bengal"},18),INDEX('RAW_DISTRICT'!$C$4:$C$745,MATCH(18,'RAW_DISTRICT'!$V$4:$V$745,0))),"")</f>
        <v>Ladakh</v>
      </c>
      <c r="C28" s="13">
        <f>IFERROR(IF($B28="","",SUMIF(IF($D$4="All India",'RAW_DISTRICT'!$B$4:$B$745,'RAW_DISTRICT'!$C$4:$C$745),$B28,'RAW_DISTRICT'!$F$4:$F$745)),"")</f>
        <v>0</v>
      </c>
      <c r="D28" s="14" t="str">
        <f>IFERROR(IF($B28="","",SUMIF(IF($D$4="All India",'RAW_DISTRICT'!$B$4:$B$745,'RAW_DISTRICT'!$C$4:$C$745),$B28,'RAW_DISTRICT'!$I$4:$I$745)/SUMIF(IF($D$4="All India",'RAW_DISTRICT'!$B$4:$B$745,'RAW_DISTRICT'!$C$4:$C$745),$B28,'RAW_DISTRICT'!$H$4:$H$745)),"")</f>
        <v/>
      </c>
      <c r="E28" s="14" t="str">
        <f>IFERROR(IF($B28="","",SUMIF(IF($D$4="All India",'RAW_DISTRICT'!$B$4:$B$745,'RAW_DISTRICT'!$C$4:$C$745),$B28,'RAW_DISTRICT'!$K$4:$K$745)/SUMIF(IF($D$4="All India",'RAW_DISTRICT'!$B$4:$B$745,'RAW_DISTRICT'!$C$4:$C$745),$B28,'RAW_DISTRICT'!$J$4:$J$745)),"")</f>
        <v/>
      </c>
      <c r="F28" s="13" t="str">
        <f t="shared" si="0"/>
        <v>High</v>
      </c>
    </row>
    <row r="29" spans="2:6" ht="15" customHeight="1" x14ac:dyDescent="0.3">
      <c r="B29" s="9" t="str">
        <f>IFERROR(IF($D$4="All India",INDEX({"Andaman and Nicobar Islands";"Andhra Pradesh";"Arunachal Pradesh";"Assam";"Bihar";"Chandigarh";"Chhattisgarh";"Dadra and Nagar Haveli and Daman and Diu";"Delhi";"Goa";"Gujarat";"Haryana";"Himachal Pradesh";"Jammu and Kashmir";"Jharkhand";"Karnataka";"Kerala";"Ladakh";"Lakshadweep";"Madhya Pradesh";"Maharashtra";"Manipur";"Meghalaya";"Mizoram";"Nagaland";"Odisha";"Puducherry";"Punjab";"Rajasthan";"Sikkim";"Tamil Nadu";"Telangana";"Tripura";"Uttar Pradesh";"Uttarakhand";"West Bengal"},19),INDEX('RAW_DISTRICT'!$C$4:$C$745,MATCH(19,'RAW_DISTRICT'!$V$4:$V$745,0))),"")</f>
        <v>Lakshadweep</v>
      </c>
      <c r="C29" s="10">
        <f>IFERROR(IF($B29="","",SUMIF(IF($D$4="All India",'RAW_DISTRICT'!$B$4:$B$745,'RAW_DISTRICT'!$C$4:$C$745),$B29,'RAW_DISTRICT'!$F$4:$F$745)),"")</f>
        <v>0</v>
      </c>
      <c r="D29" s="11" t="str">
        <f>IFERROR(IF($B29="","",SUMIF(IF($D$4="All India",'RAW_DISTRICT'!$B$4:$B$745,'RAW_DISTRICT'!$C$4:$C$745),$B29,'RAW_DISTRICT'!$I$4:$I$745)/SUMIF(IF($D$4="All India",'RAW_DISTRICT'!$B$4:$B$745,'RAW_DISTRICT'!$C$4:$C$745),$B29,'RAW_DISTRICT'!$H$4:$H$745)),"")</f>
        <v/>
      </c>
      <c r="E29" s="11" t="str">
        <f>IFERROR(IF($B29="","",SUMIF(IF($D$4="All India",'RAW_DISTRICT'!$B$4:$B$745,'RAW_DISTRICT'!$C$4:$C$745),$B29,'RAW_DISTRICT'!$K$4:$K$745)/SUMIF(IF($D$4="All India",'RAW_DISTRICT'!$B$4:$B$745,'RAW_DISTRICT'!$C$4:$C$745),$B29,'RAW_DISTRICT'!$J$4:$J$745)),"")</f>
        <v/>
      </c>
      <c r="F29" s="10" t="str">
        <f t="shared" si="0"/>
        <v>High</v>
      </c>
    </row>
    <row r="30" spans="2:6" ht="15" customHeight="1" x14ac:dyDescent="0.3">
      <c r="B30" s="12" t="str">
        <f>IFERROR(IF($D$4="All India",INDEX({"Andaman and Nicobar Islands";"Andhra Pradesh";"Arunachal Pradesh";"Assam";"Bihar";"Chandigarh";"Chhattisgarh";"Dadra and Nagar Haveli and Daman and Diu";"Delhi";"Goa";"Gujarat";"Haryana";"Himachal Pradesh";"Jammu and Kashmir";"Jharkhand";"Karnataka";"Kerala";"Ladakh";"Lakshadweep";"Madhya Pradesh";"Maharashtra";"Manipur";"Meghalaya";"Mizoram";"Nagaland";"Odisha";"Puducherry";"Punjab";"Rajasthan";"Sikkim";"Tamil Nadu";"Telangana";"Tripura";"Uttar Pradesh";"Uttarakhand";"West Bengal"},20),INDEX('RAW_DISTRICT'!$C$4:$C$745,MATCH(20,'RAW_DISTRICT'!$V$4:$V$745,0))),"")</f>
        <v>Madhya Pradesh</v>
      </c>
      <c r="C30" s="13">
        <f>IFERROR(IF($B30="","",SUMIF(IF($D$4="All India",'RAW_DISTRICT'!$B$4:$B$745,'RAW_DISTRICT'!$C$4:$C$745),$B30,'RAW_DISTRICT'!$F$4:$F$745)),"")</f>
        <v>0</v>
      </c>
      <c r="D30" s="14" t="str">
        <f>IFERROR(IF($B30="","",SUMIF(IF($D$4="All India",'RAW_DISTRICT'!$B$4:$B$745,'RAW_DISTRICT'!$C$4:$C$745),$B30,'RAW_DISTRICT'!$I$4:$I$745)/SUMIF(IF($D$4="All India",'RAW_DISTRICT'!$B$4:$B$745,'RAW_DISTRICT'!$C$4:$C$745),$B30,'RAW_DISTRICT'!$H$4:$H$745)),"")</f>
        <v/>
      </c>
      <c r="E30" s="14" t="str">
        <f>IFERROR(IF($B30="","",SUMIF(IF($D$4="All India",'RAW_DISTRICT'!$B$4:$B$745,'RAW_DISTRICT'!$C$4:$C$745),$B30,'RAW_DISTRICT'!$K$4:$K$745)/SUMIF(IF($D$4="All India",'RAW_DISTRICT'!$B$4:$B$745,'RAW_DISTRICT'!$C$4:$C$745),$B30,'RAW_DISTRICT'!$J$4:$J$745)),"")</f>
        <v/>
      </c>
      <c r="F30" s="13" t="str">
        <f t="shared" si="0"/>
        <v>High</v>
      </c>
    </row>
    <row r="31" spans="2:6" ht="15" customHeight="1" x14ac:dyDescent="0.3">
      <c r="B31" s="9" t="str">
        <f>IFERROR(IF($D$4="All India",INDEX({"Andaman and Nicobar Islands";"Andhra Pradesh";"Arunachal Pradesh";"Assam";"Bihar";"Chandigarh";"Chhattisgarh";"Dadra and Nagar Haveli and Daman and Diu";"Delhi";"Goa";"Gujarat";"Haryana";"Himachal Pradesh";"Jammu and Kashmir";"Jharkhand";"Karnataka";"Kerala";"Ladakh";"Lakshadweep";"Madhya Pradesh";"Maharashtra";"Manipur";"Meghalaya";"Mizoram";"Nagaland";"Odisha";"Puducherry";"Punjab";"Rajasthan";"Sikkim";"Tamil Nadu";"Telangana";"Tripura";"Uttar Pradesh";"Uttarakhand";"West Bengal"},21),INDEX('RAW_DISTRICT'!$C$4:$C$745,MATCH(21,'RAW_DISTRICT'!$V$4:$V$745,0))),"")</f>
        <v>Maharashtra</v>
      </c>
      <c r="C31" s="10">
        <f>IFERROR(IF($B31="","",SUMIF(IF($D$4="All India",'RAW_DISTRICT'!$B$4:$B$745,'RAW_DISTRICT'!$C$4:$C$745),$B31,'RAW_DISTRICT'!$F$4:$F$745)),"")</f>
        <v>0</v>
      </c>
      <c r="D31" s="11" t="str">
        <f>IFERROR(IF($B31="","",SUMIF(IF($D$4="All India",'RAW_DISTRICT'!$B$4:$B$745,'RAW_DISTRICT'!$C$4:$C$745),$B31,'RAW_DISTRICT'!$I$4:$I$745)/SUMIF(IF($D$4="All India",'RAW_DISTRICT'!$B$4:$B$745,'RAW_DISTRICT'!$C$4:$C$745),$B31,'RAW_DISTRICT'!$H$4:$H$745)),"")</f>
        <v/>
      </c>
      <c r="E31" s="11" t="str">
        <f>IFERROR(IF($B31="","",SUMIF(IF($D$4="All India",'RAW_DISTRICT'!$B$4:$B$745,'RAW_DISTRICT'!$C$4:$C$745),$B31,'RAW_DISTRICT'!$K$4:$K$745)/SUMIF(IF($D$4="All India",'RAW_DISTRICT'!$B$4:$B$745,'RAW_DISTRICT'!$C$4:$C$745),$B31,'RAW_DISTRICT'!$J$4:$J$745)),"")</f>
        <v/>
      </c>
      <c r="F31" s="10" t="str">
        <f t="shared" si="0"/>
        <v>High</v>
      </c>
    </row>
    <row r="32" spans="2:6" ht="15" customHeight="1" x14ac:dyDescent="0.3">
      <c r="B32" s="12" t="str">
        <f>IFERROR(IF($D$4="All India",INDEX({"Andaman and Nicobar Islands";"Andhra Pradesh";"Arunachal Pradesh";"Assam";"Bihar";"Chandigarh";"Chhattisgarh";"Dadra and Nagar Haveli and Daman and Diu";"Delhi";"Goa";"Gujarat";"Haryana";"Himachal Pradesh";"Jammu and Kashmir";"Jharkhand";"Karnataka";"Kerala";"Ladakh";"Lakshadweep";"Madhya Pradesh";"Maharashtra";"Manipur";"Meghalaya";"Mizoram";"Nagaland";"Odisha";"Puducherry";"Punjab";"Rajasthan";"Sikkim";"Tamil Nadu";"Telangana";"Tripura";"Uttar Pradesh";"Uttarakhand";"West Bengal"},22),INDEX('RAW_DISTRICT'!$C$4:$C$745,MATCH(22,'RAW_DISTRICT'!$V$4:$V$745,0))),"")</f>
        <v>Manipur</v>
      </c>
      <c r="C32" s="13">
        <f>IFERROR(IF($B32="","",SUMIF(IF($D$4="All India",'RAW_DISTRICT'!$B$4:$B$745,'RAW_DISTRICT'!$C$4:$C$745),$B32,'RAW_DISTRICT'!$F$4:$F$745)),"")</f>
        <v>0</v>
      </c>
      <c r="D32" s="14" t="str">
        <f>IFERROR(IF($B32="","",SUMIF(IF($D$4="All India",'RAW_DISTRICT'!$B$4:$B$745,'RAW_DISTRICT'!$C$4:$C$745),$B32,'RAW_DISTRICT'!$I$4:$I$745)/SUMIF(IF($D$4="All India",'RAW_DISTRICT'!$B$4:$B$745,'RAW_DISTRICT'!$C$4:$C$745),$B32,'RAW_DISTRICT'!$H$4:$H$745)),"")</f>
        <v/>
      </c>
      <c r="E32" s="14" t="str">
        <f>IFERROR(IF($B32="","",SUMIF(IF($D$4="All India",'RAW_DISTRICT'!$B$4:$B$745,'RAW_DISTRICT'!$C$4:$C$745),$B32,'RAW_DISTRICT'!$K$4:$K$745)/SUMIF(IF($D$4="All India",'RAW_DISTRICT'!$B$4:$B$745,'RAW_DISTRICT'!$C$4:$C$745),$B32,'RAW_DISTRICT'!$J$4:$J$745)),"")</f>
        <v/>
      </c>
      <c r="F32" s="13" t="str">
        <f t="shared" si="0"/>
        <v>High</v>
      </c>
    </row>
    <row r="33" spans="2:6" ht="15" customHeight="1" x14ac:dyDescent="0.3">
      <c r="B33" s="9" t="str">
        <f>IFERROR(IF($D$4="All India",INDEX({"Andaman and Nicobar Islands";"Andhra Pradesh";"Arunachal Pradesh";"Assam";"Bihar";"Chandigarh";"Chhattisgarh";"Dadra and Nagar Haveli and Daman and Diu";"Delhi";"Goa";"Gujarat";"Haryana";"Himachal Pradesh";"Jammu and Kashmir";"Jharkhand";"Karnataka";"Kerala";"Ladakh";"Lakshadweep";"Madhya Pradesh";"Maharashtra";"Manipur";"Meghalaya";"Mizoram";"Nagaland";"Odisha";"Puducherry";"Punjab";"Rajasthan";"Sikkim";"Tamil Nadu";"Telangana";"Tripura";"Uttar Pradesh";"Uttarakhand";"West Bengal"},23),INDEX('RAW_DISTRICT'!$C$4:$C$745,MATCH(23,'RAW_DISTRICT'!$V$4:$V$745,0))),"")</f>
        <v>Meghalaya</v>
      </c>
      <c r="C33" s="10">
        <f>IFERROR(IF($B33="","",SUMIF(IF($D$4="All India",'RAW_DISTRICT'!$B$4:$B$745,'RAW_DISTRICT'!$C$4:$C$745),$B33,'RAW_DISTRICT'!$F$4:$F$745)),"")</f>
        <v>0</v>
      </c>
      <c r="D33" s="11" t="str">
        <f>IFERROR(IF($B33="","",SUMIF(IF($D$4="All India",'RAW_DISTRICT'!$B$4:$B$745,'RAW_DISTRICT'!$C$4:$C$745),$B33,'RAW_DISTRICT'!$I$4:$I$745)/SUMIF(IF($D$4="All India",'RAW_DISTRICT'!$B$4:$B$745,'RAW_DISTRICT'!$C$4:$C$745),$B33,'RAW_DISTRICT'!$H$4:$H$745)),"")</f>
        <v/>
      </c>
      <c r="E33" s="11" t="str">
        <f>IFERROR(IF($B33="","",SUMIF(IF($D$4="All India",'RAW_DISTRICT'!$B$4:$B$745,'RAW_DISTRICT'!$C$4:$C$745),$B33,'RAW_DISTRICT'!$K$4:$K$745)/SUMIF(IF($D$4="All India",'RAW_DISTRICT'!$B$4:$B$745,'RAW_DISTRICT'!$C$4:$C$745),$B33,'RAW_DISTRICT'!$J$4:$J$745)),"")</f>
        <v/>
      </c>
      <c r="F33" s="10" t="str">
        <f t="shared" si="0"/>
        <v>High</v>
      </c>
    </row>
    <row r="34" spans="2:6" ht="15" customHeight="1" x14ac:dyDescent="0.3">
      <c r="B34" s="12" t="str">
        <f>IFERROR(IF($D$4="All India",INDEX({"Andaman and Nicobar Islands";"Andhra Pradesh";"Arunachal Pradesh";"Assam";"Bihar";"Chandigarh";"Chhattisgarh";"Dadra and Nagar Haveli and Daman and Diu";"Delhi";"Goa";"Gujarat";"Haryana";"Himachal Pradesh";"Jammu and Kashmir";"Jharkhand";"Karnataka";"Kerala";"Ladakh";"Lakshadweep";"Madhya Pradesh";"Maharashtra";"Manipur";"Meghalaya";"Mizoram";"Nagaland";"Odisha";"Puducherry";"Punjab";"Rajasthan";"Sikkim";"Tamil Nadu";"Telangana";"Tripura";"Uttar Pradesh";"Uttarakhand";"West Bengal"},24),INDEX('RAW_DISTRICT'!$C$4:$C$745,MATCH(24,'RAW_DISTRICT'!$V$4:$V$745,0))),"")</f>
        <v>Mizoram</v>
      </c>
      <c r="C34" s="13">
        <f>IFERROR(IF($B34="","",SUMIF(IF($D$4="All India",'RAW_DISTRICT'!$B$4:$B$745,'RAW_DISTRICT'!$C$4:$C$745),$B34,'RAW_DISTRICT'!$F$4:$F$745)),"")</f>
        <v>0</v>
      </c>
      <c r="D34" s="14" t="str">
        <f>IFERROR(IF($B34="","",SUMIF(IF($D$4="All India",'RAW_DISTRICT'!$B$4:$B$745,'RAW_DISTRICT'!$C$4:$C$745),$B34,'RAW_DISTRICT'!$I$4:$I$745)/SUMIF(IF($D$4="All India",'RAW_DISTRICT'!$B$4:$B$745,'RAW_DISTRICT'!$C$4:$C$745),$B34,'RAW_DISTRICT'!$H$4:$H$745)),"")</f>
        <v/>
      </c>
      <c r="E34" s="14" t="str">
        <f>IFERROR(IF($B34="","",SUMIF(IF($D$4="All India",'RAW_DISTRICT'!$B$4:$B$745,'RAW_DISTRICT'!$C$4:$C$745),$B34,'RAW_DISTRICT'!$K$4:$K$745)/SUMIF(IF($D$4="All India",'RAW_DISTRICT'!$B$4:$B$745,'RAW_DISTRICT'!$C$4:$C$745),$B34,'RAW_DISTRICT'!$J$4:$J$745)),"")</f>
        <v/>
      </c>
      <c r="F34" s="13" t="str">
        <f t="shared" si="0"/>
        <v>High</v>
      </c>
    </row>
    <row r="35" spans="2:6" ht="15" customHeight="1" x14ac:dyDescent="0.3">
      <c r="B35" s="9" t="str">
        <f>IFERROR(IF($D$4="All India",INDEX({"Andaman and Nicobar Islands";"Andhra Pradesh";"Arunachal Pradesh";"Assam";"Bihar";"Chandigarh";"Chhattisgarh";"Dadra and Nagar Haveli and Daman and Diu";"Delhi";"Goa";"Gujarat";"Haryana";"Himachal Pradesh";"Jammu and Kashmir";"Jharkhand";"Karnataka";"Kerala";"Ladakh";"Lakshadweep";"Madhya Pradesh";"Maharashtra";"Manipur";"Meghalaya";"Mizoram";"Nagaland";"Odisha";"Puducherry";"Punjab";"Rajasthan";"Sikkim";"Tamil Nadu";"Telangana";"Tripura";"Uttar Pradesh";"Uttarakhand";"West Bengal"},25),INDEX('RAW_DISTRICT'!$C$4:$C$745,MATCH(25,'RAW_DISTRICT'!$V$4:$V$745,0))),"")</f>
        <v>Nagaland</v>
      </c>
      <c r="C35" s="10">
        <f>IFERROR(IF($B35="","",SUMIF(IF($D$4="All India",'RAW_DISTRICT'!$B$4:$B$745,'RAW_DISTRICT'!$C$4:$C$745),$B35,'RAW_DISTRICT'!$F$4:$F$745)),"")</f>
        <v>0</v>
      </c>
      <c r="D35" s="11" t="str">
        <f>IFERROR(IF($B35="","",SUMIF(IF($D$4="All India",'RAW_DISTRICT'!$B$4:$B$745,'RAW_DISTRICT'!$C$4:$C$745),$B35,'RAW_DISTRICT'!$I$4:$I$745)/SUMIF(IF($D$4="All India",'RAW_DISTRICT'!$B$4:$B$745,'RAW_DISTRICT'!$C$4:$C$745),$B35,'RAW_DISTRICT'!$H$4:$H$745)),"")</f>
        <v/>
      </c>
      <c r="E35" s="11" t="str">
        <f>IFERROR(IF($B35="","",SUMIF(IF($D$4="All India",'RAW_DISTRICT'!$B$4:$B$745,'RAW_DISTRICT'!$C$4:$C$745),$B35,'RAW_DISTRICT'!$K$4:$K$745)/SUMIF(IF($D$4="All India",'RAW_DISTRICT'!$B$4:$B$745,'RAW_DISTRICT'!$C$4:$C$745),$B35,'RAW_DISTRICT'!$J$4:$J$745)),"")</f>
        <v/>
      </c>
      <c r="F35" s="10" t="str">
        <f t="shared" si="0"/>
        <v>High</v>
      </c>
    </row>
    <row r="36" spans="2:6" ht="15" customHeight="1" x14ac:dyDescent="0.3">
      <c r="B36" s="12" t="str">
        <f>IFERROR(IF($D$4="All India",INDEX({"Andaman and Nicobar Islands";"Andhra Pradesh";"Arunachal Pradesh";"Assam";"Bihar";"Chandigarh";"Chhattisgarh";"Dadra and Nagar Haveli and Daman and Diu";"Delhi";"Goa";"Gujarat";"Haryana";"Himachal Pradesh";"Jammu and Kashmir";"Jharkhand";"Karnataka";"Kerala";"Ladakh";"Lakshadweep";"Madhya Pradesh";"Maharashtra";"Manipur";"Meghalaya";"Mizoram";"Nagaland";"Odisha";"Puducherry";"Punjab";"Rajasthan";"Sikkim";"Tamil Nadu";"Telangana";"Tripura";"Uttar Pradesh";"Uttarakhand";"West Bengal"},26),INDEX('RAW_DISTRICT'!$C$4:$C$745,MATCH(26,'RAW_DISTRICT'!$V$4:$V$745,0))),"")</f>
        <v>Odisha</v>
      </c>
      <c r="C36" s="13">
        <f>IFERROR(IF($B36="","",SUMIF(IF($D$4="All India",'RAW_DISTRICT'!$B$4:$B$745,'RAW_DISTRICT'!$C$4:$C$745),$B36,'RAW_DISTRICT'!$F$4:$F$745)),"")</f>
        <v>0</v>
      </c>
      <c r="D36" s="14" t="str">
        <f>IFERROR(IF($B36="","",SUMIF(IF($D$4="All India",'RAW_DISTRICT'!$B$4:$B$745,'RAW_DISTRICT'!$C$4:$C$745),$B36,'RAW_DISTRICT'!$I$4:$I$745)/SUMIF(IF($D$4="All India",'RAW_DISTRICT'!$B$4:$B$745,'RAW_DISTRICT'!$C$4:$C$745),$B36,'RAW_DISTRICT'!$H$4:$H$745)),"")</f>
        <v/>
      </c>
      <c r="E36" s="14" t="str">
        <f>IFERROR(IF($B36="","",SUMIF(IF($D$4="All India",'RAW_DISTRICT'!$B$4:$B$745,'RAW_DISTRICT'!$C$4:$C$745),$B36,'RAW_DISTRICT'!$K$4:$K$745)/SUMIF(IF($D$4="All India",'RAW_DISTRICT'!$B$4:$B$745,'RAW_DISTRICT'!$C$4:$C$745),$B36,'RAW_DISTRICT'!$J$4:$J$745)),"")</f>
        <v/>
      </c>
      <c r="F36" s="13" t="str">
        <f t="shared" si="0"/>
        <v>High</v>
      </c>
    </row>
    <row r="37" spans="2:6" ht="15" customHeight="1" x14ac:dyDescent="0.3">
      <c r="B37" s="9" t="str">
        <f>IFERROR(IF($D$4="All India",INDEX({"Andaman and Nicobar Islands";"Andhra Pradesh";"Arunachal Pradesh";"Assam";"Bihar";"Chandigarh";"Chhattisgarh";"Dadra and Nagar Haveli and Daman and Diu";"Delhi";"Goa";"Gujarat";"Haryana";"Himachal Pradesh";"Jammu and Kashmir";"Jharkhand";"Karnataka";"Kerala";"Ladakh";"Lakshadweep";"Madhya Pradesh";"Maharashtra";"Manipur";"Meghalaya";"Mizoram";"Nagaland";"Odisha";"Puducherry";"Punjab";"Rajasthan";"Sikkim";"Tamil Nadu";"Telangana";"Tripura";"Uttar Pradesh";"Uttarakhand";"West Bengal"},27),INDEX('RAW_DISTRICT'!$C$4:$C$745,MATCH(27,'RAW_DISTRICT'!$V$4:$V$745,0))),"")</f>
        <v>Puducherry</v>
      </c>
      <c r="C37" s="10">
        <f>IFERROR(IF($B37="","",SUMIF(IF($D$4="All India",'RAW_DISTRICT'!$B$4:$B$745,'RAW_DISTRICT'!$C$4:$C$745),$B37,'RAW_DISTRICT'!$F$4:$F$745)),"")</f>
        <v>0</v>
      </c>
      <c r="D37" s="11" t="str">
        <f>IFERROR(IF($B37="","",SUMIF(IF($D$4="All India",'RAW_DISTRICT'!$B$4:$B$745,'RAW_DISTRICT'!$C$4:$C$745),$B37,'RAW_DISTRICT'!$I$4:$I$745)/SUMIF(IF($D$4="All India",'RAW_DISTRICT'!$B$4:$B$745,'RAW_DISTRICT'!$C$4:$C$745),$B37,'RAW_DISTRICT'!$H$4:$H$745)),"")</f>
        <v/>
      </c>
      <c r="E37" s="11" t="str">
        <f>IFERROR(IF($B37="","",SUMIF(IF($D$4="All India",'RAW_DISTRICT'!$B$4:$B$745,'RAW_DISTRICT'!$C$4:$C$745),$B37,'RAW_DISTRICT'!$K$4:$K$745)/SUMIF(IF($D$4="All India",'RAW_DISTRICT'!$B$4:$B$745,'RAW_DISTRICT'!$C$4:$C$745),$B37,'RAW_DISTRICT'!$J$4:$J$745)),"")</f>
        <v/>
      </c>
      <c r="F37" s="10" t="str">
        <f t="shared" si="0"/>
        <v>High</v>
      </c>
    </row>
    <row r="38" spans="2:6" ht="15" customHeight="1" x14ac:dyDescent="0.3">
      <c r="B38" s="12" t="str">
        <f>IFERROR(IF($D$4="All India",INDEX({"Andaman and Nicobar Islands";"Andhra Pradesh";"Arunachal Pradesh";"Assam";"Bihar";"Chandigarh";"Chhattisgarh";"Dadra and Nagar Haveli and Daman and Diu";"Delhi";"Goa";"Gujarat";"Haryana";"Himachal Pradesh";"Jammu and Kashmir";"Jharkhand";"Karnataka";"Kerala";"Ladakh";"Lakshadweep";"Madhya Pradesh";"Maharashtra";"Manipur";"Meghalaya";"Mizoram";"Nagaland";"Odisha";"Puducherry";"Punjab";"Rajasthan";"Sikkim";"Tamil Nadu";"Telangana";"Tripura";"Uttar Pradesh";"Uttarakhand";"West Bengal"},28),INDEX('RAW_DISTRICT'!$C$4:$C$745,MATCH(28,'RAW_DISTRICT'!$V$4:$V$745,0))),"")</f>
        <v>Punjab</v>
      </c>
      <c r="C38" s="13">
        <f>IFERROR(IF($B38="","",SUMIF(IF($D$4="All India",'RAW_DISTRICT'!$B$4:$B$745,'RAW_DISTRICT'!$C$4:$C$745),$B38,'RAW_DISTRICT'!$F$4:$F$745)),"")</f>
        <v>0</v>
      </c>
      <c r="D38" s="14" t="str">
        <f>IFERROR(IF($B38="","",SUMIF(IF($D$4="All India",'RAW_DISTRICT'!$B$4:$B$745,'RAW_DISTRICT'!$C$4:$C$745),$B38,'RAW_DISTRICT'!$I$4:$I$745)/SUMIF(IF($D$4="All India",'RAW_DISTRICT'!$B$4:$B$745,'RAW_DISTRICT'!$C$4:$C$745),$B38,'RAW_DISTRICT'!$H$4:$H$745)),"")</f>
        <v/>
      </c>
      <c r="E38" s="14" t="str">
        <f>IFERROR(IF($B38="","",SUMIF(IF($D$4="All India",'RAW_DISTRICT'!$B$4:$B$745,'RAW_DISTRICT'!$C$4:$C$745),$B38,'RAW_DISTRICT'!$K$4:$K$745)/SUMIF(IF($D$4="All India",'RAW_DISTRICT'!$B$4:$B$745,'RAW_DISTRICT'!$C$4:$C$745),$B38,'RAW_DISTRICT'!$J$4:$J$745)),"")</f>
        <v/>
      </c>
      <c r="F38" s="13" t="str">
        <f t="shared" si="0"/>
        <v>High</v>
      </c>
    </row>
    <row r="39" spans="2:6" ht="15" customHeight="1" x14ac:dyDescent="0.3">
      <c r="B39" s="9" t="str">
        <f>IFERROR(IF($D$4="All India",INDEX({"Andaman and Nicobar Islands";"Andhra Pradesh";"Arunachal Pradesh";"Assam";"Bihar";"Chandigarh";"Chhattisgarh";"Dadra and Nagar Haveli and Daman and Diu";"Delhi";"Goa";"Gujarat";"Haryana";"Himachal Pradesh";"Jammu and Kashmir";"Jharkhand";"Karnataka";"Kerala";"Ladakh";"Lakshadweep";"Madhya Pradesh";"Maharashtra";"Manipur";"Meghalaya";"Mizoram";"Nagaland";"Odisha";"Puducherry";"Punjab";"Rajasthan";"Sikkim";"Tamil Nadu";"Telangana";"Tripura";"Uttar Pradesh";"Uttarakhand";"West Bengal"},29),INDEX('RAW_DISTRICT'!$C$4:$C$745,MATCH(29,'RAW_DISTRICT'!$V$4:$V$745,0))),"")</f>
        <v>Rajasthan</v>
      </c>
      <c r="C39" s="10">
        <f>IFERROR(IF($B39="","",SUMIF(IF($D$4="All India",'RAW_DISTRICT'!$B$4:$B$745,'RAW_DISTRICT'!$C$4:$C$745),$B39,'RAW_DISTRICT'!$F$4:$F$745)),"")</f>
        <v>0</v>
      </c>
      <c r="D39" s="11" t="str">
        <f>IFERROR(IF($B39="","",SUMIF(IF($D$4="All India",'RAW_DISTRICT'!$B$4:$B$745,'RAW_DISTRICT'!$C$4:$C$745),$B39,'RAW_DISTRICT'!$I$4:$I$745)/SUMIF(IF($D$4="All India",'RAW_DISTRICT'!$B$4:$B$745,'RAW_DISTRICT'!$C$4:$C$745),$B39,'RAW_DISTRICT'!$H$4:$H$745)),"")</f>
        <v/>
      </c>
      <c r="E39" s="11" t="str">
        <f>IFERROR(IF($B39="","",SUMIF(IF($D$4="All India",'RAW_DISTRICT'!$B$4:$B$745,'RAW_DISTRICT'!$C$4:$C$745),$B39,'RAW_DISTRICT'!$K$4:$K$745)/SUMIF(IF($D$4="All India",'RAW_DISTRICT'!$B$4:$B$745,'RAW_DISTRICT'!$C$4:$C$745),$B39,'RAW_DISTRICT'!$J$4:$J$745)),"")</f>
        <v/>
      </c>
      <c r="F39" s="10" t="str">
        <f t="shared" si="0"/>
        <v>High</v>
      </c>
    </row>
    <row r="40" spans="2:6" ht="15" customHeight="1" x14ac:dyDescent="0.3">
      <c r="B40" s="12" t="str">
        <f>IFERROR(IF($D$4="All India",INDEX({"Andaman and Nicobar Islands";"Andhra Pradesh";"Arunachal Pradesh";"Assam";"Bihar";"Chandigarh";"Chhattisgarh";"Dadra and Nagar Haveli and Daman and Diu";"Delhi";"Goa";"Gujarat";"Haryana";"Himachal Pradesh";"Jammu and Kashmir";"Jharkhand";"Karnataka";"Kerala";"Ladakh";"Lakshadweep";"Madhya Pradesh";"Maharashtra";"Manipur";"Meghalaya";"Mizoram";"Nagaland";"Odisha";"Puducherry";"Punjab";"Rajasthan";"Sikkim";"Tamil Nadu";"Telangana";"Tripura";"Uttar Pradesh";"Uttarakhand";"West Bengal"},30),INDEX('RAW_DISTRICT'!$C$4:$C$745,MATCH(30,'RAW_DISTRICT'!$V$4:$V$745,0))),"")</f>
        <v>Sikkim</v>
      </c>
      <c r="C40" s="13">
        <f>IFERROR(IF($B40="","",SUMIF(IF($D$4="All India",'RAW_DISTRICT'!$B$4:$B$745,'RAW_DISTRICT'!$C$4:$C$745),$B40,'RAW_DISTRICT'!$F$4:$F$745)),"")</f>
        <v>0</v>
      </c>
      <c r="D40" s="14" t="str">
        <f>IFERROR(IF($B40="","",SUMIF(IF($D$4="All India",'RAW_DISTRICT'!$B$4:$B$745,'RAW_DISTRICT'!$C$4:$C$745),$B40,'RAW_DISTRICT'!$I$4:$I$745)/SUMIF(IF($D$4="All India",'RAW_DISTRICT'!$B$4:$B$745,'RAW_DISTRICT'!$C$4:$C$745),$B40,'RAW_DISTRICT'!$H$4:$H$745)),"")</f>
        <v/>
      </c>
      <c r="E40" s="14" t="str">
        <f>IFERROR(IF($B40="","",SUMIF(IF($D$4="All India",'RAW_DISTRICT'!$B$4:$B$745,'RAW_DISTRICT'!$C$4:$C$745),$B40,'RAW_DISTRICT'!$K$4:$K$745)/SUMIF(IF($D$4="All India",'RAW_DISTRICT'!$B$4:$B$745,'RAW_DISTRICT'!$C$4:$C$745),$B40,'RAW_DISTRICT'!$J$4:$J$745)),"")</f>
        <v/>
      </c>
      <c r="F40" s="13" t="str">
        <f t="shared" si="0"/>
        <v>High</v>
      </c>
    </row>
    <row r="41" spans="2:6" ht="15" customHeight="1" x14ac:dyDescent="0.3">
      <c r="B41" s="9" t="str">
        <f>IFERROR(IF($D$4="All India",INDEX({"Andaman and Nicobar Islands";"Andhra Pradesh";"Arunachal Pradesh";"Assam";"Bihar";"Chandigarh";"Chhattisgarh";"Dadra and Nagar Haveli and Daman and Diu";"Delhi";"Goa";"Gujarat";"Haryana";"Himachal Pradesh";"Jammu and Kashmir";"Jharkhand";"Karnataka";"Kerala";"Ladakh";"Lakshadweep";"Madhya Pradesh";"Maharashtra";"Manipur";"Meghalaya";"Mizoram";"Nagaland";"Odisha";"Puducherry";"Punjab";"Rajasthan";"Sikkim";"Tamil Nadu";"Telangana";"Tripura";"Uttar Pradesh";"Uttarakhand";"West Bengal"},31),INDEX('RAW_DISTRICT'!$C$4:$C$745,MATCH(31,'RAW_DISTRICT'!$V$4:$V$745,0))),"")</f>
        <v>Tamil Nadu</v>
      </c>
      <c r="C41" s="10">
        <f>IFERROR(IF($B41="","",SUMIF(IF($D$4="All India",'RAW_DISTRICT'!$B$4:$B$745,'RAW_DISTRICT'!$C$4:$C$745),$B41,'RAW_DISTRICT'!$F$4:$F$745)),"")</f>
        <v>0</v>
      </c>
      <c r="D41" s="11" t="str">
        <f>IFERROR(IF($B41="","",SUMIF(IF($D$4="All India",'RAW_DISTRICT'!$B$4:$B$745,'RAW_DISTRICT'!$C$4:$C$745),$B41,'RAW_DISTRICT'!$I$4:$I$745)/SUMIF(IF($D$4="All India",'RAW_DISTRICT'!$B$4:$B$745,'RAW_DISTRICT'!$C$4:$C$745),$B41,'RAW_DISTRICT'!$H$4:$H$745)),"")</f>
        <v/>
      </c>
      <c r="E41" s="11" t="str">
        <f>IFERROR(IF($B41="","",SUMIF(IF($D$4="All India",'RAW_DISTRICT'!$B$4:$B$745,'RAW_DISTRICT'!$C$4:$C$745),$B41,'RAW_DISTRICT'!$K$4:$K$745)/SUMIF(IF($D$4="All India",'RAW_DISTRICT'!$B$4:$B$745,'RAW_DISTRICT'!$C$4:$C$745),$B41,'RAW_DISTRICT'!$J$4:$J$745)),"")</f>
        <v/>
      </c>
      <c r="F41" s="10" t="str">
        <f t="shared" si="0"/>
        <v>High</v>
      </c>
    </row>
    <row r="42" spans="2:6" ht="15" customHeight="1" x14ac:dyDescent="0.3">
      <c r="B42" s="12" t="str">
        <f>IFERROR(IF($D$4="All India",INDEX({"Andaman and Nicobar Islands";"Andhra Pradesh";"Arunachal Pradesh";"Assam";"Bihar";"Chandigarh";"Chhattisgarh";"Dadra and Nagar Haveli and Daman and Diu";"Delhi";"Goa";"Gujarat";"Haryana";"Himachal Pradesh";"Jammu and Kashmir";"Jharkhand";"Karnataka";"Kerala";"Ladakh";"Lakshadweep";"Madhya Pradesh";"Maharashtra";"Manipur";"Meghalaya";"Mizoram";"Nagaland";"Odisha";"Puducherry";"Punjab";"Rajasthan";"Sikkim";"Tamil Nadu";"Telangana";"Tripura";"Uttar Pradesh";"Uttarakhand";"West Bengal"},32),INDEX('RAW_DISTRICT'!$C$4:$C$745,MATCH(32,'RAW_DISTRICT'!$V$4:$V$745,0))),"")</f>
        <v>Telangana</v>
      </c>
      <c r="C42" s="13">
        <f>IFERROR(IF($B42="","",SUMIF(IF($D$4="All India",'RAW_DISTRICT'!$B$4:$B$745,'RAW_DISTRICT'!$C$4:$C$745),$B42,'RAW_DISTRICT'!$F$4:$F$745)),"")</f>
        <v>0</v>
      </c>
      <c r="D42" s="14" t="str">
        <f>IFERROR(IF($B42="","",SUMIF(IF($D$4="All India",'RAW_DISTRICT'!$B$4:$B$745,'RAW_DISTRICT'!$C$4:$C$745),$B42,'RAW_DISTRICT'!$I$4:$I$745)/SUMIF(IF($D$4="All India",'RAW_DISTRICT'!$B$4:$B$745,'RAW_DISTRICT'!$C$4:$C$745),$B42,'RAW_DISTRICT'!$H$4:$H$745)),"")</f>
        <v/>
      </c>
      <c r="E42" s="14" t="str">
        <f>IFERROR(IF($B42="","",SUMIF(IF($D$4="All India",'RAW_DISTRICT'!$B$4:$B$745,'RAW_DISTRICT'!$C$4:$C$745),$B42,'RAW_DISTRICT'!$K$4:$K$745)/SUMIF(IF($D$4="All India",'RAW_DISTRICT'!$B$4:$B$745,'RAW_DISTRICT'!$C$4:$C$745),$B42,'RAW_DISTRICT'!$J$4:$J$745)),"")</f>
        <v/>
      </c>
      <c r="F42" s="13" t="str">
        <f t="shared" si="0"/>
        <v>High</v>
      </c>
    </row>
    <row r="43" spans="2:6" ht="15" customHeight="1" x14ac:dyDescent="0.3">
      <c r="B43" s="9" t="str">
        <f>IFERROR(IF($D$4="All India",INDEX({"Andaman and Nicobar Islands";"Andhra Pradesh";"Arunachal Pradesh";"Assam";"Bihar";"Chandigarh";"Chhattisgarh";"Dadra and Nagar Haveli and Daman and Diu";"Delhi";"Goa";"Gujarat";"Haryana";"Himachal Pradesh";"Jammu and Kashmir";"Jharkhand";"Karnataka";"Kerala";"Ladakh";"Lakshadweep";"Madhya Pradesh";"Maharashtra";"Manipur";"Meghalaya";"Mizoram";"Nagaland";"Odisha";"Puducherry";"Punjab";"Rajasthan";"Sikkim";"Tamil Nadu";"Telangana";"Tripura";"Uttar Pradesh";"Uttarakhand";"West Bengal"},33),INDEX('RAW_DISTRICT'!$C$4:$C$745,MATCH(33,'RAW_DISTRICT'!$V$4:$V$745,0))),"")</f>
        <v>Tripura</v>
      </c>
      <c r="C43" s="10">
        <f>IFERROR(IF($B43="","",SUMIF(IF($D$4="All India",'RAW_DISTRICT'!$B$4:$B$745,'RAW_DISTRICT'!$C$4:$C$745),$B43,'RAW_DISTRICT'!$F$4:$F$745)),"")</f>
        <v>0</v>
      </c>
      <c r="D43" s="11" t="str">
        <f>IFERROR(IF($B43="","",SUMIF(IF($D$4="All India",'RAW_DISTRICT'!$B$4:$B$745,'RAW_DISTRICT'!$C$4:$C$745),$B43,'RAW_DISTRICT'!$I$4:$I$745)/SUMIF(IF($D$4="All India",'RAW_DISTRICT'!$B$4:$B$745,'RAW_DISTRICT'!$C$4:$C$745),$B43,'RAW_DISTRICT'!$H$4:$H$745)),"")</f>
        <v/>
      </c>
      <c r="E43" s="11" t="str">
        <f>IFERROR(IF($B43="","",SUMIF(IF($D$4="All India",'RAW_DISTRICT'!$B$4:$B$745,'RAW_DISTRICT'!$C$4:$C$745),$B43,'RAW_DISTRICT'!$K$4:$K$745)/SUMIF(IF($D$4="All India",'RAW_DISTRICT'!$B$4:$B$745,'RAW_DISTRICT'!$C$4:$C$745),$B43,'RAW_DISTRICT'!$J$4:$J$745)),"")</f>
        <v/>
      </c>
      <c r="F43" s="10" t="str">
        <f t="shared" si="0"/>
        <v>High</v>
      </c>
    </row>
    <row r="44" spans="2:6" ht="15" customHeight="1" x14ac:dyDescent="0.3">
      <c r="B44" s="12" t="str">
        <f>IFERROR(IF($D$4="All India",INDEX({"Andaman and Nicobar Islands";"Andhra Pradesh";"Arunachal Pradesh";"Assam";"Bihar";"Chandigarh";"Chhattisgarh";"Dadra and Nagar Haveli and Daman and Diu";"Delhi";"Goa";"Gujarat";"Haryana";"Himachal Pradesh";"Jammu and Kashmir";"Jharkhand";"Karnataka";"Kerala";"Ladakh";"Lakshadweep";"Madhya Pradesh";"Maharashtra";"Manipur";"Meghalaya";"Mizoram";"Nagaland";"Odisha";"Puducherry";"Punjab";"Rajasthan";"Sikkim";"Tamil Nadu";"Telangana";"Tripura";"Uttar Pradesh";"Uttarakhand";"West Bengal"},34),INDEX('RAW_DISTRICT'!$C$4:$C$745,MATCH(34,'RAW_DISTRICT'!$V$4:$V$745,0))),"")</f>
        <v>Uttar Pradesh</v>
      </c>
      <c r="C44" s="13">
        <f>IFERROR(IF($B44="","",SUMIF(IF($D$4="All India",'RAW_DISTRICT'!$B$4:$B$745,'RAW_DISTRICT'!$C$4:$C$745),$B44,'RAW_DISTRICT'!$F$4:$F$745)),"")</f>
        <v>0</v>
      </c>
      <c r="D44" s="14" t="str">
        <f>IFERROR(IF($B44="","",SUMIF(IF($D$4="All India",'RAW_DISTRICT'!$B$4:$B$745,'RAW_DISTRICT'!$C$4:$C$745),$B44,'RAW_DISTRICT'!$I$4:$I$745)/SUMIF(IF($D$4="All India",'RAW_DISTRICT'!$B$4:$B$745,'RAW_DISTRICT'!$C$4:$C$745),$B44,'RAW_DISTRICT'!$H$4:$H$745)),"")</f>
        <v/>
      </c>
      <c r="E44" s="14" t="str">
        <f>IFERROR(IF($B44="","",SUMIF(IF($D$4="All India",'RAW_DISTRICT'!$B$4:$B$745,'RAW_DISTRICT'!$C$4:$C$745),$B44,'RAW_DISTRICT'!$K$4:$K$745)/SUMIF(IF($D$4="All India",'RAW_DISTRICT'!$B$4:$B$745,'RAW_DISTRICT'!$C$4:$C$745),$B44,'RAW_DISTRICT'!$J$4:$J$745)),"")</f>
        <v/>
      </c>
      <c r="F44" s="13" t="str">
        <f t="shared" si="0"/>
        <v>High</v>
      </c>
    </row>
    <row r="45" spans="2:6" ht="15" customHeight="1" x14ac:dyDescent="0.3">
      <c r="B45" s="9" t="str">
        <f>IFERROR(IF($D$4="All India",INDEX({"Andaman and Nicobar Islands";"Andhra Pradesh";"Arunachal Pradesh";"Assam";"Bihar";"Chandigarh";"Chhattisgarh";"Dadra and Nagar Haveli and Daman and Diu";"Delhi";"Goa";"Gujarat";"Haryana";"Himachal Pradesh";"Jammu and Kashmir";"Jharkhand";"Karnataka";"Kerala";"Ladakh";"Lakshadweep";"Madhya Pradesh";"Maharashtra";"Manipur";"Meghalaya";"Mizoram";"Nagaland";"Odisha";"Puducherry";"Punjab";"Rajasthan";"Sikkim";"Tamil Nadu";"Telangana";"Tripura";"Uttar Pradesh";"Uttarakhand";"West Bengal"},35),INDEX('RAW_DISTRICT'!$C$4:$C$745,MATCH(35,'RAW_DISTRICT'!$V$4:$V$745,0))),"")</f>
        <v>Uttarakhand</v>
      </c>
      <c r="C45" s="10">
        <f>IFERROR(IF($B45="","",SUMIF(IF($D$4="All India",'RAW_DISTRICT'!$B$4:$B$745,'RAW_DISTRICT'!$C$4:$C$745),$B45,'RAW_DISTRICT'!$F$4:$F$745)),"")</f>
        <v>0</v>
      </c>
      <c r="D45" s="11" t="str">
        <f>IFERROR(IF($B45="","",SUMIF(IF($D$4="All India",'RAW_DISTRICT'!$B$4:$B$745,'RAW_DISTRICT'!$C$4:$C$745),$B45,'RAW_DISTRICT'!$I$4:$I$745)/SUMIF(IF($D$4="All India",'RAW_DISTRICT'!$B$4:$B$745,'RAW_DISTRICT'!$C$4:$C$745),$B45,'RAW_DISTRICT'!$H$4:$H$745)),"")</f>
        <v/>
      </c>
      <c r="E45" s="11" t="str">
        <f>IFERROR(IF($B45="","",SUMIF(IF($D$4="All India",'RAW_DISTRICT'!$B$4:$B$745,'RAW_DISTRICT'!$C$4:$C$745),$B45,'RAW_DISTRICT'!$K$4:$K$745)/SUMIF(IF($D$4="All India",'RAW_DISTRICT'!$B$4:$B$745,'RAW_DISTRICT'!$C$4:$C$745),$B45,'RAW_DISTRICT'!$J$4:$J$745)),"")</f>
        <v/>
      </c>
      <c r="F45" s="10" t="str">
        <f t="shared" si="0"/>
        <v>High</v>
      </c>
    </row>
    <row r="46" spans="2:6" ht="15" customHeight="1" x14ac:dyDescent="0.3">
      <c r="B46" s="12" t="str">
        <f>IFERROR(IF($D$4="All India",INDEX({"Andaman and Nicobar Islands";"Andhra Pradesh";"Arunachal Pradesh";"Assam";"Bihar";"Chandigarh";"Chhattisgarh";"Dadra and Nagar Haveli and Daman and Diu";"Delhi";"Goa";"Gujarat";"Haryana";"Himachal Pradesh";"Jammu and Kashmir";"Jharkhand";"Karnataka";"Kerala";"Ladakh";"Lakshadweep";"Madhya Pradesh";"Maharashtra";"Manipur";"Meghalaya";"Mizoram";"Nagaland";"Odisha";"Puducherry";"Punjab";"Rajasthan";"Sikkim";"Tamil Nadu";"Telangana";"Tripura";"Uttar Pradesh";"Uttarakhand";"West Bengal"},36),INDEX('RAW_DISTRICT'!$C$4:$C$745,MATCH(36,'RAW_DISTRICT'!$V$4:$V$745,0))),"")</f>
        <v>West Bengal</v>
      </c>
      <c r="C46" s="13">
        <f>IFERROR(IF($B46="","",SUMIF(IF($D$4="All India",'RAW_DISTRICT'!$B$4:$B$745,'RAW_DISTRICT'!$C$4:$C$745),$B46,'RAW_DISTRICT'!$F$4:$F$745)),"")</f>
        <v>0</v>
      </c>
      <c r="D46" s="14" t="str">
        <f>IFERROR(IF($B46="","",SUMIF(IF($D$4="All India",'RAW_DISTRICT'!$B$4:$B$745,'RAW_DISTRICT'!$C$4:$C$745),$B46,'RAW_DISTRICT'!$I$4:$I$745)/SUMIF(IF($D$4="All India",'RAW_DISTRICT'!$B$4:$B$745,'RAW_DISTRICT'!$C$4:$C$745),$B46,'RAW_DISTRICT'!$H$4:$H$745)),"")</f>
        <v/>
      </c>
      <c r="E46" s="14" t="str">
        <f>IFERROR(IF($B46="","",SUMIF(IF($D$4="All India",'RAW_DISTRICT'!$B$4:$B$745,'RAW_DISTRICT'!$C$4:$C$745),$B46,'RAW_DISTRICT'!$K$4:$K$745)/SUMIF(IF($D$4="All India",'RAW_DISTRICT'!$B$4:$B$745,'RAW_DISTRICT'!$C$4:$C$745),$B46,'RAW_DISTRICT'!$J$4:$J$745)),"")</f>
        <v/>
      </c>
      <c r="F46" s="13" t="str">
        <f t="shared" si="0"/>
        <v>High</v>
      </c>
    </row>
  </sheetData>
  <mergeCells count="5">
    <mergeCell ref="C9:F9"/>
    <mergeCell ref="B3:G3"/>
    <mergeCell ref="A1:G1"/>
    <mergeCell ref="B4:C4"/>
    <mergeCell ref="B7:G7"/>
  </mergeCell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100-000000000000}">
          <x14:formula1>
            <xm:f>REF!$S$2:$S$38</xm:f>
          </x14:formula1>
          <xm:sqref>D4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1"/>
  <sheetViews>
    <sheetView showGridLines="0" topLeftCell="A8" workbookViewId="0">
      <selection activeCell="I21" sqref="I21"/>
    </sheetView>
  </sheetViews>
  <sheetFormatPr defaultRowHeight="14.4" x14ac:dyDescent="0.3"/>
  <cols>
    <col min="1" max="1" width="4" customWidth="1"/>
    <col min="2" max="2" width="34" customWidth="1"/>
    <col min="3" max="4" width="16" customWidth="1"/>
    <col min="5" max="6" width="14" customWidth="1"/>
    <col min="7" max="7" width="16" customWidth="1"/>
    <col min="8" max="8" width="14" customWidth="1"/>
    <col min="9" max="9" width="22" customWidth="1"/>
  </cols>
  <sheetData>
    <row r="1" spans="1:9" ht="28.05" customHeight="1" x14ac:dyDescent="0.3">
      <c r="A1" s="32" t="s">
        <v>75</v>
      </c>
      <c r="B1" s="33"/>
      <c r="C1" s="33"/>
      <c r="D1" s="33"/>
      <c r="E1" s="33"/>
      <c r="F1" s="33"/>
      <c r="G1" s="33"/>
      <c r="H1" s="33"/>
      <c r="I1" s="33"/>
    </row>
    <row r="2" spans="1:9" ht="18" customHeight="1" x14ac:dyDescent="0.3">
      <c r="A2" s="38" t="str">
        <f>IF(SelectedScope="All India","NATIONAL VIEW — ALL INDIA","STATE VIEW — "&amp;SelectedScope)</f>
        <v>NATIONAL VIEW — ALL INDIA</v>
      </c>
      <c r="B2" s="33"/>
      <c r="C2" s="33"/>
      <c r="D2" s="33"/>
      <c r="E2" s="33"/>
      <c r="F2" s="33"/>
      <c r="G2" s="33"/>
      <c r="H2" s="33"/>
      <c r="I2" s="33"/>
    </row>
    <row r="3" spans="1:9" ht="16.05" customHeight="1" x14ac:dyDescent="0.3">
      <c r="A3" s="39" t="s">
        <v>76</v>
      </c>
      <c r="B3" s="33"/>
      <c r="C3" s="33"/>
      <c r="D3" s="33"/>
      <c r="E3" s="33"/>
      <c r="F3" s="33"/>
      <c r="G3" s="33"/>
      <c r="H3" s="33"/>
      <c r="I3" s="33"/>
    </row>
    <row r="4" spans="1:9" ht="19.95" customHeight="1" x14ac:dyDescent="0.3">
      <c r="A4" s="37" t="s">
        <v>77</v>
      </c>
      <c r="B4" s="33"/>
      <c r="C4" s="33"/>
      <c r="D4" s="33"/>
      <c r="E4" s="33"/>
      <c r="F4" s="33"/>
      <c r="G4" s="33"/>
      <c r="H4" s="33"/>
      <c r="I4" s="33"/>
    </row>
    <row r="5" spans="1:9" ht="31.95" customHeight="1" x14ac:dyDescent="0.3">
      <c r="A5" s="15" t="s">
        <v>78</v>
      </c>
      <c r="B5" s="15" t="s">
        <v>79</v>
      </c>
      <c r="C5" s="15" t="s">
        <v>80</v>
      </c>
      <c r="D5" s="15" t="s">
        <v>81</v>
      </c>
      <c r="E5" s="15" t="s">
        <v>82</v>
      </c>
      <c r="F5" s="15" t="s">
        <v>83</v>
      </c>
      <c r="G5" s="15" t="s">
        <v>84</v>
      </c>
      <c r="H5" s="15" t="s">
        <v>85</v>
      </c>
      <c r="I5" s="15" t="s">
        <v>86</v>
      </c>
    </row>
    <row r="6" spans="1:9" ht="16.05" customHeight="1" x14ac:dyDescent="0.3">
      <c r="A6" s="16" t="s">
        <v>87</v>
      </c>
      <c r="B6" s="16" t="s">
        <v>88</v>
      </c>
      <c r="C6" s="17">
        <f>SUMPRODUCT((IF(SelectedScope="All India",1,'RAW_DISTRICT'!$B$4:$B$745=SelectedScope))*'RAW_DISTRICT'!$F$4:$F$745)</f>
        <v>0</v>
      </c>
      <c r="D6" s="16" t="s">
        <v>89</v>
      </c>
      <c r="E6" s="16"/>
      <c r="F6" s="12">
        <f>IF(SelectedScope="All India",COUNTA('RAW_DISTRICT'!$C$4:$C$745),COUNTIFS('RAW_DISTRICT'!$B$4:$B$745,SelectedScope))</f>
        <v>742</v>
      </c>
      <c r="G6" s="16"/>
      <c r="H6" s="16"/>
      <c r="I6" s="16"/>
    </row>
    <row r="7" spans="1:9" ht="16.05" customHeight="1" x14ac:dyDescent="0.3">
      <c r="A7" s="18" t="s">
        <v>90</v>
      </c>
      <c r="B7" s="18" t="s">
        <v>91</v>
      </c>
      <c r="C7" s="19">
        <f>IFERROR((SUMPRODUCT((IF(SelectedScope="All India",1,'RAW_DISTRICT'!$B$4:$B$745=SelectedScope))*'RAW_DISTRICT'!$G$4:$G$745))/(IF(SelectedScope="All India",COUNTA('RAW_DISTRICT'!$C$4:$C$745),COUNTIFS('RAW_DISTRICT'!$B$4:$B$745,SelectedScope))),"")</f>
        <v>0</v>
      </c>
      <c r="D7" s="18" t="s">
        <v>89</v>
      </c>
      <c r="E7" s="18"/>
      <c r="F7" s="18"/>
      <c r="G7" s="18"/>
      <c r="H7" s="18"/>
      <c r="I7" s="18"/>
    </row>
    <row r="8" spans="1:9" ht="16.05" customHeight="1" x14ac:dyDescent="0.3">
      <c r="A8" s="16" t="s">
        <v>92</v>
      </c>
      <c r="B8" s="16" t="s">
        <v>93</v>
      </c>
      <c r="C8" s="17">
        <f>SUMPRODUCT((IF(SelectedScope="All India",1,'RAW_DISTRICT'!$B$4:$B$745=SelectedScope))*'RAW_DISTRICT'!$L$4:$L$745)</f>
        <v>0</v>
      </c>
      <c r="D8" s="16" t="s">
        <v>89</v>
      </c>
      <c r="E8" s="16"/>
      <c r="F8" s="16"/>
      <c r="G8" s="16"/>
      <c r="H8" s="16"/>
      <c r="I8" s="16"/>
    </row>
    <row r="9" spans="1:9" ht="16.05" customHeight="1" x14ac:dyDescent="0.3">
      <c r="A9" s="18" t="s">
        <v>94</v>
      </c>
      <c r="B9" s="18" t="s">
        <v>95</v>
      </c>
      <c r="C9" s="19">
        <f>SUMPRODUCT((IF(SelectedScope="All India",1,'RAW_DISTRICT'!$B$4:$B$745=SelectedScope))*'RAW_DISTRICT'!$M$4:$M$745)</f>
        <v>0</v>
      </c>
      <c r="D9" s="18" t="s">
        <v>89</v>
      </c>
      <c r="E9" s="18"/>
      <c r="F9" s="18"/>
      <c r="G9" s="18"/>
      <c r="H9" s="18"/>
      <c r="I9" s="18"/>
    </row>
    <row r="10" spans="1:9" ht="16.05" customHeight="1" x14ac:dyDescent="0.3">
      <c r="A10" s="16" t="s">
        <v>96</v>
      </c>
      <c r="B10" s="16" t="s">
        <v>97</v>
      </c>
      <c r="C10" s="20" t="str">
        <f>IFERROR((SUMPRODUCT((IF(SelectedScope="All India",1,'RAW_DISTRICT'!$B$4:$B$745=SelectedScope))*'RAW_DISTRICT'!$M$4:$M$745))/(SUMPRODUCT((IF(SelectedScope="All India",1,'RAW_DISTRICT'!$B$4:$B$745=SelectedScope))*'RAW_DISTRICT'!$L$4:$L$745)),"")</f>
        <v/>
      </c>
      <c r="D10" s="16" t="s">
        <v>98</v>
      </c>
      <c r="E10" s="12" t="str">
        <f>IFERROR(IF(C10="","",IF(LEFT(D10,1)="≥",C10&gt;=VALUE(SUBSTITUTE(SUBSTITUTE(D10,"≥ ",""),"%",""))/100,IF(LEFT(D10,1)="&lt;",C10&lt;VALUE(SUBSTITUTE(SUBSTITUTE(D10,"&lt; ",""),"%",""))/100,""))),"")</f>
        <v/>
      </c>
      <c r="F10" s="16"/>
      <c r="G10" s="16"/>
      <c r="H10" s="16"/>
      <c r="I10" s="16"/>
    </row>
    <row r="11" spans="1:9" ht="16.05" customHeight="1" x14ac:dyDescent="0.3">
      <c r="A11" s="18" t="s">
        <v>99</v>
      </c>
      <c r="B11" s="18" t="s">
        <v>100</v>
      </c>
      <c r="C11" s="19">
        <f>SUMPRODUCT((IF(SelectedScope="All India",1,'RAW_DISTRICT'!$B$4:$B$745=SelectedScope))*'RAW_DISTRICT'!$J$4:$J$745)</f>
        <v>0</v>
      </c>
      <c r="D11" s="18" t="s">
        <v>89</v>
      </c>
      <c r="E11" s="18"/>
      <c r="F11" s="18"/>
      <c r="G11" s="18"/>
      <c r="H11" s="18"/>
      <c r="I11" s="18"/>
    </row>
    <row r="12" spans="1:9" ht="16.05" customHeight="1" x14ac:dyDescent="0.3">
      <c r="A12" s="16" t="s">
        <v>101</v>
      </c>
      <c r="B12" s="16" t="s">
        <v>102</v>
      </c>
      <c r="C12" s="20" t="str">
        <f>IFERROR((SUMPRODUCT((IF(SelectedScope="All India",1,'RAW_DISTRICT'!$B$4:$B$745=SelectedScope))*'RAW_DISTRICT'!$K$4:$K$745))/(SUMPRODUCT((IF(SelectedScope="All India",1,'RAW_DISTRICT'!$B$4:$B$745=SelectedScope))*'RAW_DISTRICT'!$J$4:$J$745)),"")</f>
        <v/>
      </c>
      <c r="D12" s="16" t="s">
        <v>103</v>
      </c>
      <c r="E12" s="12" t="str">
        <f>IFERROR(IF(C12="","",IF(LEFT(D12,1)="≥",C12&gt;=VALUE(SUBSTITUTE(SUBSTITUTE(D12,"≥ ",""),"%",""))/100,IF(LEFT(D12,1)="&lt;",C12&lt;VALUE(SUBSTITUTE(SUBSTITUTE(D12,"&lt; ",""),"%",""))/100,""))),"")</f>
        <v/>
      </c>
      <c r="F12" s="16"/>
      <c r="G12" s="16"/>
      <c r="H12" s="16"/>
      <c r="I12" s="16"/>
    </row>
    <row r="13" spans="1:9" ht="16.05" customHeight="1" x14ac:dyDescent="0.3">
      <c r="A13" s="18" t="s">
        <v>104</v>
      </c>
      <c r="B13" s="18" t="s">
        <v>105</v>
      </c>
      <c r="C13" s="19">
        <f>SUMPRODUCT((IF(SelectedScope="All India",1,'RAW_DISTRICT'!$B$4:$B$745=SelectedScope))*'RAW_DISTRICT'!$H$4:$H$745)</f>
        <v>0</v>
      </c>
      <c r="D13" s="18" t="s">
        <v>89</v>
      </c>
      <c r="E13" s="18"/>
      <c r="F13" s="18"/>
      <c r="G13" s="18"/>
      <c r="H13" s="18"/>
      <c r="I13" s="18"/>
    </row>
    <row r="14" spans="1:9" ht="16.05" customHeight="1" x14ac:dyDescent="0.3">
      <c r="A14" s="16" t="s">
        <v>106</v>
      </c>
      <c r="B14" s="16" t="s">
        <v>72</v>
      </c>
      <c r="C14" s="20" t="str">
        <f>IFERROR((SUMPRODUCT((IF(SelectedScope="All India",1,'RAW_DISTRICT'!$B$4:$B$745=SelectedScope))*'RAW_DISTRICT'!$I$4:$I$745))/(SUMPRODUCT((IF(SelectedScope="All India",1,'RAW_DISTRICT'!$B$4:$B$745=SelectedScope))*'RAW_DISTRICT'!$H$4:$H$745)),"")</f>
        <v/>
      </c>
      <c r="D14" s="16" t="s">
        <v>107</v>
      </c>
      <c r="E14" s="12" t="str">
        <f>IFERROR(IF(C14="","",IF(LEFT(D14,1)="≥",C14&gt;=VALUE(SUBSTITUTE(SUBSTITUTE(D14,"≥ ",""),"%",""))/100,IF(LEFT(D14,1)="&lt;",C14&lt;VALUE(SUBSTITUTE(SUBSTITUTE(D14,"&lt; ",""),"%",""))/100,""))),"")</f>
        <v/>
      </c>
      <c r="F14" s="16"/>
      <c r="G14" s="16"/>
      <c r="H14" s="16"/>
      <c r="I14" s="16"/>
    </row>
    <row r="15" spans="1:9" ht="16.05" customHeight="1" x14ac:dyDescent="0.3">
      <c r="A15" s="18" t="s">
        <v>108</v>
      </c>
      <c r="B15" s="18" t="s">
        <v>109</v>
      </c>
      <c r="C15" s="21" t="str">
        <f>IFERROR((SUMPRODUCT((IF(SelectedScope="All India",1,'RAW_DISTRICT'!$B$4:$B$745=SelectedScope))*'RAW_DISTRICT'!$N$4:$N$745))/(SUMPRODUCT((IF(SelectedScope="All India",1,'RAW_DISTRICT'!$B$4:$B$745=SelectedScope))*'RAW_DISTRICT'!$O$4:$O$745)),"")</f>
        <v/>
      </c>
      <c r="D15" s="18" t="s">
        <v>110</v>
      </c>
      <c r="E15" s="9" t="str">
        <f>IFERROR(IF(C15="","",IF(LEFT(D15,1)="≥",C15&gt;=VALUE(SUBSTITUTE(SUBSTITUTE(D15,"≥ ",""),"%",""))/100,IF(LEFT(D15,1)="&lt;",C15&lt;VALUE(SUBSTITUTE(SUBSTITUTE(D15,"&lt; ",""),"%",""))/100,""))),"")</f>
        <v/>
      </c>
      <c r="F15" s="18"/>
      <c r="G15" s="18"/>
      <c r="H15" s="18"/>
      <c r="I15" s="18"/>
    </row>
    <row r="16" spans="1:9" ht="16.05" customHeight="1" x14ac:dyDescent="0.3">
      <c r="A16" s="16" t="s">
        <v>111</v>
      </c>
      <c r="B16" s="16" t="s">
        <v>84</v>
      </c>
      <c r="C16" s="17">
        <f>SUMPRODUCT((IF(SelectedScope="All India",1,'RAW_DISTRICT'!$B$4:$B$745=SelectedScope))*'RAW_DISTRICT'!$P$4:$P$745)</f>
        <v>0</v>
      </c>
      <c r="D16" s="16" t="s">
        <v>89</v>
      </c>
      <c r="E16" s="16"/>
      <c r="F16" s="16"/>
      <c r="G16" s="16"/>
      <c r="H16" s="16"/>
      <c r="I16" s="16"/>
    </row>
    <row r="17" spans="1:9" ht="16.05" customHeight="1" x14ac:dyDescent="0.3">
      <c r="A17" s="18" t="s">
        <v>112</v>
      </c>
      <c r="B17" s="18" t="s">
        <v>113</v>
      </c>
      <c r="C17" s="19">
        <f>SUMPRODUCT((IF(SelectedScope="All India",1,'RAW_DISTRICT'!$B$4:$B$745=SelectedScope))*'RAW_DISTRICT'!$Q$4:$Q$745)</f>
        <v>0</v>
      </c>
      <c r="D17" s="18" t="s">
        <v>89</v>
      </c>
      <c r="E17" s="18"/>
      <c r="F17" s="18"/>
      <c r="G17" s="18"/>
      <c r="H17" s="18"/>
      <c r="I17" s="18"/>
    </row>
    <row r="19" spans="1:9" ht="19.95" customHeight="1" x14ac:dyDescent="0.3">
      <c r="A19" s="37" t="s">
        <v>114</v>
      </c>
      <c r="B19" s="33"/>
      <c r="C19" s="33"/>
      <c r="D19" s="33"/>
      <c r="E19" s="33"/>
      <c r="F19" s="33"/>
      <c r="G19" s="33"/>
      <c r="H19" s="33"/>
      <c r="I19" s="33"/>
    </row>
    <row r="20" spans="1:9" ht="31.95" customHeight="1" x14ac:dyDescent="0.3">
      <c r="A20" s="15" t="s">
        <v>78</v>
      </c>
      <c r="B20" s="15" t="s">
        <v>115</v>
      </c>
      <c r="C20" s="15" t="s">
        <v>116</v>
      </c>
      <c r="D20" s="15" t="s">
        <v>117</v>
      </c>
      <c r="E20" s="15" t="s">
        <v>118</v>
      </c>
      <c r="F20" s="15" t="s">
        <v>119</v>
      </c>
      <c r="G20" s="15" t="s">
        <v>120</v>
      </c>
      <c r="H20" s="15" t="s">
        <v>121</v>
      </c>
      <c r="I20" s="15" t="s">
        <v>86</v>
      </c>
    </row>
    <row r="21" spans="1:9" ht="16.05" customHeight="1" x14ac:dyDescent="0.3">
      <c r="A21" s="18" t="s">
        <v>87</v>
      </c>
      <c r="B21" s="18" t="s">
        <v>122</v>
      </c>
      <c r="C21" s="18" t="s">
        <v>123</v>
      </c>
      <c r="D21" s="9">
        <f>SUMPRODUCT((IF(SelectedScope="All India",1,'RAW_DISTRICT'!$B$4:$B$745=SelectedScope))*('RAW_DISTRICT'!$F$4:$F$745&gt;=$I$61))</f>
        <v>742</v>
      </c>
      <c r="E21" s="21">
        <f>IFERROR(D21/IF(SelectedScope="All India",COUNTA('RAW_DISTRICT'!$C$4:$C$745),COUNTIFS('RAW_DISTRICT'!$B$4:$B$745,SelectedScope)),"")</f>
        <v>1</v>
      </c>
      <c r="F21" s="18"/>
      <c r="G21" s="18"/>
      <c r="H21" s="18"/>
      <c r="I21" s="18"/>
    </row>
    <row r="22" spans="1:9" ht="16.05" customHeight="1" x14ac:dyDescent="0.3">
      <c r="A22" s="16" t="s">
        <v>90</v>
      </c>
      <c r="B22" s="16" t="s">
        <v>124</v>
      </c>
      <c r="C22" s="16" t="s">
        <v>125</v>
      </c>
      <c r="D22" s="12">
        <f>SUMPRODUCT((IF(SelectedScope="All India",1,'RAW_DISTRICT'!$B$4:$B$745=SelectedScope))*('RAW_DISTRICT'!$F$4:$F$745&gt;=$I$60)*('RAW_DISTRICT'!$F$4:$F$745&lt;$I$61))</f>
        <v>0</v>
      </c>
      <c r="E22" s="20">
        <f>IFERROR(D22/IF(SelectedScope="All India",COUNTA('RAW_DISTRICT'!$C$4:$C$745),COUNTIFS('RAW_DISTRICT'!$B$4:$B$745,SelectedScope)),"")</f>
        <v>0</v>
      </c>
      <c r="F22" s="16"/>
      <c r="G22" s="16"/>
      <c r="H22" s="16"/>
      <c r="I22" s="16"/>
    </row>
    <row r="23" spans="1:9" ht="16.05" customHeight="1" x14ac:dyDescent="0.3">
      <c r="A23" s="18" t="s">
        <v>92</v>
      </c>
      <c r="B23" s="18" t="s">
        <v>126</v>
      </c>
      <c r="C23" s="18" t="s">
        <v>127</v>
      </c>
      <c r="D23" s="9">
        <f>SUMPRODUCT((IF(SelectedScope="All India",1,'RAW_DISTRICT'!$B$4:$B$745=SelectedScope))*('RAW_DISTRICT'!$F$4:$F$745&gt;0)*('RAW_DISTRICT'!$F$4:$F$745&lt;$I$60))</f>
        <v>0</v>
      </c>
      <c r="E23" s="21">
        <f>IFERROR(D23/IF(SelectedScope="All India",COUNTA('RAW_DISTRICT'!$C$4:$C$745),COUNTIFS('RAW_DISTRICT'!$B$4:$B$745,SelectedScope)),"")</f>
        <v>0</v>
      </c>
      <c r="F23" s="18"/>
      <c r="G23" s="18"/>
      <c r="H23" s="18"/>
      <c r="I23" s="18"/>
    </row>
    <row r="24" spans="1:9" ht="16.05" customHeight="1" x14ac:dyDescent="0.3">
      <c r="A24" s="16" t="s">
        <v>94</v>
      </c>
      <c r="B24" s="16" t="s">
        <v>128</v>
      </c>
      <c r="C24" s="16" t="s">
        <v>129</v>
      </c>
      <c r="D24" s="12">
        <f>SUMPRODUCT((IF(SelectedScope="All India",1,'RAW_DISTRICT'!$B$4:$B$745=SelectedScope))*('RAW_DISTRICT'!$F$4:$F$745=0))</f>
        <v>742</v>
      </c>
      <c r="E24" s="20">
        <f>IFERROR(D24/IF(SelectedScope="All India",COUNTA('RAW_DISTRICT'!$C$4:$C$745),COUNTIFS('RAW_DISTRICT'!$B$4:$B$745,SelectedScope)),"")</f>
        <v>1</v>
      </c>
      <c r="F24" s="16"/>
      <c r="G24" s="16"/>
      <c r="H24" s="16"/>
      <c r="I24" s="16"/>
    </row>
    <row r="60" spans="8:9" x14ac:dyDescent="0.3">
      <c r="H60" s="22" t="s">
        <v>130</v>
      </c>
      <c r="I60" s="22">
        <f t="array" ref="I60">PERCENTILE(IF(SelectedScope="All India",N('RAW_DISTRICT'!$F$4:$F$745),IF('RAW_DISTRICT'!$B$4:$B$745=SelectedScope,N('RAW_DISTRICT'!$F$4:$F$745),0)),0.4)</f>
        <v>0</v>
      </c>
    </row>
    <row r="61" spans="8:9" x14ac:dyDescent="0.3">
      <c r="H61" s="22" t="s">
        <v>131</v>
      </c>
      <c r="I61" s="22">
        <f t="array" ref="I61">PERCENTILE(IF(SelectedScope="All India",N('RAW_DISTRICT'!$F$4:$F$745),IF('RAW_DISTRICT'!$B$4:$B$745=SelectedScope,N('RAW_DISTRICT'!$F$4:$F$745),0)),0.8)</f>
        <v>0</v>
      </c>
    </row>
  </sheetData>
  <mergeCells count="5">
    <mergeCell ref="A19:I19"/>
    <mergeCell ref="A2:I2"/>
    <mergeCell ref="A1:I1"/>
    <mergeCell ref="A3:I3"/>
    <mergeCell ref="A4:I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6"/>
  <sheetViews>
    <sheetView showGridLines="0" workbookViewId="0">
      <selection sqref="A1:J1"/>
    </sheetView>
  </sheetViews>
  <sheetFormatPr defaultRowHeight="14.4" x14ac:dyDescent="0.3"/>
  <cols>
    <col min="1" max="1" width="4" customWidth="1"/>
    <col min="2" max="2" width="28" customWidth="1"/>
    <col min="3" max="3" width="14" customWidth="1"/>
    <col min="4" max="9" width="13" customWidth="1"/>
    <col min="10" max="10" width="22" customWidth="1"/>
  </cols>
  <sheetData>
    <row r="1" spans="1:10" ht="28.05" customHeight="1" x14ac:dyDescent="0.3">
      <c r="A1" s="32" t="s">
        <v>132</v>
      </c>
      <c r="B1" s="33"/>
      <c r="C1" s="33"/>
      <c r="D1" s="33"/>
      <c r="E1" s="33"/>
      <c r="F1" s="33"/>
      <c r="G1" s="33"/>
      <c r="H1" s="33"/>
      <c r="I1" s="33"/>
      <c r="J1" s="33"/>
    </row>
    <row r="2" spans="1:10" ht="18" customHeight="1" x14ac:dyDescent="0.3">
      <c r="A2" s="38" t="str">
        <f>IF(SelectedScope="All India","NATIONAL VIEW — ALL INDIA","STATE VIEW — "&amp;SelectedScope)</f>
        <v>NATIONAL VIEW — ALL INDIA</v>
      </c>
      <c r="B2" s="33"/>
      <c r="C2" s="33"/>
      <c r="D2" s="33"/>
      <c r="E2" s="33"/>
      <c r="F2" s="33"/>
      <c r="G2" s="33"/>
      <c r="H2" s="33"/>
      <c r="I2" s="33"/>
      <c r="J2" s="33"/>
    </row>
    <row r="3" spans="1:10" ht="16.05" customHeight="1" x14ac:dyDescent="0.3">
      <c r="A3" s="39" t="s">
        <v>133</v>
      </c>
      <c r="B3" s="33"/>
      <c r="C3" s="33"/>
      <c r="D3" s="33"/>
      <c r="E3" s="33"/>
      <c r="F3" s="33"/>
      <c r="G3" s="33"/>
      <c r="H3" s="33"/>
      <c r="I3" s="33"/>
      <c r="J3" s="33"/>
    </row>
    <row r="4" spans="1:10" ht="19.95" customHeight="1" x14ac:dyDescent="0.3">
      <c r="A4" s="37" t="s">
        <v>134</v>
      </c>
      <c r="B4" s="33"/>
      <c r="C4" s="33"/>
      <c r="D4" s="33"/>
      <c r="E4" s="33"/>
      <c r="F4" s="33"/>
      <c r="G4" s="33"/>
      <c r="H4" s="33"/>
      <c r="I4" s="33"/>
      <c r="J4" s="33"/>
    </row>
    <row r="5" spans="1:10" ht="31.95" customHeight="1" x14ac:dyDescent="0.3">
      <c r="A5" s="15" t="s">
        <v>78</v>
      </c>
      <c r="B5" s="15" t="s">
        <v>135</v>
      </c>
      <c r="C5" s="15" t="s">
        <v>136</v>
      </c>
      <c r="D5" s="15" t="s">
        <v>137</v>
      </c>
      <c r="E5" s="15" t="s">
        <v>138</v>
      </c>
      <c r="F5" s="15" t="s">
        <v>139</v>
      </c>
      <c r="G5" s="15" t="s">
        <v>140</v>
      </c>
      <c r="H5" s="15" t="s">
        <v>141</v>
      </c>
      <c r="I5" s="15" t="s">
        <v>72</v>
      </c>
      <c r="J5" s="15" t="s">
        <v>86</v>
      </c>
    </row>
    <row r="6" spans="1:10" ht="16.05" customHeight="1" x14ac:dyDescent="0.3">
      <c r="A6" s="16">
        <v>1</v>
      </c>
      <c r="B6" s="16" t="s">
        <v>142</v>
      </c>
      <c r="C6" s="12">
        <f>SUMPRODUCT((IF(SelectedScope="All India",1,'RAW_AR_CONTENT'!$B$4:$B$543=SelectedScope))*('RAW_AR_CONTENT'!$C$4:$C$543=$B6))</f>
        <v>36</v>
      </c>
      <c r="D6" s="20">
        <f>IFERROR(SUMPRODUCT((IF(SelectedScope="All India",1,'RAW_AR_CONTENT'!$B$4:$B$543=SelectedScope))*('RAW_AR_CONTENT'!$C$4:$C$543=$B6)*'RAW_AR_CONTENT'!$P$4:$P$543)/SUMPRODUCT((IF(SelectedScope="All India",1,'RAW_AR_CONTENT'!$B$4:$B$543=SelectedScope))*('RAW_AR_CONTENT'!$C$4:$C$543=$B6)),"")</f>
        <v>0</v>
      </c>
      <c r="E6" s="20">
        <f>IFERROR(SUMPRODUCT((IF(SelectedScope="All India",1,'RAW_AR_CONTENT'!$B$4:$B$543=SelectedScope))*('RAW_AR_CONTENT'!$C$4:$C$543=$B6)*'RAW_AR_CONTENT'!$Q$4:$Q$543)/SUMPRODUCT((IF(SelectedScope="All India",1,'RAW_AR_CONTENT'!$B$4:$B$543=SelectedScope))*('RAW_AR_CONTENT'!$C$4:$C$543=$B6)),"")</f>
        <v>0</v>
      </c>
      <c r="F6" s="12">
        <f t="shared" ref="F6:F18" si="0">IFERROR(E6-D6,"")</f>
        <v>0</v>
      </c>
      <c r="G6" s="20" t="str">
        <f>IFERROR((SUMPRODUCT((IF(SelectedScope="All India",1,'RAW_AR_CONTENT'!$B$4:$B$543=SelectedScope))*('RAW_AR_CONTENT'!$C$4:$C$543=$B6)*'RAW_AR_CONTENT'!$N$4:$N$543*'RAW_AR_CONTENT'!$K$4:$K$543))/(SUMPRODUCT((IF(SelectedScope="All India",1,'RAW_AR_CONTENT'!$B$4:$B$543=SelectedScope))*('RAW_AR_CONTENT'!$C$4:$C$543=$B6)*'RAW_AR_CONTENT'!$K$4:$K$543)),"")</f>
        <v/>
      </c>
      <c r="H6" s="12">
        <f>SUMPRODUCT((IF(SelectedScope="All India",1,'RAW_QUIZ'!$B$4:$B$363=SelectedScope))*('RAW_QUIZ'!$C$4:$C$363=$B6))</f>
        <v>36</v>
      </c>
      <c r="I6" s="20" t="str">
        <f>IFERROR((SUMPRODUCT((IF(SelectedScope="All India",1,'RAW_QUIZ'!$B$4:$B$363=SelectedScope))*('RAW_QUIZ'!$C$4:$C$363=$B6)*'RAW_QUIZ'!$L$4:$L$363))/(SUMPRODUCT((IF(SelectedScope="All India",1,'RAW_QUIZ'!$B$4:$B$363=SelectedScope))*('RAW_QUIZ'!$C$4:$C$363=$B6)*'RAW_QUIZ'!$K$4:$K$363)),"")</f>
        <v/>
      </c>
      <c r="J6" s="16"/>
    </row>
    <row r="7" spans="1:10" ht="16.05" customHeight="1" x14ac:dyDescent="0.3">
      <c r="A7" s="18">
        <v>2</v>
      </c>
      <c r="B7" s="18" t="s">
        <v>143</v>
      </c>
      <c r="C7" s="9">
        <f>SUMPRODUCT((IF(SelectedScope="All India",1,'RAW_AR_CONTENT'!$B$4:$B$543=SelectedScope))*('RAW_AR_CONTENT'!$C$4:$C$543=$B7))</f>
        <v>108</v>
      </c>
      <c r="D7" s="21">
        <f>IFERROR(SUMPRODUCT((IF(SelectedScope="All India",1,'RAW_AR_CONTENT'!$B$4:$B$543=SelectedScope))*('RAW_AR_CONTENT'!$C$4:$C$543=$B7)*'RAW_AR_CONTENT'!$P$4:$P$543)/SUMPRODUCT((IF(SelectedScope="All India",1,'RAW_AR_CONTENT'!$B$4:$B$543=SelectedScope))*('RAW_AR_CONTENT'!$C$4:$C$543=$B7)),"")</f>
        <v>0</v>
      </c>
      <c r="E7" s="21">
        <f>IFERROR(SUMPRODUCT((IF(SelectedScope="All India",1,'RAW_AR_CONTENT'!$B$4:$B$543=SelectedScope))*('RAW_AR_CONTENT'!$C$4:$C$543=$B7)*'RAW_AR_CONTENT'!$Q$4:$Q$543)/SUMPRODUCT((IF(SelectedScope="All India",1,'RAW_AR_CONTENT'!$B$4:$B$543=SelectedScope))*('RAW_AR_CONTENT'!$C$4:$C$543=$B7)),"")</f>
        <v>0</v>
      </c>
      <c r="F7" s="9">
        <f t="shared" si="0"/>
        <v>0</v>
      </c>
      <c r="G7" s="21" t="str">
        <f>IFERROR((SUMPRODUCT((IF(SelectedScope="All India",1,'RAW_AR_CONTENT'!$B$4:$B$543=SelectedScope))*('RAW_AR_CONTENT'!$C$4:$C$543=$B7)*'RAW_AR_CONTENT'!$N$4:$N$543*'RAW_AR_CONTENT'!$K$4:$K$543))/(SUMPRODUCT((IF(SelectedScope="All India",1,'RAW_AR_CONTENT'!$B$4:$B$543=SelectedScope))*('RAW_AR_CONTENT'!$C$4:$C$543=$B7)*'RAW_AR_CONTENT'!$K$4:$K$543)),"")</f>
        <v/>
      </c>
      <c r="H7" s="9">
        <f>SUMPRODUCT((IF(SelectedScope="All India",1,'RAW_QUIZ'!$B$4:$B$363=SelectedScope))*('RAW_QUIZ'!$C$4:$C$363=$B7))</f>
        <v>108</v>
      </c>
      <c r="I7" s="21" t="str">
        <f>IFERROR((SUMPRODUCT((IF(SelectedScope="All India",1,'RAW_QUIZ'!$B$4:$B$363=SelectedScope))*('RAW_QUIZ'!$C$4:$C$363=$B7)*'RAW_QUIZ'!$L$4:$L$363))/(SUMPRODUCT((IF(SelectedScope="All India",1,'RAW_QUIZ'!$B$4:$B$363=SelectedScope))*('RAW_QUIZ'!$C$4:$C$363=$B7)*'RAW_QUIZ'!$K$4:$K$363)),"")</f>
        <v/>
      </c>
      <c r="J7" s="18"/>
    </row>
    <row r="8" spans="1:10" ht="16.05" customHeight="1" x14ac:dyDescent="0.3">
      <c r="A8" s="16">
        <v>3</v>
      </c>
      <c r="B8" s="16" t="s">
        <v>144</v>
      </c>
      <c r="C8" s="12">
        <f>SUMPRODUCT((IF(SelectedScope="All India",1,'RAW_AR_CONTENT'!$B$4:$B$543=SelectedScope))*('RAW_AR_CONTENT'!$C$4:$C$543=$B8))</f>
        <v>36</v>
      </c>
      <c r="D8" s="20">
        <f>IFERROR(SUMPRODUCT((IF(SelectedScope="All India",1,'RAW_AR_CONTENT'!$B$4:$B$543=SelectedScope))*('RAW_AR_CONTENT'!$C$4:$C$543=$B8)*'RAW_AR_CONTENT'!$P$4:$P$543)/SUMPRODUCT((IF(SelectedScope="All India",1,'RAW_AR_CONTENT'!$B$4:$B$543=SelectedScope))*('RAW_AR_CONTENT'!$C$4:$C$543=$B8)),"")</f>
        <v>0</v>
      </c>
      <c r="E8" s="20">
        <f>IFERROR(SUMPRODUCT((IF(SelectedScope="All India",1,'RAW_AR_CONTENT'!$B$4:$B$543=SelectedScope))*('RAW_AR_CONTENT'!$C$4:$C$543=$B8)*'RAW_AR_CONTENT'!$Q$4:$Q$543)/SUMPRODUCT((IF(SelectedScope="All India",1,'RAW_AR_CONTENT'!$B$4:$B$543=SelectedScope))*('RAW_AR_CONTENT'!$C$4:$C$543=$B8)),"")</f>
        <v>0</v>
      </c>
      <c r="F8" s="12">
        <f t="shared" si="0"/>
        <v>0</v>
      </c>
      <c r="G8" s="20" t="str">
        <f>IFERROR((SUMPRODUCT((IF(SelectedScope="All India",1,'RAW_AR_CONTENT'!$B$4:$B$543=SelectedScope))*('RAW_AR_CONTENT'!$C$4:$C$543=$B8)*'RAW_AR_CONTENT'!$N$4:$N$543*'RAW_AR_CONTENT'!$K$4:$K$543))/(SUMPRODUCT((IF(SelectedScope="All India",1,'RAW_AR_CONTENT'!$B$4:$B$543=SelectedScope))*('RAW_AR_CONTENT'!$C$4:$C$543=$B8)*'RAW_AR_CONTENT'!$K$4:$K$543)),"")</f>
        <v/>
      </c>
      <c r="H8" s="12">
        <f>SUMPRODUCT((IF(SelectedScope="All India",1,'RAW_QUIZ'!$B$4:$B$363=SelectedScope))*('RAW_QUIZ'!$C$4:$C$363=$B8))</f>
        <v>36</v>
      </c>
      <c r="I8" s="20" t="str">
        <f>IFERROR((SUMPRODUCT((IF(SelectedScope="All India",1,'RAW_QUIZ'!$B$4:$B$363=SelectedScope))*('RAW_QUIZ'!$C$4:$C$363=$B8)*'RAW_QUIZ'!$L$4:$L$363))/(SUMPRODUCT((IF(SelectedScope="All India",1,'RAW_QUIZ'!$B$4:$B$363=SelectedScope))*('RAW_QUIZ'!$C$4:$C$363=$B8)*'RAW_QUIZ'!$K$4:$K$363)),"")</f>
        <v/>
      </c>
      <c r="J8" s="16"/>
    </row>
    <row r="9" spans="1:10" ht="16.05" customHeight="1" x14ac:dyDescent="0.3">
      <c r="A9" s="18">
        <v>4</v>
      </c>
      <c r="B9" s="18" t="s">
        <v>145</v>
      </c>
      <c r="C9" s="9">
        <f>SUMPRODUCT((IF(SelectedScope="All India",1,'RAW_AR_CONTENT'!$B$4:$B$543=SelectedScope))*('RAW_AR_CONTENT'!$C$4:$C$543=$B9))</f>
        <v>36</v>
      </c>
      <c r="D9" s="21">
        <f>IFERROR(SUMPRODUCT((IF(SelectedScope="All India",1,'RAW_AR_CONTENT'!$B$4:$B$543=SelectedScope))*('RAW_AR_CONTENT'!$C$4:$C$543=$B9)*'RAW_AR_CONTENT'!$P$4:$P$543)/SUMPRODUCT((IF(SelectedScope="All India",1,'RAW_AR_CONTENT'!$B$4:$B$543=SelectedScope))*('RAW_AR_CONTENT'!$C$4:$C$543=$B9)),"")</f>
        <v>0</v>
      </c>
      <c r="E9" s="21">
        <f>IFERROR(SUMPRODUCT((IF(SelectedScope="All India",1,'RAW_AR_CONTENT'!$B$4:$B$543=SelectedScope))*('RAW_AR_CONTENT'!$C$4:$C$543=$B9)*'RAW_AR_CONTENT'!$Q$4:$Q$543)/SUMPRODUCT((IF(SelectedScope="All India",1,'RAW_AR_CONTENT'!$B$4:$B$543=SelectedScope))*('RAW_AR_CONTENT'!$C$4:$C$543=$B9)),"")</f>
        <v>0</v>
      </c>
      <c r="F9" s="9">
        <f t="shared" si="0"/>
        <v>0</v>
      </c>
      <c r="G9" s="21" t="str">
        <f>IFERROR((SUMPRODUCT((IF(SelectedScope="All India",1,'RAW_AR_CONTENT'!$B$4:$B$543=SelectedScope))*('RAW_AR_CONTENT'!$C$4:$C$543=$B9)*'RAW_AR_CONTENT'!$N$4:$N$543*'RAW_AR_CONTENT'!$K$4:$K$543))/(SUMPRODUCT((IF(SelectedScope="All India",1,'RAW_AR_CONTENT'!$B$4:$B$543=SelectedScope))*('RAW_AR_CONTENT'!$C$4:$C$543=$B9)*'RAW_AR_CONTENT'!$K$4:$K$543)),"")</f>
        <v/>
      </c>
      <c r="H9" s="9">
        <f>SUMPRODUCT((IF(SelectedScope="All India",1,'RAW_QUIZ'!$B$4:$B$363=SelectedScope))*('RAW_QUIZ'!$C$4:$C$363=$B9))</f>
        <v>0</v>
      </c>
      <c r="I9" s="21" t="str">
        <f>IFERROR((SUMPRODUCT((IF(SelectedScope="All India",1,'RAW_QUIZ'!$B$4:$B$363=SelectedScope))*('RAW_QUIZ'!$C$4:$C$363=$B9)*'RAW_QUIZ'!$L$4:$L$363))/(SUMPRODUCT((IF(SelectedScope="All India",1,'RAW_QUIZ'!$B$4:$B$363=SelectedScope))*('RAW_QUIZ'!$C$4:$C$363=$B9)*'RAW_QUIZ'!$K$4:$K$363)),"")</f>
        <v/>
      </c>
      <c r="J9" s="18"/>
    </row>
    <row r="10" spans="1:10" ht="16.05" customHeight="1" x14ac:dyDescent="0.3">
      <c r="A10" s="16">
        <v>5</v>
      </c>
      <c r="B10" s="16" t="s">
        <v>146</v>
      </c>
      <c r="C10" s="12">
        <f>SUMPRODUCT((IF(SelectedScope="All India",1,'RAW_AR_CONTENT'!$B$4:$B$543=SelectedScope))*('RAW_AR_CONTENT'!$C$4:$C$543=$B10))</f>
        <v>108</v>
      </c>
      <c r="D10" s="20">
        <f>IFERROR(SUMPRODUCT((IF(SelectedScope="All India",1,'RAW_AR_CONTENT'!$B$4:$B$543=SelectedScope))*('RAW_AR_CONTENT'!$C$4:$C$543=$B10)*'RAW_AR_CONTENT'!$P$4:$P$543)/SUMPRODUCT((IF(SelectedScope="All India",1,'RAW_AR_CONTENT'!$B$4:$B$543=SelectedScope))*('RAW_AR_CONTENT'!$C$4:$C$543=$B10)),"")</f>
        <v>0</v>
      </c>
      <c r="E10" s="20">
        <f>IFERROR(SUMPRODUCT((IF(SelectedScope="All India",1,'RAW_AR_CONTENT'!$B$4:$B$543=SelectedScope))*('RAW_AR_CONTENT'!$C$4:$C$543=$B10)*'RAW_AR_CONTENT'!$Q$4:$Q$543)/SUMPRODUCT((IF(SelectedScope="All India",1,'RAW_AR_CONTENT'!$B$4:$B$543=SelectedScope))*('RAW_AR_CONTENT'!$C$4:$C$543=$B10)),"")</f>
        <v>0</v>
      </c>
      <c r="F10" s="12">
        <f t="shared" si="0"/>
        <v>0</v>
      </c>
      <c r="G10" s="20" t="str">
        <f>IFERROR((SUMPRODUCT((IF(SelectedScope="All India",1,'RAW_AR_CONTENT'!$B$4:$B$543=SelectedScope))*('RAW_AR_CONTENT'!$C$4:$C$543=$B10)*'RAW_AR_CONTENT'!$N$4:$N$543*'RAW_AR_CONTENT'!$K$4:$K$543))/(SUMPRODUCT((IF(SelectedScope="All India",1,'RAW_AR_CONTENT'!$B$4:$B$543=SelectedScope))*('RAW_AR_CONTENT'!$C$4:$C$543=$B10)*'RAW_AR_CONTENT'!$K$4:$K$543)),"")</f>
        <v/>
      </c>
      <c r="H10" s="12">
        <f>SUMPRODUCT((IF(SelectedScope="All India",1,'RAW_QUIZ'!$B$4:$B$363=SelectedScope))*('RAW_QUIZ'!$C$4:$C$363=$B10))</f>
        <v>36</v>
      </c>
      <c r="I10" s="20" t="str">
        <f>IFERROR((SUMPRODUCT((IF(SelectedScope="All India",1,'RAW_QUIZ'!$B$4:$B$363=SelectedScope))*('RAW_QUIZ'!$C$4:$C$363=$B10)*'RAW_QUIZ'!$L$4:$L$363))/(SUMPRODUCT((IF(SelectedScope="All India",1,'RAW_QUIZ'!$B$4:$B$363=SelectedScope))*('RAW_QUIZ'!$C$4:$C$363=$B10)*'RAW_QUIZ'!$K$4:$K$363)),"")</f>
        <v/>
      </c>
      <c r="J10" s="16"/>
    </row>
    <row r="11" spans="1:10" ht="16.05" customHeight="1" x14ac:dyDescent="0.3">
      <c r="A11" s="18">
        <v>6</v>
      </c>
      <c r="B11" s="18" t="s">
        <v>147</v>
      </c>
      <c r="C11" s="9">
        <f>SUMPRODUCT((IF(SelectedScope="All India",1,'RAW_AR_CONTENT'!$B$4:$B$543=SelectedScope))*('RAW_AR_CONTENT'!$C$4:$C$543=$B11))</f>
        <v>72</v>
      </c>
      <c r="D11" s="21">
        <f>IFERROR(SUMPRODUCT((IF(SelectedScope="All India",1,'RAW_AR_CONTENT'!$B$4:$B$543=SelectedScope))*('RAW_AR_CONTENT'!$C$4:$C$543=$B11)*'RAW_AR_CONTENT'!$P$4:$P$543)/SUMPRODUCT((IF(SelectedScope="All India",1,'RAW_AR_CONTENT'!$B$4:$B$543=SelectedScope))*('RAW_AR_CONTENT'!$C$4:$C$543=$B11)),"")</f>
        <v>0</v>
      </c>
      <c r="E11" s="21">
        <f>IFERROR(SUMPRODUCT((IF(SelectedScope="All India",1,'RAW_AR_CONTENT'!$B$4:$B$543=SelectedScope))*('RAW_AR_CONTENT'!$C$4:$C$543=$B11)*'RAW_AR_CONTENT'!$Q$4:$Q$543)/SUMPRODUCT((IF(SelectedScope="All India",1,'RAW_AR_CONTENT'!$B$4:$B$543=SelectedScope))*('RAW_AR_CONTENT'!$C$4:$C$543=$B11)),"")</f>
        <v>0</v>
      </c>
      <c r="F11" s="9">
        <f t="shared" si="0"/>
        <v>0</v>
      </c>
      <c r="G11" s="21" t="str">
        <f>IFERROR((SUMPRODUCT((IF(SelectedScope="All India",1,'RAW_AR_CONTENT'!$B$4:$B$543=SelectedScope))*('RAW_AR_CONTENT'!$C$4:$C$543=$B11)*'RAW_AR_CONTENT'!$N$4:$N$543*'RAW_AR_CONTENT'!$K$4:$K$543))/(SUMPRODUCT((IF(SelectedScope="All India",1,'RAW_AR_CONTENT'!$B$4:$B$543=SelectedScope))*('RAW_AR_CONTENT'!$C$4:$C$543=$B11)*'RAW_AR_CONTENT'!$K$4:$K$543)),"")</f>
        <v/>
      </c>
      <c r="H11" s="9">
        <f>SUMPRODUCT((IF(SelectedScope="All India",1,'RAW_QUIZ'!$B$4:$B$363=SelectedScope))*('RAW_QUIZ'!$C$4:$C$363=$B11))</f>
        <v>36</v>
      </c>
      <c r="I11" s="21" t="str">
        <f>IFERROR((SUMPRODUCT((IF(SelectedScope="All India",1,'RAW_QUIZ'!$B$4:$B$363=SelectedScope))*('RAW_QUIZ'!$C$4:$C$363=$B11)*'RAW_QUIZ'!$L$4:$L$363))/(SUMPRODUCT((IF(SelectedScope="All India",1,'RAW_QUIZ'!$B$4:$B$363=SelectedScope))*('RAW_QUIZ'!$C$4:$C$363=$B11)*'RAW_QUIZ'!$K$4:$K$363)),"")</f>
        <v/>
      </c>
      <c r="J11" s="18"/>
    </row>
    <row r="12" spans="1:10" ht="16.05" customHeight="1" x14ac:dyDescent="0.3">
      <c r="A12" s="16">
        <v>7</v>
      </c>
      <c r="B12" s="16" t="s">
        <v>148</v>
      </c>
      <c r="C12" s="12">
        <f>SUMPRODUCT((IF(SelectedScope="All India",1,'RAW_AR_CONTENT'!$B$4:$B$543=SelectedScope))*('RAW_AR_CONTENT'!$C$4:$C$543=$B12))</f>
        <v>72</v>
      </c>
      <c r="D12" s="20">
        <f>IFERROR(SUMPRODUCT((IF(SelectedScope="All India",1,'RAW_AR_CONTENT'!$B$4:$B$543=SelectedScope))*('RAW_AR_CONTENT'!$C$4:$C$543=$B12)*'RAW_AR_CONTENT'!$P$4:$P$543)/SUMPRODUCT((IF(SelectedScope="All India",1,'RAW_AR_CONTENT'!$B$4:$B$543=SelectedScope))*('RAW_AR_CONTENT'!$C$4:$C$543=$B12)),"")</f>
        <v>0</v>
      </c>
      <c r="E12" s="20">
        <f>IFERROR(SUMPRODUCT((IF(SelectedScope="All India",1,'RAW_AR_CONTENT'!$B$4:$B$543=SelectedScope))*('RAW_AR_CONTENT'!$C$4:$C$543=$B12)*'RAW_AR_CONTENT'!$Q$4:$Q$543)/SUMPRODUCT((IF(SelectedScope="All India",1,'RAW_AR_CONTENT'!$B$4:$B$543=SelectedScope))*('RAW_AR_CONTENT'!$C$4:$C$543=$B12)),"")</f>
        <v>0</v>
      </c>
      <c r="F12" s="12">
        <f t="shared" si="0"/>
        <v>0</v>
      </c>
      <c r="G12" s="20" t="str">
        <f>IFERROR((SUMPRODUCT((IF(SelectedScope="All India",1,'RAW_AR_CONTENT'!$B$4:$B$543=SelectedScope))*('RAW_AR_CONTENT'!$C$4:$C$543=$B12)*'RAW_AR_CONTENT'!$N$4:$N$543*'RAW_AR_CONTENT'!$K$4:$K$543))/(SUMPRODUCT((IF(SelectedScope="All India",1,'RAW_AR_CONTENT'!$B$4:$B$543=SelectedScope))*('RAW_AR_CONTENT'!$C$4:$C$543=$B12)*'RAW_AR_CONTENT'!$K$4:$K$543)),"")</f>
        <v/>
      </c>
      <c r="H12" s="12">
        <f>SUMPRODUCT((IF(SelectedScope="All India",1,'RAW_QUIZ'!$B$4:$B$363=SelectedScope))*('RAW_QUIZ'!$C$4:$C$363=$B12))</f>
        <v>72</v>
      </c>
      <c r="I12" s="20" t="str">
        <f>IFERROR((SUMPRODUCT((IF(SelectedScope="All India",1,'RAW_QUIZ'!$B$4:$B$363=SelectedScope))*('RAW_QUIZ'!$C$4:$C$363=$B12)*'RAW_QUIZ'!$L$4:$L$363))/(SUMPRODUCT((IF(SelectedScope="All India",1,'RAW_QUIZ'!$B$4:$B$363=SelectedScope))*('RAW_QUIZ'!$C$4:$C$363=$B12)*'RAW_QUIZ'!$K$4:$K$363)),"")</f>
        <v/>
      </c>
      <c r="J12" s="16"/>
    </row>
    <row r="13" spans="1:10" ht="16.05" customHeight="1" x14ac:dyDescent="0.3">
      <c r="A13" s="18">
        <v>8</v>
      </c>
      <c r="B13" s="18" t="s">
        <v>149</v>
      </c>
      <c r="C13" s="9">
        <f>SUMPRODUCT((IF(SelectedScope="All India",1,'RAW_AR_CONTENT'!$B$4:$B$543=SelectedScope))*('RAW_AR_CONTENT'!$C$4:$C$543=$B13))</f>
        <v>0</v>
      </c>
      <c r="D13" s="21" t="str">
        <f>IFERROR(SUMPRODUCT((IF(SelectedScope="All India",1,'RAW_AR_CONTENT'!$B$4:$B$543=SelectedScope))*('RAW_AR_CONTENT'!$C$4:$C$543=$B13)*'RAW_AR_CONTENT'!$P$4:$P$543)/SUMPRODUCT((IF(SelectedScope="All India",1,'RAW_AR_CONTENT'!$B$4:$B$543=SelectedScope))*('RAW_AR_CONTENT'!$C$4:$C$543=$B13)),"")</f>
        <v/>
      </c>
      <c r="E13" s="21" t="str">
        <f>IFERROR(SUMPRODUCT((IF(SelectedScope="All India",1,'RAW_AR_CONTENT'!$B$4:$B$543=SelectedScope))*('RAW_AR_CONTENT'!$C$4:$C$543=$B13)*'RAW_AR_CONTENT'!$Q$4:$Q$543)/SUMPRODUCT((IF(SelectedScope="All India",1,'RAW_AR_CONTENT'!$B$4:$B$543=SelectedScope))*('RAW_AR_CONTENT'!$C$4:$C$543=$B13)),"")</f>
        <v/>
      </c>
      <c r="F13" s="9" t="str">
        <f t="shared" si="0"/>
        <v/>
      </c>
      <c r="G13" s="21" t="str">
        <f>IFERROR((SUMPRODUCT((IF(SelectedScope="All India",1,'RAW_AR_CONTENT'!$B$4:$B$543=SelectedScope))*('RAW_AR_CONTENT'!$C$4:$C$543=$B13)*'RAW_AR_CONTENT'!$N$4:$N$543*'RAW_AR_CONTENT'!$K$4:$K$543))/(SUMPRODUCT((IF(SelectedScope="All India",1,'RAW_AR_CONTENT'!$B$4:$B$543=SelectedScope))*('RAW_AR_CONTENT'!$C$4:$C$543=$B13)*'RAW_AR_CONTENT'!$K$4:$K$543)),"")</f>
        <v/>
      </c>
      <c r="H13" s="9">
        <f>SUMPRODUCT((IF(SelectedScope="All India",1,'RAW_QUIZ'!$B$4:$B$363=SelectedScope))*('RAW_QUIZ'!$C$4:$C$363=$B13))</f>
        <v>0</v>
      </c>
      <c r="I13" s="21" t="str">
        <f>IFERROR((SUMPRODUCT((IF(SelectedScope="All India",1,'RAW_QUIZ'!$B$4:$B$363=SelectedScope))*('RAW_QUIZ'!$C$4:$C$363=$B13)*'RAW_QUIZ'!$L$4:$L$363))/(SUMPRODUCT((IF(SelectedScope="All India",1,'RAW_QUIZ'!$B$4:$B$363=SelectedScope))*('RAW_QUIZ'!$C$4:$C$363=$B13)*'RAW_QUIZ'!$K$4:$K$363)),"")</f>
        <v/>
      </c>
      <c r="J13" s="18"/>
    </row>
    <row r="14" spans="1:10" ht="16.05" customHeight="1" x14ac:dyDescent="0.3">
      <c r="A14" s="16">
        <v>9</v>
      </c>
      <c r="B14" s="16" t="s">
        <v>150</v>
      </c>
      <c r="C14" s="12">
        <f>SUMPRODUCT((IF(SelectedScope="All India",1,'RAW_AR_CONTENT'!$B$4:$B$543=SelectedScope))*('RAW_AR_CONTENT'!$C$4:$C$543=$B14))</f>
        <v>0</v>
      </c>
      <c r="D14" s="20" t="str">
        <f>IFERROR(SUMPRODUCT((IF(SelectedScope="All India",1,'RAW_AR_CONTENT'!$B$4:$B$543=SelectedScope))*('RAW_AR_CONTENT'!$C$4:$C$543=$B14)*'RAW_AR_CONTENT'!$P$4:$P$543)/SUMPRODUCT((IF(SelectedScope="All India",1,'RAW_AR_CONTENT'!$B$4:$B$543=SelectedScope))*('RAW_AR_CONTENT'!$C$4:$C$543=$B14)),"")</f>
        <v/>
      </c>
      <c r="E14" s="20" t="str">
        <f>IFERROR(SUMPRODUCT((IF(SelectedScope="All India",1,'RAW_AR_CONTENT'!$B$4:$B$543=SelectedScope))*('RAW_AR_CONTENT'!$C$4:$C$543=$B14)*'RAW_AR_CONTENT'!$Q$4:$Q$543)/SUMPRODUCT((IF(SelectedScope="All India",1,'RAW_AR_CONTENT'!$B$4:$B$543=SelectedScope))*('RAW_AR_CONTENT'!$C$4:$C$543=$B14)),"")</f>
        <v/>
      </c>
      <c r="F14" s="12" t="str">
        <f t="shared" si="0"/>
        <v/>
      </c>
      <c r="G14" s="20" t="str">
        <f>IFERROR((SUMPRODUCT((IF(SelectedScope="All India",1,'RAW_AR_CONTENT'!$B$4:$B$543=SelectedScope))*('RAW_AR_CONTENT'!$C$4:$C$543=$B14)*'RAW_AR_CONTENT'!$N$4:$N$543*'RAW_AR_CONTENT'!$K$4:$K$543))/(SUMPRODUCT((IF(SelectedScope="All India",1,'RAW_AR_CONTENT'!$B$4:$B$543=SelectedScope))*('RAW_AR_CONTENT'!$C$4:$C$543=$B14)*'RAW_AR_CONTENT'!$K$4:$K$543)),"")</f>
        <v/>
      </c>
      <c r="H14" s="12">
        <f>SUMPRODUCT((IF(SelectedScope="All India",1,'RAW_QUIZ'!$B$4:$B$363=SelectedScope))*('RAW_QUIZ'!$C$4:$C$363=$B14))</f>
        <v>0</v>
      </c>
      <c r="I14" s="20" t="str">
        <f>IFERROR((SUMPRODUCT((IF(SelectedScope="All India",1,'RAW_QUIZ'!$B$4:$B$363=SelectedScope))*('RAW_QUIZ'!$C$4:$C$363=$B14)*'RAW_QUIZ'!$L$4:$L$363))/(SUMPRODUCT((IF(SelectedScope="All India",1,'RAW_QUIZ'!$B$4:$B$363=SelectedScope))*('RAW_QUIZ'!$C$4:$C$363=$B14)*'RAW_QUIZ'!$K$4:$K$363)),"")</f>
        <v/>
      </c>
      <c r="J14" s="16"/>
    </row>
    <row r="15" spans="1:10" ht="16.05" customHeight="1" x14ac:dyDescent="0.3">
      <c r="A15" s="18">
        <v>10</v>
      </c>
      <c r="B15" s="18" t="s">
        <v>151</v>
      </c>
      <c r="C15" s="9">
        <f>SUMPRODUCT((IF(SelectedScope="All India",1,'RAW_AR_CONTENT'!$B$4:$B$543=SelectedScope))*('RAW_AR_CONTENT'!$C$4:$C$543=$B15))</f>
        <v>36</v>
      </c>
      <c r="D15" s="21">
        <f>IFERROR(SUMPRODUCT((IF(SelectedScope="All India",1,'RAW_AR_CONTENT'!$B$4:$B$543=SelectedScope))*('RAW_AR_CONTENT'!$C$4:$C$543=$B15)*'RAW_AR_CONTENT'!$P$4:$P$543)/SUMPRODUCT((IF(SelectedScope="All India",1,'RAW_AR_CONTENT'!$B$4:$B$543=SelectedScope))*('RAW_AR_CONTENT'!$C$4:$C$543=$B15)),"")</f>
        <v>0</v>
      </c>
      <c r="E15" s="21">
        <f>IFERROR(SUMPRODUCT((IF(SelectedScope="All India",1,'RAW_AR_CONTENT'!$B$4:$B$543=SelectedScope))*('RAW_AR_CONTENT'!$C$4:$C$543=$B15)*'RAW_AR_CONTENT'!$Q$4:$Q$543)/SUMPRODUCT((IF(SelectedScope="All India",1,'RAW_AR_CONTENT'!$B$4:$B$543=SelectedScope))*('RAW_AR_CONTENT'!$C$4:$C$543=$B15)),"")</f>
        <v>0</v>
      </c>
      <c r="F15" s="9">
        <f t="shared" si="0"/>
        <v>0</v>
      </c>
      <c r="G15" s="21" t="str">
        <f>IFERROR((SUMPRODUCT((IF(SelectedScope="All India",1,'RAW_AR_CONTENT'!$B$4:$B$543=SelectedScope))*('RAW_AR_CONTENT'!$C$4:$C$543=$B15)*'RAW_AR_CONTENT'!$N$4:$N$543*'RAW_AR_CONTENT'!$K$4:$K$543))/(SUMPRODUCT((IF(SelectedScope="All India",1,'RAW_AR_CONTENT'!$B$4:$B$543=SelectedScope))*('RAW_AR_CONTENT'!$C$4:$C$543=$B15)*'RAW_AR_CONTENT'!$K$4:$K$543)),"")</f>
        <v/>
      </c>
      <c r="H15" s="9">
        <f>SUMPRODUCT((IF(SelectedScope="All India",1,'RAW_QUIZ'!$B$4:$B$363=SelectedScope))*('RAW_QUIZ'!$C$4:$C$363=$B15))</f>
        <v>0</v>
      </c>
      <c r="I15" s="21" t="str">
        <f>IFERROR((SUMPRODUCT((IF(SelectedScope="All India",1,'RAW_QUIZ'!$B$4:$B$363=SelectedScope))*('RAW_QUIZ'!$C$4:$C$363=$B15)*'RAW_QUIZ'!$L$4:$L$363))/(SUMPRODUCT((IF(SelectedScope="All India",1,'RAW_QUIZ'!$B$4:$B$363=SelectedScope))*('RAW_QUIZ'!$C$4:$C$363=$B15)*'RAW_QUIZ'!$K$4:$K$363)),"")</f>
        <v/>
      </c>
      <c r="J15" s="18"/>
    </row>
    <row r="16" spans="1:10" ht="16.05" customHeight="1" x14ac:dyDescent="0.3">
      <c r="A16" s="16">
        <v>11</v>
      </c>
      <c r="B16" s="16" t="s">
        <v>152</v>
      </c>
      <c r="C16" s="12">
        <f>SUMPRODUCT((IF(SelectedScope="All India",1,'RAW_AR_CONTENT'!$B$4:$B$543=SelectedScope))*('RAW_AR_CONTENT'!$C$4:$C$543=$B16))</f>
        <v>36</v>
      </c>
      <c r="D16" s="20">
        <f>IFERROR(SUMPRODUCT((IF(SelectedScope="All India",1,'RAW_AR_CONTENT'!$B$4:$B$543=SelectedScope))*('RAW_AR_CONTENT'!$C$4:$C$543=$B16)*'RAW_AR_CONTENT'!$P$4:$P$543)/SUMPRODUCT((IF(SelectedScope="All India",1,'RAW_AR_CONTENT'!$B$4:$B$543=SelectedScope))*('RAW_AR_CONTENT'!$C$4:$C$543=$B16)),"")</f>
        <v>0</v>
      </c>
      <c r="E16" s="20">
        <f>IFERROR(SUMPRODUCT((IF(SelectedScope="All India",1,'RAW_AR_CONTENT'!$B$4:$B$543=SelectedScope))*('RAW_AR_CONTENT'!$C$4:$C$543=$B16)*'RAW_AR_CONTENT'!$Q$4:$Q$543)/SUMPRODUCT((IF(SelectedScope="All India",1,'RAW_AR_CONTENT'!$B$4:$B$543=SelectedScope))*('RAW_AR_CONTENT'!$C$4:$C$543=$B16)),"")</f>
        <v>0</v>
      </c>
      <c r="F16" s="12">
        <f t="shared" si="0"/>
        <v>0</v>
      </c>
      <c r="G16" s="20" t="str">
        <f>IFERROR((SUMPRODUCT((IF(SelectedScope="All India",1,'RAW_AR_CONTENT'!$B$4:$B$543=SelectedScope))*('RAW_AR_CONTENT'!$C$4:$C$543=$B16)*'RAW_AR_CONTENT'!$N$4:$N$543*'RAW_AR_CONTENT'!$K$4:$K$543))/(SUMPRODUCT((IF(SelectedScope="All India",1,'RAW_AR_CONTENT'!$B$4:$B$543=SelectedScope))*('RAW_AR_CONTENT'!$C$4:$C$543=$B16)*'RAW_AR_CONTENT'!$K$4:$K$543)),"")</f>
        <v/>
      </c>
      <c r="H16" s="12">
        <f>SUMPRODUCT((IF(SelectedScope="All India",1,'RAW_QUIZ'!$B$4:$B$363=SelectedScope))*('RAW_QUIZ'!$C$4:$C$363=$B16))</f>
        <v>36</v>
      </c>
      <c r="I16" s="20" t="str">
        <f>IFERROR((SUMPRODUCT((IF(SelectedScope="All India",1,'RAW_QUIZ'!$B$4:$B$363=SelectedScope))*('RAW_QUIZ'!$C$4:$C$363=$B16)*'RAW_QUIZ'!$L$4:$L$363))/(SUMPRODUCT((IF(SelectedScope="All India",1,'RAW_QUIZ'!$B$4:$B$363=SelectedScope))*('RAW_QUIZ'!$C$4:$C$363=$B16)*'RAW_QUIZ'!$K$4:$K$363)),"")</f>
        <v/>
      </c>
      <c r="J16" s="16"/>
    </row>
    <row r="17" spans="1:10" ht="16.05" customHeight="1" x14ac:dyDescent="0.3">
      <c r="A17" s="18">
        <v>12</v>
      </c>
      <c r="B17" s="18" t="s">
        <v>153</v>
      </c>
      <c r="C17" s="9">
        <f>SUMPRODUCT((IF(SelectedScope="All India",1,'RAW_AR_CONTENT'!$B$4:$B$543=SelectedScope))*('RAW_AR_CONTENT'!$C$4:$C$543=$B17))</f>
        <v>0</v>
      </c>
      <c r="D17" s="21" t="str">
        <f>IFERROR(SUMPRODUCT((IF(SelectedScope="All India",1,'RAW_AR_CONTENT'!$B$4:$B$543=SelectedScope))*('RAW_AR_CONTENT'!$C$4:$C$543=$B17)*'RAW_AR_CONTENT'!$P$4:$P$543)/SUMPRODUCT((IF(SelectedScope="All India",1,'RAW_AR_CONTENT'!$B$4:$B$543=SelectedScope))*('RAW_AR_CONTENT'!$C$4:$C$543=$B17)),"")</f>
        <v/>
      </c>
      <c r="E17" s="21" t="str">
        <f>IFERROR(SUMPRODUCT((IF(SelectedScope="All India",1,'RAW_AR_CONTENT'!$B$4:$B$543=SelectedScope))*('RAW_AR_CONTENT'!$C$4:$C$543=$B17)*'RAW_AR_CONTENT'!$Q$4:$Q$543)/SUMPRODUCT((IF(SelectedScope="All India",1,'RAW_AR_CONTENT'!$B$4:$B$543=SelectedScope))*('RAW_AR_CONTENT'!$C$4:$C$543=$B17)),"")</f>
        <v/>
      </c>
      <c r="F17" s="9" t="str">
        <f t="shared" si="0"/>
        <v/>
      </c>
      <c r="G17" s="21" t="str">
        <f>IFERROR((SUMPRODUCT((IF(SelectedScope="All India",1,'RAW_AR_CONTENT'!$B$4:$B$543=SelectedScope))*('RAW_AR_CONTENT'!$C$4:$C$543=$B17)*'RAW_AR_CONTENT'!$N$4:$N$543*'RAW_AR_CONTENT'!$K$4:$K$543))/(SUMPRODUCT((IF(SelectedScope="All India",1,'RAW_AR_CONTENT'!$B$4:$B$543=SelectedScope))*('RAW_AR_CONTENT'!$C$4:$C$543=$B17)*'RAW_AR_CONTENT'!$K$4:$K$543)),"")</f>
        <v/>
      </c>
      <c r="H17" s="9">
        <f>SUMPRODUCT((IF(SelectedScope="All India",1,'RAW_QUIZ'!$B$4:$B$363=SelectedScope))*('RAW_QUIZ'!$C$4:$C$363=$B17))</f>
        <v>0</v>
      </c>
      <c r="I17" s="21" t="str">
        <f>IFERROR((SUMPRODUCT((IF(SelectedScope="All India",1,'RAW_QUIZ'!$B$4:$B$363=SelectedScope))*('RAW_QUIZ'!$C$4:$C$363=$B17)*'RAW_QUIZ'!$L$4:$L$363))/(SUMPRODUCT((IF(SelectedScope="All India",1,'RAW_QUIZ'!$B$4:$B$363=SelectedScope))*('RAW_QUIZ'!$C$4:$C$363=$B17)*'RAW_QUIZ'!$K$4:$K$363)),"")</f>
        <v/>
      </c>
      <c r="J17" s="18"/>
    </row>
    <row r="18" spans="1:10" ht="16.05" customHeight="1" x14ac:dyDescent="0.3">
      <c r="A18" s="16">
        <v>13</v>
      </c>
      <c r="B18" s="16" t="s">
        <v>154</v>
      </c>
      <c r="C18" s="12">
        <f>SUMPRODUCT((IF(SelectedScope="All India",1,'RAW_AR_CONTENT'!$B$4:$B$543=SelectedScope))*('RAW_AR_CONTENT'!$C$4:$C$543=$B18))</f>
        <v>0</v>
      </c>
      <c r="D18" s="20" t="str">
        <f>IFERROR(SUMPRODUCT((IF(SelectedScope="All India",1,'RAW_AR_CONTENT'!$B$4:$B$543=SelectedScope))*('RAW_AR_CONTENT'!$C$4:$C$543=$B18)*'RAW_AR_CONTENT'!$P$4:$P$543)/SUMPRODUCT((IF(SelectedScope="All India",1,'RAW_AR_CONTENT'!$B$4:$B$543=SelectedScope))*('RAW_AR_CONTENT'!$C$4:$C$543=$B18)),"")</f>
        <v/>
      </c>
      <c r="E18" s="20" t="str">
        <f>IFERROR(SUMPRODUCT((IF(SelectedScope="All India",1,'RAW_AR_CONTENT'!$B$4:$B$543=SelectedScope))*('RAW_AR_CONTENT'!$C$4:$C$543=$B18)*'RAW_AR_CONTENT'!$Q$4:$Q$543)/SUMPRODUCT((IF(SelectedScope="All India",1,'RAW_AR_CONTENT'!$B$4:$B$543=SelectedScope))*('RAW_AR_CONTENT'!$C$4:$C$543=$B18)),"")</f>
        <v/>
      </c>
      <c r="F18" s="12" t="str">
        <f t="shared" si="0"/>
        <v/>
      </c>
      <c r="G18" s="20" t="str">
        <f>IFERROR((SUMPRODUCT((IF(SelectedScope="All India",1,'RAW_AR_CONTENT'!$B$4:$B$543=SelectedScope))*('RAW_AR_CONTENT'!$C$4:$C$543=$B18)*'RAW_AR_CONTENT'!$N$4:$N$543*'RAW_AR_CONTENT'!$K$4:$K$543))/(SUMPRODUCT((IF(SelectedScope="All India",1,'RAW_AR_CONTENT'!$B$4:$B$543=SelectedScope))*('RAW_AR_CONTENT'!$C$4:$C$543=$B18)*'RAW_AR_CONTENT'!$K$4:$K$543)),"")</f>
        <v/>
      </c>
      <c r="H18" s="12">
        <f>SUMPRODUCT((IF(SelectedScope="All India",1,'RAW_QUIZ'!$B$4:$B$363=SelectedScope))*('RAW_QUIZ'!$C$4:$C$363=$B18))</f>
        <v>0</v>
      </c>
      <c r="I18" s="20" t="str">
        <f>IFERROR((SUMPRODUCT((IF(SelectedScope="All India",1,'RAW_QUIZ'!$B$4:$B$363=SelectedScope))*('RAW_QUIZ'!$C$4:$C$363=$B18)*'RAW_QUIZ'!$L$4:$L$363))/(SUMPRODUCT((IF(SelectedScope="All India",1,'RAW_QUIZ'!$B$4:$B$363=SelectedScope))*('RAW_QUIZ'!$C$4:$C$363=$B18)*'RAW_QUIZ'!$K$4:$K$363)),"")</f>
        <v/>
      </c>
      <c r="J18" s="16"/>
    </row>
    <row r="20" spans="1:10" ht="19.95" customHeight="1" x14ac:dyDescent="0.3">
      <c r="A20" s="37" t="s">
        <v>155</v>
      </c>
      <c r="B20" s="33"/>
      <c r="C20" s="33"/>
      <c r="D20" s="33"/>
      <c r="E20" s="33"/>
      <c r="F20" s="33"/>
      <c r="G20" s="33"/>
      <c r="H20" s="33"/>
      <c r="I20" s="33"/>
      <c r="J20" s="33"/>
    </row>
    <row r="21" spans="1:10" ht="31.95" customHeight="1" x14ac:dyDescent="0.3">
      <c r="A21" s="15" t="s">
        <v>78</v>
      </c>
      <c r="B21" s="15" t="s">
        <v>156</v>
      </c>
      <c r="C21" s="15" t="s">
        <v>135</v>
      </c>
      <c r="D21" s="15" t="s">
        <v>157</v>
      </c>
      <c r="E21" s="15" t="s">
        <v>158</v>
      </c>
      <c r="F21" s="15" t="s">
        <v>159</v>
      </c>
      <c r="G21" s="15" t="s">
        <v>160</v>
      </c>
      <c r="H21" s="15" t="s">
        <v>161</v>
      </c>
      <c r="I21" s="15" t="s">
        <v>162</v>
      </c>
      <c r="J21" s="15" t="s">
        <v>86</v>
      </c>
    </row>
    <row r="22" spans="1:10" ht="16.05" customHeight="1" x14ac:dyDescent="0.3">
      <c r="A22" s="16">
        <v>1</v>
      </c>
      <c r="B22" s="16" t="s">
        <v>163</v>
      </c>
      <c r="C22" s="16" t="s">
        <v>142</v>
      </c>
      <c r="D22" s="16" t="s">
        <v>164</v>
      </c>
      <c r="E22" s="12">
        <f>SUMPRODUCT((IF(SelectedScope="All India",1,'RAW_AR_CONTENT'!$B$4:$B$543=SelectedScope))*('RAW_AR_CONTENT'!$E$4:$E$543=$B22)*'RAW_AR_CONTENT'!$K$4:$K$543)</f>
        <v>0</v>
      </c>
      <c r="F22" s="20" t="str">
        <f>IFERROR((SUMPRODUCT((IF(SelectedScope="All India",1,'RAW_AR_CONTENT'!$B$4:$B$543=SelectedScope))*('RAW_AR_CONTENT'!$E$4:$E$543=$B22)*'RAW_AR_CONTENT'!$N$4:$N$543*'RAW_AR_CONTENT'!$K$4:$K$543))/(SUMPRODUCT((IF(SelectedScope="All India",1,'RAW_AR_CONTENT'!$B$4:$B$543=SelectedScope))*('RAW_AR_CONTENT'!$E$4:$E$543=$B22)*'RAW_AR_CONTENT'!$K$4:$K$543)),"")</f>
        <v/>
      </c>
      <c r="G22" s="12">
        <f>IFERROR(((SUMPRODUCT((IF(SelectedScope="All India",1,'RAW_AR_CONTENT'!$B$4:$B$543=SelectedScope))*('RAW_AR_CONTENT'!$E$4:$E$543=$B22)*'RAW_AR_CONTENT'!$Q$4:$Q$543))-(SUMPRODUCT((IF(SelectedScope="All India",1,'RAW_AR_CONTENT'!$B$4:$B$543=SelectedScope))*('RAW_AR_CONTENT'!$E$4:$E$543=$B22)*'RAW_AR_CONTENT'!$P$4:$P$543)))/(SUMPRODUCT((IF(SelectedScope="All India",1,'RAW_AR_CONTENT'!$B$4:$B$543=SelectedScope))*('RAW_AR_CONTENT'!$E$4:$E$543=$B22))),"")</f>
        <v>0</v>
      </c>
      <c r="H22" s="12">
        <f>IFERROR((SUMPRODUCT((IF(SelectedScope="All India",1,'RAW_AR_CONTENT'!$B$4:$B$543=SelectedScope))*('RAW_AR_CONTENT'!$E$4:$E$543=$B22)*'RAW_AR_CONTENT'!$O$4:$O$543))/(SUMPRODUCT((IF(SelectedScope="All India",1,'RAW_AR_CONTENT'!$B$4:$B$543=SelectedScope))*('RAW_AR_CONTENT'!$E$4:$E$543=$B22))),"")</f>
        <v>0</v>
      </c>
      <c r="I22" s="16" t="s">
        <v>165</v>
      </c>
      <c r="J22" s="16" t="s">
        <v>166</v>
      </c>
    </row>
    <row r="23" spans="1:10" ht="16.05" customHeight="1" x14ac:dyDescent="0.3">
      <c r="A23" s="18">
        <v>2</v>
      </c>
      <c r="B23" s="18" t="s">
        <v>167</v>
      </c>
      <c r="C23" s="18" t="s">
        <v>146</v>
      </c>
      <c r="D23" s="18" t="s">
        <v>168</v>
      </c>
      <c r="E23" s="9">
        <f>SUMPRODUCT((IF(SelectedScope="All India",1,'RAW_AR_CONTENT'!$B$4:$B$543=SelectedScope))*('RAW_AR_CONTENT'!$E$4:$E$543=$B23)*'RAW_AR_CONTENT'!$K$4:$K$543)</f>
        <v>0</v>
      </c>
      <c r="F23" s="21" t="str">
        <f>IFERROR((SUMPRODUCT((IF(SelectedScope="All India",1,'RAW_AR_CONTENT'!$B$4:$B$543=SelectedScope))*('RAW_AR_CONTENT'!$E$4:$E$543=$B23)*'RAW_AR_CONTENT'!$N$4:$N$543*'RAW_AR_CONTENT'!$K$4:$K$543))/(SUMPRODUCT((IF(SelectedScope="All India",1,'RAW_AR_CONTENT'!$B$4:$B$543=SelectedScope))*('RAW_AR_CONTENT'!$E$4:$E$543=$B23)*'RAW_AR_CONTENT'!$K$4:$K$543)),"")</f>
        <v/>
      </c>
      <c r="G23" s="9">
        <f>IFERROR(((SUMPRODUCT((IF(SelectedScope="All India",1,'RAW_AR_CONTENT'!$B$4:$B$543=SelectedScope))*('RAW_AR_CONTENT'!$E$4:$E$543=$B23)*'RAW_AR_CONTENT'!$Q$4:$Q$543))-(SUMPRODUCT((IF(SelectedScope="All India",1,'RAW_AR_CONTENT'!$B$4:$B$543=SelectedScope))*('RAW_AR_CONTENT'!$E$4:$E$543=$B23)*'RAW_AR_CONTENT'!$P$4:$P$543)))/(SUMPRODUCT((IF(SelectedScope="All India",1,'RAW_AR_CONTENT'!$B$4:$B$543=SelectedScope))*('RAW_AR_CONTENT'!$E$4:$E$543=$B23))),"")</f>
        <v>0</v>
      </c>
      <c r="H23" s="9">
        <f>IFERROR((SUMPRODUCT((IF(SelectedScope="All India",1,'RAW_AR_CONTENT'!$B$4:$B$543=SelectedScope))*('RAW_AR_CONTENT'!$E$4:$E$543=$B23)*'RAW_AR_CONTENT'!$O$4:$O$543))/(SUMPRODUCT((IF(SelectedScope="All India",1,'RAW_AR_CONTENT'!$B$4:$B$543=SelectedScope))*('RAW_AR_CONTENT'!$E$4:$E$543=$B23))),"")</f>
        <v>0</v>
      </c>
      <c r="I23" s="18" t="s">
        <v>169</v>
      </c>
      <c r="J23" s="18" t="s">
        <v>166</v>
      </c>
    </row>
    <row r="24" spans="1:10" ht="16.05" customHeight="1" x14ac:dyDescent="0.3">
      <c r="A24" s="16">
        <v>3</v>
      </c>
      <c r="B24" s="16" t="s">
        <v>170</v>
      </c>
      <c r="C24" s="16" t="s">
        <v>147</v>
      </c>
      <c r="D24" s="16" t="s">
        <v>168</v>
      </c>
      <c r="E24" s="12">
        <f>SUMPRODUCT((IF(SelectedScope="All India",1,'RAW_AR_CONTENT'!$B$4:$B$543=SelectedScope))*('RAW_AR_CONTENT'!$E$4:$E$543=$B24)*'RAW_AR_CONTENT'!$K$4:$K$543)</f>
        <v>0</v>
      </c>
      <c r="F24" s="20" t="str">
        <f>IFERROR((SUMPRODUCT((IF(SelectedScope="All India",1,'RAW_AR_CONTENT'!$B$4:$B$543=SelectedScope))*('RAW_AR_CONTENT'!$E$4:$E$543=$B24)*'RAW_AR_CONTENT'!$N$4:$N$543*'RAW_AR_CONTENT'!$K$4:$K$543))/(SUMPRODUCT((IF(SelectedScope="All India",1,'RAW_AR_CONTENT'!$B$4:$B$543=SelectedScope))*('RAW_AR_CONTENT'!$E$4:$E$543=$B24)*'RAW_AR_CONTENT'!$K$4:$K$543)),"")</f>
        <v/>
      </c>
      <c r="G24" s="12">
        <f>IFERROR(((SUMPRODUCT((IF(SelectedScope="All India",1,'RAW_AR_CONTENT'!$B$4:$B$543=SelectedScope))*('RAW_AR_CONTENT'!$E$4:$E$543=$B24)*'RAW_AR_CONTENT'!$Q$4:$Q$543))-(SUMPRODUCT((IF(SelectedScope="All India",1,'RAW_AR_CONTENT'!$B$4:$B$543=SelectedScope))*('RAW_AR_CONTENT'!$E$4:$E$543=$B24)*'RAW_AR_CONTENT'!$P$4:$P$543)))/(SUMPRODUCT((IF(SelectedScope="All India",1,'RAW_AR_CONTENT'!$B$4:$B$543=SelectedScope))*('RAW_AR_CONTENT'!$E$4:$E$543=$B24))),"")</f>
        <v>0</v>
      </c>
      <c r="H24" s="12">
        <f>IFERROR((SUMPRODUCT((IF(SelectedScope="All India",1,'RAW_AR_CONTENT'!$B$4:$B$543=SelectedScope))*('RAW_AR_CONTENT'!$E$4:$E$543=$B24)*'RAW_AR_CONTENT'!$O$4:$O$543))/(SUMPRODUCT((IF(SelectedScope="All India",1,'RAW_AR_CONTENT'!$B$4:$B$543=SelectedScope))*('RAW_AR_CONTENT'!$E$4:$E$543=$B24))),"")</f>
        <v>0</v>
      </c>
      <c r="I24" s="16" t="s">
        <v>165</v>
      </c>
      <c r="J24" s="16" t="s">
        <v>166</v>
      </c>
    </row>
    <row r="25" spans="1:10" ht="16.05" customHeight="1" x14ac:dyDescent="0.3">
      <c r="A25" s="18">
        <v>4</v>
      </c>
      <c r="B25" s="18" t="s">
        <v>171</v>
      </c>
      <c r="C25" s="18" t="s">
        <v>146</v>
      </c>
      <c r="D25" s="18" t="s">
        <v>172</v>
      </c>
      <c r="E25" s="9">
        <f>SUMPRODUCT((IF(SelectedScope="All India",1,'RAW_AR_CONTENT'!$B$4:$B$543=SelectedScope))*('RAW_AR_CONTENT'!$E$4:$E$543=$B25)*'RAW_AR_CONTENT'!$K$4:$K$543)</f>
        <v>0</v>
      </c>
      <c r="F25" s="21" t="str">
        <f>IFERROR((SUMPRODUCT((IF(SelectedScope="All India",1,'RAW_AR_CONTENT'!$B$4:$B$543=SelectedScope))*('RAW_AR_CONTENT'!$E$4:$E$543=$B25)*'RAW_AR_CONTENT'!$N$4:$N$543*'RAW_AR_CONTENT'!$K$4:$K$543))/(SUMPRODUCT((IF(SelectedScope="All India",1,'RAW_AR_CONTENT'!$B$4:$B$543=SelectedScope))*('RAW_AR_CONTENT'!$E$4:$E$543=$B25)*'RAW_AR_CONTENT'!$K$4:$K$543)),"")</f>
        <v/>
      </c>
      <c r="G25" s="9">
        <f>IFERROR(((SUMPRODUCT((IF(SelectedScope="All India",1,'RAW_AR_CONTENT'!$B$4:$B$543=SelectedScope))*('RAW_AR_CONTENT'!$E$4:$E$543=$B25)*'RAW_AR_CONTENT'!$Q$4:$Q$543))-(SUMPRODUCT((IF(SelectedScope="All India",1,'RAW_AR_CONTENT'!$B$4:$B$543=SelectedScope))*('RAW_AR_CONTENT'!$E$4:$E$543=$B25)*'RAW_AR_CONTENT'!$P$4:$P$543)))/(SUMPRODUCT((IF(SelectedScope="All India",1,'RAW_AR_CONTENT'!$B$4:$B$543=SelectedScope))*('RAW_AR_CONTENT'!$E$4:$E$543=$B25))),"")</f>
        <v>0</v>
      </c>
      <c r="H25" s="9">
        <f>IFERROR((SUMPRODUCT((IF(SelectedScope="All India",1,'RAW_AR_CONTENT'!$B$4:$B$543=SelectedScope))*('RAW_AR_CONTENT'!$E$4:$E$543=$B25)*'RAW_AR_CONTENT'!$O$4:$O$543))/(SUMPRODUCT((IF(SelectedScope="All India",1,'RAW_AR_CONTENT'!$B$4:$B$543=SelectedScope))*('RAW_AR_CONTENT'!$E$4:$E$543=$B25))),"")</f>
        <v>0</v>
      </c>
      <c r="I25" s="18" t="s">
        <v>173</v>
      </c>
      <c r="J25" s="18" t="s">
        <v>166</v>
      </c>
    </row>
    <row r="26" spans="1:10" ht="16.05" customHeight="1" x14ac:dyDescent="0.3">
      <c r="A26" s="16">
        <v>5</v>
      </c>
      <c r="B26" s="16" t="s">
        <v>174</v>
      </c>
      <c r="C26" s="16" t="s">
        <v>143</v>
      </c>
      <c r="D26" s="16" t="s">
        <v>172</v>
      </c>
      <c r="E26" s="12">
        <f>SUMPRODUCT((IF(SelectedScope="All India",1,'RAW_AR_CONTENT'!$B$4:$B$543=SelectedScope))*('RAW_AR_CONTENT'!$E$4:$E$543=$B26)*'RAW_AR_CONTENT'!$K$4:$K$543)</f>
        <v>0</v>
      </c>
      <c r="F26" s="20" t="str">
        <f>IFERROR((SUMPRODUCT((IF(SelectedScope="All India",1,'RAW_AR_CONTENT'!$B$4:$B$543=SelectedScope))*('RAW_AR_CONTENT'!$E$4:$E$543=$B26)*'RAW_AR_CONTENT'!$N$4:$N$543*'RAW_AR_CONTENT'!$K$4:$K$543))/(SUMPRODUCT((IF(SelectedScope="All India",1,'RAW_AR_CONTENT'!$B$4:$B$543=SelectedScope))*('RAW_AR_CONTENT'!$E$4:$E$543=$B26)*'RAW_AR_CONTENT'!$K$4:$K$543)),"")</f>
        <v/>
      </c>
      <c r="G26" s="12">
        <f>IFERROR(((SUMPRODUCT((IF(SelectedScope="All India",1,'RAW_AR_CONTENT'!$B$4:$B$543=SelectedScope))*('RAW_AR_CONTENT'!$E$4:$E$543=$B26)*'RAW_AR_CONTENT'!$Q$4:$Q$543))-(SUMPRODUCT((IF(SelectedScope="All India",1,'RAW_AR_CONTENT'!$B$4:$B$543=SelectedScope))*('RAW_AR_CONTENT'!$E$4:$E$543=$B26)*'RAW_AR_CONTENT'!$P$4:$P$543)))/(SUMPRODUCT((IF(SelectedScope="All India",1,'RAW_AR_CONTENT'!$B$4:$B$543=SelectedScope))*('RAW_AR_CONTENT'!$E$4:$E$543=$B26))),"")</f>
        <v>0</v>
      </c>
      <c r="H26" s="12">
        <f>IFERROR((SUMPRODUCT((IF(SelectedScope="All India",1,'RAW_AR_CONTENT'!$B$4:$B$543=SelectedScope))*('RAW_AR_CONTENT'!$E$4:$E$543=$B26)*'RAW_AR_CONTENT'!$O$4:$O$543))/(SUMPRODUCT((IF(SelectedScope="All India",1,'RAW_AR_CONTENT'!$B$4:$B$543=SelectedScope))*('RAW_AR_CONTENT'!$E$4:$E$543=$B26))),"")</f>
        <v>0</v>
      </c>
      <c r="I26" s="16" t="s">
        <v>169</v>
      </c>
      <c r="J26" s="16" t="s">
        <v>166</v>
      </c>
    </row>
    <row r="27" spans="1:10" ht="16.05" customHeight="1" x14ac:dyDescent="0.3">
      <c r="A27" s="18">
        <v>6</v>
      </c>
      <c r="B27" s="18" t="s">
        <v>175</v>
      </c>
      <c r="C27" s="18" t="s">
        <v>143</v>
      </c>
      <c r="D27" s="18" t="s">
        <v>176</v>
      </c>
      <c r="E27" s="9">
        <f>SUMPRODUCT((IF(SelectedScope="All India",1,'RAW_AR_CONTENT'!$B$4:$B$543=SelectedScope))*('RAW_AR_CONTENT'!$E$4:$E$543=$B27)*'RAW_AR_CONTENT'!$K$4:$K$543)</f>
        <v>0</v>
      </c>
      <c r="F27" s="21" t="str">
        <f>IFERROR((SUMPRODUCT((IF(SelectedScope="All India",1,'RAW_AR_CONTENT'!$B$4:$B$543=SelectedScope))*('RAW_AR_CONTENT'!$E$4:$E$543=$B27)*'RAW_AR_CONTENT'!$N$4:$N$543*'RAW_AR_CONTENT'!$K$4:$K$543))/(SUMPRODUCT((IF(SelectedScope="All India",1,'RAW_AR_CONTENT'!$B$4:$B$543=SelectedScope))*('RAW_AR_CONTENT'!$E$4:$E$543=$B27)*'RAW_AR_CONTENT'!$K$4:$K$543)),"")</f>
        <v/>
      </c>
      <c r="G27" s="9">
        <f>IFERROR(((SUMPRODUCT((IF(SelectedScope="All India",1,'RAW_AR_CONTENT'!$B$4:$B$543=SelectedScope))*('RAW_AR_CONTENT'!$E$4:$E$543=$B27)*'RAW_AR_CONTENT'!$Q$4:$Q$543))-(SUMPRODUCT((IF(SelectedScope="All India",1,'RAW_AR_CONTENT'!$B$4:$B$543=SelectedScope))*('RAW_AR_CONTENT'!$E$4:$E$543=$B27)*'RAW_AR_CONTENT'!$P$4:$P$543)))/(SUMPRODUCT((IF(SelectedScope="All India",1,'RAW_AR_CONTENT'!$B$4:$B$543=SelectedScope))*('RAW_AR_CONTENT'!$E$4:$E$543=$B27))),"")</f>
        <v>0</v>
      </c>
      <c r="H27" s="9">
        <f>IFERROR((SUMPRODUCT((IF(SelectedScope="All India",1,'RAW_AR_CONTENT'!$B$4:$B$543=SelectedScope))*('RAW_AR_CONTENT'!$E$4:$E$543=$B27)*'RAW_AR_CONTENT'!$O$4:$O$543))/(SUMPRODUCT((IF(SelectedScope="All India",1,'RAW_AR_CONTENT'!$B$4:$B$543=SelectedScope))*('RAW_AR_CONTENT'!$E$4:$E$543=$B27))),"")</f>
        <v>0</v>
      </c>
      <c r="I27" s="18" t="s">
        <v>165</v>
      </c>
      <c r="J27" s="18" t="s">
        <v>166</v>
      </c>
    </row>
    <row r="28" spans="1:10" ht="16.05" customHeight="1" x14ac:dyDescent="0.3">
      <c r="A28" s="16">
        <v>7</v>
      </c>
      <c r="B28" s="16" t="s">
        <v>177</v>
      </c>
      <c r="C28" s="16" t="s">
        <v>144</v>
      </c>
      <c r="D28" s="16" t="s">
        <v>176</v>
      </c>
      <c r="E28" s="12">
        <f>SUMPRODUCT((IF(SelectedScope="All India",1,'RAW_AR_CONTENT'!$B$4:$B$543=SelectedScope))*('RAW_AR_CONTENT'!$E$4:$E$543=$B28)*'RAW_AR_CONTENT'!$K$4:$K$543)</f>
        <v>0</v>
      </c>
      <c r="F28" s="20" t="str">
        <f>IFERROR((SUMPRODUCT((IF(SelectedScope="All India",1,'RAW_AR_CONTENT'!$B$4:$B$543=SelectedScope))*('RAW_AR_CONTENT'!$E$4:$E$543=$B28)*'RAW_AR_CONTENT'!$N$4:$N$543*'RAW_AR_CONTENT'!$K$4:$K$543))/(SUMPRODUCT((IF(SelectedScope="All India",1,'RAW_AR_CONTENT'!$B$4:$B$543=SelectedScope))*('RAW_AR_CONTENT'!$E$4:$E$543=$B28)*'RAW_AR_CONTENT'!$K$4:$K$543)),"")</f>
        <v/>
      </c>
      <c r="G28" s="12">
        <f>IFERROR(((SUMPRODUCT((IF(SelectedScope="All India",1,'RAW_AR_CONTENT'!$B$4:$B$543=SelectedScope))*('RAW_AR_CONTENT'!$E$4:$E$543=$B28)*'RAW_AR_CONTENT'!$Q$4:$Q$543))-(SUMPRODUCT((IF(SelectedScope="All India",1,'RAW_AR_CONTENT'!$B$4:$B$543=SelectedScope))*('RAW_AR_CONTENT'!$E$4:$E$543=$B28)*'RAW_AR_CONTENT'!$P$4:$P$543)))/(SUMPRODUCT((IF(SelectedScope="All India",1,'RAW_AR_CONTENT'!$B$4:$B$543=SelectedScope))*('RAW_AR_CONTENT'!$E$4:$E$543=$B28))),"")</f>
        <v>0</v>
      </c>
      <c r="H28" s="12">
        <f>IFERROR((SUMPRODUCT((IF(SelectedScope="All India",1,'RAW_AR_CONTENT'!$B$4:$B$543=SelectedScope))*('RAW_AR_CONTENT'!$E$4:$E$543=$B28)*'RAW_AR_CONTENT'!$O$4:$O$543))/(SUMPRODUCT((IF(SelectedScope="All India",1,'RAW_AR_CONTENT'!$B$4:$B$543=SelectedScope))*('RAW_AR_CONTENT'!$E$4:$E$543=$B28))),"")</f>
        <v>0</v>
      </c>
      <c r="I28" s="16" t="s">
        <v>173</v>
      </c>
      <c r="J28" s="16" t="s">
        <v>166</v>
      </c>
    </row>
    <row r="29" spans="1:10" ht="16.05" customHeight="1" x14ac:dyDescent="0.3">
      <c r="A29" s="18">
        <v>8</v>
      </c>
      <c r="B29" s="18" t="s">
        <v>178</v>
      </c>
      <c r="C29" s="18" t="s">
        <v>145</v>
      </c>
      <c r="D29" s="18" t="s">
        <v>179</v>
      </c>
      <c r="E29" s="9">
        <f>SUMPRODUCT((IF(SelectedScope="All India",1,'RAW_AR_CONTENT'!$B$4:$B$543=SelectedScope))*('RAW_AR_CONTENT'!$E$4:$E$543=$B29)*'RAW_AR_CONTENT'!$K$4:$K$543)</f>
        <v>0</v>
      </c>
      <c r="F29" s="21" t="str">
        <f>IFERROR((SUMPRODUCT((IF(SelectedScope="All India",1,'RAW_AR_CONTENT'!$B$4:$B$543=SelectedScope))*('RAW_AR_CONTENT'!$E$4:$E$543=$B29)*'RAW_AR_CONTENT'!$N$4:$N$543*'RAW_AR_CONTENT'!$K$4:$K$543))/(SUMPRODUCT((IF(SelectedScope="All India",1,'RAW_AR_CONTENT'!$B$4:$B$543=SelectedScope))*('RAW_AR_CONTENT'!$E$4:$E$543=$B29)*'RAW_AR_CONTENT'!$K$4:$K$543)),"")</f>
        <v/>
      </c>
      <c r="G29" s="9">
        <f>IFERROR(((SUMPRODUCT((IF(SelectedScope="All India",1,'RAW_AR_CONTENT'!$B$4:$B$543=SelectedScope))*('RAW_AR_CONTENT'!$E$4:$E$543=$B29)*'RAW_AR_CONTENT'!$Q$4:$Q$543))-(SUMPRODUCT((IF(SelectedScope="All India",1,'RAW_AR_CONTENT'!$B$4:$B$543=SelectedScope))*('RAW_AR_CONTENT'!$E$4:$E$543=$B29)*'RAW_AR_CONTENT'!$P$4:$P$543)))/(SUMPRODUCT((IF(SelectedScope="All India",1,'RAW_AR_CONTENT'!$B$4:$B$543=SelectedScope))*('RAW_AR_CONTENT'!$E$4:$E$543=$B29))),"")</f>
        <v>0</v>
      </c>
      <c r="H29" s="9">
        <f>IFERROR((SUMPRODUCT((IF(SelectedScope="All India",1,'RAW_AR_CONTENT'!$B$4:$B$543=SelectedScope))*('RAW_AR_CONTENT'!$E$4:$E$543=$B29)*'RAW_AR_CONTENT'!$O$4:$O$543))/(SUMPRODUCT((IF(SelectedScope="All India",1,'RAW_AR_CONTENT'!$B$4:$B$543=SelectedScope))*('RAW_AR_CONTENT'!$E$4:$E$543=$B29))),"")</f>
        <v>0</v>
      </c>
      <c r="I29" s="18" t="s">
        <v>165</v>
      </c>
      <c r="J29" s="18" t="s">
        <v>166</v>
      </c>
    </row>
    <row r="30" spans="1:10" ht="16.05" customHeight="1" x14ac:dyDescent="0.3">
      <c r="A30" s="16">
        <v>9</v>
      </c>
      <c r="B30" s="16" t="s">
        <v>180</v>
      </c>
      <c r="C30" s="16" t="s">
        <v>146</v>
      </c>
      <c r="D30" s="16" t="s">
        <v>181</v>
      </c>
      <c r="E30" s="12">
        <f>SUMPRODUCT((IF(SelectedScope="All India",1,'RAW_AR_CONTENT'!$B$4:$B$543=SelectedScope))*('RAW_AR_CONTENT'!$E$4:$E$543=$B30)*'RAW_AR_CONTENT'!$K$4:$K$543)</f>
        <v>0</v>
      </c>
      <c r="F30" s="20" t="str">
        <f>IFERROR((SUMPRODUCT((IF(SelectedScope="All India",1,'RAW_AR_CONTENT'!$B$4:$B$543=SelectedScope))*('RAW_AR_CONTENT'!$E$4:$E$543=$B30)*'RAW_AR_CONTENT'!$N$4:$N$543*'RAW_AR_CONTENT'!$K$4:$K$543))/(SUMPRODUCT((IF(SelectedScope="All India",1,'RAW_AR_CONTENT'!$B$4:$B$543=SelectedScope))*('RAW_AR_CONTENT'!$E$4:$E$543=$B30)*'RAW_AR_CONTENT'!$K$4:$K$543)),"")</f>
        <v/>
      </c>
      <c r="G30" s="12">
        <f>IFERROR(((SUMPRODUCT((IF(SelectedScope="All India",1,'RAW_AR_CONTENT'!$B$4:$B$543=SelectedScope))*('RAW_AR_CONTENT'!$E$4:$E$543=$B30)*'RAW_AR_CONTENT'!$Q$4:$Q$543))-(SUMPRODUCT((IF(SelectedScope="All India",1,'RAW_AR_CONTENT'!$B$4:$B$543=SelectedScope))*('RAW_AR_CONTENT'!$E$4:$E$543=$B30)*'RAW_AR_CONTENT'!$P$4:$P$543)))/(SUMPRODUCT((IF(SelectedScope="All India",1,'RAW_AR_CONTENT'!$B$4:$B$543=SelectedScope))*('RAW_AR_CONTENT'!$E$4:$E$543=$B30))),"")</f>
        <v>0</v>
      </c>
      <c r="H30" s="12">
        <f>IFERROR((SUMPRODUCT((IF(SelectedScope="All India",1,'RAW_AR_CONTENT'!$B$4:$B$543=SelectedScope))*('RAW_AR_CONTENT'!$E$4:$E$543=$B30)*'RAW_AR_CONTENT'!$O$4:$O$543))/(SUMPRODUCT((IF(SelectedScope="All India",1,'RAW_AR_CONTENT'!$B$4:$B$543=SelectedScope))*('RAW_AR_CONTENT'!$E$4:$E$543=$B30))),"")</f>
        <v>0</v>
      </c>
      <c r="I30" s="16" t="s">
        <v>182</v>
      </c>
      <c r="J30" s="16" t="s">
        <v>166</v>
      </c>
    </row>
    <row r="31" spans="1:10" ht="16.05" customHeight="1" x14ac:dyDescent="0.3">
      <c r="A31" s="18">
        <v>10</v>
      </c>
      <c r="B31" s="18" t="s">
        <v>183</v>
      </c>
      <c r="C31" s="18" t="s">
        <v>148</v>
      </c>
      <c r="D31" s="18" t="s">
        <v>168</v>
      </c>
      <c r="E31" s="9">
        <f>SUMPRODUCT((IF(SelectedScope="All India",1,'RAW_AR_CONTENT'!$B$4:$B$543=SelectedScope))*('RAW_AR_CONTENT'!$E$4:$E$543=$B31)*'RAW_AR_CONTENT'!$K$4:$K$543)</f>
        <v>0</v>
      </c>
      <c r="F31" s="21" t="str">
        <f>IFERROR((SUMPRODUCT((IF(SelectedScope="All India",1,'RAW_AR_CONTENT'!$B$4:$B$543=SelectedScope))*('RAW_AR_CONTENT'!$E$4:$E$543=$B31)*'RAW_AR_CONTENT'!$N$4:$N$543*'RAW_AR_CONTENT'!$K$4:$K$543))/(SUMPRODUCT((IF(SelectedScope="All India",1,'RAW_AR_CONTENT'!$B$4:$B$543=SelectedScope))*('RAW_AR_CONTENT'!$E$4:$E$543=$B31)*'RAW_AR_CONTENT'!$K$4:$K$543)),"")</f>
        <v/>
      </c>
      <c r="G31" s="9">
        <f>IFERROR(((SUMPRODUCT((IF(SelectedScope="All India",1,'RAW_AR_CONTENT'!$B$4:$B$543=SelectedScope))*('RAW_AR_CONTENT'!$E$4:$E$543=$B31)*'RAW_AR_CONTENT'!$Q$4:$Q$543))-(SUMPRODUCT((IF(SelectedScope="All India",1,'RAW_AR_CONTENT'!$B$4:$B$543=SelectedScope))*('RAW_AR_CONTENT'!$E$4:$E$543=$B31)*'RAW_AR_CONTENT'!$P$4:$P$543)))/(SUMPRODUCT((IF(SelectedScope="All India",1,'RAW_AR_CONTENT'!$B$4:$B$543=SelectedScope))*('RAW_AR_CONTENT'!$E$4:$E$543=$B31))),"")</f>
        <v>0</v>
      </c>
      <c r="H31" s="9">
        <f>IFERROR((SUMPRODUCT((IF(SelectedScope="All India",1,'RAW_AR_CONTENT'!$B$4:$B$543=SelectedScope))*('RAW_AR_CONTENT'!$E$4:$E$543=$B31)*'RAW_AR_CONTENT'!$O$4:$O$543))/(SUMPRODUCT((IF(SelectedScope="All India",1,'RAW_AR_CONTENT'!$B$4:$B$543=SelectedScope))*('RAW_AR_CONTENT'!$E$4:$E$543=$B31))),"")</f>
        <v>0</v>
      </c>
      <c r="I31" s="18" t="s">
        <v>169</v>
      </c>
      <c r="J31" s="18" t="s">
        <v>166</v>
      </c>
    </row>
    <row r="32" spans="1:10" ht="16.05" customHeight="1" x14ac:dyDescent="0.3">
      <c r="A32" s="16">
        <v>11</v>
      </c>
      <c r="B32" s="16" t="s">
        <v>184</v>
      </c>
      <c r="C32" s="16" t="s">
        <v>147</v>
      </c>
      <c r="D32" s="16" t="s">
        <v>181</v>
      </c>
      <c r="E32" s="12">
        <f>SUMPRODUCT((IF(SelectedScope="All India",1,'RAW_AR_CONTENT'!$B$4:$B$543=SelectedScope))*('RAW_AR_CONTENT'!$E$4:$E$543=$B32)*'RAW_AR_CONTENT'!$K$4:$K$543)</f>
        <v>0</v>
      </c>
      <c r="F32" s="20" t="str">
        <f>IFERROR((SUMPRODUCT((IF(SelectedScope="All India",1,'RAW_AR_CONTENT'!$B$4:$B$543=SelectedScope))*('RAW_AR_CONTENT'!$E$4:$E$543=$B32)*'RAW_AR_CONTENT'!$N$4:$N$543*'RAW_AR_CONTENT'!$K$4:$K$543))/(SUMPRODUCT((IF(SelectedScope="All India",1,'RAW_AR_CONTENT'!$B$4:$B$543=SelectedScope))*('RAW_AR_CONTENT'!$E$4:$E$543=$B32)*'RAW_AR_CONTENT'!$K$4:$K$543)),"")</f>
        <v/>
      </c>
      <c r="G32" s="12">
        <f>IFERROR(((SUMPRODUCT((IF(SelectedScope="All India",1,'RAW_AR_CONTENT'!$B$4:$B$543=SelectedScope))*('RAW_AR_CONTENT'!$E$4:$E$543=$B32)*'RAW_AR_CONTENT'!$Q$4:$Q$543))-(SUMPRODUCT((IF(SelectedScope="All India",1,'RAW_AR_CONTENT'!$B$4:$B$543=SelectedScope))*('RAW_AR_CONTENT'!$E$4:$E$543=$B32)*'RAW_AR_CONTENT'!$P$4:$P$543)))/(SUMPRODUCT((IF(SelectedScope="All India",1,'RAW_AR_CONTENT'!$B$4:$B$543=SelectedScope))*('RAW_AR_CONTENT'!$E$4:$E$543=$B32))),"")</f>
        <v>0</v>
      </c>
      <c r="H32" s="12">
        <f>IFERROR((SUMPRODUCT((IF(SelectedScope="All India",1,'RAW_AR_CONTENT'!$B$4:$B$543=SelectedScope))*('RAW_AR_CONTENT'!$E$4:$E$543=$B32)*'RAW_AR_CONTENT'!$O$4:$O$543))/(SUMPRODUCT((IF(SelectedScope="All India",1,'RAW_AR_CONTENT'!$B$4:$B$543=SelectedScope))*('RAW_AR_CONTENT'!$E$4:$E$543=$B32))),"")</f>
        <v>0</v>
      </c>
      <c r="I32" s="16" t="s">
        <v>169</v>
      </c>
      <c r="J32" s="16" t="s">
        <v>166</v>
      </c>
    </row>
    <row r="33" spans="1:10" ht="16.05" customHeight="1" x14ac:dyDescent="0.3">
      <c r="A33" s="18">
        <v>12</v>
      </c>
      <c r="B33" s="18" t="s">
        <v>185</v>
      </c>
      <c r="C33" s="18" t="s">
        <v>148</v>
      </c>
      <c r="D33" s="18" t="s">
        <v>176</v>
      </c>
      <c r="E33" s="9">
        <f>SUMPRODUCT((IF(SelectedScope="All India",1,'RAW_AR_CONTENT'!$B$4:$B$543=SelectedScope))*('RAW_AR_CONTENT'!$E$4:$E$543=$B33)*'RAW_AR_CONTENT'!$K$4:$K$543)</f>
        <v>0</v>
      </c>
      <c r="F33" s="21" t="str">
        <f>IFERROR((SUMPRODUCT((IF(SelectedScope="All India",1,'RAW_AR_CONTENT'!$B$4:$B$543=SelectedScope))*('RAW_AR_CONTENT'!$E$4:$E$543=$B33)*'RAW_AR_CONTENT'!$N$4:$N$543*'RAW_AR_CONTENT'!$K$4:$K$543))/(SUMPRODUCT((IF(SelectedScope="All India",1,'RAW_AR_CONTENT'!$B$4:$B$543=SelectedScope))*('RAW_AR_CONTENT'!$E$4:$E$543=$B33)*'RAW_AR_CONTENT'!$K$4:$K$543)),"")</f>
        <v/>
      </c>
      <c r="G33" s="9">
        <f>IFERROR(((SUMPRODUCT((IF(SelectedScope="All India",1,'RAW_AR_CONTENT'!$B$4:$B$543=SelectedScope))*('RAW_AR_CONTENT'!$E$4:$E$543=$B33)*'RAW_AR_CONTENT'!$Q$4:$Q$543))-(SUMPRODUCT((IF(SelectedScope="All India",1,'RAW_AR_CONTENT'!$B$4:$B$543=SelectedScope))*('RAW_AR_CONTENT'!$E$4:$E$543=$B33)*'RAW_AR_CONTENT'!$P$4:$P$543)))/(SUMPRODUCT((IF(SelectedScope="All India",1,'RAW_AR_CONTENT'!$B$4:$B$543=SelectedScope))*('RAW_AR_CONTENT'!$E$4:$E$543=$B33))),"")</f>
        <v>0</v>
      </c>
      <c r="H33" s="9">
        <f>IFERROR((SUMPRODUCT((IF(SelectedScope="All India",1,'RAW_AR_CONTENT'!$B$4:$B$543=SelectedScope))*('RAW_AR_CONTENT'!$E$4:$E$543=$B33)*'RAW_AR_CONTENT'!$O$4:$O$543))/(SUMPRODUCT((IF(SelectedScope="All India",1,'RAW_AR_CONTENT'!$B$4:$B$543=SelectedScope))*('RAW_AR_CONTENT'!$E$4:$E$543=$B33))),"")</f>
        <v>0</v>
      </c>
      <c r="I33" s="18" t="s">
        <v>169</v>
      </c>
      <c r="J33" s="18" t="s">
        <v>166</v>
      </c>
    </row>
    <row r="34" spans="1:10" ht="16.05" customHeight="1" x14ac:dyDescent="0.3">
      <c r="A34" s="16">
        <v>13</v>
      </c>
      <c r="B34" s="16" t="s">
        <v>186</v>
      </c>
      <c r="C34" s="16" t="s">
        <v>152</v>
      </c>
      <c r="D34" s="16" t="s">
        <v>168</v>
      </c>
      <c r="E34" s="12">
        <f>SUMPRODUCT((IF(SelectedScope="All India",1,'RAW_AR_CONTENT'!$B$4:$B$543=SelectedScope))*('RAW_AR_CONTENT'!$E$4:$E$543=$B34)*'RAW_AR_CONTENT'!$K$4:$K$543)</f>
        <v>0</v>
      </c>
      <c r="F34" s="20" t="str">
        <f>IFERROR((SUMPRODUCT((IF(SelectedScope="All India",1,'RAW_AR_CONTENT'!$B$4:$B$543=SelectedScope))*('RAW_AR_CONTENT'!$E$4:$E$543=$B34)*'RAW_AR_CONTENT'!$N$4:$N$543*'RAW_AR_CONTENT'!$K$4:$K$543))/(SUMPRODUCT((IF(SelectedScope="All India",1,'RAW_AR_CONTENT'!$B$4:$B$543=SelectedScope))*('RAW_AR_CONTENT'!$E$4:$E$543=$B34)*'RAW_AR_CONTENT'!$K$4:$K$543)),"")</f>
        <v/>
      </c>
      <c r="G34" s="12">
        <f>IFERROR(((SUMPRODUCT((IF(SelectedScope="All India",1,'RAW_AR_CONTENT'!$B$4:$B$543=SelectedScope))*('RAW_AR_CONTENT'!$E$4:$E$543=$B34)*'RAW_AR_CONTENT'!$Q$4:$Q$543))-(SUMPRODUCT((IF(SelectedScope="All India",1,'RAW_AR_CONTENT'!$B$4:$B$543=SelectedScope))*('RAW_AR_CONTENT'!$E$4:$E$543=$B34)*'RAW_AR_CONTENT'!$P$4:$P$543)))/(SUMPRODUCT((IF(SelectedScope="All India",1,'RAW_AR_CONTENT'!$B$4:$B$543=SelectedScope))*('RAW_AR_CONTENT'!$E$4:$E$543=$B34))),"")</f>
        <v>0</v>
      </c>
      <c r="H34" s="12">
        <f>IFERROR((SUMPRODUCT((IF(SelectedScope="All India",1,'RAW_AR_CONTENT'!$B$4:$B$543=SelectedScope))*('RAW_AR_CONTENT'!$E$4:$E$543=$B34)*'RAW_AR_CONTENT'!$O$4:$O$543))/(SUMPRODUCT((IF(SelectedScope="All India",1,'RAW_AR_CONTENT'!$B$4:$B$543=SelectedScope))*('RAW_AR_CONTENT'!$E$4:$E$543=$B34))),"")</f>
        <v>0</v>
      </c>
      <c r="I34" s="16" t="s">
        <v>173</v>
      </c>
      <c r="J34" s="16" t="s">
        <v>166</v>
      </c>
    </row>
    <row r="35" spans="1:10" ht="16.05" customHeight="1" x14ac:dyDescent="0.3">
      <c r="A35" s="18">
        <v>14</v>
      </c>
      <c r="B35" s="18" t="s">
        <v>187</v>
      </c>
      <c r="C35" s="18" t="s">
        <v>151</v>
      </c>
      <c r="D35" s="18" t="s">
        <v>179</v>
      </c>
      <c r="E35" s="9">
        <f>SUMPRODUCT((IF(SelectedScope="All India",1,'RAW_AR_CONTENT'!$B$4:$B$543=SelectedScope))*('RAW_AR_CONTENT'!$E$4:$E$543=$B35)*'RAW_AR_CONTENT'!$K$4:$K$543)</f>
        <v>0</v>
      </c>
      <c r="F35" s="21" t="str">
        <f>IFERROR((SUMPRODUCT((IF(SelectedScope="All India",1,'RAW_AR_CONTENT'!$B$4:$B$543=SelectedScope))*('RAW_AR_CONTENT'!$E$4:$E$543=$B35)*'RAW_AR_CONTENT'!$N$4:$N$543*'RAW_AR_CONTENT'!$K$4:$K$543))/(SUMPRODUCT((IF(SelectedScope="All India",1,'RAW_AR_CONTENT'!$B$4:$B$543=SelectedScope))*('RAW_AR_CONTENT'!$E$4:$E$543=$B35)*'RAW_AR_CONTENT'!$K$4:$K$543)),"")</f>
        <v/>
      </c>
      <c r="G35" s="9">
        <f>IFERROR(((SUMPRODUCT((IF(SelectedScope="All India",1,'RAW_AR_CONTENT'!$B$4:$B$543=SelectedScope))*('RAW_AR_CONTENT'!$E$4:$E$543=$B35)*'RAW_AR_CONTENT'!$Q$4:$Q$543))-(SUMPRODUCT((IF(SelectedScope="All India",1,'RAW_AR_CONTENT'!$B$4:$B$543=SelectedScope))*('RAW_AR_CONTENT'!$E$4:$E$543=$B35)*'RAW_AR_CONTENT'!$P$4:$P$543)))/(SUMPRODUCT((IF(SelectedScope="All India",1,'RAW_AR_CONTENT'!$B$4:$B$543=SelectedScope))*('RAW_AR_CONTENT'!$E$4:$E$543=$B35))),"")</f>
        <v>0</v>
      </c>
      <c r="H35" s="9">
        <f>IFERROR((SUMPRODUCT((IF(SelectedScope="All India",1,'RAW_AR_CONTENT'!$B$4:$B$543=SelectedScope))*('RAW_AR_CONTENT'!$E$4:$E$543=$B35)*'RAW_AR_CONTENT'!$O$4:$O$543))/(SUMPRODUCT((IF(SelectedScope="All India",1,'RAW_AR_CONTENT'!$B$4:$B$543=SelectedScope))*('RAW_AR_CONTENT'!$E$4:$E$543=$B35))),"")</f>
        <v>0</v>
      </c>
      <c r="I35" s="18" t="s">
        <v>165</v>
      </c>
      <c r="J35" s="18" t="s">
        <v>166</v>
      </c>
    </row>
    <row r="36" spans="1:10" ht="16.05" customHeight="1" x14ac:dyDescent="0.3">
      <c r="A36" s="16">
        <v>15</v>
      </c>
      <c r="B36" s="16" t="s">
        <v>188</v>
      </c>
      <c r="C36" s="16" t="s">
        <v>143</v>
      </c>
      <c r="D36" s="16" t="s">
        <v>176</v>
      </c>
      <c r="E36" s="12">
        <f>SUMPRODUCT((IF(SelectedScope="All India",1,'RAW_AR_CONTENT'!$B$4:$B$543=SelectedScope))*('RAW_AR_CONTENT'!$E$4:$E$543=$B36)*'RAW_AR_CONTENT'!$K$4:$K$543)</f>
        <v>0</v>
      </c>
      <c r="F36" s="20" t="str">
        <f>IFERROR((SUMPRODUCT((IF(SelectedScope="All India",1,'RAW_AR_CONTENT'!$B$4:$B$543=SelectedScope))*('RAW_AR_CONTENT'!$E$4:$E$543=$B36)*'RAW_AR_CONTENT'!$N$4:$N$543*'RAW_AR_CONTENT'!$K$4:$K$543))/(SUMPRODUCT((IF(SelectedScope="All India",1,'RAW_AR_CONTENT'!$B$4:$B$543=SelectedScope))*('RAW_AR_CONTENT'!$E$4:$E$543=$B36)*'RAW_AR_CONTENT'!$K$4:$K$543)),"")</f>
        <v/>
      </c>
      <c r="G36" s="12">
        <f>IFERROR(((SUMPRODUCT((IF(SelectedScope="All India",1,'RAW_AR_CONTENT'!$B$4:$B$543=SelectedScope))*('RAW_AR_CONTENT'!$E$4:$E$543=$B36)*'RAW_AR_CONTENT'!$Q$4:$Q$543))-(SUMPRODUCT((IF(SelectedScope="All India",1,'RAW_AR_CONTENT'!$B$4:$B$543=SelectedScope))*('RAW_AR_CONTENT'!$E$4:$E$543=$B36)*'RAW_AR_CONTENT'!$P$4:$P$543)))/(SUMPRODUCT((IF(SelectedScope="All India",1,'RAW_AR_CONTENT'!$B$4:$B$543=SelectedScope))*('RAW_AR_CONTENT'!$E$4:$E$543=$B36))),"")</f>
        <v>0</v>
      </c>
      <c r="H36" s="12">
        <f>IFERROR((SUMPRODUCT((IF(SelectedScope="All India",1,'RAW_AR_CONTENT'!$B$4:$B$543=SelectedScope))*('RAW_AR_CONTENT'!$E$4:$E$543=$B36)*'RAW_AR_CONTENT'!$O$4:$O$543))/(SUMPRODUCT((IF(SelectedScope="All India",1,'RAW_AR_CONTENT'!$B$4:$B$543=SelectedScope))*('RAW_AR_CONTENT'!$E$4:$E$543=$B36))),"")</f>
        <v>0</v>
      </c>
      <c r="I36" s="16" t="s">
        <v>165</v>
      </c>
      <c r="J36" s="16" t="s">
        <v>166</v>
      </c>
    </row>
  </sheetData>
  <mergeCells count="5">
    <mergeCell ref="A1:J1"/>
    <mergeCell ref="A3:J3"/>
    <mergeCell ref="A4:J4"/>
    <mergeCell ref="A20:J20"/>
    <mergeCell ref="A2:J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84"/>
  <sheetViews>
    <sheetView showGridLines="0" workbookViewId="0">
      <selection sqref="A1:K1"/>
    </sheetView>
  </sheetViews>
  <sheetFormatPr defaultRowHeight="14.4" x14ac:dyDescent="0.3"/>
  <cols>
    <col min="1" max="1" width="4" customWidth="1"/>
    <col min="2" max="2" width="24" customWidth="1"/>
    <col min="3" max="3" width="18" customWidth="1"/>
    <col min="4" max="4" width="14" customWidth="1"/>
    <col min="5" max="5" width="12" customWidth="1"/>
    <col min="6" max="10" width="14" customWidth="1"/>
    <col min="11" max="11" width="22" customWidth="1"/>
  </cols>
  <sheetData>
    <row r="1" spans="1:11" ht="28.05" customHeight="1" x14ac:dyDescent="0.3">
      <c r="A1" s="32" t="s">
        <v>189</v>
      </c>
      <c r="B1" s="33"/>
      <c r="C1" s="33"/>
      <c r="D1" s="33"/>
      <c r="E1" s="33"/>
      <c r="F1" s="33"/>
      <c r="G1" s="33"/>
      <c r="H1" s="33"/>
      <c r="I1" s="33"/>
      <c r="J1" s="33"/>
      <c r="K1" s="33"/>
    </row>
    <row r="2" spans="1:11" ht="18" customHeight="1" x14ac:dyDescent="0.3">
      <c r="A2" s="38" t="str">
        <f>IF(SelectedScope="All India","NATIONAL VIEW — ALL INDIA","STATE VIEW — "&amp;SelectedScope)</f>
        <v>NATIONAL VIEW — ALL INDIA</v>
      </c>
      <c r="B2" s="33"/>
      <c r="C2" s="33"/>
      <c r="D2" s="33"/>
      <c r="E2" s="33"/>
      <c r="F2" s="33"/>
      <c r="G2" s="33"/>
      <c r="H2" s="33"/>
      <c r="I2" s="33"/>
      <c r="J2" s="33"/>
      <c r="K2" s="33"/>
    </row>
    <row r="3" spans="1:11" ht="16.05" customHeight="1" x14ac:dyDescent="0.3">
      <c r="A3" s="39" t="s">
        <v>190</v>
      </c>
      <c r="B3" s="33"/>
      <c r="C3" s="33"/>
      <c r="D3" s="33"/>
      <c r="E3" s="33"/>
      <c r="F3" s="33"/>
      <c r="G3" s="33"/>
      <c r="H3" s="33"/>
      <c r="I3" s="33"/>
      <c r="J3" s="33"/>
      <c r="K3" s="33"/>
    </row>
    <row r="4" spans="1:11" ht="31.95" customHeight="1" x14ac:dyDescent="0.3">
      <c r="A4" s="15" t="s">
        <v>78</v>
      </c>
      <c r="B4" s="15" t="s">
        <v>191</v>
      </c>
      <c r="C4" s="15" t="s">
        <v>192</v>
      </c>
      <c r="D4" s="15" t="s">
        <v>193</v>
      </c>
      <c r="E4" s="15" t="s">
        <v>71</v>
      </c>
      <c r="F4" s="15" t="s">
        <v>72</v>
      </c>
      <c r="G4" s="15" t="s">
        <v>140</v>
      </c>
      <c r="H4" s="15" t="s">
        <v>97</v>
      </c>
      <c r="I4" s="15" t="s">
        <v>109</v>
      </c>
      <c r="J4" s="15" t="s">
        <v>194</v>
      </c>
      <c r="K4" s="15" t="s">
        <v>195</v>
      </c>
    </row>
    <row r="5" spans="1:11" ht="15" customHeight="1" x14ac:dyDescent="0.3">
      <c r="A5" s="23">
        <v>1</v>
      </c>
      <c r="B5" s="9" t="str">
        <f>IFERROR(IF(SelectedScope="All India",INDEX('RAW_DISTRICT'!$C$4:$C$745,1),INDEX('RAW_DISTRICT'!$C$4:$C$745,MATCH(1,'RAW_DISTRICT'!$V$4:$V$745,0))),"")</f>
        <v>Nicobars</v>
      </c>
      <c r="C5" s="9" t="str">
        <f>IFERROR(IF($B5="","",IF(SelectedScope="All India",INDEX('RAW_DISTRICT'!$B$4:$B$745,1),SelectedScope)),"")</f>
        <v>Andaman and Nicobar Islands</v>
      </c>
      <c r="D5" s="10" t="str">
        <f>IFERROR(IF($B5="","",INDEX('RAW_DISTRICT'!$E$4:$E$745,MATCH(1,('RAW_DISTRICT'!$C$4:$C$745=$B5)*('RAW_DISTRICT'!$B$4:$B$745=$C5),0))),"")</f>
        <v/>
      </c>
      <c r="E5" s="10">
        <f>IFERROR(IF($B5="","",SUMPRODUCT(('RAW_DISTRICT'!$C$4:$C$745=$B5)*('RAW_DISTRICT'!$B$4:$B$745=$C5)*'RAW_DISTRICT'!$F$4:$F$745)),"")</f>
        <v>0</v>
      </c>
      <c r="F5" s="11" t="str">
        <f>IFERROR(IF($B5="","",SUMPRODUCT(('RAW_DISTRICT'!$C$4:$C$745=$B5)*('RAW_DISTRICT'!$B$4:$B$745=$C5)*'RAW_DISTRICT'!$I$4:$I$745)/SUMPRODUCT(('RAW_DISTRICT'!$C$4:$C$745=$B5)*('RAW_DISTRICT'!$B$4:$B$745=$C5)*'RAW_DISTRICT'!$H$4:$H$745)),"")</f>
        <v/>
      </c>
      <c r="G5" s="11" t="str">
        <f>IFERROR(IF($B5="","",SUMPRODUCT(('RAW_DISTRICT'!$C$4:$C$745=$B5)*('RAW_DISTRICT'!$B$4:$B$745=$C5)*'RAW_DISTRICT'!$K$4:$K$745)/SUMPRODUCT(('RAW_DISTRICT'!$C$4:$C$745=$B5)*('RAW_DISTRICT'!$B$4:$B$745=$C5)*'RAW_DISTRICT'!$J$4:$J$745)),"")</f>
        <v/>
      </c>
      <c r="H5" s="11" t="str">
        <f>IFERROR(IF($B5="","",SUMPRODUCT(('RAW_DISTRICT'!$C$4:$C$745=$B5)*('RAW_DISTRICT'!$B$4:$B$745=$C5)*'RAW_DISTRICT'!$M$4:$M$745)/SUMPRODUCT(('RAW_DISTRICT'!$C$4:$C$745=$B5)*('RAW_DISTRICT'!$B$4:$B$745=$C5)*'RAW_DISTRICT'!$L$4:$L$745)),"")</f>
        <v/>
      </c>
      <c r="I5" s="11" t="str">
        <f>IFERROR(IF($B5="","",SUMPRODUCT(('RAW_DISTRICT'!$C$4:$C$745=$B5)*('RAW_DISTRICT'!$B$4:$B$745=$C5)*'RAW_DISTRICT'!$N$4:$N$745)/SUMPRODUCT(('RAW_DISTRICT'!$C$4:$C$745=$B5)*('RAW_DISTRICT'!$B$4:$B$745=$C5)*'RAW_DISTRICT'!$O$4:$O$745)),"")</f>
        <v/>
      </c>
      <c r="J5" s="10" t="str">
        <f>IFERROR(IF($B5="","",INDEX('RAW_DISTRICT'!$R$4:$R$745,MATCH(1,('RAW_DISTRICT'!$C$4:$C$745=$B5)*('RAW_DISTRICT'!$B$4:$B$745=$C5),0))),"")</f>
        <v/>
      </c>
      <c r="K5" s="10" t="str">
        <f>IFERROR(IF($B5="","",INDEX('RAW_DISTRICT'!$S$4:$S$745,MATCH(1,('RAW_DISTRICT'!$C$4:$C$745=$B5)*('RAW_DISTRICT'!$B$4:$B$745=$C5),0))),"")</f>
        <v/>
      </c>
    </row>
    <row r="6" spans="1:11" ht="15" customHeight="1" x14ac:dyDescent="0.3">
      <c r="A6" s="24">
        <v>2</v>
      </c>
      <c r="B6" s="12" t="str">
        <f>IFERROR(IF(SelectedScope="All India",INDEX('RAW_DISTRICT'!$C$4:$C$745,2),INDEX('RAW_DISTRICT'!$C$4:$C$745,MATCH(2,'RAW_DISTRICT'!$V$4:$V$745,0))),"")</f>
        <v>North and Middle Andaman</v>
      </c>
      <c r="C6" s="12" t="str">
        <f>IFERROR(IF($B6="","",IF(SelectedScope="All India",INDEX('RAW_DISTRICT'!$B$4:$B$745,2),SelectedScope)),"")</f>
        <v>Andaman and Nicobar Islands</v>
      </c>
      <c r="D6" s="13" t="str">
        <f>IFERROR(IF($B6="","",INDEX('RAW_DISTRICT'!$E$4:$E$745,MATCH(1,('RAW_DISTRICT'!$C$4:$C$745=$B6)*('RAW_DISTRICT'!$B$4:$B$745=$C6),0))),"")</f>
        <v/>
      </c>
      <c r="E6" s="13">
        <f>IFERROR(IF($B6="","",SUMPRODUCT(('RAW_DISTRICT'!$C$4:$C$745=$B6)*('RAW_DISTRICT'!$B$4:$B$745=$C6)*'RAW_DISTRICT'!$F$4:$F$745)),"")</f>
        <v>0</v>
      </c>
      <c r="F6" s="14" t="str">
        <f>IFERROR(IF($B6="","",SUMPRODUCT(('RAW_DISTRICT'!$C$4:$C$745=$B6)*('RAW_DISTRICT'!$B$4:$B$745=$C6)*'RAW_DISTRICT'!$I$4:$I$745)/SUMPRODUCT(('RAW_DISTRICT'!$C$4:$C$745=$B6)*('RAW_DISTRICT'!$B$4:$B$745=$C6)*'RAW_DISTRICT'!$H$4:$H$745)),"")</f>
        <v/>
      </c>
      <c r="G6" s="14" t="str">
        <f>IFERROR(IF($B6="","",SUMPRODUCT(('RAW_DISTRICT'!$C$4:$C$745=$B6)*('RAW_DISTRICT'!$B$4:$B$745=$C6)*'RAW_DISTRICT'!$K$4:$K$745)/SUMPRODUCT(('RAW_DISTRICT'!$C$4:$C$745=$B6)*('RAW_DISTRICT'!$B$4:$B$745=$C6)*'RAW_DISTRICT'!$J$4:$J$745)),"")</f>
        <v/>
      </c>
      <c r="H6" s="14" t="str">
        <f>IFERROR(IF($B6="","",SUMPRODUCT(('RAW_DISTRICT'!$C$4:$C$745=$B6)*('RAW_DISTRICT'!$B$4:$B$745=$C6)*'RAW_DISTRICT'!$M$4:$M$745)/SUMPRODUCT(('RAW_DISTRICT'!$C$4:$C$745=$B6)*('RAW_DISTRICT'!$B$4:$B$745=$C6)*'RAW_DISTRICT'!$L$4:$L$745)),"")</f>
        <v/>
      </c>
      <c r="I6" s="14" t="str">
        <f>IFERROR(IF($B6="","",SUMPRODUCT(('RAW_DISTRICT'!$C$4:$C$745=$B6)*('RAW_DISTRICT'!$B$4:$B$745=$C6)*'RAW_DISTRICT'!$N$4:$N$745)/SUMPRODUCT(('RAW_DISTRICT'!$C$4:$C$745=$B6)*('RAW_DISTRICT'!$B$4:$B$745=$C6)*'RAW_DISTRICT'!$O$4:$O$745)),"")</f>
        <v/>
      </c>
      <c r="J6" s="13" t="str">
        <f>IFERROR(IF($B6="","",INDEX('RAW_DISTRICT'!$R$4:$R$745,MATCH(1,('RAW_DISTRICT'!$C$4:$C$745=$B6)*('RAW_DISTRICT'!$B$4:$B$745=$C6),0))),"")</f>
        <v/>
      </c>
      <c r="K6" s="13" t="str">
        <f>IFERROR(IF($B6="","",INDEX('RAW_DISTRICT'!$S$4:$S$745,MATCH(1,('RAW_DISTRICT'!$C$4:$C$745=$B6)*('RAW_DISTRICT'!$B$4:$B$745=$C6),0))),"")</f>
        <v/>
      </c>
    </row>
    <row r="7" spans="1:11" ht="15" customHeight="1" x14ac:dyDescent="0.3">
      <c r="A7" s="23">
        <v>3</v>
      </c>
      <c r="B7" s="9" t="str">
        <f>IFERROR(IF(SelectedScope="All India",INDEX('RAW_DISTRICT'!$C$4:$C$745,3),INDEX('RAW_DISTRICT'!$C$4:$C$745,MATCH(3,'RAW_DISTRICT'!$V$4:$V$745,0))),"")</f>
        <v>South Andaman</v>
      </c>
      <c r="C7" s="9" t="str">
        <f>IFERROR(IF($B7="","",IF(SelectedScope="All India",INDEX('RAW_DISTRICT'!$B$4:$B$745,3),SelectedScope)),"")</f>
        <v>Andaman and Nicobar Islands</v>
      </c>
      <c r="D7" s="10" t="str">
        <f>IFERROR(IF($B7="","",INDEX('RAW_DISTRICT'!$E$4:$E$745,MATCH(1,('RAW_DISTRICT'!$C$4:$C$745=$B7)*('RAW_DISTRICT'!$B$4:$B$745=$C7),0))),"")</f>
        <v/>
      </c>
      <c r="E7" s="10">
        <f>IFERROR(IF($B7="","",SUMPRODUCT(('RAW_DISTRICT'!$C$4:$C$745=$B7)*('RAW_DISTRICT'!$B$4:$B$745=$C7)*'RAW_DISTRICT'!$F$4:$F$745)),"")</f>
        <v>0</v>
      </c>
      <c r="F7" s="11" t="str">
        <f>IFERROR(IF($B7="","",SUMPRODUCT(('RAW_DISTRICT'!$C$4:$C$745=$B7)*('RAW_DISTRICT'!$B$4:$B$745=$C7)*'RAW_DISTRICT'!$I$4:$I$745)/SUMPRODUCT(('RAW_DISTRICT'!$C$4:$C$745=$B7)*('RAW_DISTRICT'!$B$4:$B$745=$C7)*'RAW_DISTRICT'!$H$4:$H$745)),"")</f>
        <v/>
      </c>
      <c r="G7" s="11" t="str">
        <f>IFERROR(IF($B7="","",SUMPRODUCT(('RAW_DISTRICT'!$C$4:$C$745=$B7)*('RAW_DISTRICT'!$B$4:$B$745=$C7)*'RAW_DISTRICT'!$K$4:$K$745)/SUMPRODUCT(('RAW_DISTRICT'!$C$4:$C$745=$B7)*('RAW_DISTRICT'!$B$4:$B$745=$C7)*'RAW_DISTRICT'!$J$4:$J$745)),"")</f>
        <v/>
      </c>
      <c r="H7" s="11" t="str">
        <f>IFERROR(IF($B7="","",SUMPRODUCT(('RAW_DISTRICT'!$C$4:$C$745=$B7)*('RAW_DISTRICT'!$B$4:$B$745=$C7)*'RAW_DISTRICT'!$M$4:$M$745)/SUMPRODUCT(('RAW_DISTRICT'!$C$4:$C$745=$B7)*('RAW_DISTRICT'!$B$4:$B$745=$C7)*'RAW_DISTRICT'!$L$4:$L$745)),"")</f>
        <v/>
      </c>
      <c r="I7" s="11" t="str">
        <f>IFERROR(IF($B7="","",SUMPRODUCT(('RAW_DISTRICT'!$C$4:$C$745=$B7)*('RAW_DISTRICT'!$B$4:$B$745=$C7)*'RAW_DISTRICT'!$N$4:$N$745)/SUMPRODUCT(('RAW_DISTRICT'!$C$4:$C$745=$B7)*('RAW_DISTRICT'!$B$4:$B$745=$C7)*'RAW_DISTRICT'!$O$4:$O$745)),"")</f>
        <v/>
      </c>
      <c r="J7" s="10" t="str">
        <f>IFERROR(IF($B7="","",INDEX('RAW_DISTRICT'!$R$4:$R$745,MATCH(1,('RAW_DISTRICT'!$C$4:$C$745=$B7)*('RAW_DISTRICT'!$B$4:$B$745=$C7),0))),"")</f>
        <v/>
      </c>
      <c r="K7" s="10" t="str">
        <f>IFERROR(IF($B7="","",INDEX('RAW_DISTRICT'!$S$4:$S$745,MATCH(1,('RAW_DISTRICT'!$C$4:$C$745=$B7)*('RAW_DISTRICT'!$B$4:$B$745=$C7),0))),"")</f>
        <v/>
      </c>
    </row>
    <row r="8" spans="1:11" ht="15" customHeight="1" x14ac:dyDescent="0.3">
      <c r="A8" s="24">
        <v>4</v>
      </c>
      <c r="B8" s="12" t="str">
        <f>IFERROR(IF(SelectedScope="All India",INDEX('RAW_DISTRICT'!$C$4:$C$745,4),INDEX('RAW_DISTRICT'!$C$4:$C$745,MATCH(4,'RAW_DISTRICT'!$V$4:$V$745,0))),"")</f>
        <v>Alluri Sitharama Raju</v>
      </c>
      <c r="C8" s="12" t="str">
        <f>IFERROR(IF($B8="","",IF(SelectedScope="All India",INDEX('RAW_DISTRICT'!$B$4:$B$745,4),SelectedScope)),"")</f>
        <v>Andhra Pradesh</v>
      </c>
      <c r="D8" s="13" t="str">
        <f>IFERROR(IF($B8="","",INDEX('RAW_DISTRICT'!$E$4:$E$745,MATCH(1,('RAW_DISTRICT'!$C$4:$C$745=$B8)*('RAW_DISTRICT'!$B$4:$B$745=$C8),0))),"")</f>
        <v/>
      </c>
      <c r="E8" s="13">
        <f>IFERROR(IF($B8="","",SUMPRODUCT(('RAW_DISTRICT'!$C$4:$C$745=$B8)*('RAW_DISTRICT'!$B$4:$B$745=$C8)*'RAW_DISTRICT'!$F$4:$F$745)),"")</f>
        <v>0</v>
      </c>
      <c r="F8" s="14" t="str">
        <f>IFERROR(IF($B8="","",SUMPRODUCT(('RAW_DISTRICT'!$C$4:$C$745=$B8)*('RAW_DISTRICT'!$B$4:$B$745=$C8)*'RAW_DISTRICT'!$I$4:$I$745)/SUMPRODUCT(('RAW_DISTRICT'!$C$4:$C$745=$B8)*('RAW_DISTRICT'!$B$4:$B$745=$C8)*'RAW_DISTRICT'!$H$4:$H$745)),"")</f>
        <v/>
      </c>
      <c r="G8" s="14" t="str">
        <f>IFERROR(IF($B8="","",SUMPRODUCT(('RAW_DISTRICT'!$C$4:$C$745=$B8)*('RAW_DISTRICT'!$B$4:$B$745=$C8)*'RAW_DISTRICT'!$K$4:$K$745)/SUMPRODUCT(('RAW_DISTRICT'!$C$4:$C$745=$B8)*('RAW_DISTRICT'!$B$4:$B$745=$C8)*'RAW_DISTRICT'!$J$4:$J$745)),"")</f>
        <v/>
      </c>
      <c r="H8" s="14" t="str">
        <f>IFERROR(IF($B8="","",SUMPRODUCT(('RAW_DISTRICT'!$C$4:$C$745=$B8)*('RAW_DISTRICT'!$B$4:$B$745=$C8)*'RAW_DISTRICT'!$M$4:$M$745)/SUMPRODUCT(('RAW_DISTRICT'!$C$4:$C$745=$B8)*('RAW_DISTRICT'!$B$4:$B$745=$C8)*'RAW_DISTRICT'!$L$4:$L$745)),"")</f>
        <v/>
      </c>
      <c r="I8" s="14" t="str">
        <f>IFERROR(IF($B8="","",SUMPRODUCT(('RAW_DISTRICT'!$C$4:$C$745=$B8)*('RAW_DISTRICT'!$B$4:$B$745=$C8)*'RAW_DISTRICT'!$N$4:$N$745)/SUMPRODUCT(('RAW_DISTRICT'!$C$4:$C$745=$B8)*('RAW_DISTRICT'!$B$4:$B$745=$C8)*'RAW_DISTRICT'!$O$4:$O$745)),"")</f>
        <v/>
      </c>
      <c r="J8" s="13" t="str">
        <f>IFERROR(IF($B8="","",INDEX('RAW_DISTRICT'!$R$4:$R$745,MATCH(1,('RAW_DISTRICT'!$C$4:$C$745=$B8)*('RAW_DISTRICT'!$B$4:$B$745=$C8),0))),"")</f>
        <v/>
      </c>
      <c r="K8" s="13" t="str">
        <f>IFERROR(IF($B8="","",INDEX('RAW_DISTRICT'!$S$4:$S$745,MATCH(1,('RAW_DISTRICT'!$C$4:$C$745=$B8)*('RAW_DISTRICT'!$B$4:$B$745=$C8),0))),"")</f>
        <v/>
      </c>
    </row>
    <row r="9" spans="1:11" ht="15" customHeight="1" x14ac:dyDescent="0.3">
      <c r="A9" s="23">
        <v>5</v>
      </c>
      <c r="B9" s="9" t="str">
        <f>IFERROR(IF(SelectedScope="All India",INDEX('RAW_DISTRICT'!$C$4:$C$745,5),INDEX('RAW_DISTRICT'!$C$4:$C$745,MATCH(5,'RAW_DISTRICT'!$V$4:$V$745,0))),"")</f>
        <v>Anakapalli</v>
      </c>
      <c r="C9" s="9" t="str">
        <f>IFERROR(IF($B9="","",IF(SelectedScope="All India",INDEX('RAW_DISTRICT'!$B$4:$B$745,5),SelectedScope)),"")</f>
        <v>Andhra Pradesh</v>
      </c>
      <c r="D9" s="10" t="str">
        <f>IFERROR(IF($B9="","",INDEX('RAW_DISTRICT'!$E$4:$E$745,MATCH(1,('RAW_DISTRICT'!$C$4:$C$745=$B9)*('RAW_DISTRICT'!$B$4:$B$745=$C9),0))),"")</f>
        <v/>
      </c>
      <c r="E9" s="10">
        <f>IFERROR(IF($B9="","",SUMPRODUCT(('RAW_DISTRICT'!$C$4:$C$745=$B9)*('RAW_DISTRICT'!$B$4:$B$745=$C9)*'RAW_DISTRICT'!$F$4:$F$745)),"")</f>
        <v>0</v>
      </c>
      <c r="F9" s="11" t="str">
        <f>IFERROR(IF($B9="","",SUMPRODUCT(('RAW_DISTRICT'!$C$4:$C$745=$B9)*('RAW_DISTRICT'!$B$4:$B$745=$C9)*'RAW_DISTRICT'!$I$4:$I$745)/SUMPRODUCT(('RAW_DISTRICT'!$C$4:$C$745=$B9)*('RAW_DISTRICT'!$B$4:$B$745=$C9)*'RAW_DISTRICT'!$H$4:$H$745)),"")</f>
        <v/>
      </c>
      <c r="G9" s="11" t="str">
        <f>IFERROR(IF($B9="","",SUMPRODUCT(('RAW_DISTRICT'!$C$4:$C$745=$B9)*('RAW_DISTRICT'!$B$4:$B$745=$C9)*'RAW_DISTRICT'!$K$4:$K$745)/SUMPRODUCT(('RAW_DISTRICT'!$C$4:$C$745=$B9)*('RAW_DISTRICT'!$B$4:$B$745=$C9)*'RAW_DISTRICT'!$J$4:$J$745)),"")</f>
        <v/>
      </c>
      <c r="H9" s="11" t="str">
        <f>IFERROR(IF($B9="","",SUMPRODUCT(('RAW_DISTRICT'!$C$4:$C$745=$B9)*('RAW_DISTRICT'!$B$4:$B$745=$C9)*'RAW_DISTRICT'!$M$4:$M$745)/SUMPRODUCT(('RAW_DISTRICT'!$C$4:$C$745=$B9)*('RAW_DISTRICT'!$B$4:$B$745=$C9)*'RAW_DISTRICT'!$L$4:$L$745)),"")</f>
        <v/>
      </c>
      <c r="I9" s="11" t="str">
        <f>IFERROR(IF($B9="","",SUMPRODUCT(('RAW_DISTRICT'!$C$4:$C$745=$B9)*('RAW_DISTRICT'!$B$4:$B$745=$C9)*'RAW_DISTRICT'!$N$4:$N$745)/SUMPRODUCT(('RAW_DISTRICT'!$C$4:$C$745=$B9)*('RAW_DISTRICT'!$B$4:$B$745=$C9)*'RAW_DISTRICT'!$O$4:$O$745)),"")</f>
        <v/>
      </c>
      <c r="J9" s="10" t="str">
        <f>IFERROR(IF($B9="","",INDEX('RAW_DISTRICT'!$R$4:$R$745,MATCH(1,('RAW_DISTRICT'!$C$4:$C$745=$B9)*('RAW_DISTRICT'!$B$4:$B$745=$C9),0))),"")</f>
        <v/>
      </c>
      <c r="K9" s="10" t="str">
        <f>IFERROR(IF($B9="","",INDEX('RAW_DISTRICT'!$S$4:$S$745,MATCH(1,('RAW_DISTRICT'!$C$4:$C$745=$B9)*('RAW_DISTRICT'!$B$4:$B$745=$C9),0))),"")</f>
        <v/>
      </c>
    </row>
    <row r="10" spans="1:11" ht="15" customHeight="1" x14ac:dyDescent="0.3">
      <c r="A10" s="24">
        <v>6</v>
      </c>
      <c r="B10" s="12" t="str">
        <f>IFERROR(IF(SelectedScope="All India",INDEX('RAW_DISTRICT'!$C$4:$C$745,6),INDEX('RAW_DISTRICT'!$C$4:$C$745,MATCH(6,'RAW_DISTRICT'!$V$4:$V$745,0))),"")</f>
        <v>Ananthapuramu</v>
      </c>
      <c r="C10" s="12" t="str">
        <f>IFERROR(IF($B10="","",IF(SelectedScope="All India",INDEX('RAW_DISTRICT'!$B$4:$B$745,6),SelectedScope)),"")</f>
        <v>Andhra Pradesh</v>
      </c>
      <c r="D10" s="13" t="str">
        <f>IFERROR(IF($B10="","",INDEX('RAW_DISTRICT'!$E$4:$E$745,MATCH(1,('RAW_DISTRICT'!$C$4:$C$745=$B10)*('RAW_DISTRICT'!$B$4:$B$745=$C10),0))),"")</f>
        <v/>
      </c>
      <c r="E10" s="13">
        <f>IFERROR(IF($B10="","",SUMPRODUCT(('RAW_DISTRICT'!$C$4:$C$745=$B10)*('RAW_DISTRICT'!$B$4:$B$745=$C10)*'RAW_DISTRICT'!$F$4:$F$745)),"")</f>
        <v>0</v>
      </c>
      <c r="F10" s="14" t="str">
        <f>IFERROR(IF($B10="","",SUMPRODUCT(('RAW_DISTRICT'!$C$4:$C$745=$B10)*('RAW_DISTRICT'!$B$4:$B$745=$C10)*'RAW_DISTRICT'!$I$4:$I$745)/SUMPRODUCT(('RAW_DISTRICT'!$C$4:$C$745=$B10)*('RAW_DISTRICT'!$B$4:$B$745=$C10)*'RAW_DISTRICT'!$H$4:$H$745)),"")</f>
        <v/>
      </c>
      <c r="G10" s="14" t="str">
        <f>IFERROR(IF($B10="","",SUMPRODUCT(('RAW_DISTRICT'!$C$4:$C$745=$B10)*('RAW_DISTRICT'!$B$4:$B$745=$C10)*'RAW_DISTRICT'!$K$4:$K$745)/SUMPRODUCT(('RAW_DISTRICT'!$C$4:$C$745=$B10)*('RAW_DISTRICT'!$B$4:$B$745=$C10)*'RAW_DISTRICT'!$J$4:$J$745)),"")</f>
        <v/>
      </c>
      <c r="H10" s="14" t="str">
        <f>IFERROR(IF($B10="","",SUMPRODUCT(('RAW_DISTRICT'!$C$4:$C$745=$B10)*('RAW_DISTRICT'!$B$4:$B$745=$C10)*'RAW_DISTRICT'!$M$4:$M$745)/SUMPRODUCT(('RAW_DISTRICT'!$C$4:$C$745=$B10)*('RAW_DISTRICT'!$B$4:$B$745=$C10)*'RAW_DISTRICT'!$L$4:$L$745)),"")</f>
        <v/>
      </c>
      <c r="I10" s="14" t="str">
        <f>IFERROR(IF($B10="","",SUMPRODUCT(('RAW_DISTRICT'!$C$4:$C$745=$B10)*('RAW_DISTRICT'!$B$4:$B$745=$C10)*'RAW_DISTRICT'!$N$4:$N$745)/SUMPRODUCT(('RAW_DISTRICT'!$C$4:$C$745=$B10)*('RAW_DISTRICT'!$B$4:$B$745=$C10)*'RAW_DISTRICT'!$O$4:$O$745)),"")</f>
        <v/>
      </c>
      <c r="J10" s="13" t="str">
        <f>IFERROR(IF($B10="","",INDEX('RAW_DISTRICT'!$R$4:$R$745,MATCH(1,('RAW_DISTRICT'!$C$4:$C$745=$B10)*('RAW_DISTRICT'!$B$4:$B$745=$C10),0))),"")</f>
        <v/>
      </c>
      <c r="K10" s="13" t="str">
        <f>IFERROR(IF($B10="","",INDEX('RAW_DISTRICT'!$S$4:$S$745,MATCH(1,('RAW_DISTRICT'!$C$4:$C$745=$B10)*('RAW_DISTRICT'!$B$4:$B$745=$C10),0))),"")</f>
        <v/>
      </c>
    </row>
    <row r="11" spans="1:11" ht="15" customHeight="1" x14ac:dyDescent="0.3">
      <c r="A11" s="23">
        <v>7</v>
      </c>
      <c r="B11" s="9" t="str">
        <f>IFERROR(IF(SelectedScope="All India",INDEX('RAW_DISTRICT'!$C$4:$C$745,7),INDEX('RAW_DISTRICT'!$C$4:$C$745,MATCH(7,'RAW_DISTRICT'!$V$4:$V$745,0))),"")</f>
        <v>Bapatla</v>
      </c>
      <c r="C11" s="9" t="str">
        <f>IFERROR(IF($B11="","",IF(SelectedScope="All India",INDEX('RAW_DISTRICT'!$B$4:$B$745,7),SelectedScope)),"")</f>
        <v>Andhra Pradesh</v>
      </c>
      <c r="D11" s="10" t="str">
        <f>IFERROR(IF($B11="","",INDEX('RAW_DISTRICT'!$E$4:$E$745,MATCH(1,('RAW_DISTRICT'!$C$4:$C$745=$B11)*('RAW_DISTRICT'!$B$4:$B$745=$C11),0))),"")</f>
        <v/>
      </c>
      <c r="E11" s="10">
        <f>IFERROR(IF($B11="","",SUMPRODUCT(('RAW_DISTRICT'!$C$4:$C$745=$B11)*('RAW_DISTRICT'!$B$4:$B$745=$C11)*'RAW_DISTRICT'!$F$4:$F$745)),"")</f>
        <v>0</v>
      </c>
      <c r="F11" s="11" t="str">
        <f>IFERROR(IF($B11="","",SUMPRODUCT(('RAW_DISTRICT'!$C$4:$C$745=$B11)*('RAW_DISTRICT'!$B$4:$B$745=$C11)*'RAW_DISTRICT'!$I$4:$I$745)/SUMPRODUCT(('RAW_DISTRICT'!$C$4:$C$745=$B11)*('RAW_DISTRICT'!$B$4:$B$745=$C11)*'RAW_DISTRICT'!$H$4:$H$745)),"")</f>
        <v/>
      </c>
      <c r="G11" s="11" t="str">
        <f>IFERROR(IF($B11="","",SUMPRODUCT(('RAW_DISTRICT'!$C$4:$C$745=$B11)*('RAW_DISTRICT'!$B$4:$B$745=$C11)*'RAW_DISTRICT'!$K$4:$K$745)/SUMPRODUCT(('RAW_DISTRICT'!$C$4:$C$745=$B11)*('RAW_DISTRICT'!$B$4:$B$745=$C11)*'RAW_DISTRICT'!$J$4:$J$745)),"")</f>
        <v/>
      </c>
      <c r="H11" s="11" t="str">
        <f>IFERROR(IF($B11="","",SUMPRODUCT(('RAW_DISTRICT'!$C$4:$C$745=$B11)*('RAW_DISTRICT'!$B$4:$B$745=$C11)*'RAW_DISTRICT'!$M$4:$M$745)/SUMPRODUCT(('RAW_DISTRICT'!$C$4:$C$745=$B11)*('RAW_DISTRICT'!$B$4:$B$745=$C11)*'RAW_DISTRICT'!$L$4:$L$745)),"")</f>
        <v/>
      </c>
      <c r="I11" s="11" t="str">
        <f>IFERROR(IF($B11="","",SUMPRODUCT(('RAW_DISTRICT'!$C$4:$C$745=$B11)*('RAW_DISTRICT'!$B$4:$B$745=$C11)*'RAW_DISTRICT'!$N$4:$N$745)/SUMPRODUCT(('RAW_DISTRICT'!$C$4:$C$745=$B11)*('RAW_DISTRICT'!$B$4:$B$745=$C11)*'RAW_DISTRICT'!$O$4:$O$745)),"")</f>
        <v/>
      </c>
      <c r="J11" s="10" t="str">
        <f>IFERROR(IF($B11="","",INDEX('RAW_DISTRICT'!$R$4:$R$745,MATCH(1,('RAW_DISTRICT'!$C$4:$C$745=$B11)*('RAW_DISTRICT'!$B$4:$B$745=$C11),0))),"")</f>
        <v/>
      </c>
      <c r="K11" s="10" t="str">
        <f>IFERROR(IF($B11="","",INDEX('RAW_DISTRICT'!$S$4:$S$745,MATCH(1,('RAW_DISTRICT'!$C$4:$C$745=$B11)*('RAW_DISTRICT'!$B$4:$B$745=$C11),0))),"")</f>
        <v/>
      </c>
    </row>
    <row r="12" spans="1:11" ht="15" customHeight="1" x14ac:dyDescent="0.3">
      <c r="A12" s="24">
        <v>8</v>
      </c>
      <c r="B12" s="12" t="str">
        <f>IFERROR(IF(SelectedScope="All India",INDEX('RAW_DISTRICT'!$C$4:$C$745,8),INDEX('RAW_DISTRICT'!$C$4:$C$745,MATCH(8,'RAW_DISTRICT'!$V$4:$V$745,0))),"")</f>
        <v>Chittoor</v>
      </c>
      <c r="C12" s="12" t="str">
        <f>IFERROR(IF($B12="","",IF(SelectedScope="All India",INDEX('RAW_DISTRICT'!$B$4:$B$745,8),SelectedScope)),"")</f>
        <v>Andhra Pradesh</v>
      </c>
      <c r="D12" s="13" t="str">
        <f>IFERROR(IF($B12="","",INDEX('RAW_DISTRICT'!$E$4:$E$745,MATCH(1,('RAW_DISTRICT'!$C$4:$C$745=$B12)*('RAW_DISTRICT'!$B$4:$B$745=$C12),0))),"")</f>
        <v/>
      </c>
      <c r="E12" s="13">
        <f>IFERROR(IF($B12="","",SUMPRODUCT(('RAW_DISTRICT'!$C$4:$C$745=$B12)*('RAW_DISTRICT'!$B$4:$B$745=$C12)*'RAW_DISTRICT'!$F$4:$F$745)),"")</f>
        <v>0</v>
      </c>
      <c r="F12" s="14" t="str">
        <f>IFERROR(IF($B12="","",SUMPRODUCT(('RAW_DISTRICT'!$C$4:$C$745=$B12)*('RAW_DISTRICT'!$B$4:$B$745=$C12)*'RAW_DISTRICT'!$I$4:$I$745)/SUMPRODUCT(('RAW_DISTRICT'!$C$4:$C$745=$B12)*('RAW_DISTRICT'!$B$4:$B$745=$C12)*'RAW_DISTRICT'!$H$4:$H$745)),"")</f>
        <v/>
      </c>
      <c r="G12" s="14" t="str">
        <f>IFERROR(IF($B12="","",SUMPRODUCT(('RAW_DISTRICT'!$C$4:$C$745=$B12)*('RAW_DISTRICT'!$B$4:$B$745=$C12)*'RAW_DISTRICT'!$K$4:$K$745)/SUMPRODUCT(('RAW_DISTRICT'!$C$4:$C$745=$B12)*('RAW_DISTRICT'!$B$4:$B$745=$C12)*'RAW_DISTRICT'!$J$4:$J$745)),"")</f>
        <v/>
      </c>
      <c r="H12" s="14" t="str">
        <f>IFERROR(IF($B12="","",SUMPRODUCT(('RAW_DISTRICT'!$C$4:$C$745=$B12)*('RAW_DISTRICT'!$B$4:$B$745=$C12)*'RAW_DISTRICT'!$M$4:$M$745)/SUMPRODUCT(('RAW_DISTRICT'!$C$4:$C$745=$B12)*('RAW_DISTRICT'!$B$4:$B$745=$C12)*'RAW_DISTRICT'!$L$4:$L$745)),"")</f>
        <v/>
      </c>
      <c r="I12" s="14" t="str">
        <f>IFERROR(IF($B12="","",SUMPRODUCT(('RAW_DISTRICT'!$C$4:$C$745=$B12)*('RAW_DISTRICT'!$B$4:$B$745=$C12)*'RAW_DISTRICT'!$N$4:$N$745)/SUMPRODUCT(('RAW_DISTRICT'!$C$4:$C$745=$B12)*('RAW_DISTRICT'!$B$4:$B$745=$C12)*'RAW_DISTRICT'!$O$4:$O$745)),"")</f>
        <v/>
      </c>
      <c r="J12" s="13" t="str">
        <f>IFERROR(IF($B12="","",INDEX('RAW_DISTRICT'!$R$4:$R$745,MATCH(1,('RAW_DISTRICT'!$C$4:$C$745=$B12)*('RAW_DISTRICT'!$B$4:$B$745=$C12),0))),"")</f>
        <v/>
      </c>
      <c r="K12" s="13" t="str">
        <f>IFERROR(IF($B12="","",INDEX('RAW_DISTRICT'!$S$4:$S$745,MATCH(1,('RAW_DISTRICT'!$C$4:$C$745=$B12)*('RAW_DISTRICT'!$B$4:$B$745=$C12),0))),"")</f>
        <v/>
      </c>
    </row>
    <row r="13" spans="1:11" ht="15" customHeight="1" x14ac:dyDescent="0.3">
      <c r="A13" s="23">
        <v>9</v>
      </c>
      <c r="B13" s="9" t="str">
        <f>IFERROR(IF(SelectedScope="All India",INDEX('RAW_DISTRICT'!$C$4:$C$745,9),INDEX('RAW_DISTRICT'!$C$4:$C$745,MATCH(9,'RAW_DISTRICT'!$V$4:$V$745,0))),"")</f>
        <v>East Godavari</v>
      </c>
      <c r="C13" s="9" t="str">
        <f>IFERROR(IF($B13="","",IF(SelectedScope="All India",INDEX('RAW_DISTRICT'!$B$4:$B$745,9),SelectedScope)),"")</f>
        <v>Andhra Pradesh</v>
      </c>
      <c r="D13" s="10" t="str">
        <f>IFERROR(IF($B13="","",INDEX('RAW_DISTRICT'!$E$4:$E$745,MATCH(1,('RAW_DISTRICT'!$C$4:$C$745=$B13)*('RAW_DISTRICT'!$B$4:$B$745=$C13),0))),"")</f>
        <v/>
      </c>
      <c r="E13" s="10">
        <f>IFERROR(IF($B13="","",SUMPRODUCT(('RAW_DISTRICT'!$C$4:$C$745=$B13)*('RAW_DISTRICT'!$B$4:$B$745=$C13)*'RAW_DISTRICT'!$F$4:$F$745)),"")</f>
        <v>0</v>
      </c>
      <c r="F13" s="11" t="str">
        <f>IFERROR(IF($B13="","",SUMPRODUCT(('RAW_DISTRICT'!$C$4:$C$745=$B13)*('RAW_DISTRICT'!$B$4:$B$745=$C13)*'RAW_DISTRICT'!$I$4:$I$745)/SUMPRODUCT(('RAW_DISTRICT'!$C$4:$C$745=$B13)*('RAW_DISTRICT'!$B$4:$B$745=$C13)*'RAW_DISTRICT'!$H$4:$H$745)),"")</f>
        <v/>
      </c>
      <c r="G13" s="11" t="str">
        <f>IFERROR(IF($B13="","",SUMPRODUCT(('RAW_DISTRICT'!$C$4:$C$745=$B13)*('RAW_DISTRICT'!$B$4:$B$745=$C13)*'RAW_DISTRICT'!$K$4:$K$745)/SUMPRODUCT(('RAW_DISTRICT'!$C$4:$C$745=$B13)*('RAW_DISTRICT'!$B$4:$B$745=$C13)*'RAW_DISTRICT'!$J$4:$J$745)),"")</f>
        <v/>
      </c>
      <c r="H13" s="11" t="str">
        <f>IFERROR(IF($B13="","",SUMPRODUCT(('RAW_DISTRICT'!$C$4:$C$745=$B13)*('RAW_DISTRICT'!$B$4:$B$745=$C13)*'RAW_DISTRICT'!$M$4:$M$745)/SUMPRODUCT(('RAW_DISTRICT'!$C$4:$C$745=$B13)*('RAW_DISTRICT'!$B$4:$B$745=$C13)*'RAW_DISTRICT'!$L$4:$L$745)),"")</f>
        <v/>
      </c>
      <c r="I13" s="11" t="str">
        <f>IFERROR(IF($B13="","",SUMPRODUCT(('RAW_DISTRICT'!$C$4:$C$745=$B13)*('RAW_DISTRICT'!$B$4:$B$745=$C13)*'RAW_DISTRICT'!$N$4:$N$745)/SUMPRODUCT(('RAW_DISTRICT'!$C$4:$C$745=$B13)*('RAW_DISTRICT'!$B$4:$B$745=$C13)*'RAW_DISTRICT'!$O$4:$O$745)),"")</f>
        <v/>
      </c>
      <c r="J13" s="10" t="str">
        <f>IFERROR(IF($B13="","",INDEX('RAW_DISTRICT'!$R$4:$R$745,MATCH(1,('RAW_DISTRICT'!$C$4:$C$745=$B13)*('RAW_DISTRICT'!$B$4:$B$745=$C13),0))),"")</f>
        <v/>
      </c>
      <c r="K13" s="10" t="str">
        <f>IFERROR(IF($B13="","",INDEX('RAW_DISTRICT'!$S$4:$S$745,MATCH(1,('RAW_DISTRICT'!$C$4:$C$745=$B13)*('RAW_DISTRICT'!$B$4:$B$745=$C13),0))),"")</f>
        <v/>
      </c>
    </row>
    <row r="14" spans="1:11" ht="15" customHeight="1" x14ac:dyDescent="0.3">
      <c r="A14" s="24">
        <v>10</v>
      </c>
      <c r="B14" s="12" t="str">
        <f>IFERROR(IF(SelectedScope="All India",INDEX('RAW_DISTRICT'!$C$4:$C$745,10),INDEX('RAW_DISTRICT'!$C$4:$C$745,MATCH(10,'RAW_DISTRICT'!$V$4:$V$745,0))),"")</f>
        <v>Eluru</v>
      </c>
      <c r="C14" s="12" t="str">
        <f>IFERROR(IF($B14="","",IF(SelectedScope="All India",INDEX('RAW_DISTRICT'!$B$4:$B$745,10),SelectedScope)),"")</f>
        <v>Andhra Pradesh</v>
      </c>
      <c r="D14" s="13" t="str">
        <f>IFERROR(IF($B14="","",INDEX('RAW_DISTRICT'!$E$4:$E$745,MATCH(1,('RAW_DISTRICT'!$C$4:$C$745=$B14)*('RAW_DISTRICT'!$B$4:$B$745=$C14),0))),"")</f>
        <v/>
      </c>
      <c r="E14" s="13">
        <f>IFERROR(IF($B14="","",SUMPRODUCT(('RAW_DISTRICT'!$C$4:$C$745=$B14)*('RAW_DISTRICT'!$B$4:$B$745=$C14)*'RAW_DISTRICT'!$F$4:$F$745)),"")</f>
        <v>0</v>
      </c>
      <c r="F14" s="14" t="str">
        <f>IFERROR(IF($B14="","",SUMPRODUCT(('RAW_DISTRICT'!$C$4:$C$745=$B14)*('RAW_DISTRICT'!$B$4:$B$745=$C14)*'RAW_DISTRICT'!$I$4:$I$745)/SUMPRODUCT(('RAW_DISTRICT'!$C$4:$C$745=$B14)*('RAW_DISTRICT'!$B$4:$B$745=$C14)*'RAW_DISTRICT'!$H$4:$H$745)),"")</f>
        <v/>
      </c>
      <c r="G14" s="14" t="str">
        <f>IFERROR(IF($B14="","",SUMPRODUCT(('RAW_DISTRICT'!$C$4:$C$745=$B14)*('RAW_DISTRICT'!$B$4:$B$745=$C14)*'RAW_DISTRICT'!$K$4:$K$745)/SUMPRODUCT(('RAW_DISTRICT'!$C$4:$C$745=$B14)*('RAW_DISTRICT'!$B$4:$B$745=$C14)*'RAW_DISTRICT'!$J$4:$J$745)),"")</f>
        <v/>
      </c>
      <c r="H14" s="14" t="str">
        <f>IFERROR(IF($B14="","",SUMPRODUCT(('RAW_DISTRICT'!$C$4:$C$745=$B14)*('RAW_DISTRICT'!$B$4:$B$745=$C14)*'RAW_DISTRICT'!$M$4:$M$745)/SUMPRODUCT(('RAW_DISTRICT'!$C$4:$C$745=$B14)*('RAW_DISTRICT'!$B$4:$B$745=$C14)*'RAW_DISTRICT'!$L$4:$L$745)),"")</f>
        <v/>
      </c>
      <c r="I14" s="14" t="str">
        <f>IFERROR(IF($B14="","",SUMPRODUCT(('RAW_DISTRICT'!$C$4:$C$745=$B14)*('RAW_DISTRICT'!$B$4:$B$745=$C14)*'RAW_DISTRICT'!$N$4:$N$745)/SUMPRODUCT(('RAW_DISTRICT'!$C$4:$C$745=$B14)*('RAW_DISTRICT'!$B$4:$B$745=$C14)*'RAW_DISTRICT'!$O$4:$O$745)),"")</f>
        <v/>
      </c>
      <c r="J14" s="13" t="str">
        <f>IFERROR(IF($B14="","",INDEX('RAW_DISTRICT'!$R$4:$R$745,MATCH(1,('RAW_DISTRICT'!$C$4:$C$745=$B14)*('RAW_DISTRICT'!$B$4:$B$745=$C14),0))),"")</f>
        <v/>
      </c>
      <c r="K14" s="13" t="str">
        <f>IFERROR(IF($B14="","",INDEX('RAW_DISTRICT'!$S$4:$S$745,MATCH(1,('RAW_DISTRICT'!$C$4:$C$745=$B14)*('RAW_DISTRICT'!$B$4:$B$745=$C14),0))),"")</f>
        <v/>
      </c>
    </row>
    <row r="15" spans="1:11" ht="15" customHeight="1" x14ac:dyDescent="0.3">
      <c r="A15" s="23">
        <v>11</v>
      </c>
      <c r="B15" s="9" t="str">
        <f>IFERROR(IF(SelectedScope="All India",INDEX('RAW_DISTRICT'!$C$4:$C$745,11),INDEX('RAW_DISTRICT'!$C$4:$C$745,MATCH(11,'RAW_DISTRICT'!$V$4:$V$745,0))),"")</f>
        <v>Guntur</v>
      </c>
      <c r="C15" s="9" t="str">
        <f>IFERROR(IF($B15="","",IF(SelectedScope="All India",INDEX('RAW_DISTRICT'!$B$4:$B$745,11),SelectedScope)),"")</f>
        <v>Andhra Pradesh</v>
      </c>
      <c r="D15" s="10" t="str">
        <f>IFERROR(IF($B15="","",INDEX('RAW_DISTRICT'!$E$4:$E$745,MATCH(1,('RAW_DISTRICT'!$C$4:$C$745=$B15)*('RAW_DISTRICT'!$B$4:$B$745=$C15),0))),"")</f>
        <v/>
      </c>
      <c r="E15" s="10">
        <f>IFERROR(IF($B15="","",SUMPRODUCT(('RAW_DISTRICT'!$C$4:$C$745=$B15)*('RAW_DISTRICT'!$B$4:$B$745=$C15)*'RAW_DISTRICT'!$F$4:$F$745)),"")</f>
        <v>0</v>
      </c>
      <c r="F15" s="11" t="str">
        <f>IFERROR(IF($B15="","",SUMPRODUCT(('RAW_DISTRICT'!$C$4:$C$745=$B15)*('RAW_DISTRICT'!$B$4:$B$745=$C15)*'RAW_DISTRICT'!$I$4:$I$745)/SUMPRODUCT(('RAW_DISTRICT'!$C$4:$C$745=$B15)*('RAW_DISTRICT'!$B$4:$B$745=$C15)*'RAW_DISTRICT'!$H$4:$H$745)),"")</f>
        <v/>
      </c>
      <c r="G15" s="11" t="str">
        <f>IFERROR(IF($B15="","",SUMPRODUCT(('RAW_DISTRICT'!$C$4:$C$745=$B15)*('RAW_DISTRICT'!$B$4:$B$745=$C15)*'RAW_DISTRICT'!$K$4:$K$745)/SUMPRODUCT(('RAW_DISTRICT'!$C$4:$C$745=$B15)*('RAW_DISTRICT'!$B$4:$B$745=$C15)*'RAW_DISTRICT'!$J$4:$J$745)),"")</f>
        <v/>
      </c>
      <c r="H15" s="11" t="str">
        <f>IFERROR(IF($B15="","",SUMPRODUCT(('RAW_DISTRICT'!$C$4:$C$745=$B15)*('RAW_DISTRICT'!$B$4:$B$745=$C15)*'RAW_DISTRICT'!$M$4:$M$745)/SUMPRODUCT(('RAW_DISTRICT'!$C$4:$C$745=$B15)*('RAW_DISTRICT'!$B$4:$B$745=$C15)*'RAW_DISTRICT'!$L$4:$L$745)),"")</f>
        <v/>
      </c>
      <c r="I15" s="11" t="str">
        <f>IFERROR(IF($B15="","",SUMPRODUCT(('RAW_DISTRICT'!$C$4:$C$745=$B15)*('RAW_DISTRICT'!$B$4:$B$745=$C15)*'RAW_DISTRICT'!$N$4:$N$745)/SUMPRODUCT(('RAW_DISTRICT'!$C$4:$C$745=$B15)*('RAW_DISTRICT'!$B$4:$B$745=$C15)*'RAW_DISTRICT'!$O$4:$O$745)),"")</f>
        <v/>
      </c>
      <c r="J15" s="10" t="str">
        <f>IFERROR(IF($B15="","",INDEX('RAW_DISTRICT'!$R$4:$R$745,MATCH(1,('RAW_DISTRICT'!$C$4:$C$745=$B15)*('RAW_DISTRICT'!$B$4:$B$745=$C15),0))),"")</f>
        <v/>
      </c>
      <c r="K15" s="10" t="str">
        <f>IFERROR(IF($B15="","",INDEX('RAW_DISTRICT'!$S$4:$S$745,MATCH(1,('RAW_DISTRICT'!$C$4:$C$745=$B15)*('RAW_DISTRICT'!$B$4:$B$745=$C15),0))),"")</f>
        <v/>
      </c>
    </row>
    <row r="16" spans="1:11" ht="15" customHeight="1" x14ac:dyDescent="0.3">
      <c r="A16" s="24">
        <v>12</v>
      </c>
      <c r="B16" s="12" t="str">
        <f>IFERROR(IF(SelectedScope="All India",INDEX('RAW_DISTRICT'!$C$4:$C$745,12),INDEX('RAW_DISTRICT'!$C$4:$C$745,MATCH(12,'RAW_DISTRICT'!$V$4:$V$745,0))),"")</f>
        <v>Kakinada</v>
      </c>
      <c r="C16" s="12" t="str">
        <f>IFERROR(IF($B16="","",IF(SelectedScope="All India",INDEX('RAW_DISTRICT'!$B$4:$B$745,12),SelectedScope)),"")</f>
        <v>Andhra Pradesh</v>
      </c>
      <c r="D16" s="13" t="str">
        <f>IFERROR(IF($B16="","",INDEX('RAW_DISTRICT'!$E$4:$E$745,MATCH(1,('RAW_DISTRICT'!$C$4:$C$745=$B16)*('RAW_DISTRICT'!$B$4:$B$745=$C16),0))),"")</f>
        <v/>
      </c>
      <c r="E16" s="13">
        <f>IFERROR(IF($B16="","",SUMPRODUCT(('RAW_DISTRICT'!$C$4:$C$745=$B16)*('RAW_DISTRICT'!$B$4:$B$745=$C16)*'RAW_DISTRICT'!$F$4:$F$745)),"")</f>
        <v>0</v>
      </c>
      <c r="F16" s="14" t="str">
        <f>IFERROR(IF($B16="","",SUMPRODUCT(('RAW_DISTRICT'!$C$4:$C$745=$B16)*('RAW_DISTRICT'!$B$4:$B$745=$C16)*'RAW_DISTRICT'!$I$4:$I$745)/SUMPRODUCT(('RAW_DISTRICT'!$C$4:$C$745=$B16)*('RAW_DISTRICT'!$B$4:$B$745=$C16)*'RAW_DISTRICT'!$H$4:$H$745)),"")</f>
        <v/>
      </c>
      <c r="G16" s="14" t="str">
        <f>IFERROR(IF($B16="","",SUMPRODUCT(('RAW_DISTRICT'!$C$4:$C$745=$B16)*('RAW_DISTRICT'!$B$4:$B$745=$C16)*'RAW_DISTRICT'!$K$4:$K$745)/SUMPRODUCT(('RAW_DISTRICT'!$C$4:$C$745=$B16)*('RAW_DISTRICT'!$B$4:$B$745=$C16)*'RAW_DISTRICT'!$J$4:$J$745)),"")</f>
        <v/>
      </c>
      <c r="H16" s="14" t="str">
        <f>IFERROR(IF($B16="","",SUMPRODUCT(('RAW_DISTRICT'!$C$4:$C$745=$B16)*('RAW_DISTRICT'!$B$4:$B$745=$C16)*'RAW_DISTRICT'!$M$4:$M$745)/SUMPRODUCT(('RAW_DISTRICT'!$C$4:$C$745=$B16)*('RAW_DISTRICT'!$B$4:$B$745=$C16)*'RAW_DISTRICT'!$L$4:$L$745)),"")</f>
        <v/>
      </c>
      <c r="I16" s="14" t="str">
        <f>IFERROR(IF($B16="","",SUMPRODUCT(('RAW_DISTRICT'!$C$4:$C$745=$B16)*('RAW_DISTRICT'!$B$4:$B$745=$C16)*'RAW_DISTRICT'!$N$4:$N$745)/SUMPRODUCT(('RAW_DISTRICT'!$C$4:$C$745=$B16)*('RAW_DISTRICT'!$B$4:$B$745=$C16)*'RAW_DISTRICT'!$O$4:$O$745)),"")</f>
        <v/>
      </c>
      <c r="J16" s="13" t="str">
        <f>IFERROR(IF($B16="","",INDEX('RAW_DISTRICT'!$R$4:$R$745,MATCH(1,('RAW_DISTRICT'!$C$4:$C$745=$B16)*('RAW_DISTRICT'!$B$4:$B$745=$C16),0))),"")</f>
        <v/>
      </c>
      <c r="K16" s="13" t="str">
        <f>IFERROR(IF($B16="","",INDEX('RAW_DISTRICT'!$S$4:$S$745,MATCH(1,('RAW_DISTRICT'!$C$4:$C$745=$B16)*('RAW_DISTRICT'!$B$4:$B$745=$C16),0))),"")</f>
        <v/>
      </c>
    </row>
    <row r="17" spans="1:11" ht="15" customHeight="1" x14ac:dyDescent="0.3">
      <c r="A17" s="23">
        <v>13</v>
      </c>
      <c r="B17" s="9" t="str">
        <f>IFERROR(IF(SelectedScope="All India",INDEX('RAW_DISTRICT'!$C$4:$C$745,13),INDEX('RAW_DISTRICT'!$C$4:$C$745,MATCH(13,'RAW_DISTRICT'!$V$4:$V$745,0))),"")</f>
        <v>Krishna</v>
      </c>
      <c r="C17" s="9" t="str">
        <f>IFERROR(IF($B17="","",IF(SelectedScope="All India",INDEX('RAW_DISTRICT'!$B$4:$B$745,13),SelectedScope)),"")</f>
        <v>Andhra Pradesh</v>
      </c>
      <c r="D17" s="10" t="str">
        <f>IFERROR(IF($B17="","",INDEX('RAW_DISTRICT'!$E$4:$E$745,MATCH(1,('RAW_DISTRICT'!$C$4:$C$745=$B17)*('RAW_DISTRICT'!$B$4:$B$745=$C17),0))),"")</f>
        <v/>
      </c>
      <c r="E17" s="10">
        <f>IFERROR(IF($B17="","",SUMPRODUCT(('RAW_DISTRICT'!$C$4:$C$745=$B17)*('RAW_DISTRICT'!$B$4:$B$745=$C17)*'RAW_DISTRICT'!$F$4:$F$745)),"")</f>
        <v>0</v>
      </c>
      <c r="F17" s="11" t="str">
        <f>IFERROR(IF($B17="","",SUMPRODUCT(('RAW_DISTRICT'!$C$4:$C$745=$B17)*('RAW_DISTRICT'!$B$4:$B$745=$C17)*'RAW_DISTRICT'!$I$4:$I$745)/SUMPRODUCT(('RAW_DISTRICT'!$C$4:$C$745=$B17)*('RAW_DISTRICT'!$B$4:$B$745=$C17)*'RAW_DISTRICT'!$H$4:$H$745)),"")</f>
        <v/>
      </c>
      <c r="G17" s="11" t="str">
        <f>IFERROR(IF($B17="","",SUMPRODUCT(('RAW_DISTRICT'!$C$4:$C$745=$B17)*('RAW_DISTRICT'!$B$4:$B$745=$C17)*'RAW_DISTRICT'!$K$4:$K$745)/SUMPRODUCT(('RAW_DISTRICT'!$C$4:$C$745=$B17)*('RAW_DISTRICT'!$B$4:$B$745=$C17)*'RAW_DISTRICT'!$J$4:$J$745)),"")</f>
        <v/>
      </c>
      <c r="H17" s="11" t="str">
        <f>IFERROR(IF($B17="","",SUMPRODUCT(('RAW_DISTRICT'!$C$4:$C$745=$B17)*('RAW_DISTRICT'!$B$4:$B$745=$C17)*'RAW_DISTRICT'!$M$4:$M$745)/SUMPRODUCT(('RAW_DISTRICT'!$C$4:$C$745=$B17)*('RAW_DISTRICT'!$B$4:$B$745=$C17)*'RAW_DISTRICT'!$L$4:$L$745)),"")</f>
        <v/>
      </c>
      <c r="I17" s="11" t="str">
        <f>IFERROR(IF($B17="","",SUMPRODUCT(('RAW_DISTRICT'!$C$4:$C$745=$B17)*('RAW_DISTRICT'!$B$4:$B$745=$C17)*'RAW_DISTRICT'!$N$4:$N$745)/SUMPRODUCT(('RAW_DISTRICT'!$C$4:$C$745=$B17)*('RAW_DISTRICT'!$B$4:$B$745=$C17)*'RAW_DISTRICT'!$O$4:$O$745)),"")</f>
        <v/>
      </c>
      <c r="J17" s="10" t="str">
        <f>IFERROR(IF($B17="","",INDEX('RAW_DISTRICT'!$R$4:$R$745,MATCH(1,('RAW_DISTRICT'!$C$4:$C$745=$B17)*('RAW_DISTRICT'!$B$4:$B$745=$C17),0))),"")</f>
        <v/>
      </c>
      <c r="K17" s="10" t="str">
        <f>IFERROR(IF($B17="","",INDEX('RAW_DISTRICT'!$S$4:$S$745,MATCH(1,('RAW_DISTRICT'!$C$4:$C$745=$B17)*('RAW_DISTRICT'!$B$4:$B$745=$C17),0))),"")</f>
        <v/>
      </c>
    </row>
    <row r="18" spans="1:11" ht="15" customHeight="1" x14ac:dyDescent="0.3">
      <c r="A18" s="24">
        <v>14</v>
      </c>
      <c r="B18" s="12" t="str">
        <f>IFERROR(IF(SelectedScope="All India",INDEX('RAW_DISTRICT'!$C$4:$C$745,14),INDEX('RAW_DISTRICT'!$C$4:$C$745,MATCH(14,'RAW_DISTRICT'!$V$4:$V$745,0))),"")</f>
        <v>Kurnool</v>
      </c>
      <c r="C18" s="12" t="str">
        <f>IFERROR(IF($B18="","",IF(SelectedScope="All India",INDEX('RAW_DISTRICT'!$B$4:$B$745,14),SelectedScope)),"")</f>
        <v>Andhra Pradesh</v>
      </c>
      <c r="D18" s="13" t="str">
        <f>IFERROR(IF($B18="","",INDEX('RAW_DISTRICT'!$E$4:$E$745,MATCH(1,('RAW_DISTRICT'!$C$4:$C$745=$B18)*('RAW_DISTRICT'!$B$4:$B$745=$C18),0))),"")</f>
        <v/>
      </c>
      <c r="E18" s="13">
        <f>IFERROR(IF($B18="","",SUMPRODUCT(('RAW_DISTRICT'!$C$4:$C$745=$B18)*('RAW_DISTRICT'!$B$4:$B$745=$C18)*'RAW_DISTRICT'!$F$4:$F$745)),"")</f>
        <v>0</v>
      </c>
      <c r="F18" s="14" t="str">
        <f>IFERROR(IF($B18="","",SUMPRODUCT(('RAW_DISTRICT'!$C$4:$C$745=$B18)*('RAW_DISTRICT'!$B$4:$B$745=$C18)*'RAW_DISTRICT'!$I$4:$I$745)/SUMPRODUCT(('RAW_DISTRICT'!$C$4:$C$745=$B18)*('RAW_DISTRICT'!$B$4:$B$745=$C18)*'RAW_DISTRICT'!$H$4:$H$745)),"")</f>
        <v/>
      </c>
      <c r="G18" s="14" t="str">
        <f>IFERROR(IF($B18="","",SUMPRODUCT(('RAW_DISTRICT'!$C$4:$C$745=$B18)*('RAW_DISTRICT'!$B$4:$B$745=$C18)*'RAW_DISTRICT'!$K$4:$K$745)/SUMPRODUCT(('RAW_DISTRICT'!$C$4:$C$745=$B18)*('RAW_DISTRICT'!$B$4:$B$745=$C18)*'RAW_DISTRICT'!$J$4:$J$745)),"")</f>
        <v/>
      </c>
      <c r="H18" s="14" t="str">
        <f>IFERROR(IF($B18="","",SUMPRODUCT(('RAW_DISTRICT'!$C$4:$C$745=$B18)*('RAW_DISTRICT'!$B$4:$B$745=$C18)*'RAW_DISTRICT'!$M$4:$M$745)/SUMPRODUCT(('RAW_DISTRICT'!$C$4:$C$745=$B18)*('RAW_DISTRICT'!$B$4:$B$745=$C18)*'RAW_DISTRICT'!$L$4:$L$745)),"")</f>
        <v/>
      </c>
      <c r="I18" s="14" t="str">
        <f>IFERROR(IF($B18="","",SUMPRODUCT(('RAW_DISTRICT'!$C$4:$C$745=$B18)*('RAW_DISTRICT'!$B$4:$B$745=$C18)*'RAW_DISTRICT'!$N$4:$N$745)/SUMPRODUCT(('RAW_DISTRICT'!$C$4:$C$745=$B18)*('RAW_DISTRICT'!$B$4:$B$745=$C18)*'RAW_DISTRICT'!$O$4:$O$745)),"")</f>
        <v/>
      </c>
      <c r="J18" s="13" t="str">
        <f>IFERROR(IF($B18="","",INDEX('RAW_DISTRICT'!$R$4:$R$745,MATCH(1,('RAW_DISTRICT'!$C$4:$C$745=$B18)*('RAW_DISTRICT'!$B$4:$B$745=$C18),0))),"")</f>
        <v/>
      </c>
      <c r="K18" s="13" t="str">
        <f>IFERROR(IF($B18="","",INDEX('RAW_DISTRICT'!$S$4:$S$745,MATCH(1,('RAW_DISTRICT'!$C$4:$C$745=$B18)*('RAW_DISTRICT'!$B$4:$B$745=$C18),0))),"")</f>
        <v/>
      </c>
    </row>
    <row r="19" spans="1:11" ht="15" customHeight="1" x14ac:dyDescent="0.3">
      <c r="A19" s="23">
        <v>15</v>
      </c>
      <c r="B19" s="9" t="str">
        <f>IFERROR(IF(SelectedScope="All India",INDEX('RAW_DISTRICT'!$C$4:$C$745,15),INDEX('RAW_DISTRICT'!$C$4:$C$745,MATCH(15,'RAW_DISTRICT'!$V$4:$V$745,0))),"")</f>
        <v>Nandyal</v>
      </c>
      <c r="C19" s="9" t="str">
        <f>IFERROR(IF($B19="","",IF(SelectedScope="All India",INDEX('RAW_DISTRICT'!$B$4:$B$745,15),SelectedScope)),"")</f>
        <v>Andhra Pradesh</v>
      </c>
      <c r="D19" s="10" t="str">
        <f>IFERROR(IF($B19="","",INDEX('RAW_DISTRICT'!$E$4:$E$745,MATCH(1,('RAW_DISTRICT'!$C$4:$C$745=$B19)*('RAW_DISTRICT'!$B$4:$B$745=$C19),0))),"")</f>
        <v/>
      </c>
      <c r="E19" s="10">
        <f>IFERROR(IF($B19="","",SUMPRODUCT(('RAW_DISTRICT'!$C$4:$C$745=$B19)*('RAW_DISTRICT'!$B$4:$B$745=$C19)*'RAW_DISTRICT'!$F$4:$F$745)),"")</f>
        <v>0</v>
      </c>
      <c r="F19" s="11" t="str">
        <f>IFERROR(IF($B19="","",SUMPRODUCT(('RAW_DISTRICT'!$C$4:$C$745=$B19)*('RAW_DISTRICT'!$B$4:$B$745=$C19)*'RAW_DISTRICT'!$I$4:$I$745)/SUMPRODUCT(('RAW_DISTRICT'!$C$4:$C$745=$B19)*('RAW_DISTRICT'!$B$4:$B$745=$C19)*'RAW_DISTRICT'!$H$4:$H$745)),"")</f>
        <v/>
      </c>
      <c r="G19" s="11" t="str">
        <f>IFERROR(IF($B19="","",SUMPRODUCT(('RAW_DISTRICT'!$C$4:$C$745=$B19)*('RAW_DISTRICT'!$B$4:$B$745=$C19)*'RAW_DISTRICT'!$K$4:$K$745)/SUMPRODUCT(('RAW_DISTRICT'!$C$4:$C$745=$B19)*('RAW_DISTRICT'!$B$4:$B$745=$C19)*'RAW_DISTRICT'!$J$4:$J$745)),"")</f>
        <v/>
      </c>
      <c r="H19" s="11" t="str">
        <f>IFERROR(IF($B19="","",SUMPRODUCT(('RAW_DISTRICT'!$C$4:$C$745=$B19)*('RAW_DISTRICT'!$B$4:$B$745=$C19)*'RAW_DISTRICT'!$M$4:$M$745)/SUMPRODUCT(('RAW_DISTRICT'!$C$4:$C$745=$B19)*('RAW_DISTRICT'!$B$4:$B$745=$C19)*'RAW_DISTRICT'!$L$4:$L$745)),"")</f>
        <v/>
      </c>
      <c r="I19" s="11" t="str">
        <f>IFERROR(IF($B19="","",SUMPRODUCT(('RAW_DISTRICT'!$C$4:$C$745=$B19)*('RAW_DISTRICT'!$B$4:$B$745=$C19)*'RAW_DISTRICT'!$N$4:$N$745)/SUMPRODUCT(('RAW_DISTRICT'!$C$4:$C$745=$B19)*('RAW_DISTRICT'!$B$4:$B$745=$C19)*'RAW_DISTRICT'!$O$4:$O$745)),"")</f>
        <v/>
      </c>
      <c r="J19" s="10" t="str">
        <f>IFERROR(IF($B19="","",INDEX('RAW_DISTRICT'!$R$4:$R$745,MATCH(1,('RAW_DISTRICT'!$C$4:$C$745=$B19)*('RAW_DISTRICT'!$B$4:$B$745=$C19),0))),"")</f>
        <v/>
      </c>
      <c r="K19" s="10" t="str">
        <f>IFERROR(IF($B19="","",INDEX('RAW_DISTRICT'!$S$4:$S$745,MATCH(1,('RAW_DISTRICT'!$C$4:$C$745=$B19)*('RAW_DISTRICT'!$B$4:$B$745=$C19),0))),"")</f>
        <v/>
      </c>
    </row>
    <row r="20" spans="1:11" ht="15" customHeight="1" x14ac:dyDescent="0.3">
      <c r="A20" s="24">
        <v>16</v>
      </c>
      <c r="B20" s="12" t="str">
        <f>IFERROR(IF(SelectedScope="All India",INDEX('RAW_DISTRICT'!$C$4:$C$745,16),INDEX('RAW_DISTRICT'!$C$4:$C$745,MATCH(16,'RAW_DISTRICT'!$V$4:$V$745,0))),"")</f>
        <v>Nellore</v>
      </c>
      <c r="C20" s="12" t="str">
        <f>IFERROR(IF($B20="","",IF(SelectedScope="All India",INDEX('RAW_DISTRICT'!$B$4:$B$745,16),SelectedScope)),"")</f>
        <v>Andhra Pradesh</v>
      </c>
      <c r="D20" s="13" t="str">
        <f>IFERROR(IF($B20="","",INDEX('RAW_DISTRICT'!$E$4:$E$745,MATCH(1,('RAW_DISTRICT'!$C$4:$C$745=$B20)*('RAW_DISTRICT'!$B$4:$B$745=$C20),0))),"")</f>
        <v/>
      </c>
      <c r="E20" s="13">
        <f>IFERROR(IF($B20="","",SUMPRODUCT(('RAW_DISTRICT'!$C$4:$C$745=$B20)*('RAW_DISTRICT'!$B$4:$B$745=$C20)*'RAW_DISTRICT'!$F$4:$F$745)),"")</f>
        <v>0</v>
      </c>
      <c r="F20" s="14" t="str">
        <f>IFERROR(IF($B20="","",SUMPRODUCT(('RAW_DISTRICT'!$C$4:$C$745=$B20)*('RAW_DISTRICT'!$B$4:$B$745=$C20)*'RAW_DISTRICT'!$I$4:$I$745)/SUMPRODUCT(('RAW_DISTRICT'!$C$4:$C$745=$B20)*('RAW_DISTRICT'!$B$4:$B$745=$C20)*'RAW_DISTRICT'!$H$4:$H$745)),"")</f>
        <v/>
      </c>
      <c r="G20" s="14" t="str">
        <f>IFERROR(IF($B20="","",SUMPRODUCT(('RAW_DISTRICT'!$C$4:$C$745=$B20)*('RAW_DISTRICT'!$B$4:$B$745=$C20)*'RAW_DISTRICT'!$K$4:$K$745)/SUMPRODUCT(('RAW_DISTRICT'!$C$4:$C$745=$B20)*('RAW_DISTRICT'!$B$4:$B$745=$C20)*'RAW_DISTRICT'!$J$4:$J$745)),"")</f>
        <v/>
      </c>
      <c r="H20" s="14" t="str">
        <f>IFERROR(IF($B20="","",SUMPRODUCT(('RAW_DISTRICT'!$C$4:$C$745=$B20)*('RAW_DISTRICT'!$B$4:$B$745=$C20)*'RAW_DISTRICT'!$M$4:$M$745)/SUMPRODUCT(('RAW_DISTRICT'!$C$4:$C$745=$B20)*('RAW_DISTRICT'!$B$4:$B$745=$C20)*'RAW_DISTRICT'!$L$4:$L$745)),"")</f>
        <v/>
      </c>
      <c r="I20" s="14" t="str">
        <f>IFERROR(IF($B20="","",SUMPRODUCT(('RAW_DISTRICT'!$C$4:$C$745=$B20)*('RAW_DISTRICT'!$B$4:$B$745=$C20)*'RAW_DISTRICT'!$N$4:$N$745)/SUMPRODUCT(('RAW_DISTRICT'!$C$4:$C$745=$B20)*('RAW_DISTRICT'!$B$4:$B$745=$C20)*'RAW_DISTRICT'!$O$4:$O$745)),"")</f>
        <v/>
      </c>
      <c r="J20" s="13" t="str">
        <f>IFERROR(IF($B20="","",INDEX('RAW_DISTRICT'!$R$4:$R$745,MATCH(1,('RAW_DISTRICT'!$C$4:$C$745=$B20)*('RAW_DISTRICT'!$B$4:$B$745=$C20),0))),"")</f>
        <v/>
      </c>
      <c r="K20" s="13" t="str">
        <f>IFERROR(IF($B20="","",INDEX('RAW_DISTRICT'!$S$4:$S$745,MATCH(1,('RAW_DISTRICT'!$C$4:$C$745=$B20)*('RAW_DISTRICT'!$B$4:$B$745=$C20),0))),"")</f>
        <v/>
      </c>
    </row>
    <row r="21" spans="1:11" ht="15" customHeight="1" x14ac:dyDescent="0.3">
      <c r="A21" s="23">
        <v>17</v>
      </c>
      <c r="B21" s="9" t="str">
        <f>IFERROR(IF(SelectedScope="All India",INDEX('RAW_DISTRICT'!$C$4:$C$745,17),INDEX('RAW_DISTRICT'!$C$4:$C$745,MATCH(17,'RAW_DISTRICT'!$V$4:$V$745,0))),"")</f>
        <v>Palnadu</v>
      </c>
      <c r="C21" s="9" t="str">
        <f>IFERROR(IF($B21="","",IF(SelectedScope="All India",INDEX('RAW_DISTRICT'!$B$4:$B$745,17),SelectedScope)),"")</f>
        <v>Andhra Pradesh</v>
      </c>
      <c r="D21" s="10" t="str">
        <f>IFERROR(IF($B21="","",INDEX('RAW_DISTRICT'!$E$4:$E$745,MATCH(1,('RAW_DISTRICT'!$C$4:$C$745=$B21)*('RAW_DISTRICT'!$B$4:$B$745=$C21),0))),"")</f>
        <v/>
      </c>
      <c r="E21" s="10">
        <f>IFERROR(IF($B21="","",SUMPRODUCT(('RAW_DISTRICT'!$C$4:$C$745=$B21)*('RAW_DISTRICT'!$B$4:$B$745=$C21)*'RAW_DISTRICT'!$F$4:$F$745)),"")</f>
        <v>0</v>
      </c>
      <c r="F21" s="11" t="str">
        <f>IFERROR(IF($B21="","",SUMPRODUCT(('RAW_DISTRICT'!$C$4:$C$745=$B21)*('RAW_DISTRICT'!$B$4:$B$745=$C21)*'RAW_DISTRICT'!$I$4:$I$745)/SUMPRODUCT(('RAW_DISTRICT'!$C$4:$C$745=$B21)*('RAW_DISTRICT'!$B$4:$B$745=$C21)*'RAW_DISTRICT'!$H$4:$H$745)),"")</f>
        <v/>
      </c>
      <c r="G21" s="11" t="str">
        <f>IFERROR(IF($B21="","",SUMPRODUCT(('RAW_DISTRICT'!$C$4:$C$745=$B21)*('RAW_DISTRICT'!$B$4:$B$745=$C21)*'RAW_DISTRICT'!$K$4:$K$745)/SUMPRODUCT(('RAW_DISTRICT'!$C$4:$C$745=$B21)*('RAW_DISTRICT'!$B$4:$B$745=$C21)*'RAW_DISTRICT'!$J$4:$J$745)),"")</f>
        <v/>
      </c>
      <c r="H21" s="11" t="str">
        <f>IFERROR(IF($B21="","",SUMPRODUCT(('RAW_DISTRICT'!$C$4:$C$745=$B21)*('RAW_DISTRICT'!$B$4:$B$745=$C21)*'RAW_DISTRICT'!$M$4:$M$745)/SUMPRODUCT(('RAW_DISTRICT'!$C$4:$C$745=$B21)*('RAW_DISTRICT'!$B$4:$B$745=$C21)*'RAW_DISTRICT'!$L$4:$L$745)),"")</f>
        <v/>
      </c>
      <c r="I21" s="11" t="str">
        <f>IFERROR(IF($B21="","",SUMPRODUCT(('RAW_DISTRICT'!$C$4:$C$745=$B21)*('RAW_DISTRICT'!$B$4:$B$745=$C21)*'RAW_DISTRICT'!$N$4:$N$745)/SUMPRODUCT(('RAW_DISTRICT'!$C$4:$C$745=$B21)*('RAW_DISTRICT'!$B$4:$B$745=$C21)*'RAW_DISTRICT'!$O$4:$O$745)),"")</f>
        <v/>
      </c>
      <c r="J21" s="10" t="str">
        <f>IFERROR(IF($B21="","",INDEX('RAW_DISTRICT'!$R$4:$R$745,MATCH(1,('RAW_DISTRICT'!$C$4:$C$745=$B21)*('RAW_DISTRICT'!$B$4:$B$745=$C21),0))),"")</f>
        <v/>
      </c>
      <c r="K21" s="10" t="str">
        <f>IFERROR(IF($B21="","",INDEX('RAW_DISTRICT'!$S$4:$S$745,MATCH(1,('RAW_DISTRICT'!$C$4:$C$745=$B21)*('RAW_DISTRICT'!$B$4:$B$745=$C21),0))),"")</f>
        <v/>
      </c>
    </row>
    <row r="22" spans="1:11" ht="15" customHeight="1" x14ac:dyDescent="0.3">
      <c r="A22" s="24">
        <v>18</v>
      </c>
      <c r="B22" s="12" t="str">
        <f>IFERROR(IF(SelectedScope="All India",INDEX('RAW_DISTRICT'!$C$4:$C$745,18),INDEX('RAW_DISTRICT'!$C$4:$C$745,MATCH(18,'RAW_DISTRICT'!$V$4:$V$745,0))),"")</f>
        <v>Prakasam</v>
      </c>
      <c r="C22" s="12" t="str">
        <f>IFERROR(IF($B22="","",IF(SelectedScope="All India",INDEX('RAW_DISTRICT'!$B$4:$B$745,18),SelectedScope)),"")</f>
        <v>Andhra Pradesh</v>
      </c>
      <c r="D22" s="13" t="str">
        <f>IFERROR(IF($B22="","",INDEX('RAW_DISTRICT'!$E$4:$E$745,MATCH(1,('RAW_DISTRICT'!$C$4:$C$745=$B22)*('RAW_DISTRICT'!$B$4:$B$745=$C22),0))),"")</f>
        <v/>
      </c>
      <c r="E22" s="13">
        <f>IFERROR(IF($B22="","",SUMPRODUCT(('RAW_DISTRICT'!$C$4:$C$745=$B22)*('RAW_DISTRICT'!$B$4:$B$745=$C22)*'RAW_DISTRICT'!$F$4:$F$745)),"")</f>
        <v>0</v>
      </c>
      <c r="F22" s="14" t="str">
        <f>IFERROR(IF($B22="","",SUMPRODUCT(('RAW_DISTRICT'!$C$4:$C$745=$B22)*('RAW_DISTRICT'!$B$4:$B$745=$C22)*'RAW_DISTRICT'!$I$4:$I$745)/SUMPRODUCT(('RAW_DISTRICT'!$C$4:$C$745=$B22)*('RAW_DISTRICT'!$B$4:$B$745=$C22)*'RAW_DISTRICT'!$H$4:$H$745)),"")</f>
        <v/>
      </c>
      <c r="G22" s="14" t="str">
        <f>IFERROR(IF($B22="","",SUMPRODUCT(('RAW_DISTRICT'!$C$4:$C$745=$B22)*('RAW_DISTRICT'!$B$4:$B$745=$C22)*'RAW_DISTRICT'!$K$4:$K$745)/SUMPRODUCT(('RAW_DISTRICT'!$C$4:$C$745=$B22)*('RAW_DISTRICT'!$B$4:$B$745=$C22)*'RAW_DISTRICT'!$J$4:$J$745)),"")</f>
        <v/>
      </c>
      <c r="H22" s="14" t="str">
        <f>IFERROR(IF($B22="","",SUMPRODUCT(('RAW_DISTRICT'!$C$4:$C$745=$B22)*('RAW_DISTRICT'!$B$4:$B$745=$C22)*'RAW_DISTRICT'!$M$4:$M$745)/SUMPRODUCT(('RAW_DISTRICT'!$C$4:$C$745=$B22)*('RAW_DISTRICT'!$B$4:$B$745=$C22)*'RAW_DISTRICT'!$L$4:$L$745)),"")</f>
        <v/>
      </c>
      <c r="I22" s="14" t="str">
        <f>IFERROR(IF($B22="","",SUMPRODUCT(('RAW_DISTRICT'!$C$4:$C$745=$B22)*('RAW_DISTRICT'!$B$4:$B$745=$C22)*'RAW_DISTRICT'!$N$4:$N$745)/SUMPRODUCT(('RAW_DISTRICT'!$C$4:$C$745=$B22)*('RAW_DISTRICT'!$B$4:$B$745=$C22)*'RAW_DISTRICT'!$O$4:$O$745)),"")</f>
        <v/>
      </c>
      <c r="J22" s="13" t="str">
        <f>IFERROR(IF($B22="","",INDEX('RAW_DISTRICT'!$R$4:$R$745,MATCH(1,('RAW_DISTRICT'!$C$4:$C$745=$B22)*('RAW_DISTRICT'!$B$4:$B$745=$C22),0))),"")</f>
        <v/>
      </c>
      <c r="K22" s="13" t="str">
        <f>IFERROR(IF($B22="","",INDEX('RAW_DISTRICT'!$S$4:$S$745,MATCH(1,('RAW_DISTRICT'!$C$4:$C$745=$B22)*('RAW_DISTRICT'!$B$4:$B$745=$C22),0))),"")</f>
        <v/>
      </c>
    </row>
    <row r="23" spans="1:11" ht="15" customHeight="1" x14ac:dyDescent="0.3">
      <c r="A23" s="23">
        <v>19</v>
      </c>
      <c r="B23" s="9" t="str">
        <f>IFERROR(IF(SelectedScope="All India",INDEX('RAW_DISTRICT'!$C$4:$C$745,19),INDEX('RAW_DISTRICT'!$C$4:$C$745,MATCH(19,'RAW_DISTRICT'!$V$4:$V$745,0))),"")</f>
        <v>Srikakulam</v>
      </c>
      <c r="C23" s="9" t="str">
        <f>IFERROR(IF($B23="","",IF(SelectedScope="All India",INDEX('RAW_DISTRICT'!$B$4:$B$745,19),SelectedScope)),"")</f>
        <v>Andhra Pradesh</v>
      </c>
      <c r="D23" s="10" t="str">
        <f>IFERROR(IF($B23="","",INDEX('RAW_DISTRICT'!$E$4:$E$745,MATCH(1,('RAW_DISTRICT'!$C$4:$C$745=$B23)*('RAW_DISTRICT'!$B$4:$B$745=$C23),0))),"")</f>
        <v/>
      </c>
      <c r="E23" s="10">
        <f>IFERROR(IF($B23="","",SUMPRODUCT(('RAW_DISTRICT'!$C$4:$C$745=$B23)*('RAW_DISTRICT'!$B$4:$B$745=$C23)*'RAW_DISTRICT'!$F$4:$F$745)),"")</f>
        <v>0</v>
      </c>
      <c r="F23" s="11" t="str">
        <f>IFERROR(IF($B23="","",SUMPRODUCT(('RAW_DISTRICT'!$C$4:$C$745=$B23)*('RAW_DISTRICT'!$B$4:$B$745=$C23)*'RAW_DISTRICT'!$I$4:$I$745)/SUMPRODUCT(('RAW_DISTRICT'!$C$4:$C$745=$B23)*('RAW_DISTRICT'!$B$4:$B$745=$C23)*'RAW_DISTRICT'!$H$4:$H$745)),"")</f>
        <v/>
      </c>
      <c r="G23" s="11" t="str">
        <f>IFERROR(IF($B23="","",SUMPRODUCT(('RAW_DISTRICT'!$C$4:$C$745=$B23)*('RAW_DISTRICT'!$B$4:$B$745=$C23)*'RAW_DISTRICT'!$K$4:$K$745)/SUMPRODUCT(('RAW_DISTRICT'!$C$4:$C$745=$B23)*('RAW_DISTRICT'!$B$4:$B$745=$C23)*'RAW_DISTRICT'!$J$4:$J$745)),"")</f>
        <v/>
      </c>
      <c r="H23" s="11" t="str">
        <f>IFERROR(IF($B23="","",SUMPRODUCT(('RAW_DISTRICT'!$C$4:$C$745=$B23)*('RAW_DISTRICT'!$B$4:$B$745=$C23)*'RAW_DISTRICT'!$M$4:$M$745)/SUMPRODUCT(('RAW_DISTRICT'!$C$4:$C$745=$B23)*('RAW_DISTRICT'!$B$4:$B$745=$C23)*'RAW_DISTRICT'!$L$4:$L$745)),"")</f>
        <v/>
      </c>
      <c r="I23" s="11" t="str">
        <f>IFERROR(IF($B23="","",SUMPRODUCT(('RAW_DISTRICT'!$C$4:$C$745=$B23)*('RAW_DISTRICT'!$B$4:$B$745=$C23)*'RAW_DISTRICT'!$N$4:$N$745)/SUMPRODUCT(('RAW_DISTRICT'!$C$4:$C$745=$B23)*('RAW_DISTRICT'!$B$4:$B$745=$C23)*'RAW_DISTRICT'!$O$4:$O$745)),"")</f>
        <v/>
      </c>
      <c r="J23" s="10" t="str">
        <f>IFERROR(IF($B23="","",INDEX('RAW_DISTRICT'!$R$4:$R$745,MATCH(1,('RAW_DISTRICT'!$C$4:$C$745=$B23)*('RAW_DISTRICT'!$B$4:$B$745=$C23),0))),"")</f>
        <v/>
      </c>
      <c r="K23" s="10" t="str">
        <f>IFERROR(IF($B23="","",INDEX('RAW_DISTRICT'!$S$4:$S$745,MATCH(1,('RAW_DISTRICT'!$C$4:$C$745=$B23)*('RAW_DISTRICT'!$B$4:$B$745=$C23),0))),"")</f>
        <v/>
      </c>
    </row>
    <row r="24" spans="1:11" ht="15" customHeight="1" x14ac:dyDescent="0.3">
      <c r="A24" s="24">
        <v>20</v>
      </c>
      <c r="B24" s="12" t="str">
        <f>IFERROR(IF(SelectedScope="All India",INDEX('RAW_DISTRICT'!$C$4:$C$745,20),INDEX('RAW_DISTRICT'!$C$4:$C$745,MATCH(20,'RAW_DISTRICT'!$V$4:$V$745,0))),"")</f>
        <v>Tirupati</v>
      </c>
      <c r="C24" s="12" t="str">
        <f>IFERROR(IF($B24="","",IF(SelectedScope="All India",INDEX('RAW_DISTRICT'!$B$4:$B$745,20),SelectedScope)),"")</f>
        <v>Andhra Pradesh</v>
      </c>
      <c r="D24" s="13" t="str">
        <f>IFERROR(IF($B24="","",INDEX('RAW_DISTRICT'!$E$4:$E$745,MATCH(1,('RAW_DISTRICT'!$C$4:$C$745=$B24)*('RAW_DISTRICT'!$B$4:$B$745=$C24),0))),"")</f>
        <v/>
      </c>
      <c r="E24" s="13">
        <f>IFERROR(IF($B24="","",SUMPRODUCT(('RAW_DISTRICT'!$C$4:$C$745=$B24)*('RAW_DISTRICT'!$B$4:$B$745=$C24)*'RAW_DISTRICT'!$F$4:$F$745)),"")</f>
        <v>0</v>
      </c>
      <c r="F24" s="14" t="str">
        <f>IFERROR(IF($B24="","",SUMPRODUCT(('RAW_DISTRICT'!$C$4:$C$745=$B24)*('RAW_DISTRICT'!$B$4:$B$745=$C24)*'RAW_DISTRICT'!$I$4:$I$745)/SUMPRODUCT(('RAW_DISTRICT'!$C$4:$C$745=$B24)*('RAW_DISTRICT'!$B$4:$B$745=$C24)*'RAW_DISTRICT'!$H$4:$H$745)),"")</f>
        <v/>
      </c>
      <c r="G24" s="14" t="str">
        <f>IFERROR(IF($B24="","",SUMPRODUCT(('RAW_DISTRICT'!$C$4:$C$745=$B24)*('RAW_DISTRICT'!$B$4:$B$745=$C24)*'RAW_DISTRICT'!$K$4:$K$745)/SUMPRODUCT(('RAW_DISTRICT'!$C$4:$C$745=$B24)*('RAW_DISTRICT'!$B$4:$B$745=$C24)*'RAW_DISTRICT'!$J$4:$J$745)),"")</f>
        <v/>
      </c>
      <c r="H24" s="14" t="str">
        <f>IFERROR(IF($B24="","",SUMPRODUCT(('RAW_DISTRICT'!$C$4:$C$745=$B24)*('RAW_DISTRICT'!$B$4:$B$745=$C24)*'RAW_DISTRICT'!$M$4:$M$745)/SUMPRODUCT(('RAW_DISTRICT'!$C$4:$C$745=$B24)*('RAW_DISTRICT'!$B$4:$B$745=$C24)*'RAW_DISTRICT'!$L$4:$L$745)),"")</f>
        <v/>
      </c>
      <c r="I24" s="14" t="str">
        <f>IFERROR(IF($B24="","",SUMPRODUCT(('RAW_DISTRICT'!$C$4:$C$745=$B24)*('RAW_DISTRICT'!$B$4:$B$745=$C24)*'RAW_DISTRICT'!$N$4:$N$745)/SUMPRODUCT(('RAW_DISTRICT'!$C$4:$C$745=$B24)*('RAW_DISTRICT'!$B$4:$B$745=$C24)*'RAW_DISTRICT'!$O$4:$O$745)),"")</f>
        <v/>
      </c>
      <c r="J24" s="13" t="str">
        <f>IFERROR(IF($B24="","",INDEX('RAW_DISTRICT'!$R$4:$R$745,MATCH(1,('RAW_DISTRICT'!$C$4:$C$745=$B24)*('RAW_DISTRICT'!$B$4:$B$745=$C24),0))),"")</f>
        <v/>
      </c>
      <c r="K24" s="13" t="str">
        <f>IFERROR(IF($B24="","",INDEX('RAW_DISTRICT'!$S$4:$S$745,MATCH(1,('RAW_DISTRICT'!$C$4:$C$745=$B24)*('RAW_DISTRICT'!$B$4:$B$745=$C24),0))),"")</f>
        <v/>
      </c>
    </row>
    <row r="25" spans="1:11" ht="15" customHeight="1" x14ac:dyDescent="0.3">
      <c r="A25" s="23">
        <v>21</v>
      </c>
      <c r="B25" s="9" t="str">
        <f>IFERROR(IF(SelectedScope="All India",INDEX('RAW_DISTRICT'!$C$4:$C$745,21),INDEX('RAW_DISTRICT'!$C$4:$C$745,MATCH(21,'RAW_DISTRICT'!$V$4:$V$745,0))),"")</f>
        <v>Visakhapatnam</v>
      </c>
      <c r="C25" s="9" t="str">
        <f>IFERROR(IF($B25="","",IF(SelectedScope="All India",INDEX('RAW_DISTRICT'!$B$4:$B$745,21),SelectedScope)),"")</f>
        <v>Andhra Pradesh</v>
      </c>
      <c r="D25" s="10" t="str">
        <f>IFERROR(IF($B25="","",INDEX('RAW_DISTRICT'!$E$4:$E$745,MATCH(1,('RAW_DISTRICT'!$C$4:$C$745=$B25)*('RAW_DISTRICT'!$B$4:$B$745=$C25),0))),"")</f>
        <v/>
      </c>
      <c r="E25" s="10">
        <f>IFERROR(IF($B25="","",SUMPRODUCT(('RAW_DISTRICT'!$C$4:$C$745=$B25)*('RAW_DISTRICT'!$B$4:$B$745=$C25)*'RAW_DISTRICT'!$F$4:$F$745)),"")</f>
        <v>0</v>
      </c>
      <c r="F25" s="11" t="str">
        <f>IFERROR(IF($B25="","",SUMPRODUCT(('RAW_DISTRICT'!$C$4:$C$745=$B25)*('RAW_DISTRICT'!$B$4:$B$745=$C25)*'RAW_DISTRICT'!$I$4:$I$745)/SUMPRODUCT(('RAW_DISTRICT'!$C$4:$C$745=$B25)*('RAW_DISTRICT'!$B$4:$B$745=$C25)*'RAW_DISTRICT'!$H$4:$H$745)),"")</f>
        <v/>
      </c>
      <c r="G25" s="11" t="str">
        <f>IFERROR(IF($B25="","",SUMPRODUCT(('RAW_DISTRICT'!$C$4:$C$745=$B25)*('RAW_DISTRICT'!$B$4:$B$745=$C25)*'RAW_DISTRICT'!$K$4:$K$745)/SUMPRODUCT(('RAW_DISTRICT'!$C$4:$C$745=$B25)*('RAW_DISTRICT'!$B$4:$B$745=$C25)*'RAW_DISTRICT'!$J$4:$J$745)),"")</f>
        <v/>
      </c>
      <c r="H25" s="11" t="str">
        <f>IFERROR(IF($B25="","",SUMPRODUCT(('RAW_DISTRICT'!$C$4:$C$745=$B25)*('RAW_DISTRICT'!$B$4:$B$745=$C25)*'RAW_DISTRICT'!$M$4:$M$745)/SUMPRODUCT(('RAW_DISTRICT'!$C$4:$C$745=$B25)*('RAW_DISTRICT'!$B$4:$B$745=$C25)*'RAW_DISTRICT'!$L$4:$L$745)),"")</f>
        <v/>
      </c>
      <c r="I25" s="11" t="str">
        <f>IFERROR(IF($B25="","",SUMPRODUCT(('RAW_DISTRICT'!$C$4:$C$745=$B25)*('RAW_DISTRICT'!$B$4:$B$745=$C25)*'RAW_DISTRICT'!$N$4:$N$745)/SUMPRODUCT(('RAW_DISTRICT'!$C$4:$C$745=$B25)*('RAW_DISTRICT'!$B$4:$B$745=$C25)*'RAW_DISTRICT'!$O$4:$O$745)),"")</f>
        <v/>
      </c>
      <c r="J25" s="10" t="str">
        <f>IFERROR(IF($B25="","",INDEX('RAW_DISTRICT'!$R$4:$R$745,MATCH(1,('RAW_DISTRICT'!$C$4:$C$745=$B25)*('RAW_DISTRICT'!$B$4:$B$745=$C25),0))),"")</f>
        <v/>
      </c>
      <c r="K25" s="10" t="str">
        <f>IFERROR(IF($B25="","",INDEX('RAW_DISTRICT'!$S$4:$S$745,MATCH(1,('RAW_DISTRICT'!$C$4:$C$745=$B25)*('RAW_DISTRICT'!$B$4:$B$745=$C25),0))),"")</f>
        <v/>
      </c>
    </row>
    <row r="26" spans="1:11" ht="15" customHeight="1" x14ac:dyDescent="0.3">
      <c r="A26" s="24">
        <v>22</v>
      </c>
      <c r="B26" s="12" t="str">
        <f>IFERROR(IF(SelectedScope="All India",INDEX('RAW_DISTRICT'!$C$4:$C$745,22),INDEX('RAW_DISTRICT'!$C$4:$C$745,MATCH(22,'RAW_DISTRICT'!$V$4:$V$745,0))),"")</f>
        <v>Vizianagaram</v>
      </c>
      <c r="C26" s="12" t="str">
        <f>IFERROR(IF($B26="","",IF(SelectedScope="All India",INDEX('RAW_DISTRICT'!$B$4:$B$745,22),SelectedScope)),"")</f>
        <v>Andhra Pradesh</v>
      </c>
      <c r="D26" s="13" t="str">
        <f>IFERROR(IF($B26="","",INDEX('RAW_DISTRICT'!$E$4:$E$745,MATCH(1,('RAW_DISTRICT'!$C$4:$C$745=$B26)*('RAW_DISTRICT'!$B$4:$B$745=$C26),0))),"")</f>
        <v/>
      </c>
      <c r="E26" s="13">
        <f>IFERROR(IF($B26="","",SUMPRODUCT(('RAW_DISTRICT'!$C$4:$C$745=$B26)*('RAW_DISTRICT'!$B$4:$B$745=$C26)*'RAW_DISTRICT'!$F$4:$F$745)),"")</f>
        <v>0</v>
      </c>
      <c r="F26" s="14" t="str">
        <f>IFERROR(IF($B26="","",SUMPRODUCT(('RAW_DISTRICT'!$C$4:$C$745=$B26)*('RAW_DISTRICT'!$B$4:$B$745=$C26)*'RAW_DISTRICT'!$I$4:$I$745)/SUMPRODUCT(('RAW_DISTRICT'!$C$4:$C$745=$B26)*('RAW_DISTRICT'!$B$4:$B$745=$C26)*'RAW_DISTRICT'!$H$4:$H$745)),"")</f>
        <v/>
      </c>
      <c r="G26" s="14" t="str">
        <f>IFERROR(IF($B26="","",SUMPRODUCT(('RAW_DISTRICT'!$C$4:$C$745=$B26)*('RAW_DISTRICT'!$B$4:$B$745=$C26)*'RAW_DISTRICT'!$K$4:$K$745)/SUMPRODUCT(('RAW_DISTRICT'!$C$4:$C$745=$B26)*('RAW_DISTRICT'!$B$4:$B$745=$C26)*'RAW_DISTRICT'!$J$4:$J$745)),"")</f>
        <v/>
      </c>
      <c r="H26" s="14" t="str">
        <f>IFERROR(IF($B26="","",SUMPRODUCT(('RAW_DISTRICT'!$C$4:$C$745=$B26)*('RAW_DISTRICT'!$B$4:$B$745=$C26)*'RAW_DISTRICT'!$M$4:$M$745)/SUMPRODUCT(('RAW_DISTRICT'!$C$4:$C$745=$B26)*('RAW_DISTRICT'!$B$4:$B$745=$C26)*'RAW_DISTRICT'!$L$4:$L$745)),"")</f>
        <v/>
      </c>
      <c r="I26" s="14" t="str">
        <f>IFERROR(IF($B26="","",SUMPRODUCT(('RAW_DISTRICT'!$C$4:$C$745=$B26)*('RAW_DISTRICT'!$B$4:$B$745=$C26)*'RAW_DISTRICT'!$N$4:$N$745)/SUMPRODUCT(('RAW_DISTRICT'!$C$4:$C$745=$B26)*('RAW_DISTRICT'!$B$4:$B$745=$C26)*'RAW_DISTRICT'!$O$4:$O$745)),"")</f>
        <v/>
      </c>
      <c r="J26" s="13" t="str">
        <f>IFERROR(IF($B26="","",INDEX('RAW_DISTRICT'!$R$4:$R$745,MATCH(1,('RAW_DISTRICT'!$C$4:$C$745=$B26)*('RAW_DISTRICT'!$B$4:$B$745=$C26),0))),"")</f>
        <v/>
      </c>
      <c r="K26" s="13" t="str">
        <f>IFERROR(IF($B26="","",INDEX('RAW_DISTRICT'!$S$4:$S$745,MATCH(1,('RAW_DISTRICT'!$C$4:$C$745=$B26)*('RAW_DISTRICT'!$B$4:$B$745=$C26),0))),"")</f>
        <v/>
      </c>
    </row>
    <row r="27" spans="1:11" ht="15" customHeight="1" x14ac:dyDescent="0.3">
      <c r="A27" s="23">
        <v>23</v>
      </c>
      <c r="B27" s="9" t="str">
        <f>IFERROR(IF(SelectedScope="All India",INDEX('RAW_DISTRICT'!$C$4:$C$745,23),INDEX('RAW_DISTRICT'!$C$4:$C$745,MATCH(23,'RAW_DISTRICT'!$V$4:$V$745,0))),"")</f>
        <v>West Godavari</v>
      </c>
      <c r="C27" s="9" t="str">
        <f>IFERROR(IF($B27="","",IF(SelectedScope="All India",INDEX('RAW_DISTRICT'!$B$4:$B$745,23),SelectedScope)),"")</f>
        <v>Andhra Pradesh</v>
      </c>
      <c r="D27" s="10" t="str">
        <f>IFERROR(IF($B27="","",INDEX('RAW_DISTRICT'!$E$4:$E$745,MATCH(1,('RAW_DISTRICT'!$C$4:$C$745=$B27)*('RAW_DISTRICT'!$B$4:$B$745=$C27),0))),"")</f>
        <v/>
      </c>
      <c r="E27" s="10">
        <f>IFERROR(IF($B27="","",SUMPRODUCT(('RAW_DISTRICT'!$C$4:$C$745=$B27)*('RAW_DISTRICT'!$B$4:$B$745=$C27)*'RAW_DISTRICT'!$F$4:$F$745)),"")</f>
        <v>0</v>
      </c>
      <c r="F27" s="11" t="str">
        <f>IFERROR(IF($B27="","",SUMPRODUCT(('RAW_DISTRICT'!$C$4:$C$745=$B27)*('RAW_DISTRICT'!$B$4:$B$745=$C27)*'RAW_DISTRICT'!$I$4:$I$745)/SUMPRODUCT(('RAW_DISTRICT'!$C$4:$C$745=$B27)*('RAW_DISTRICT'!$B$4:$B$745=$C27)*'RAW_DISTRICT'!$H$4:$H$745)),"")</f>
        <v/>
      </c>
      <c r="G27" s="11" t="str">
        <f>IFERROR(IF($B27="","",SUMPRODUCT(('RAW_DISTRICT'!$C$4:$C$745=$B27)*('RAW_DISTRICT'!$B$4:$B$745=$C27)*'RAW_DISTRICT'!$K$4:$K$745)/SUMPRODUCT(('RAW_DISTRICT'!$C$4:$C$745=$B27)*('RAW_DISTRICT'!$B$4:$B$745=$C27)*'RAW_DISTRICT'!$J$4:$J$745)),"")</f>
        <v/>
      </c>
      <c r="H27" s="11" t="str">
        <f>IFERROR(IF($B27="","",SUMPRODUCT(('RAW_DISTRICT'!$C$4:$C$745=$B27)*('RAW_DISTRICT'!$B$4:$B$745=$C27)*'RAW_DISTRICT'!$M$4:$M$745)/SUMPRODUCT(('RAW_DISTRICT'!$C$4:$C$745=$B27)*('RAW_DISTRICT'!$B$4:$B$745=$C27)*'RAW_DISTRICT'!$L$4:$L$745)),"")</f>
        <v/>
      </c>
      <c r="I27" s="11" t="str">
        <f>IFERROR(IF($B27="","",SUMPRODUCT(('RAW_DISTRICT'!$C$4:$C$745=$B27)*('RAW_DISTRICT'!$B$4:$B$745=$C27)*'RAW_DISTRICT'!$N$4:$N$745)/SUMPRODUCT(('RAW_DISTRICT'!$C$4:$C$745=$B27)*('RAW_DISTRICT'!$B$4:$B$745=$C27)*'RAW_DISTRICT'!$O$4:$O$745)),"")</f>
        <v/>
      </c>
      <c r="J27" s="10" t="str">
        <f>IFERROR(IF($B27="","",INDEX('RAW_DISTRICT'!$R$4:$R$745,MATCH(1,('RAW_DISTRICT'!$C$4:$C$745=$B27)*('RAW_DISTRICT'!$B$4:$B$745=$C27),0))),"")</f>
        <v/>
      </c>
      <c r="K27" s="10" t="str">
        <f>IFERROR(IF($B27="","",INDEX('RAW_DISTRICT'!$S$4:$S$745,MATCH(1,('RAW_DISTRICT'!$C$4:$C$745=$B27)*('RAW_DISTRICT'!$B$4:$B$745=$C27),0))),"")</f>
        <v/>
      </c>
    </row>
    <row r="28" spans="1:11" ht="15" customHeight="1" x14ac:dyDescent="0.3">
      <c r="A28" s="24">
        <v>24</v>
      </c>
      <c r="B28" s="12" t="str">
        <f>IFERROR(IF(SelectedScope="All India",INDEX('RAW_DISTRICT'!$C$4:$C$745,24),INDEX('RAW_DISTRICT'!$C$4:$C$745,MATCH(24,'RAW_DISTRICT'!$V$4:$V$745,0))),"")</f>
        <v>YSR Kadapa</v>
      </c>
      <c r="C28" s="12" t="str">
        <f>IFERROR(IF($B28="","",IF(SelectedScope="All India",INDEX('RAW_DISTRICT'!$B$4:$B$745,24),SelectedScope)),"")</f>
        <v>Andhra Pradesh</v>
      </c>
      <c r="D28" s="13" t="str">
        <f>IFERROR(IF($B28="","",INDEX('RAW_DISTRICT'!$E$4:$E$745,MATCH(1,('RAW_DISTRICT'!$C$4:$C$745=$B28)*('RAW_DISTRICT'!$B$4:$B$745=$C28),0))),"")</f>
        <v/>
      </c>
      <c r="E28" s="13">
        <f>IFERROR(IF($B28="","",SUMPRODUCT(('RAW_DISTRICT'!$C$4:$C$745=$B28)*('RAW_DISTRICT'!$B$4:$B$745=$C28)*'RAW_DISTRICT'!$F$4:$F$745)),"")</f>
        <v>0</v>
      </c>
      <c r="F28" s="14" t="str">
        <f>IFERROR(IF($B28="","",SUMPRODUCT(('RAW_DISTRICT'!$C$4:$C$745=$B28)*('RAW_DISTRICT'!$B$4:$B$745=$C28)*'RAW_DISTRICT'!$I$4:$I$745)/SUMPRODUCT(('RAW_DISTRICT'!$C$4:$C$745=$B28)*('RAW_DISTRICT'!$B$4:$B$745=$C28)*'RAW_DISTRICT'!$H$4:$H$745)),"")</f>
        <v/>
      </c>
      <c r="G28" s="14" t="str">
        <f>IFERROR(IF($B28="","",SUMPRODUCT(('RAW_DISTRICT'!$C$4:$C$745=$B28)*('RAW_DISTRICT'!$B$4:$B$745=$C28)*'RAW_DISTRICT'!$K$4:$K$745)/SUMPRODUCT(('RAW_DISTRICT'!$C$4:$C$745=$B28)*('RAW_DISTRICT'!$B$4:$B$745=$C28)*'RAW_DISTRICT'!$J$4:$J$745)),"")</f>
        <v/>
      </c>
      <c r="H28" s="14" t="str">
        <f>IFERROR(IF($B28="","",SUMPRODUCT(('RAW_DISTRICT'!$C$4:$C$745=$B28)*('RAW_DISTRICT'!$B$4:$B$745=$C28)*'RAW_DISTRICT'!$M$4:$M$745)/SUMPRODUCT(('RAW_DISTRICT'!$C$4:$C$745=$B28)*('RAW_DISTRICT'!$B$4:$B$745=$C28)*'RAW_DISTRICT'!$L$4:$L$745)),"")</f>
        <v/>
      </c>
      <c r="I28" s="14" t="str">
        <f>IFERROR(IF($B28="","",SUMPRODUCT(('RAW_DISTRICT'!$C$4:$C$745=$B28)*('RAW_DISTRICT'!$B$4:$B$745=$C28)*'RAW_DISTRICT'!$N$4:$N$745)/SUMPRODUCT(('RAW_DISTRICT'!$C$4:$C$745=$B28)*('RAW_DISTRICT'!$B$4:$B$745=$C28)*'RAW_DISTRICT'!$O$4:$O$745)),"")</f>
        <v/>
      </c>
      <c r="J28" s="13" t="str">
        <f>IFERROR(IF($B28="","",INDEX('RAW_DISTRICT'!$R$4:$R$745,MATCH(1,('RAW_DISTRICT'!$C$4:$C$745=$B28)*('RAW_DISTRICT'!$B$4:$B$745=$C28),0))),"")</f>
        <v/>
      </c>
      <c r="K28" s="13" t="str">
        <f>IFERROR(IF($B28="","",INDEX('RAW_DISTRICT'!$S$4:$S$745,MATCH(1,('RAW_DISTRICT'!$C$4:$C$745=$B28)*('RAW_DISTRICT'!$B$4:$B$745=$C28),0))),"")</f>
        <v/>
      </c>
    </row>
    <row r="29" spans="1:11" ht="15" customHeight="1" x14ac:dyDescent="0.3">
      <c r="A29" s="23">
        <v>25</v>
      </c>
      <c r="B29" s="9" t="str">
        <f>IFERROR(IF(SelectedScope="All India",INDEX('RAW_DISTRICT'!$C$4:$C$745,25),INDEX('RAW_DISTRICT'!$C$4:$C$745,MATCH(25,'RAW_DISTRICT'!$V$4:$V$745,0))),"")</f>
        <v>Anjaw</v>
      </c>
      <c r="C29" s="9" t="str">
        <f>IFERROR(IF($B29="","",IF(SelectedScope="All India",INDEX('RAW_DISTRICT'!$B$4:$B$745,25),SelectedScope)),"")</f>
        <v>Arunachal Pradesh</v>
      </c>
      <c r="D29" s="10" t="str">
        <f>IFERROR(IF($B29="","",INDEX('RAW_DISTRICT'!$E$4:$E$745,MATCH(1,('RAW_DISTRICT'!$C$4:$C$745=$B29)*('RAW_DISTRICT'!$B$4:$B$745=$C29),0))),"")</f>
        <v/>
      </c>
      <c r="E29" s="10">
        <f>IFERROR(IF($B29="","",SUMPRODUCT(('RAW_DISTRICT'!$C$4:$C$745=$B29)*('RAW_DISTRICT'!$B$4:$B$745=$C29)*'RAW_DISTRICT'!$F$4:$F$745)),"")</f>
        <v>0</v>
      </c>
      <c r="F29" s="11" t="str">
        <f>IFERROR(IF($B29="","",SUMPRODUCT(('RAW_DISTRICT'!$C$4:$C$745=$B29)*('RAW_DISTRICT'!$B$4:$B$745=$C29)*'RAW_DISTRICT'!$I$4:$I$745)/SUMPRODUCT(('RAW_DISTRICT'!$C$4:$C$745=$B29)*('RAW_DISTRICT'!$B$4:$B$745=$C29)*'RAW_DISTRICT'!$H$4:$H$745)),"")</f>
        <v/>
      </c>
      <c r="G29" s="11" t="str">
        <f>IFERROR(IF($B29="","",SUMPRODUCT(('RAW_DISTRICT'!$C$4:$C$745=$B29)*('RAW_DISTRICT'!$B$4:$B$745=$C29)*'RAW_DISTRICT'!$K$4:$K$745)/SUMPRODUCT(('RAW_DISTRICT'!$C$4:$C$745=$B29)*('RAW_DISTRICT'!$B$4:$B$745=$C29)*'RAW_DISTRICT'!$J$4:$J$745)),"")</f>
        <v/>
      </c>
      <c r="H29" s="11" t="str">
        <f>IFERROR(IF($B29="","",SUMPRODUCT(('RAW_DISTRICT'!$C$4:$C$745=$B29)*('RAW_DISTRICT'!$B$4:$B$745=$C29)*'RAW_DISTRICT'!$M$4:$M$745)/SUMPRODUCT(('RAW_DISTRICT'!$C$4:$C$745=$B29)*('RAW_DISTRICT'!$B$4:$B$745=$C29)*'RAW_DISTRICT'!$L$4:$L$745)),"")</f>
        <v/>
      </c>
      <c r="I29" s="11" t="str">
        <f>IFERROR(IF($B29="","",SUMPRODUCT(('RAW_DISTRICT'!$C$4:$C$745=$B29)*('RAW_DISTRICT'!$B$4:$B$745=$C29)*'RAW_DISTRICT'!$N$4:$N$745)/SUMPRODUCT(('RAW_DISTRICT'!$C$4:$C$745=$B29)*('RAW_DISTRICT'!$B$4:$B$745=$C29)*'RAW_DISTRICT'!$O$4:$O$745)),"")</f>
        <v/>
      </c>
      <c r="J29" s="10" t="str">
        <f>IFERROR(IF($B29="","",INDEX('RAW_DISTRICT'!$R$4:$R$745,MATCH(1,('RAW_DISTRICT'!$C$4:$C$745=$B29)*('RAW_DISTRICT'!$B$4:$B$745=$C29),0))),"")</f>
        <v/>
      </c>
      <c r="K29" s="10" t="str">
        <f>IFERROR(IF($B29="","",INDEX('RAW_DISTRICT'!$S$4:$S$745,MATCH(1,('RAW_DISTRICT'!$C$4:$C$745=$B29)*('RAW_DISTRICT'!$B$4:$B$745=$C29),0))),"")</f>
        <v/>
      </c>
    </row>
    <row r="30" spans="1:11" ht="15" customHeight="1" x14ac:dyDescent="0.3">
      <c r="A30" s="24">
        <v>26</v>
      </c>
      <c r="B30" s="12" t="str">
        <f>IFERROR(IF(SelectedScope="All India",INDEX('RAW_DISTRICT'!$C$4:$C$745,26),INDEX('RAW_DISTRICT'!$C$4:$C$745,MATCH(26,'RAW_DISTRICT'!$V$4:$V$745,0))),"")</f>
        <v>Changlang</v>
      </c>
      <c r="C30" s="12" t="str">
        <f>IFERROR(IF($B30="","",IF(SelectedScope="All India",INDEX('RAW_DISTRICT'!$B$4:$B$745,26),SelectedScope)),"")</f>
        <v>Arunachal Pradesh</v>
      </c>
      <c r="D30" s="13" t="str">
        <f>IFERROR(IF($B30="","",INDEX('RAW_DISTRICT'!$E$4:$E$745,MATCH(1,('RAW_DISTRICT'!$C$4:$C$745=$B30)*('RAW_DISTRICT'!$B$4:$B$745=$C30),0))),"")</f>
        <v/>
      </c>
      <c r="E30" s="13">
        <f>IFERROR(IF($B30="","",SUMPRODUCT(('RAW_DISTRICT'!$C$4:$C$745=$B30)*('RAW_DISTRICT'!$B$4:$B$745=$C30)*'RAW_DISTRICT'!$F$4:$F$745)),"")</f>
        <v>0</v>
      </c>
      <c r="F30" s="14" t="str">
        <f>IFERROR(IF($B30="","",SUMPRODUCT(('RAW_DISTRICT'!$C$4:$C$745=$B30)*('RAW_DISTRICT'!$B$4:$B$745=$C30)*'RAW_DISTRICT'!$I$4:$I$745)/SUMPRODUCT(('RAW_DISTRICT'!$C$4:$C$745=$B30)*('RAW_DISTRICT'!$B$4:$B$745=$C30)*'RAW_DISTRICT'!$H$4:$H$745)),"")</f>
        <v/>
      </c>
      <c r="G30" s="14" t="str">
        <f>IFERROR(IF($B30="","",SUMPRODUCT(('RAW_DISTRICT'!$C$4:$C$745=$B30)*('RAW_DISTRICT'!$B$4:$B$745=$C30)*'RAW_DISTRICT'!$K$4:$K$745)/SUMPRODUCT(('RAW_DISTRICT'!$C$4:$C$745=$B30)*('RAW_DISTRICT'!$B$4:$B$745=$C30)*'RAW_DISTRICT'!$J$4:$J$745)),"")</f>
        <v/>
      </c>
      <c r="H30" s="14" t="str">
        <f>IFERROR(IF($B30="","",SUMPRODUCT(('RAW_DISTRICT'!$C$4:$C$745=$B30)*('RAW_DISTRICT'!$B$4:$B$745=$C30)*'RAW_DISTRICT'!$M$4:$M$745)/SUMPRODUCT(('RAW_DISTRICT'!$C$4:$C$745=$B30)*('RAW_DISTRICT'!$B$4:$B$745=$C30)*'RAW_DISTRICT'!$L$4:$L$745)),"")</f>
        <v/>
      </c>
      <c r="I30" s="14" t="str">
        <f>IFERROR(IF($B30="","",SUMPRODUCT(('RAW_DISTRICT'!$C$4:$C$745=$B30)*('RAW_DISTRICT'!$B$4:$B$745=$C30)*'RAW_DISTRICT'!$N$4:$N$745)/SUMPRODUCT(('RAW_DISTRICT'!$C$4:$C$745=$B30)*('RAW_DISTRICT'!$B$4:$B$745=$C30)*'RAW_DISTRICT'!$O$4:$O$745)),"")</f>
        <v/>
      </c>
      <c r="J30" s="13" t="str">
        <f>IFERROR(IF($B30="","",INDEX('RAW_DISTRICT'!$R$4:$R$745,MATCH(1,('RAW_DISTRICT'!$C$4:$C$745=$B30)*('RAW_DISTRICT'!$B$4:$B$745=$C30),0))),"")</f>
        <v/>
      </c>
      <c r="K30" s="13" t="str">
        <f>IFERROR(IF($B30="","",INDEX('RAW_DISTRICT'!$S$4:$S$745,MATCH(1,('RAW_DISTRICT'!$C$4:$C$745=$B30)*('RAW_DISTRICT'!$B$4:$B$745=$C30),0))),"")</f>
        <v/>
      </c>
    </row>
    <row r="31" spans="1:11" ht="15" customHeight="1" x14ac:dyDescent="0.3">
      <c r="A31" s="23">
        <v>27</v>
      </c>
      <c r="B31" s="9" t="str">
        <f>IFERROR(IF(SelectedScope="All India",INDEX('RAW_DISTRICT'!$C$4:$C$745,27),INDEX('RAW_DISTRICT'!$C$4:$C$745,MATCH(27,'RAW_DISTRICT'!$V$4:$V$745,0))),"")</f>
        <v>Dibang Valley</v>
      </c>
      <c r="C31" s="9" t="str">
        <f>IFERROR(IF($B31="","",IF(SelectedScope="All India",INDEX('RAW_DISTRICT'!$B$4:$B$745,27),SelectedScope)),"")</f>
        <v>Arunachal Pradesh</v>
      </c>
      <c r="D31" s="10" t="str">
        <f>IFERROR(IF($B31="","",INDEX('RAW_DISTRICT'!$E$4:$E$745,MATCH(1,('RAW_DISTRICT'!$C$4:$C$745=$B31)*('RAW_DISTRICT'!$B$4:$B$745=$C31),0))),"")</f>
        <v/>
      </c>
      <c r="E31" s="10">
        <f>IFERROR(IF($B31="","",SUMPRODUCT(('RAW_DISTRICT'!$C$4:$C$745=$B31)*('RAW_DISTRICT'!$B$4:$B$745=$C31)*'RAW_DISTRICT'!$F$4:$F$745)),"")</f>
        <v>0</v>
      </c>
      <c r="F31" s="11" t="str">
        <f>IFERROR(IF($B31="","",SUMPRODUCT(('RAW_DISTRICT'!$C$4:$C$745=$B31)*('RAW_DISTRICT'!$B$4:$B$745=$C31)*'RAW_DISTRICT'!$I$4:$I$745)/SUMPRODUCT(('RAW_DISTRICT'!$C$4:$C$745=$B31)*('RAW_DISTRICT'!$B$4:$B$745=$C31)*'RAW_DISTRICT'!$H$4:$H$745)),"")</f>
        <v/>
      </c>
      <c r="G31" s="11" t="str">
        <f>IFERROR(IF($B31="","",SUMPRODUCT(('RAW_DISTRICT'!$C$4:$C$745=$B31)*('RAW_DISTRICT'!$B$4:$B$745=$C31)*'RAW_DISTRICT'!$K$4:$K$745)/SUMPRODUCT(('RAW_DISTRICT'!$C$4:$C$745=$B31)*('RAW_DISTRICT'!$B$4:$B$745=$C31)*'RAW_DISTRICT'!$J$4:$J$745)),"")</f>
        <v/>
      </c>
      <c r="H31" s="11" t="str">
        <f>IFERROR(IF($B31="","",SUMPRODUCT(('RAW_DISTRICT'!$C$4:$C$745=$B31)*('RAW_DISTRICT'!$B$4:$B$745=$C31)*'RAW_DISTRICT'!$M$4:$M$745)/SUMPRODUCT(('RAW_DISTRICT'!$C$4:$C$745=$B31)*('RAW_DISTRICT'!$B$4:$B$745=$C31)*'RAW_DISTRICT'!$L$4:$L$745)),"")</f>
        <v/>
      </c>
      <c r="I31" s="11" t="str">
        <f>IFERROR(IF($B31="","",SUMPRODUCT(('RAW_DISTRICT'!$C$4:$C$745=$B31)*('RAW_DISTRICT'!$B$4:$B$745=$C31)*'RAW_DISTRICT'!$N$4:$N$745)/SUMPRODUCT(('RAW_DISTRICT'!$C$4:$C$745=$B31)*('RAW_DISTRICT'!$B$4:$B$745=$C31)*'RAW_DISTRICT'!$O$4:$O$745)),"")</f>
        <v/>
      </c>
      <c r="J31" s="10" t="str">
        <f>IFERROR(IF($B31="","",INDEX('RAW_DISTRICT'!$R$4:$R$745,MATCH(1,('RAW_DISTRICT'!$C$4:$C$745=$B31)*('RAW_DISTRICT'!$B$4:$B$745=$C31),0))),"")</f>
        <v/>
      </c>
      <c r="K31" s="10" t="str">
        <f>IFERROR(IF($B31="","",INDEX('RAW_DISTRICT'!$S$4:$S$745,MATCH(1,('RAW_DISTRICT'!$C$4:$C$745=$B31)*('RAW_DISTRICT'!$B$4:$B$745=$C31),0))),"")</f>
        <v/>
      </c>
    </row>
    <row r="32" spans="1:11" ht="15" customHeight="1" x14ac:dyDescent="0.3">
      <c r="A32" s="24">
        <v>28</v>
      </c>
      <c r="B32" s="12" t="str">
        <f>IFERROR(IF(SelectedScope="All India",INDEX('RAW_DISTRICT'!$C$4:$C$745,28),INDEX('RAW_DISTRICT'!$C$4:$C$745,MATCH(28,'RAW_DISTRICT'!$V$4:$V$745,0))),"")</f>
        <v>East Kameng</v>
      </c>
      <c r="C32" s="12" t="str">
        <f>IFERROR(IF($B32="","",IF(SelectedScope="All India",INDEX('RAW_DISTRICT'!$B$4:$B$745,28),SelectedScope)),"")</f>
        <v>Arunachal Pradesh</v>
      </c>
      <c r="D32" s="13" t="str">
        <f>IFERROR(IF($B32="","",INDEX('RAW_DISTRICT'!$E$4:$E$745,MATCH(1,('RAW_DISTRICT'!$C$4:$C$745=$B32)*('RAW_DISTRICT'!$B$4:$B$745=$C32),0))),"")</f>
        <v/>
      </c>
      <c r="E32" s="13">
        <f>IFERROR(IF($B32="","",SUMPRODUCT(('RAW_DISTRICT'!$C$4:$C$745=$B32)*('RAW_DISTRICT'!$B$4:$B$745=$C32)*'RAW_DISTRICT'!$F$4:$F$745)),"")</f>
        <v>0</v>
      </c>
      <c r="F32" s="14" t="str">
        <f>IFERROR(IF($B32="","",SUMPRODUCT(('RAW_DISTRICT'!$C$4:$C$745=$B32)*('RAW_DISTRICT'!$B$4:$B$745=$C32)*'RAW_DISTRICT'!$I$4:$I$745)/SUMPRODUCT(('RAW_DISTRICT'!$C$4:$C$745=$B32)*('RAW_DISTRICT'!$B$4:$B$745=$C32)*'RAW_DISTRICT'!$H$4:$H$745)),"")</f>
        <v/>
      </c>
      <c r="G32" s="14" t="str">
        <f>IFERROR(IF($B32="","",SUMPRODUCT(('RAW_DISTRICT'!$C$4:$C$745=$B32)*('RAW_DISTRICT'!$B$4:$B$745=$C32)*'RAW_DISTRICT'!$K$4:$K$745)/SUMPRODUCT(('RAW_DISTRICT'!$C$4:$C$745=$B32)*('RAW_DISTRICT'!$B$4:$B$745=$C32)*'RAW_DISTRICT'!$J$4:$J$745)),"")</f>
        <v/>
      </c>
      <c r="H32" s="14" t="str">
        <f>IFERROR(IF($B32="","",SUMPRODUCT(('RAW_DISTRICT'!$C$4:$C$745=$B32)*('RAW_DISTRICT'!$B$4:$B$745=$C32)*'RAW_DISTRICT'!$M$4:$M$745)/SUMPRODUCT(('RAW_DISTRICT'!$C$4:$C$745=$B32)*('RAW_DISTRICT'!$B$4:$B$745=$C32)*'RAW_DISTRICT'!$L$4:$L$745)),"")</f>
        <v/>
      </c>
      <c r="I32" s="14" t="str">
        <f>IFERROR(IF($B32="","",SUMPRODUCT(('RAW_DISTRICT'!$C$4:$C$745=$B32)*('RAW_DISTRICT'!$B$4:$B$745=$C32)*'RAW_DISTRICT'!$N$4:$N$745)/SUMPRODUCT(('RAW_DISTRICT'!$C$4:$C$745=$B32)*('RAW_DISTRICT'!$B$4:$B$745=$C32)*'RAW_DISTRICT'!$O$4:$O$745)),"")</f>
        <v/>
      </c>
      <c r="J32" s="13" t="str">
        <f>IFERROR(IF($B32="","",INDEX('RAW_DISTRICT'!$R$4:$R$745,MATCH(1,('RAW_DISTRICT'!$C$4:$C$745=$B32)*('RAW_DISTRICT'!$B$4:$B$745=$C32),0))),"")</f>
        <v/>
      </c>
      <c r="K32" s="13" t="str">
        <f>IFERROR(IF($B32="","",INDEX('RAW_DISTRICT'!$S$4:$S$745,MATCH(1,('RAW_DISTRICT'!$C$4:$C$745=$B32)*('RAW_DISTRICT'!$B$4:$B$745=$C32),0))),"")</f>
        <v/>
      </c>
    </row>
    <row r="33" spans="1:11" ht="15" customHeight="1" x14ac:dyDescent="0.3">
      <c r="A33" s="23">
        <v>29</v>
      </c>
      <c r="B33" s="9" t="str">
        <f>IFERROR(IF(SelectedScope="All India",INDEX('RAW_DISTRICT'!$C$4:$C$745,29),INDEX('RAW_DISTRICT'!$C$4:$C$745,MATCH(29,'RAW_DISTRICT'!$V$4:$V$745,0))),"")</f>
        <v>East Siang</v>
      </c>
      <c r="C33" s="9" t="str">
        <f>IFERROR(IF($B33="","",IF(SelectedScope="All India",INDEX('RAW_DISTRICT'!$B$4:$B$745,29),SelectedScope)),"")</f>
        <v>Arunachal Pradesh</v>
      </c>
      <c r="D33" s="10" t="str">
        <f>IFERROR(IF($B33="","",INDEX('RAW_DISTRICT'!$E$4:$E$745,MATCH(1,('RAW_DISTRICT'!$C$4:$C$745=$B33)*('RAW_DISTRICT'!$B$4:$B$745=$C33),0))),"")</f>
        <v/>
      </c>
      <c r="E33" s="10">
        <f>IFERROR(IF($B33="","",SUMPRODUCT(('RAW_DISTRICT'!$C$4:$C$745=$B33)*('RAW_DISTRICT'!$B$4:$B$745=$C33)*'RAW_DISTRICT'!$F$4:$F$745)),"")</f>
        <v>0</v>
      </c>
      <c r="F33" s="11" t="str">
        <f>IFERROR(IF($B33="","",SUMPRODUCT(('RAW_DISTRICT'!$C$4:$C$745=$B33)*('RAW_DISTRICT'!$B$4:$B$745=$C33)*'RAW_DISTRICT'!$I$4:$I$745)/SUMPRODUCT(('RAW_DISTRICT'!$C$4:$C$745=$B33)*('RAW_DISTRICT'!$B$4:$B$745=$C33)*'RAW_DISTRICT'!$H$4:$H$745)),"")</f>
        <v/>
      </c>
      <c r="G33" s="11" t="str">
        <f>IFERROR(IF($B33="","",SUMPRODUCT(('RAW_DISTRICT'!$C$4:$C$745=$B33)*('RAW_DISTRICT'!$B$4:$B$745=$C33)*'RAW_DISTRICT'!$K$4:$K$745)/SUMPRODUCT(('RAW_DISTRICT'!$C$4:$C$745=$B33)*('RAW_DISTRICT'!$B$4:$B$745=$C33)*'RAW_DISTRICT'!$J$4:$J$745)),"")</f>
        <v/>
      </c>
      <c r="H33" s="11" t="str">
        <f>IFERROR(IF($B33="","",SUMPRODUCT(('RAW_DISTRICT'!$C$4:$C$745=$B33)*('RAW_DISTRICT'!$B$4:$B$745=$C33)*'RAW_DISTRICT'!$M$4:$M$745)/SUMPRODUCT(('RAW_DISTRICT'!$C$4:$C$745=$B33)*('RAW_DISTRICT'!$B$4:$B$745=$C33)*'RAW_DISTRICT'!$L$4:$L$745)),"")</f>
        <v/>
      </c>
      <c r="I33" s="11" t="str">
        <f>IFERROR(IF($B33="","",SUMPRODUCT(('RAW_DISTRICT'!$C$4:$C$745=$B33)*('RAW_DISTRICT'!$B$4:$B$745=$C33)*'RAW_DISTRICT'!$N$4:$N$745)/SUMPRODUCT(('RAW_DISTRICT'!$C$4:$C$745=$B33)*('RAW_DISTRICT'!$B$4:$B$745=$C33)*'RAW_DISTRICT'!$O$4:$O$745)),"")</f>
        <v/>
      </c>
      <c r="J33" s="10" t="str">
        <f>IFERROR(IF($B33="","",INDEX('RAW_DISTRICT'!$R$4:$R$745,MATCH(1,('RAW_DISTRICT'!$C$4:$C$745=$B33)*('RAW_DISTRICT'!$B$4:$B$745=$C33),0))),"")</f>
        <v/>
      </c>
      <c r="K33" s="10" t="str">
        <f>IFERROR(IF($B33="","",INDEX('RAW_DISTRICT'!$S$4:$S$745,MATCH(1,('RAW_DISTRICT'!$C$4:$C$745=$B33)*('RAW_DISTRICT'!$B$4:$B$745=$C33),0))),"")</f>
        <v/>
      </c>
    </row>
    <row r="34" spans="1:11" ht="15" customHeight="1" x14ac:dyDescent="0.3">
      <c r="A34" s="24">
        <v>30</v>
      </c>
      <c r="B34" s="12" t="str">
        <f>IFERROR(IF(SelectedScope="All India",INDEX('RAW_DISTRICT'!$C$4:$C$745,30),INDEX('RAW_DISTRICT'!$C$4:$C$745,MATCH(30,'RAW_DISTRICT'!$V$4:$V$745,0))),"")</f>
        <v>Itanagar Capital Complex</v>
      </c>
      <c r="C34" s="12" t="str">
        <f>IFERROR(IF($B34="","",IF(SelectedScope="All India",INDEX('RAW_DISTRICT'!$B$4:$B$745,30),SelectedScope)),"")</f>
        <v>Arunachal Pradesh</v>
      </c>
      <c r="D34" s="13" t="str">
        <f>IFERROR(IF($B34="","",INDEX('RAW_DISTRICT'!$E$4:$E$745,MATCH(1,('RAW_DISTRICT'!$C$4:$C$745=$B34)*('RAW_DISTRICT'!$B$4:$B$745=$C34),0))),"")</f>
        <v/>
      </c>
      <c r="E34" s="13">
        <f>IFERROR(IF($B34="","",SUMPRODUCT(('RAW_DISTRICT'!$C$4:$C$745=$B34)*('RAW_DISTRICT'!$B$4:$B$745=$C34)*'RAW_DISTRICT'!$F$4:$F$745)),"")</f>
        <v>0</v>
      </c>
      <c r="F34" s="14" t="str">
        <f>IFERROR(IF($B34="","",SUMPRODUCT(('RAW_DISTRICT'!$C$4:$C$745=$B34)*('RAW_DISTRICT'!$B$4:$B$745=$C34)*'RAW_DISTRICT'!$I$4:$I$745)/SUMPRODUCT(('RAW_DISTRICT'!$C$4:$C$745=$B34)*('RAW_DISTRICT'!$B$4:$B$745=$C34)*'RAW_DISTRICT'!$H$4:$H$745)),"")</f>
        <v/>
      </c>
      <c r="G34" s="14" t="str">
        <f>IFERROR(IF($B34="","",SUMPRODUCT(('RAW_DISTRICT'!$C$4:$C$745=$B34)*('RAW_DISTRICT'!$B$4:$B$745=$C34)*'RAW_DISTRICT'!$K$4:$K$745)/SUMPRODUCT(('RAW_DISTRICT'!$C$4:$C$745=$B34)*('RAW_DISTRICT'!$B$4:$B$745=$C34)*'RAW_DISTRICT'!$J$4:$J$745)),"")</f>
        <v/>
      </c>
      <c r="H34" s="14" t="str">
        <f>IFERROR(IF($B34="","",SUMPRODUCT(('RAW_DISTRICT'!$C$4:$C$745=$B34)*('RAW_DISTRICT'!$B$4:$B$745=$C34)*'RAW_DISTRICT'!$M$4:$M$745)/SUMPRODUCT(('RAW_DISTRICT'!$C$4:$C$745=$B34)*('RAW_DISTRICT'!$B$4:$B$745=$C34)*'RAW_DISTRICT'!$L$4:$L$745)),"")</f>
        <v/>
      </c>
      <c r="I34" s="14" t="str">
        <f>IFERROR(IF($B34="","",SUMPRODUCT(('RAW_DISTRICT'!$C$4:$C$745=$B34)*('RAW_DISTRICT'!$B$4:$B$745=$C34)*'RAW_DISTRICT'!$N$4:$N$745)/SUMPRODUCT(('RAW_DISTRICT'!$C$4:$C$745=$B34)*('RAW_DISTRICT'!$B$4:$B$745=$C34)*'RAW_DISTRICT'!$O$4:$O$745)),"")</f>
        <v/>
      </c>
      <c r="J34" s="13" t="str">
        <f>IFERROR(IF($B34="","",INDEX('RAW_DISTRICT'!$R$4:$R$745,MATCH(1,('RAW_DISTRICT'!$C$4:$C$745=$B34)*('RAW_DISTRICT'!$B$4:$B$745=$C34),0))),"")</f>
        <v/>
      </c>
      <c r="K34" s="13" t="str">
        <f>IFERROR(IF($B34="","",INDEX('RAW_DISTRICT'!$S$4:$S$745,MATCH(1,('RAW_DISTRICT'!$C$4:$C$745=$B34)*('RAW_DISTRICT'!$B$4:$B$745=$C34),0))),"")</f>
        <v/>
      </c>
    </row>
    <row r="35" spans="1:11" ht="15" customHeight="1" x14ac:dyDescent="0.3">
      <c r="A35" s="23">
        <v>31</v>
      </c>
      <c r="B35" s="9" t="str">
        <f>IFERROR(IF(SelectedScope="All India",INDEX('RAW_DISTRICT'!$C$4:$C$745,31),INDEX('RAW_DISTRICT'!$C$4:$C$745,MATCH(31,'RAW_DISTRICT'!$V$4:$V$745,0))),"")</f>
        <v>Kamle</v>
      </c>
      <c r="C35" s="9" t="str">
        <f>IFERROR(IF($B35="","",IF(SelectedScope="All India",INDEX('RAW_DISTRICT'!$B$4:$B$745,31),SelectedScope)),"")</f>
        <v>Arunachal Pradesh</v>
      </c>
      <c r="D35" s="10" t="str">
        <f>IFERROR(IF($B35="","",INDEX('RAW_DISTRICT'!$E$4:$E$745,MATCH(1,('RAW_DISTRICT'!$C$4:$C$745=$B35)*('RAW_DISTRICT'!$B$4:$B$745=$C35),0))),"")</f>
        <v/>
      </c>
      <c r="E35" s="10">
        <f>IFERROR(IF($B35="","",SUMPRODUCT(('RAW_DISTRICT'!$C$4:$C$745=$B35)*('RAW_DISTRICT'!$B$4:$B$745=$C35)*'RAW_DISTRICT'!$F$4:$F$745)),"")</f>
        <v>0</v>
      </c>
      <c r="F35" s="11" t="str">
        <f>IFERROR(IF($B35="","",SUMPRODUCT(('RAW_DISTRICT'!$C$4:$C$745=$B35)*('RAW_DISTRICT'!$B$4:$B$745=$C35)*'RAW_DISTRICT'!$I$4:$I$745)/SUMPRODUCT(('RAW_DISTRICT'!$C$4:$C$745=$B35)*('RAW_DISTRICT'!$B$4:$B$745=$C35)*'RAW_DISTRICT'!$H$4:$H$745)),"")</f>
        <v/>
      </c>
      <c r="G35" s="11" t="str">
        <f>IFERROR(IF($B35="","",SUMPRODUCT(('RAW_DISTRICT'!$C$4:$C$745=$B35)*('RAW_DISTRICT'!$B$4:$B$745=$C35)*'RAW_DISTRICT'!$K$4:$K$745)/SUMPRODUCT(('RAW_DISTRICT'!$C$4:$C$745=$B35)*('RAW_DISTRICT'!$B$4:$B$745=$C35)*'RAW_DISTRICT'!$J$4:$J$745)),"")</f>
        <v/>
      </c>
      <c r="H35" s="11" t="str">
        <f>IFERROR(IF($B35="","",SUMPRODUCT(('RAW_DISTRICT'!$C$4:$C$745=$B35)*('RAW_DISTRICT'!$B$4:$B$745=$C35)*'RAW_DISTRICT'!$M$4:$M$745)/SUMPRODUCT(('RAW_DISTRICT'!$C$4:$C$745=$B35)*('RAW_DISTRICT'!$B$4:$B$745=$C35)*'RAW_DISTRICT'!$L$4:$L$745)),"")</f>
        <v/>
      </c>
      <c r="I35" s="11" t="str">
        <f>IFERROR(IF($B35="","",SUMPRODUCT(('RAW_DISTRICT'!$C$4:$C$745=$B35)*('RAW_DISTRICT'!$B$4:$B$745=$C35)*'RAW_DISTRICT'!$N$4:$N$745)/SUMPRODUCT(('RAW_DISTRICT'!$C$4:$C$745=$B35)*('RAW_DISTRICT'!$B$4:$B$745=$C35)*'RAW_DISTRICT'!$O$4:$O$745)),"")</f>
        <v/>
      </c>
      <c r="J35" s="10" t="str">
        <f>IFERROR(IF($B35="","",INDEX('RAW_DISTRICT'!$R$4:$R$745,MATCH(1,('RAW_DISTRICT'!$C$4:$C$745=$B35)*('RAW_DISTRICT'!$B$4:$B$745=$C35),0))),"")</f>
        <v/>
      </c>
      <c r="K35" s="10" t="str">
        <f>IFERROR(IF($B35="","",INDEX('RAW_DISTRICT'!$S$4:$S$745,MATCH(1,('RAW_DISTRICT'!$C$4:$C$745=$B35)*('RAW_DISTRICT'!$B$4:$B$745=$C35),0))),"")</f>
        <v/>
      </c>
    </row>
    <row r="36" spans="1:11" ht="15" customHeight="1" x14ac:dyDescent="0.3">
      <c r="A36" s="24">
        <v>32</v>
      </c>
      <c r="B36" s="12" t="str">
        <f>IFERROR(IF(SelectedScope="All India",INDEX('RAW_DISTRICT'!$C$4:$C$745,32),INDEX('RAW_DISTRICT'!$C$4:$C$745,MATCH(32,'RAW_DISTRICT'!$V$4:$V$745,0))),"")</f>
        <v>Kra Daadi</v>
      </c>
      <c r="C36" s="12" t="str">
        <f>IFERROR(IF($B36="","",IF(SelectedScope="All India",INDEX('RAW_DISTRICT'!$B$4:$B$745,32),SelectedScope)),"")</f>
        <v>Arunachal Pradesh</v>
      </c>
      <c r="D36" s="13" t="str">
        <f>IFERROR(IF($B36="","",INDEX('RAW_DISTRICT'!$E$4:$E$745,MATCH(1,('RAW_DISTRICT'!$C$4:$C$745=$B36)*('RAW_DISTRICT'!$B$4:$B$745=$C36),0))),"")</f>
        <v/>
      </c>
      <c r="E36" s="13">
        <f>IFERROR(IF($B36="","",SUMPRODUCT(('RAW_DISTRICT'!$C$4:$C$745=$B36)*('RAW_DISTRICT'!$B$4:$B$745=$C36)*'RAW_DISTRICT'!$F$4:$F$745)),"")</f>
        <v>0</v>
      </c>
      <c r="F36" s="14" t="str">
        <f>IFERROR(IF($B36="","",SUMPRODUCT(('RAW_DISTRICT'!$C$4:$C$745=$B36)*('RAW_DISTRICT'!$B$4:$B$745=$C36)*'RAW_DISTRICT'!$I$4:$I$745)/SUMPRODUCT(('RAW_DISTRICT'!$C$4:$C$745=$B36)*('RAW_DISTRICT'!$B$4:$B$745=$C36)*'RAW_DISTRICT'!$H$4:$H$745)),"")</f>
        <v/>
      </c>
      <c r="G36" s="14" t="str">
        <f>IFERROR(IF($B36="","",SUMPRODUCT(('RAW_DISTRICT'!$C$4:$C$745=$B36)*('RAW_DISTRICT'!$B$4:$B$745=$C36)*'RAW_DISTRICT'!$K$4:$K$745)/SUMPRODUCT(('RAW_DISTRICT'!$C$4:$C$745=$B36)*('RAW_DISTRICT'!$B$4:$B$745=$C36)*'RAW_DISTRICT'!$J$4:$J$745)),"")</f>
        <v/>
      </c>
      <c r="H36" s="14" t="str">
        <f>IFERROR(IF($B36="","",SUMPRODUCT(('RAW_DISTRICT'!$C$4:$C$745=$B36)*('RAW_DISTRICT'!$B$4:$B$745=$C36)*'RAW_DISTRICT'!$M$4:$M$745)/SUMPRODUCT(('RAW_DISTRICT'!$C$4:$C$745=$B36)*('RAW_DISTRICT'!$B$4:$B$745=$C36)*'RAW_DISTRICT'!$L$4:$L$745)),"")</f>
        <v/>
      </c>
      <c r="I36" s="14" t="str">
        <f>IFERROR(IF($B36="","",SUMPRODUCT(('RAW_DISTRICT'!$C$4:$C$745=$B36)*('RAW_DISTRICT'!$B$4:$B$745=$C36)*'RAW_DISTRICT'!$N$4:$N$745)/SUMPRODUCT(('RAW_DISTRICT'!$C$4:$C$745=$B36)*('RAW_DISTRICT'!$B$4:$B$745=$C36)*'RAW_DISTRICT'!$O$4:$O$745)),"")</f>
        <v/>
      </c>
      <c r="J36" s="13" t="str">
        <f>IFERROR(IF($B36="","",INDEX('RAW_DISTRICT'!$R$4:$R$745,MATCH(1,('RAW_DISTRICT'!$C$4:$C$745=$B36)*('RAW_DISTRICT'!$B$4:$B$745=$C36),0))),"")</f>
        <v/>
      </c>
      <c r="K36" s="13" t="str">
        <f>IFERROR(IF($B36="","",INDEX('RAW_DISTRICT'!$S$4:$S$745,MATCH(1,('RAW_DISTRICT'!$C$4:$C$745=$B36)*('RAW_DISTRICT'!$B$4:$B$745=$C36),0))),"")</f>
        <v/>
      </c>
    </row>
    <row r="37" spans="1:11" ht="15" customHeight="1" x14ac:dyDescent="0.3">
      <c r="A37" s="23">
        <v>33</v>
      </c>
      <c r="B37" s="9" t="str">
        <f>IFERROR(IF(SelectedScope="All India",INDEX('RAW_DISTRICT'!$C$4:$C$745,33),INDEX('RAW_DISTRICT'!$C$4:$C$745,MATCH(33,'RAW_DISTRICT'!$V$4:$V$745,0))),"")</f>
        <v>Kurung Kumey</v>
      </c>
      <c r="C37" s="9" t="str">
        <f>IFERROR(IF($B37="","",IF(SelectedScope="All India",INDEX('RAW_DISTRICT'!$B$4:$B$745,33),SelectedScope)),"")</f>
        <v>Arunachal Pradesh</v>
      </c>
      <c r="D37" s="10" t="str">
        <f>IFERROR(IF($B37="","",INDEX('RAW_DISTRICT'!$E$4:$E$745,MATCH(1,('RAW_DISTRICT'!$C$4:$C$745=$B37)*('RAW_DISTRICT'!$B$4:$B$745=$C37),0))),"")</f>
        <v/>
      </c>
      <c r="E37" s="10">
        <f>IFERROR(IF($B37="","",SUMPRODUCT(('RAW_DISTRICT'!$C$4:$C$745=$B37)*('RAW_DISTRICT'!$B$4:$B$745=$C37)*'RAW_DISTRICT'!$F$4:$F$745)),"")</f>
        <v>0</v>
      </c>
      <c r="F37" s="11" t="str">
        <f>IFERROR(IF($B37="","",SUMPRODUCT(('RAW_DISTRICT'!$C$4:$C$745=$B37)*('RAW_DISTRICT'!$B$4:$B$745=$C37)*'RAW_DISTRICT'!$I$4:$I$745)/SUMPRODUCT(('RAW_DISTRICT'!$C$4:$C$745=$B37)*('RAW_DISTRICT'!$B$4:$B$745=$C37)*'RAW_DISTRICT'!$H$4:$H$745)),"")</f>
        <v/>
      </c>
      <c r="G37" s="11" t="str">
        <f>IFERROR(IF($B37="","",SUMPRODUCT(('RAW_DISTRICT'!$C$4:$C$745=$B37)*('RAW_DISTRICT'!$B$4:$B$745=$C37)*'RAW_DISTRICT'!$K$4:$K$745)/SUMPRODUCT(('RAW_DISTRICT'!$C$4:$C$745=$B37)*('RAW_DISTRICT'!$B$4:$B$745=$C37)*'RAW_DISTRICT'!$J$4:$J$745)),"")</f>
        <v/>
      </c>
      <c r="H37" s="11" t="str">
        <f>IFERROR(IF($B37="","",SUMPRODUCT(('RAW_DISTRICT'!$C$4:$C$745=$B37)*('RAW_DISTRICT'!$B$4:$B$745=$C37)*'RAW_DISTRICT'!$M$4:$M$745)/SUMPRODUCT(('RAW_DISTRICT'!$C$4:$C$745=$B37)*('RAW_DISTRICT'!$B$4:$B$745=$C37)*'RAW_DISTRICT'!$L$4:$L$745)),"")</f>
        <v/>
      </c>
      <c r="I37" s="11" t="str">
        <f>IFERROR(IF($B37="","",SUMPRODUCT(('RAW_DISTRICT'!$C$4:$C$745=$B37)*('RAW_DISTRICT'!$B$4:$B$745=$C37)*'RAW_DISTRICT'!$N$4:$N$745)/SUMPRODUCT(('RAW_DISTRICT'!$C$4:$C$745=$B37)*('RAW_DISTRICT'!$B$4:$B$745=$C37)*'RAW_DISTRICT'!$O$4:$O$745)),"")</f>
        <v/>
      </c>
      <c r="J37" s="10" t="str">
        <f>IFERROR(IF($B37="","",INDEX('RAW_DISTRICT'!$R$4:$R$745,MATCH(1,('RAW_DISTRICT'!$C$4:$C$745=$B37)*('RAW_DISTRICT'!$B$4:$B$745=$C37),0))),"")</f>
        <v/>
      </c>
      <c r="K37" s="10" t="str">
        <f>IFERROR(IF($B37="","",INDEX('RAW_DISTRICT'!$S$4:$S$745,MATCH(1,('RAW_DISTRICT'!$C$4:$C$745=$B37)*('RAW_DISTRICT'!$B$4:$B$745=$C37),0))),"")</f>
        <v/>
      </c>
    </row>
    <row r="38" spans="1:11" ht="15" customHeight="1" x14ac:dyDescent="0.3">
      <c r="A38" s="24">
        <v>34</v>
      </c>
      <c r="B38" s="12" t="str">
        <f>IFERROR(IF(SelectedScope="All India",INDEX('RAW_DISTRICT'!$C$4:$C$745,34),INDEX('RAW_DISTRICT'!$C$4:$C$745,MATCH(34,'RAW_DISTRICT'!$V$4:$V$745,0))),"")</f>
        <v>Lohit</v>
      </c>
      <c r="C38" s="12" t="str">
        <f>IFERROR(IF($B38="","",IF(SelectedScope="All India",INDEX('RAW_DISTRICT'!$B$4:$B$745,34),SelectedScope)),"")</f>
        <v>Arunachal Pradesh</v>
      </c>
      <c r="D38" s="13" t="str">
        <f>IFERROR(IF($B38="","",INDEX('RAW_DISTRICT'!$E$4:$E$745,MATCH(1,('RAW_DISTRICT'!$C$4:$C$745=$B38)*('RAW_DISTRICT'!$B$4:$B$745=$C38),0))),"")</f>
        <v/>
      </c>
      <c r="E38" s="13">
        <f>IFERROR(IF($B38="","",SUMPRODUCT(('RAW_DISTRICT'!$C$4:$C$745=$B38)*('RAW_DISTRICT'!$B$4:$B$745=$C38)*'RAW_DISTRICT'!$F$4:$F$745)),"")</f>
        <v>0</v>
      </c>
      <c r="F38" s="14" t="str">
        <f>IFERROR(IF($B38="","",SUMPRODUCT(('RAW_DISTRICT'!$C$4:$C$745=$B38)*('RAW_DISTRICT'!$B$4:$B$745=$C38)*'RAW_DISTRICT'!$I$4:$I$745)/SUMPRODUCT(('RAW_DISTRICT'!$C$4:$C$745=$B38)*('RAW_DISTRICT'!$B$4:$B$745=$C38)*'RAW_DISTRICT'!$H$4:$H$745)),"")</f>
        <v/>
      </c>
      <c r="G38" s="14" t="str">
        <f>IFERROR(IF($B38="","",SUMPRODUCT(('RAW_DISTRICT'!$C$4:$C$745=$B38)*('RAW_DISTRICT'!$B$4:$B$745=$C38)*'RAW_DISTRICT'!$K$4:$K$745)/SUMPRODUCT(('RAW_DISTRICT'!$C$4:$C$745=$B38)*('RAW_DISTRICT'!$B$4:$B$745=$C38)*'RAW_DISTRICT'!$J$4:$J$745)),"")</f>
        <v/>
      </c>
      <c r="H38" s="14" t="str">
        <f>IFERROR(IF($B38="","",SUMPRODUCT(('RAW_DISTRICT'!$C$4:$C$745=$B38)*('RAW_DISTRICT'!$B$4:$B$745=$C38)*'RAW_DISTRICT'!$M$4:$M$745)/SUMPRODUCT(('RAW_DISTRICT'!$C$4:$C$745=$B38)*('RAW_DISTRICT'!$B$4:$B$745=$C38)*'RAW_DISTRICT'!$L$4:$L$745)),"")</f>
        <v/>
      </c>
      <c r="I38" s="14" t="str">
        <f>IFERROR(IF($B38="","",SUMPRODUCT(('RAW_DISTRICT'!$C$4:$C$745=$B38)*('RAW_DISTRICT'!$B$4:$B$745=$C38)*'RAW_DISTRICT'!$N$4:$N$745)/SUMPRODUCT(('RAW_DISTRICT'!$C$4:$C$745=$B38)*('RAW_DISTRICT'!$B$4:$B$745=$C38)*'RAW_DISTRICT'!$O$4:$O$745)),"")</f>
        <v/>
      </c>
      <c r="J38" s="13" t="str">
        <f>IFERROR(IF($B38="","",INDEX('RAW_DISTRICT'!$R$4:$R$745,MATCH(1,('RAW_DISTRICT'!$C$4:$C$745=$B38)*('RAW_DISTRICT'!$B$4:$B$745=$C38),0))),"")</f>
        <v/>
      </c>
      <c r="K38" s="13" t="str">
        <f>IFERROR(IF($B38="","",INDEX('RAW_DISTRICT'!$S$4:$S$745,MATCH(1,('RAW_DISTRICT'!$C$4:$C$745=$B38)*('RAW_DISTRICT'!$B$4:$B$745=$C38),0))),"")</f>
        <v/>
      </c>
    </row>
    <row r="39" spans="1:11" ht="15" customHeight="1" x14ac:dyDescent="0.3">
      <c r="A39" s="23">
        <v>35</v>
      </c>
      <c r="B39" s="9" t="str">
        <f>IFERROR(IF(SelectedScope="All India",INDEX('RAW_DISTRICT'!$C$4:$C$745,35),INDEX('RAW_DISTRICT'!$C$4:$C$745,MATCH(35,'RAW_DISTRICT'!$V$4:$V$745,0))),"")</f>
        <v>Longding</v>
      </c>
      <c r="C39" s="9" t="str">
        <f>IFERROR(IF($B39="","",IF(SelectedScope="All India",INDEX('RAW_DISTRICT'!$B$4:$B$745,35),SelectedScope)),"")</f>
        <v>Arunachal Pradesh</v>
      </c>
      <c r="D39" s="10" t="str">
        <f>IFERROR(IF($B39="","",INDEX('RAW_DISTRICT'!$E$4:$E$745,MATCH(1,('RAW_DISTRICT'!$C$4:$C$745=$B39)*('RAW_DISTRICT'!$B$4:$B$745=$C39),0))),"")</f>
        <v/>
      </c>
      <c r="E39" s="10">
        <f>IFERROR(IF($B39="","",SUMPRODUCT(('RAW_DISTRICT'!$C$4:$C$745=$B39)*('RAW_DISTRICT'!$B$4:$B$745=$C39)*'RAW_DISTRICT'!$F$4:$F$745)),"")</f>
        <v>0</v>
      </c>
      <c r="F39" s="11" t="str">
        <f>IFERROR(IF($B39="","",SUMPRODUCT(('RAW_DISTRICT'!$C$4:$C$745=$B39)*('RAW_DISTRICT'!$B$4:$B$745=$C39)*'RAW_DISTRICT'!$I$4:$I$745)/SUMPRODUCT(('RAW_DISTRICT'!$C$4:$C$745=$B39)*('RAW_DISTRICT'!$B$4:$B$745=$C39)*'RAW_DISTRICT'!$H$4:$H$745)),"")</f>
        <v/>
      </c>
      <c r="G39" s="11" t="str">
        <f>IFERROR(IF($B39="","",SUMPRODUCT(('RAW_DISTRICT'!$C$4:$C$745=$B39)*('RAW_DISTRICT'!$B$4:$B$745=$C39)*'RAW_DISTRICT'!$K$4:$K$745)/SUMPRODUCT(('RAW_DISTRICT'!$C$4:$C$745=$B39)*('RAW_DISTRICT'!$B$4:$B$745=$C39)*'RAW_DISTRICT'!$J$4:$J$745)),"")</f>
        <v/>
      </c>
      <c r="H39" s="11" t="str">
        <f>IFERROR(IF($B39="","",SUMPRODUCT(('RAW_DISTRICT'!$C$4:$C$745=$B39)*('RAW_DISTRICT'!$B$4:$B$745=$C39)*'RAW_DISTRICT'!$M$4:$M$745)/SUMPRODUCT(('RAW_DISTRICT'!$C$4:$C$745=$B39)*('RAW_DISTRICT'!$B$4:$B$745=$C39)*'RAW_DISTRICT'!$L$4:$L$745)),"")</f>
        <v/>
      </c>
      <c r="I39" s="11" t="str">
        <f>IFERROR(IF($B39="","",SUMPRODUCT(('RAW_DISTRICT'!$C$4:$C$745=$B39)*('RAW_DISTRICT'!$B$4:$B$745=$C39)*'RAW_DISTRICT'!$N$4:$N$745)/SUMPRODUCT(('RAW_DISTRICT'!$C$4:$C$745=$B39)*('RAW_DISTRICT'!$B$4:$B$745=$C39)*'RAW_DISTRICT'!$O$4:$O$745)),"")</f>
        <v/>
      </c>
      <c r="J39" s="10" t="str">
        <f>IFERROR(IF($B39="","",INDEX('RAW_DISTRICT'!$R$4:$R$745,MATCH(1,('RAW_DISTRICT'!$C$4:$C$745=$B39)*('RAW_DISTRICT'!$B$4:$B$745=$C39),0))),"")</f>
        <v/>
      </c>
      <c r="K39" s="10" t="str">
        <f>IFERROR(IF($B39="","",INDEX('RAW_DISTRICT'!$S$4:$S$745,MATCH(1,('RAW_DISTRICT'!$C$4:$C$745=$B39)*('RAW_DISTRICT'!$B$4:$B$745=$C39),0))),"")</f>
        <v/>
      </c>
    </row>
    <row r="40" spans="1:11" ht="15" customHeight="1" x14ac:dyDescent="0.3">
      <c r="A40" s="24">
        <v>36</v>
      </c>
      <c r="B40" s="12" t="str">
        <f>IFERROR(IF(SelectedScope="All India",INDEX('RAW_DISTRICT'!$C$4:$C$745,36),INDEX('RAW_DISTRICT'!$C$4:$C$745,MATCH(36,'RAW_DISTRICT'!$V$4:$V$745,0))),"")</f>
        <v>Lower Dibang Valley</v>
      </c>
      <c r="C40" s="12" t="str">
        <f>IFERROR(IF($B40="","",IF(SelectedScope="All India",INDEX('RAW_DISTRICT'!$B$4:$B$745,36),SelectedScope)),"")</f>
        <v>Arunachal Pradesh</v>
      </c>
      <c r="D40" s="13" t="str">
        <f>IFERROR(IF($B40="","",INDEX('RAW_DISTRICT'!$E$4:$E$745,MATCH(1,('RAW_DISTRICT'!$C$4:$C$745=$B40)*('RAW_DISTRICT'!$B$4:$B$745=$C40),0))),"")</f>
        <v/>
      </c>
      <c r="E40" s="13">
        <f>IFERROR(IF($B40="","",SUMPRODUCT(('RAW_DISTRICT'!$C$4:$C$745=$B40)*('RAW_DISTRICT'!$B$4:$B$745=$C40)*'RAW_DISTRICT'!$F$4:$F$745)),"")</f>
        <v>0</v>
      </c>
      <c r="F40" s="14" t="str">
        <f>IFERROR(IF($B40="","",SUMPRODUCT(('RAW_DISTRICT'!$C$4:$C$745=$B40)*('RAW_DISTRICT'!$B$4:$B$745=$C40)*'RAW_DISTRICT'!$I$4:$I$745)/SUMPRODUCT(('RAW_DISTRICT'!$C$4:$C$745=$B40)*('RAW_DISTRICT'!$B$4:$B$745=$C40)*'RAW_DISTRICT'!$H$4:$H$745)),"")</f>
        <v/>
      </c>
      <c r="G40" s="14" t="str">
        <f>IFERROR(IF($B40="","",SUMPRODUCT(('RAW_DISTRICT'!$C$4:$C$745=$B40)*('RAW_DISTRICT'!$B$4:$B$745=$C40)*'RAW_DISTRICT'!$K$4:$K$745)/SUMPRODUCT(('RAW_DISTRICT'!$C$4:$C$745=$B40)*('RAW_DISTRICT'!$B$4:$B$745=$C40)*'RAW_DISTRICT'!$J$4:$J$745)),"")</f>
        <v/>
      </c>
      <c r="H40" s="14" t="str">
        <f>IFERROR(IF($B40="","",SUMPRODUCT(('RAW_DISTRICT'!$C$4:$C$745=$B40)*('RAW_DISTRICT'!$B$4:$B$745=$C40)*'RAW_DISTRICT'!$M$4:$M$745)/SUMPRODUCT(('RAW_DISTRICT'!$C$4:$C$745=$B40)*('RAW_DISTRICT'!$B$4:$B$745=$C40)*'RAW_DISTRICT'!$L$4:$L$745)),"")</f>
        <v/>
      </c>
      <c r="I40" s="14" t="str">
        <f>IFERROR(IF($B40="","",SUMPRODUCT(('RAW_DISTRICT'!$C$4:$C$745=$B40)*('RAW_DISTRICT'!$B$4:$B$745=$C40)*'RAW_DISTRICT'!$N$4:$N$745)/SUMPRODUCT(('RAW_DISTRICT'!$C$4:$C$745=$B40)*('RAW_DISTRICT'!$B$4:$B$745=$C40)*'RAW_DISTRICT'!$O$4:$O$745)),"")</f>
        <v/>
      </c>
      <c r="J40" s="13" t="str">
        <f>IFERROR(IF($B40="","",INDEX('RAW_DISTRICT'!$R$4:$R$745,MATCH(1,('RAW_DISTRICT'!$C$4:$C$745=$B40)*('RAW_DISTRICT'!$B$4:$B$745=$C40),0))),"")</f>
        <v/>
      </c>
      <c r="K40" s="13" t="str">
        <f>IFERROR(IF($B40="","",INDEX('RAW_DISTRICT'!$S$4:$S$745,MATCH(1,('RAW_DISTRICT'!$C$4:$C$745=$B40)*('RAW_DISTRICT'!$B$4:$B$745=$C40),0))),"")</f>
        <v/>
      </c>
    </row>
    <row r="41" spans="1:11" ht="15" customHeight="1" x14ac:dyDescent="0.3">
      <c r="A41" s="23">
        <v>37</v>
      </c>
      <c r="B41" s="9" t="str">
        <f>IFERROR(IF(SelectedScope="All India",INDEX('RAW_DISTRICT'!$C$4:$C$745,37),INDEX('RAW_DISTRICT'!$C$4:$C$745,MATCH(37,'RAW_DISTRICT'!$V$4:$V$745,0))),"")</f>
        <v>Lower Siang</v>
      </c>
      <c r="C41" s="9" t="str">
        <f>IFERROR(IF($B41="","",IF(SelectedScope="All India",INDEX('RAW_DISTRICT'!$B$4:$B$745,37),SelectedScope)),"")</f>
        <v>Arunachal Pradesh</v>
      </c>
      <c r="D41" s="10" t="str">
        <f>IFERROR(IF($B41="","",INDEX('RAW_DISTRICT'!$E$4:$E$745,MATCH(1,('RAW_DISTRICT'!$C$4:$C$745=$B41)*('RAW_DISTRICT'!$B$4:$B$745=$C41),0))),"")</f>
        <v/>
      </c>
      <c r="E41" s="10">
        <f>IFERROR(IF($B41="","",SUMPRODUCT(('RAW_DISTRICT'!$C$4:$C$745=$B41)*('RAW_DISTRICT'!$B$4:$B$745=$C41)*'RAW_DISTRICT'!$F$4:$F$745)),"")</f>
        <v>0</v>
      </c>
      <c r="F41" s="11" t="str">
        <f>IFERROR(IF($B41="","",SUMPRODUCT(('RAW_DISTRICT'!$C$4:$C$745=$B41)*('RAW_DISTRICT'!$B$4:$B$745=$C41)*'RAW_DISTRICT'!$I$4:$I$745)/SUMPRODUCT(('RAW_DISTRICT'!$C$4:$C$745=$B41)*('RAW_DISTRICT'!$B$4:$B$745=$C41)*'RAW_DISTRICT'!$H$4:$H$745)),"")</f>
        <v/>
      </c>
      <c r="G41" s="11" t="str">
        <f>IFERROR(IF($B41="","",SUMPRODUCT(('RAW_DISTRICT'!$C$4:$C$745=$B41)*('RAW_DISTRICT'!$B$4:$B$745=$C41)*'RAW_DISTRICT'!$K$4:$K$745)/SUMPRODUCT(('RAW_DISTRICT'!$C$4:$C$745=$B41)*('RAW_DISTRICT'!$B$4:$B$745=$C41)*'RAW_DISTRICT'!$J$4:$J$745)),"")</f>
        <v/>
      </c>
      <c r="H41" s="11" t="str">
        <f>IFERROR(IF($B41="","",SUMPRODUCT(('RAW_DISTRICT'!$C$4:$C$745=$B41)*('RAW_DISTRICT'!$B$4:$B$745=$C41)*'RAW_DISTRICT'!$M$4:$M$745)/SUMPRODUCT(('RAW_DISTRICT'!$C$4:$C$745=$B41)*('RAW_DISTRICT'!$B$4:$B$745=$C41)*'RAW_DISTRICT'!$L$4:$L$745)),"")</f>
        <v/>
      </c>
      <c r="I41" s="11" t="str">
        <f>IFERROR(IF($B41="","",SUMPRODUCT(('RAW_DISTRICT'!$C$4:$C$745=$B41)*('RAW_DISTRICT'!$B$4:$B$745=$C41)*'RAW_DISTRICT'!$N$4:$N$745)/SUMPRODUCT(('RAW_DISTRICT'!$C$4:$C$745=$B41)*('RAW_DISTRICT'!$B$4:$B$745=$C41)*'RAW_DISTRICT'!$O$4:$O$745)),"")</f>
        <v/>
      </c>
      <c r="J41" s="10" t="str">
        <f>IFERROR(IF($B41="","",INDEX('RAW_DISTRICT'!$R$4:$R$745,MATCH(1,('RAW_DISTRICT'!$C$4:$C$745=$B41)*('RAW_DISTRICT'!$B$4:$B$745=$C41),0))),"")</f>
        <v/>
      </c>
      <c r="K41" s="10" t="str">
        <f>IFERROR(IF($B41="","",INDEX('RAW_DISTRICT'!$S$4:$S$745,MATCH(1,('RAW_DISTRICT'!$C$4:$C$745=$B41)*('RAW_DISTRICT'!$B$4:$B$745=$C41),0))),"")</f>
        <v/>
      </c>
    </row>
    <row r="42" spans="1:11" ht="15" customHeight="1" x14ac:dyDescent="0.3">
      <c r="A42" s="24">
        <v>38</v>
      </c>
      <c r="B42" s="12" t="str">
        <f>IFERROR(IF(SelectedScope="All India",INDEX('RAW_DISTRICT'!$C$4:$C$745,38),INDEX('RAW_DISTRICT'!$C$4:$C$745,MATCH(38,'RAW_DISTRICT'!$V$4:$V$745,0))),"")</f>
        <v>Lower Subansiri</v>
      </c>
      <c r="C42" s="12" t="str">
        <f>IFERROR(IF($B42="","",IF(SelectedScope="All India",INDEX('RAW_DISTRICT'!$B$4:$B$745,38),SelectedScope)),"")</f>
        <v>Arunachal Pradesh</v>
      </c>
      <c r="D42" s="13" t="str">
        <f>IFERROR(IF($B42="","",INDEX('RAW_DISTRICT'!$E$4:$E$745,MATCH(1,('RAW_DISTRICT'!$C$4:$C$745=$B42)*('RAW_DISTRICT'!$B$4:$B$745=$C42),0))),"")</f>
        <v/>
      </c>
      <c r="E42" s="13">
        <f>IFERROR(IF($B42="","",SUMPRODUCT(('RAW_DISTRICT'!$C$4:$C$745=$B42)*('RAW_DISTRICT'!$B$4:$B$745=$C42)*'RAW_DISTRICT'!$F$4:$F$745)),"")</f>
        <v>0</v>
      </c>
      <c r="F42" s="14" t="str">
        <f>IFERROR(IF($B42="","",SUMPRODUCT(('RAW_DISTRICT'!$C$4:$C$745=$B42)*('RAW_DISTRICT'!$B$4:$B$745=$C42)*'RAW_DISTRICT'!$I$4:$I$745)/SUMPRODUCT(('RAW_DISTRICT'!$C$4:$C$745=$B42)*('RAW_DISTRICT'!$B$4:$B$745=$C42)*'RAW_DISTRICT'!$H$4:$H$745)),"")</f>
        <v/>
      </c>
      <c r="G42" s="14" t="str">
        <f>IFERROR(IF($B42="","",SUMPRODUCT(('RAW_DISTRICT'!$C$4:$C$745=$B42)*('RAW_DISTRICT'!$B$4:$B$745=$C42)*'RAW_DISTRICT'!$K$4:$K$745)/SUMPRODUCT(('RAW_DISTRICT'!$C$4:$C$745=$B42)*('RAW_DISTRICT'!$B$4:$B$745=$C42)*'RAW_DISTRICT'!$J$4:$J$745)),"")</f>
        <v/>
      </c>
      <c r="H42" s="14" t="str">
        <f>IFERROR(IF($B42="","",SUMPRODUCT(('RAW_DISTRICT'!$C$4:$C$745=$B42)*('RAW_DISTRICT'!$B$4:$B$745=$C42)*'RAW_DISTRICT'!$M$4:$M$745)/SUMPRODUCT(('RAW_DISTRICT'!$C$4:$C$745=$B42)*('RAW_DISTRICT'!$B$4:$B$745=$C42)*'RAW_DISTRICT'!$L$4:$L$745)),"")</f>
        <v/>
      </c>
      <c r="I42" s="14" t="str">
        <f>IFERROR(IF($B42="","",SUMPRODUCT(('RAW_DISTRICT'!$C$4:$C$745=$B42)*('RAW_DISTRICT'!$B$4:$B$745=$C42)*'RAW_DISTRICT'!$N$4:$N$745)/SUMPRODUCT(('RAW_DISTRICT'!$C$4:$C$745=$B42)*('RAW_DISTRICT'!$B$4:$B$745=$C42)*'RAW_DISTRICT'!$O$4:$O$745)),"")</f>
        <v/>
      </c>
      <c r="J42" s="13" t="str">
        <f>IFERROR(IF($B42="","",INDEX('RAW_DISTRICT'!$R$4:$R$745,MATCH(1,('RAW_DISTRICT'!$C$4:$C$745=$B42)*('RAW_DISTRICT'!$B$4:$B$745=$C42),0))),"")</f>
        <v/>
      </c>
      <c r="K42" s="13" t="str">
        <f>IFERROR(IF($B42="","",INDEX('RAW_DISTRICT'!$S$4:$S$745,MATCH(1,('RAW_DISTRICT'!$C$4:$C$745=$B42)*('RAW_DISTRICT'!$B$4:$B$745=$C42),0))),"")</f>
        <v/>
      </c>
    </row>
    <row r="43" spans="1:11" ht="15" customHeight="1" x14ac:dyDescent="0.3">
      <c r="A43" s="23">
        <v>39</v>
      </c>
      <c r="B43" s="9" t="str">
        <f>IFERROR(IF(SelectedScope="All India",INDEX('RAW_DISTRICT'!$C$4:$C$745,39),INDEX('RAW_DISTRICT'!$C$4:$C$745,MATCH(39,'RAW_DISTRICT'!$V$4:$V$745,0))),"")</f>
        <v>Namsai</v>
      </c>
      <c r="C43" s="9" t="str">
        <f>IFERROR(IF($B43="","",IF(SelectedScope="All India",INDEX('RAW_DISTRICT'!$B$4:$B$745,39),SelectedScope)),"")</f>
        <v>Arunachal Pradesh</v>
      </c>
      <c r="D43" s="10" t="str">
        <f>IFERROR(IF($B43="","",INDEX('RAW_DISTRICT'!$E$4:$E$745,MATCH(1,('RAW_DISTRICT'!$C$4:$C$745=$B43)*('RAW_DISTRICT'!$B$4:$B$745=$C43),0))),"")</f>
        <v/>
      </c>
      <c r="E43" s="10">
        <f>IFERROR(IF($B43="","",SUMPRODUCT(('RAW_DISTRICT'!$C$4:$C$745=$B43)*('RAW_DISTRICT'!$B$4:$B$745=$C43)*'RAW_DISTRICT'!$F$4:$F$745)),"")</f>
        <v>0</v>
      </c>
      <c r="F43" s="11" t="str">
        <f>IFERROR(IF($B43="","",SUMPRODUCT(('RAW_DISTRICT'!$C$4:$C$745=$B43)*('RAW_DISTRICT'!$B$4:$B$745=$C43)*'RAW_DISTRICT'!$I$4:$I$745)/SUMPRODUCT(('RAW_DISTRICT'!$C$4:$C$745=$B43)*('RAW_DISTRICT'!$B$4:$B$745=$C43)*'RAW_DISTRICT'!$H$4:$H$745)),"")</f>
        <v/>
      </c>
      <c r="G43" s="11" t="str">
        <f>IFERROR(IF($B43="","",SUMPRODUCT(('RAW_DISTRICT'!$C$4:$C$745=$B43)*('RAW_DISTRICT'!$B$4:$B$745=$C43)*'RAW_DISTRICT'!$K$4:$K$745)/SUMPRODUCT(('RAW_DISTRICT'!$C$4:$C$745=$B43)*('RAW_DISTRICT'!$B$4:$B$745=$C43)*'RAW_DISTRICT'!$J$4:$J$745)),"")</f>
        <v/>
      </c>
      <c r="H43" s="11" t="str">
        <f>IFERROR(IF($B43="","",SUMPRODUCT(('RAW_DISTRICT'!$C$4:$C$745=$B43)*('RAW_DISTRICT'!$B$4:$B$745=$C43)*'RAW_DISTRICT'!$M$4:$M$745)/SUMPRODUCT(('RAW_DISTRICT'!$C$4:$C$745=$B43)*('RAW_DISTRICT'!$B$4:$B$745=$C43)*'RAW_DISTRICT'!$L$4:$L$745)),"")</f>
        <v/>
      </c>
      <c r="I43" s="11" t="str">
        <f>IFERROR(IF($B43="","",SUMPRODUCT(('RAW_DISTRICT'!$C$4:$C$745=$B43)*('RAW_DISTRICT'!$B$4:$B$745=$C43)*'RAW_DISTRICT'!$N$4:$N$745)/SUMPRODUCT(('RAW_DISTRICT'!$C$4:$C$745=$B43)*('RAW_DISTRICT'!$B$4:$B$745=$C43)*'RAW_DISTRICT'!$O$4:$O$745)),"")</f>
        <v/>
      </c>
      <c r="J43" s="10" t="str">
        <f>IFERROR(IF($B43="","",INDEX('RAW_DISTRICT'!$R$4:$R$745,MATCH(1,('RAW_DISTRICT'!$C$4:$C$745=$B43)*('RAW_DISTRICT'!$B$4:$B$745=$C43),0))),"")</f>
        <v/>
      </c>
      <c r="K43" s="10" t="str">
        <f>IFERROR(IF($B43="","",INDEX('RAW_DISTRICT'!$S$4:$S$745,MATCH(1,('RAW_DISTRICT'!$C$4:$C$745=$B43)*('RAW_DISTRICT'!$B$4:$B$745=$C43),0))),"")</f>
        <v/>
      </c>
    </row>
    <row r="44" spans="1:11" ht="15" customHeight="1" x14ac:dyDescent="0.3">
      <c r="A44" s="24">
        <v>40</v>
      </c>
      <c r="B44" s="12" t="str">
        <f>IFERROR(IF(SelectedScope="All India",INDEX('RAW_DISTRICT'!$C$4:$C$745,40),INDEX('RAW_DISTRICT'!$C$4:$C$745,MATCH(40,'RAW_DISTRICT'!$V$4:$V$745,0))),"")</f>
        <v>Papum Pare</v>
      </c>
      <c r="C44" s="12" t="str">
        <f>IFERROR(IF($B44="","",IF(SelectedScope="All India",INDEX('RAW_DISTRICT'!$B$4:$B$745,40),SelectedScope)),"")</f>
        <v>Arunachal Pradesh</v>
      </c>
      <c r="D44" s="13" t="str">
        <f>IFERROR(IF($B44="","",INDEX('RAW_DISTRICT'!$E$4:$E$745,MATCH(1,('RAW_DISTRICT'!$C$4:$C$745=$B44)*('RAW_DISTRICT'!$B$4:$B$745=$C44),0))),"")</f>
        <v/>
      </c>
      <c r="E44" s="13">
        <f>IFERROR(IF($B44="","",SUMPRODUCT(('RAW_DISTRICT'!$C$4:$C$745=$B44)*('RAW_DISTRICT'!$B$4:$B$745=$C44)*'RAW_DISTRICT'!$F$4:$F$745)),"")</f>
        <v>0</v>
      </c>
      <c r="F44" s="14" t="str">
        <f>IFERROR(IF($B44="","",SUMPRODUCT(('RAW_DISTRICT'!$C$4:$C$745=$B44)*('RAW_DISTRICT'!$B$4:$B$745=$C44)*'RAW_DISTRICT'!$I$4:$I$745)/SUMPRODUCT(('RAW_DISTRICT'!$C$4:$C$745=$B44)*('RAW_DISTRICT'!$B$4:$B$745=$C44)*'RAW_DISTRICT'!$H$4:$H$745)),"")</f>
        <v/>
      </c>
      <c r="G44" s="14" t="str">
        <f>IFERROR(IF($B44="","",SUMPRODUCT(('RAW_DISTRICT'!$C$4:$C$745=$B44)*('RAW_DISTRICT'!$B$4:$B$745=$C44)*'RAW_DISTRICT'!$K$4:$K$745)/SUMPRODUCT(('RAW_DISTRICT'!$C$4:$C$745=$B44)*('RAW_DISTRICT'!$B$4:$B$745=$C44)*'RAW_DISTRICT'!$J$4:$J$745)),"")</f>
        <v/>
      </c>
      <c r="H44" s="14" t="str">
        <f>IFERROR(IF($B44="","",SUMPRODUCT(('RAW_DISTRICT'!$C$4:$C$745=$B44)*('RAW_DISTRICT'!$B$4:$B$745=$C44)*'RAW_DISTRICT'!$M$4:$M$745)/SUMPRODUCT(('RAW_DISTRICT'!$C$4:$C$745=$B44)*('RAW_DISTRICT'!$B$4:$B$745=$C44)*'RAW_DISTRICT'!$L$4:$L$745)),"")</f>
        <v/>
      </c>
      <c r="I44" s="14" t="str">
        <f>IFERROR(IF($B44="","",SUMPRODUCT(('RAW_DISTRICT'!$C$4:$C$745=$B44)*('RAW_DISTRICT'!$B$4:$B$745=$C44)*'RAW_DISTRICT'!$N$4:$N$745)/SUMPRODUCT(('RAW_DISTRICT'!$C$4:$C$745=$B44)*('RAW_DISTRICT'!$B$4:$B$745=$C44)*'RAW_DISTRICT'!$O$4:$O$745)),"")</f>
        <v/>
      </c>
      <c r="J44" s="13" t="str">
        <f>IFERROR(IF($B44="","",INDEX('RAW_DISTRICT'!$R$4:$R$745,MATCH(1,('RAW_DISTRICT'!$C$4:$C$745=$B44)*('RAW_DISTRICT'!$B$4:$B$745=$C44),0))),"")</f>
        <v/>
      </c>
      <c r="K44" s="13" t="str">
        <f>IFERROR(IF($B44="","",INDEX('RAW_DISTRICT'!$S$4:$S$745,MATCH(1,('RAW_DISTRICT'!$C$4:$C$745=$B44)*('RAW_DISTRICT'!$B$4:$B$745=$C44),0))),"")</f>
        <v/>
      </c>
    </row>
    <row r="45" spans="1:11" ht="15" customHeight="1" x14ac:dyDescent="0.3">
      <c r="A45" s="23">
        <v>41</v>
      </c>
      <c r="B45" s="9" t="str">
        <f>IFERROR(IF(SelectedScope="All India",INDEX('RAW_DISTRICT'!$C$4:$C$745,41),INDEX('RAW_DISTRICT'!$C$4:$C$745,MATCH(41,'RAW_DISTRICT'!$V$4:$V$745,0))),"")</f>
        <v>Tawang</v>
      </c>
      <c r="C45" s="9" t="str">
        <f>IFERROR(IF($B45="","",IF(SelectedScope="All India",INDEX('RAW_DISTRICT'!$B$4:$B$745,41),SelectedScope)),"")</f>
        <v>Arunachal Pradesh</v>
      </c>
      <c r="D45" s="10" t="str">
        <f>IFERROR(IF($B45="","",INDEX('RAW_DISTRICT'!$E$4:$E$745,MATCH(1,('RAW_DISTRICT'!$C$4:$C$745=$B45)*('RAW_DISTRICT'!$B$4:$B$745=$C45),0))),"")</f>
        <v/>
      </c>
      <c r="E45" s="10">
        <f>IFERROR(IF($B45="","",SUMPRODUCT(('RAW_DISTRICT'!$C$4:$C$745=$B45)*('RAW_DISTRICT'!$B$4:$B$745=$C45)*'RAW_DISTRICT'!$F$4:$F$745)),"")</f>
        <v>0</v>
      </c>
      <c r="F45" s="11" t="str">
        <f>IFERROR(IF($B45="","",SUMPRODUCT(('RAW_DISTRICT'!$C$4:$C$745=$B45)*('RAW_DISTRICT'!$B$4:$B$745=$C45)*'RAW_DISTRICT'!$I$4:$I$745)/SUMPRODUCT(('RAW_DISTRICT'!$C$4:$C$745=$B45)*('RAW_DISTRICT'!$B$4:$B$745=$C45)*'RAW_DISTRICT'!$H$4:$H$745)),"")</f>
        <v/>
      </c>
      <c r="G45" s="11" t="str">
        <f>IFERROR(IF($B45="","",SUMPRODUCT(('RAW_DISTRICT'!$C$4:$C$745=$B45)*('RAW_DISTRICT'!$B$4:$B$745=$C45)*'RAW_DISTRICT'!$K$4:$K$745)/SUMPRODUCT(('RAW_DISTRICT'!$C$4:$C$745=$B45)*('RAW_DISTRICT'!$B$4:$B$745=$C45)*'RAW_DISTRICT'!$J$4:$J$745)),"")</f>
        <v/>
      </c>
      <c r="H45" s="11" t="str">
        <f>IFERROR(IF($B45="","",SUMPRODUCT(('RAW_DISTRICT'!$C$4:$C$745=$B45)*('RAW_DISTRICT'!$B$4:$B$745=$C45)*'RAW_DISTRICT'!$M$4:$M$745)/SUMPRODUCT(('RAW_DISTRICT'!$C$4:$C$745=$B45)*('RAW_DISTRICT'!$B$4:$B$745=$C45)*'RAW_DISTRICT'!$L$4:$L$745)),"")</f>
        <v/>
      </c>
      <c r="I45" s="11" t="str">
        <f>IFERROR(IF($B45="","",SUMPRODUCT(('RAW_DISTRICT'!$C$4:$C$745=$B45)*('RAW_DISTRICT'!$B$4:$B$745=$C45)*'RAW_DISTRICT'!$N$4:$N$745)/SUMPRODUCT(('RAW_DISTRICT'!$C$4:$C$745=$B45)*('RAW_DISTRICT'!$B$4:$B$745=$C45)*'RAW_DISTRICT'!$O$4:$O$745)),"")</f>
        <v/>
      </c>
      <c r="J45" s="10" t="str">
        <f>IFERROR(IF($B45="","",INDEX('RAW_DISTRICT'!$R$4:$R$745,MATCH(1,('RAW_DISTRICT'!$C$4:$C$745=$B45)*('RAW_DISTRICT'!$B$4:$B$745=$C45),0))),"")</f>
        <v/>
      </c>
      <c r="K45" s="10" t="str">
        <f>IFERROR(IF($B45="","",INDEX('RAW_DISTRICT'!$S$4:$S$745,MATCH(1,('RAW_DISTRICT'!$C$4:$C$745=$B45)*('RAW_DISTRICT'!$B$4:$B$745=$C45),0))),"")</f>
        <v/>
      </c>
    </row>
    <row r="46" spans="1:11" ht="15" customHeight="1" x14ac:dyDescent="0.3">
      <c r="A46" s="24">
        <v>42</v>
      </c>
      <c r="B46" s="12" t="str">
        <f>IFERROR(IF(SelectedScope="All India",INDEX('RAW_DISTRICT'!$C$4:$C$745,42),INDEX('RAW_DISTRICT'!$C$4:$C$745,MATCH(42,'RAW_DISTRICT'!$V$4:$V$745,0))),"")</f>
        <v>Tirap</v>
      </c>
      <c r="C46" s="12" t="str">
        <f>IFERROR(IF($B46="","",IF(SelectedScope="All India",INDEX('RAW_DISTRICT'!$B$4:$B$745,42),SelectedScope)),"")</f>
        <v>Arunachal Pradesh</v>
      </c>
      <c r="D46" s="13" t="str">
        <f>IFERROR(IF($B46="","",INDEX('RAW_DISTRICT'!$E$4:$E$745,MATCH(1,('RAW_DISTRICT'!$C$4:$C$745=$B46)*('RAW_DISTRICT'!$B$4:$B$745=$C46),0))),"")</f>
        <v/>
      </c>
      <c r="E46" s="13">
        <f>IFERROR(IF($B46="","",SUMPRODUCT(('RAW_DISTRICT'!$C$4:$C$745=$B46)*('RAW_DISTRICT'!$B$4:$B$745=$C46)*'RAW_DISTRICT'!$F$4:$F$745)),"")</f>
        <v>0</v>
      </c>
      <c r="F46" s="14" t="str">
        <f>IFERROR(IF($B46="","",SUMPRODUCT(('RAW_DISTRICT'!$C$4:$C$745=$B46)*('RAW_DISTRICT'!$B$4:$B$745=$C46)*'RAW_DISTRICT'!$I$4:$I$745)/SUMPRODUCT(('RAW_DISTRICT'!$C$4:$C$745=$B46)*('RAW_DISTRICT'!$B$4:$B$745=$C46)*'RAW_DISTRICT'!$H$4:$H$745)),"")</f>
        <v/>
      </c>
      <c r="G46" s="14" t="str">
        <f>IFERROR(IF($B46="","",SUMPRODUCT(('RAW_DISTRICT'!$C$4:$C$745=$B46)*('RAW_DISTRICT'!$B$4:$B$745=$C46)*'RAW_DISTRICT'!$K$4:$K$745)/SUMPRODUCT(('RAW_DISTRICT'!$C$4:$C$745=$B46)*('RAW_DISTRICT'!$B$4:$B$745=$C46)*'RAW_DISTRICT'!$J$4:$J$745)),"")</f>
        <v/>
      </c>
      <c r="H46" s="14" t="str">
        <f>IFERROR(IF($B46="","",SUMPRODUCT(('RAW_DISTRICT'!$C$4:$C$745=$B46)*('RAW_DISTRICT'!$B$4:$B$745=$C46)*'RAW_DISTRICT'!$M$4:$M$745)/SUMPRODUCT(('RAW_DISTRICT'!$C$4:$C$745=$B46)*('RAW_DISTRICT'!$B$4:$B$745=$C46)*'RAW_DISTRICT'!$L$4:$L$745)),"")</f>
        <v/>
      </c>
      <c r="I46" s="14" t="str">
        <f>IFERROR(IF($B46="","",SUMPRODUCT(('RAW_DISTRICT'!$C$4:$C$745=$B46)*('RAW_DISTRICT'!$B$4:$B$745=$C46)*'RAW_DISTRICT'!$N$4:$N$745)/SUMPRODUCT(('RAW_DISTRICT'!$C$4:$C$745=$B46)*('RAW_DISTRICT'!$B$4:$B$745=$C46)*'RAW_DISTRICT'!$O$4:$O$745)),"")</f>
        <v/>
      </c>
      <c r="J46" s="13" t="str">
        <f>IFERROR(IF($B46="","",INDEX('RAW_DISTRICT'!$R$4:$R$745,MATCH(1,('RAW_DISTRICT'!$C$4:$C$745=$B46)*('RAW_DISTRICT'!$B$4:$B$745=$C46),0))),"")</f>
        <v/>
      </c>
      <c r="K46" s="13" t="str">
        <f>IFERROR(IF($B46="","",INDEX('RAW_DISTRICT'!$S$4:$S$745,MATCH(1,('RAW_DISTRICT'!$C$4:$C$745=$B46)*('RAW_DISTRICT'!$B$4:$B$745=$C46),0))),"")</f>
        <v/>
      </c>
    </row>
    <row r="47" spans="1:11" ht="15" customHeight="1" x14ac:dyDescent="0.3">
      <c r="A47" s="23">
        <v>43</v>
      </c>
      <c r="B47" s="9" t="str">
        <f>IFERROR(IF(SelectedScope="All India",INDEX('RAW_DISTRICT'!$C$4:$C$745,43),INDEX('RAW_DISTRICT'!$C$4:$C$745,MATCH(43,'RAW_DISTRICT'!$V$4:$V$745,0))),"")</f>
        <v>Upper Siang</v>
      </c>
      <c r="C47" s="9" t="str">
        <f>IFERROR(IF($B47="","",IF(SelectedScope="All India",INDEX('RAW_DISTRICT'!$B$4:$B$745,43),SelectedScope)),"")</f>
        <v>Arunachal Pradesh</v>
      </c>
      <c r="D47" s="10" t="str">
        <f>IFERROR(IF($B47="","",INDEX('RAW_DISTRICT'!$E$4:$E$745,MATCH(1,('RAW_DISTRICT'!$C$4:$C$745=$B47)*('RAW_DISTRICT'!$B$4:$B$745=$C47),0))),"")</f>
        <v/>
      </c>
      <c r="E47" s="10">
        <f>IFERROR(IF($B47="","",SUMPRODUCT(('RAW_DISTRICT'!$C$4:$C$745=$B47)*('RAW_DISTRICT'!$B$4:$B$745=$C47)*'RAW_DISTRICT'!$F$4:$F$745)),"")</f>
        <v>0</v>
      </c>
      <c r="F47" s="11" t="str">
        <f>IFERROR(IF($B47="","",SUMPRODUCT(('RAW_DISTRICT'!$C$4:$C$745=$B47)*('RAW_DISTRICT'!$B$4:$B$745=$C47)*'RAW_DISTRICT'!$I$4:$I$745)/SUMPRODUCT(('RAW_DISTRICT'!$C$4:$C$745=$B47)*('RAW_DISTRICT'!$B$4:$B$745=$C47)*'RAW_DISTRICT'!$H$4:$H$745)),"")</f>
        <v/>
      </c>
      <c r="G47" s="11" t="str">
        <f>IFERROR(IF($B47="","",SUMPRODUCT(('RAW_DISTRICT'!$C$4:$C$745=$B47)*('RAW_DISTRICT'!$B$4:$B$745=$C47)*'RAW_DISTRICT'!$K$4:$K$745)/SUMPRODUCT(('RAW_DISTRICT'!$C$4:$C$745=$B47)*('RAW_DISTRICT'!$B$4:$B$745=$C47)*'RAW_DISTRICT'!$J$4:$J$745)),"")</f>
        <v/>
      </c>
      <c r="H47" s="11" t="str">
        <f>IFERROR(IF($B47="","",SUMPRODUCT(('RAW_DISTRICT'!$C$4:$C$745=$B47)*('RAW_DISTRICT'!$B$4:$B$745=$C47)*'RAW_DISTRICT'!$M$4:$M$745)/SUMPRODUCT(('RAW_DISTRICT'!$C$4:$C$745=$B47)*('RAW_DISTRICT'!$B$4:$B$745=$C47)*'RAW_DISTRICT'!$L$4:$L$745)),"")</f>
        <v/>
      </c>
      <c r="I47" s="11" t="str">
        <f>IFERROR(IF($B47="","",SUMPRODUCT(('RAW_DISTRICT'!$C$4:$C$745=$B47)*('RAW_DISTRICT'!$B$4:$B$745=$C47)*'RAW_DISTRICT'!$N$4:$N$745)/SUMPRODUCT(('RAW_DISTRICT'!$C$4:$C$745=$B47)*('RAW_DISTRICT'!$B$4:$B$745=$C47)*'RAW_DISTRICT'!$O$4:$O$745)),"")</f>
        <v/>
      </c>
      <c r="J47" s="10" t="str">
        <f>IFERROR(IF($B47="","",INDEX('RAW_DISTRICT'!$R$4:$R$745,MATCH(1,('RAW_DISTRICT'!$C$4:$C$745=$B47)*('RAW_DISTRICT'!$B$4:$B$745=$C47),0))),"")</f>
        <v/>
      </c>
      <c r="K47" s="10" t="str">
        <f>IFERROR(IF($B47="","",INDEX('RAW_DISTRICT'!$S$4:$S$745,MATCH(1,('RAW_DISTRICT'!$C$4:$C$745=$B47)*('RAW_DISTRICT'!$B$4:$B$745=$C47),0))),"")</f>
        <v/>
      </c>
    </row>
    <row r="48" spans="1:11" ht="15" customHeight="1" x14ac:dyDescent="0.3">
      <c r="A48" s="24">
        <v>44</v>
      </c>
      <c r="B48" s="12" t="str">
        <f>IFERROR(IF(SelectedScope="All India",INDEX('RAW_DISTRICT'!$C$4:$C$745,44),INDEX('RAW_DISTRICT'!$C$4:$C$745,MATCH(44,'RAW_DISTRICT'!$V$4:$V$745,0))),"")</f>
        <v>Upper Subansiri</v>
      </c>
      <c r="C48" s="12" t="str">
        <f>IFERROR(IF($B48="","",IF(SelectedScope="All India",INDEX('RAW_DISTRICT'!$B$4:$B$745,44),SelectedScope)),"")</f>
        <v>Arunachal Pradesh</v>
      </c>
      <c r="D48" s="13" t="str">
        <f>IFERROR(IF($B48="","",INDEX('RAW_DISTRICT'!$E$4:$E$745,MATCH(1,('RAW_DISTRICT'!$C$4:$C$745=$B48)*('RAW_DISTRICT'!$B$4:$B$745=$C48),0))),"")</f>
        <v/>
      </c>
      <c r="E48" s="13">
        <f>IFERROR(IF($B48="","",SUMPRODUCT(('RAW_DISTRICT'!$C$4:$C$745=$B48)*('RAW_DISTRICT'!$B$4:$B$745=$C48)*'RAW_DISTRICT'!$F$4:$F$745)),"")</f>
        <v>0</v>
      </c>
      <c r="F48" s="14" t="str">
        <f>IFERROR(IF($B48="","",SUMPRODUCT(('RAW_DISTRICT'!$C$4:$C$745=$B48)*('RAW_DISTRICT'!$B$4:$B$745=$C48)*'RAW_DISTRICT'!$I$4:$I$745)/SUMPRODUCT(('RAW_DISTRICT'!$C$4:$C$745=$B48)*('RAW_DISTRICT'!$B$4:$B$745=$C48)*'RAW_DISTRICT'!$H$4:$H$745)),"")</f>
        <v/>
      </c>
      <c r="G48" s="14" t="str">
        <f>IFERROR(IF($B48="","",SUMPRODUCT(('RAW_DISTRICT'!$C$4:$C$745=$B48)*('RAW_DISTRICT'!$B$4:$B$745=$C48)*'RAW_DISTRICT'!$K$4:$K$745)/SUMPRODUCT(('RAW_DISTRICT'!$C$4:$C$745=$B48)*('RAW_DISTRICT'!$B$4:$B$745=$C48)*'RAW_DISTRICT'!$J$4:$J$745)),"")</f>
        <v/>
      </c>
      <c r="H48" s="14" t="str">
        <f>IFERROR(IF($B48="","",SUMPRODUCT(('RAW_DISTRICT'!$C$4:$C$745=$B48)*('RAW_DISTRICT'!$B$4:$B$745=$C48)*'RAW_DISTRICT'!$M$4:$M$745)/SUMPRODUCT(('RAW_DISTRICT'!$C$4:$C$745=$B48)*('RAW_DISTRICT'!$B$4:$B$745=$C48)*'RAW_DISTRICT'!$L$4:$L$745)),"")</f>
        <v/>
      </c>
      <c r="I48" s="14" t="str">
        <f>IFERROR(IF($B48="","",SUMPRODUCT(('RAW_DISTRICT'!$C$4:$C$745=$B48)*('RAW_DISTRICT'!$B$4:$B$745=$C48)*'RAW_DISTRICT'!$N$4:$N$745)/SUMPRODUCT(('RAW_DISTRICT'!$C$4:$C$745=$B48)*('RAW_DISTRICT'!$B$4:$B$745=$C48)*'RAW_DISTRICT'!$O$4:$O$745)),"")</f>
        <v/>
      </c>
      <c r="J48" s="13" t="str">
        <f>IFERROR(IF($B48="","",INDEX('RAW_DISTRICT'!$R$4:$R$745,MATCH(1,('RAW_DISTRICT'!$C$4:$C$745=$B48)*('RAW_DISTRICT'!$B$4:$B$745=$C48),0))),"")</f>
        <v/>
      </c>
      <c r="K48" s="13" t="str">
        <f>IFERROR(IF($B48="","",INDEX('RAW_DISTRICT'!$S$4:$S$745,MATCH(1,('RAW_DISTRICT'!$C$4:$C$745=$B48)*('RAW_DISTRICT'!$B$4:$B$745=$C48),0))),"")</f>
        <v/>
      </c>
    </row>
    <row r="49" spans="1:11" ht="15" customHeight="1" x14ac:dyDescent="0.3">
      <c r="A49" s="23">
        <v>45</v>
      </c>
      <c r="B49" s="9" t="str">
        <f>IFERROR(IF(SelectedScope="All India",INDEX('RAW_DISTRICT'!$C$4:$C$745,45),INDEX('RAW_DISTRICT'!$C$4:$C$745,MATCH(45,'RAW_DISTRICT'!$V$4:$V$745,0))),"")</f>
        <v>West Kameng</v>
      </c>
      <c r="C49" s="9" t="str">
        <f>IFERROR(IF($B49="","",IF(SelectedScope="All India",INDEX('RAW_DISTRICT'!$B$4:$B$745,45),SelectedScope)),"")</f>
        <v>Arunachal Pradesh</v>
      </c>
      <c r="D49" s="10" t="str">
        <f>IFERROR(IF($B49="","",INDEX('RAW_DISTRICT'!$E$4:$E$745,MATCH(1,('RAW_DISTRICT'!$C$4:$C$745=$B49)*('RAW_DISTRICT'!$B$4:$B$745=$C49),0))),"")</f>
        <v/>
      </c>
      <c r="E49" s="10">
        <f>IFERROR(IF($B49="","",SUMPRODUCT(('RAW_DISTRICT'!$C$4:$C$745=$B49)*('RAW_DISTRICT'!$B$4:$B$745=$C49)*'RAW_DISTRICT'!$F$4:$F$745)),"")</f>
        <v>0</v>
      </c>
      <c r="F49" s="11" t="str">
        <f>IFERROR(IF($B49="","",SUMPRODUCT(('RAW_DISTRICT'!$C$4:$C$745=$B49)*('RAW_DISTRICT'!$B$4:$B$745=$C49)*'RAW_DISTRICT'!$I$4:$I$745)/SUMPRODUCT(('RAW_DISTRICT'!$C$4:$C$745=$B49)*('RAW_DISTRICT'!$B$4:$B$745=$C49)*'RAW_DISTRICT'!$H$4:$H$745)),"")</f>
        <v/>
      </c>
      <c r="G49" s="11" t="str">
        <f>IFERROR(IF($B49="","",SUMPRODUCT(('RAW_DISTRICT'!$C$4:$C$745=$B49)*('RAW_DISTRICT'!$B$4:$B$745=$C49)*'RAW_DISTRICT'!$K$4:$K$745)/SUMPRODUCT(('RAW_DISTRICT'!$C$4:$C$745=$B49)*('RAW_DISTRICT'!$B$4:$B$745=$C49)*'RAW_DISTRICT'!$J$4:$J$745)),"")</f>
        <v/>
      </c>
      <c r="H49" s="11" t="str">
        <f>IFERROR(IF($B49="","",SUMPRODUCT(('RAW_DISTRICT'!$C$4:$C$745=$B49)*('RAW_DISTRICT'!$B$4:$B$745=$C49)*'RAW_DISTRICT'!$M$4:$M$745)/SUMPRODUCT(('RAW_DISTRICT'!$C$4:$C$745=$B49)*('RAW_DISTRICT'!$B$4:$B$745=$C49)*'RAW_DISTRICT'!$L$4:$L$745)),"")</f>
        <v/>
      </c>
      <c r="I49" s="11" t="str">
        <f>IFERROR(IF($B49="","",SUMPRODUCT(('RAW_DISTRICT'!$C$4:$C$745=$B49)*('RAW_DISTRICT'!$B$4:$B$745=$C49)*'RAW_DISTRICT'!$N$4:$N$745)/SUMPRODUCT(('RAW_DISTRICT'!$C$4:$C$745=$B49)*('RAW_DISTRICT'!$B$4:$B$745=$C49)*'RAW_DISTRICT'!$O$4:$O$745)),"")</f>
        <v/>
      </c>
      <c r="J49" s="10" t="str">
        <f>IFERROR(IF($B49="","",INDEX('RAW_DISTRICT'!$R$4:$R$745,MATCH(1,('RAW_DISTRICT'!$C$4:$C$745=$B49)*('RAW_DISTRICT'!$B$4:$B$745=$C49),0))),"")</f>
        <v/>
      </c>
      <c r="K49" s="10" t="str">
        <f>IFERROR(IF($B49="","",INDEX('RAW_DISTRICT'!$S$4:$S$745,MATCH(1,('RAW_DISTRICT'!$C$4:$C$745=$B49)*('RAW_DISTRICT'!$B$4:$B$745=$C49),0))),"")</f>
        <v/>
      </c>
    </row>
    <row r="50" spans="1:11" ht="15" customHeight="1" x14ac:dyDescent="0.3">
      <c r="A50" s="24">
        <v>46</v>
      </c>
      <c r="B50" s="12" t="str">
        <f>IFERROR(IF(SelectedScope="All India",INDEX('RAW_DISTRICT'!$C$4:$C$745,46),INDEX('RAW_DISTRICT'!$C$4:$C$745,MATCH(46,'RAW_DISTRICT'!$V$4:$V$745,0))),"")</f>
        <v>West Siang</v>
      </c>
      <c r="C50" s="12" t="str">
        <f>IFERROR(IF($B50="","",IF(SelectedScope="All India",INDEX('RAW_DISTRICT'!$B$4:$B$745,46),SelectedScope)),"")</f>
        <v>Arunachal Pradesh</v>
      </c>
      <c r="D50" s="13" t="str">
        <f>IFERROR(IF($B50="","",INDEX('RAW_DISTRICT'!$E$4:$E$745,MATCH(1,('RAW_DISTRICT'!$C$4:$C$745=$B50)*('RAW_DISTRICT'!$B$4:$B$745=$C50),0))),"")</f>
        <v/>
      </c>
      <c r="E50" s="13">
        <f>IFERROR(IF($B50="","",SUMPRODUCT(('RAW_DISTRICT'!$C$4:$C$745=$B50)*('RAW_DISTRICT'!$B$4:$B$745=$C50)*'RAW_DISTRICT'!$F$4:$F$745)),"")</f>
        <v>0</v>
      </c>
      <c r="F50" s="14" t="str">
        <f>IFERROR(IF($B50="","",SUMPRODUCT(('RAW_DISTRICT'!$C$4:$C$745=$B50)*('RAW_DISTRICT'!$B$4:$B$745=$C50)*'RAW_DISTRICT'!$I$4:$I$745)/SUMPRODUCT(('RAW_DISTRICT'!$C$4:$C$745=$B50)*('RAW_DISTRICT'!$B$4:$B$745=$C50)*'RAW_DISTRICT'!$H$4:$H$745)),"")</f>
        <v/>
      </c>
      <c r="G50" s="14" t="str">
        <f>IFERROR(IF($B50="","",SUMPRODUCT(('RAW_DISTRICT'!$C$4:$C$745=$B50)*('RAW_DISTRICT'!$B$4:$B$745=$C50)*'RAW_DISTRICT'!$K$4:$K$745)/SUMPRODUCT(('RAW_DISTRICT'!$C$4:$C$745=$B50)*('RAW_DISTRICT'!$B$4:$B$745=$C50)*'RAW_DISTRICT'!$J$4:$J$745)),"")</f>
        <v/>
      </c>
      <c r="H50" s="14" t="str">
        <f>IFERROR(IF($B50="","",SUMPRODUCT(('RAW_DISTRICT'!$C$4:$C$745=$B50)*('RAW_DISTRICT'!$B$4:$B$745=$C50)*'RAW_DISTRICT'!$M$4:$M$745)/SUMPRODUCT(('RAW_DISTRICT'!$C$4:$C$745=$B50)*('RAW_DISTRICT'!$B$4:$B$745=$C50)*'RAW_DISTRICT'!$L$4:$L$745)),"")</f>
        <v/>
      </c>
      <c r="I50" s="14" t="str">
        <f>IFERROR(IF($B50="","",SUMPRODUCT(('RAW_DISTRICT'!$C$4:$C$745=$B50)*('RAW_DISTRICT'!$B$4:$B$745=$C50)*'RAW_DISTRICT'!$N$4:$N$745)/SUMPRODUCT(('RAW_DISTRICT'!$C$4:$C$745=$B50)*('RAW_DISTRICT'!$B$4:$B$745=$C50)*'RAW_DISTRICT'!$O$4:$O$745)),"")</f>
        <v/>
      </c>
      <c r="J50" s="13" t="str">
        <f>IFERROR(IF($B50="","",INDEX('RAW_DISTRICT'!$R$4:$R$745,MATCH(1,('RAW_DISTRICT'!$C$4:$C$745=$B50)*('RAW_DISTRICT'!$B$4:$B$745=$C50),0))),"")</f>
        <v/>
      </c>
      <c r="K50" s="13" t="str">
        <f>IFERROR(IF($B50="","",INDEX('RAW_DISTRICT'!$S$4:$S$745,MATCH(1,('RAW_DISTRICT'!$C$4:$C$745=$B50)*('RAW_DISTRICT'!$B$4:$B$745=$C50),0))),"")</f>
        <v/>
      </c>
    </row>
    <row r="51" spans="1:11" ht="15" customHeight="1" x14ac:dyDescent="0.3">
      <c r="A51" s="23">
        <v>47</v>
      </c>
      <c r="B51" s="9" t="str">
        <f>IFERROR(IF(SelectedScope="All India",INDEX('RAW_DISTRICT'!$C$4:$C$745,47),INDEX('RAW_DISTRICT'!$C$4:$C$745,MATCH(47,'RAW_DISTRICT'!$V$4:$V$745,0))),"")</f>
        <v>Barpeta</v>
      </c>
      <c r="C51" s="9" t="str">
        <f>IFERROR(IF($B51="","",IF(SelectedScope="All India",INDEX('RAW_DISTRICT'!$B$4:$B$745,47),SelectedScope)),"")</f>
        <v>Assam</v>
      </c>
      <c r="D51" s="10" t="str">
        <f>IFERROR(IF($B51="","",INDEX('RAW_DISTRICT'!$E$4:$E$745,MATCH(1,('RAW_DISTRICT'!$C$4:$C$745=$B51)*('RAW_DISTRICT'!$B$4:$B$745=$C51),0))),"")</f>
        <v/>
      </c>
      <c r="E51" s="10">
        <f>IFERROR(IF($B51="","",SUMPRODUCT(('RAW_DISTRICT'!$C$4:$C$745=$B51)*('RAW_DISTRICT'!$B$4:$B$745=$C51)*'RAW_DISTRICT'!$F$4:$F$745)),"")</f>
        <v>0</v>
      </c>
      <c r="F51" s="11" t="str">
        <f>IFERROR(IF($B51="","",SUMPRODUCT(('RAW_DISTRICT'!$C$4:$C$745=$B51)*('RAW_DISTRICT'!$B$4:$B$745=$C51)*'RAW_DISTRICT'!$I$4:$I$745)/SUMPRODUCT(('RAW_DISTRICT'!$C$4:$C$745=$B51)*('RAW_DISTRICT'!$B$4:$B$745=$C51)*'RAW_DISTRICT'!$H$4:$H$745)),"")</f>
        <v/>
      </c>
      <c r="G51" s="11" t="str">
        <f>IFERROR(IF($B51="","",SUMPRODUCT(('RAW_DISTRICT'!$C$4:$C$745=$B51)*('RAW_DISTRICT'!$B$4:$B$745=$C51)*'RAW_DISTRICT'!$K$4:$K$745)/SUMPRODUCT(('RAW_DISTRICT'!$C$4:$C$745=$B51)*('RAW_DISTRICT'!$B$4:$B$745=$C51)*'RAW_DISTRICT'!$J$4:$J$745)),"")</f>
        <v/>
      </c>
      <c r="H51" s="11" t="str">
        <f>IFERROR(IF($B51="","",SUMPRODUCT(('RAW_DISTRICT'!$C$4:$C$745=$B51)*('RAW_DISTRICT'!$B$4:$B$745=$C51)*'RAW_DISTRICT'!$M$4:$M$745)/SUMPRODUCT(('RAW_DISTRICT'!$C$4:$C$745=$B51)*('RAW_DISTRICT'!$B$4:$B$745=$C51)*'RAW_DISTRICT'!$L$4:$L$745)),"")</f>
        <v/>
      </c>
      <c r="I51" s="11" t="str">
        <f>IFERROR(IF($B51="","",SUMPRODUCT(('RAW_DISTRICT'!$C$4:$C$745=$B51)*('RAW_DISTRICT'!$B$4:$B$745=$C51)*'RAW_DISTRICT'!$N$4:$N$745)/SUMPRODUCT(('RAW_DISTRICT'!$C$4:$C$745=$B51)*('RAW_DISTRICT'!$B$4:$B$745=$C51)*'RAW_DISTRICT'!$O$4:$O$745)),"")</f>
        <v/>
      </c>
      <c r="J51" s="10" t="str">
        <f>IFERROR(IF($B51="","",INDEX('RAW_DISTRICT'!$R$4:$R$745,MATCH(1,('RAW_DISTRICT'!$C$4:$C$745=$B51)*('RAW_DISTRICT'!$B$4:$B$745=$C51),0))),"")</f>
        <v/>
      </c>
      <c r="K51" s="10" t="str">
        <f>IFERROR(IF($B51="","",INDEX('RAW_DISTRICT'!$S$4:$S$745,MATCH(1,('RAW_DISTRICT'!$C$4:$C$745=$B51)*('RAW_DISTRICT'!$B$4:$B$745=$C51),0))),"")</f>
        <v/>
      </c>
    </row>
    <row r="52" spans="1:11" ht="15" customHeight="1" x14ac:dyDescent="0.3">
      <c r="A52" s="24">
        <v>48</v>
      </c>
      <c r="B52" s="12" t="str">
        <f>IFERROR(IF(SelectedScope="All India",INDEX('RAW_DISTRICT'!$C$4:$C$745,48),INDEX('RAW_DISTRICT'!$C$4:$C$745,MATCH(48,'RAW_DISTRICT'!$V$4:$V$745,0))),"")</f>
        <v>Biswanath</v>
      </c>
      <c r="C52" s="12" t="str">
        <f>IFERROR(IF($B52="","",IF(SelectedScope="All India",INDEX('RAW_DISTRICT'!$B$4:$B$745,48),SelectedScope)),"")</f>
        <v>Assam</v>
      </c>
      <c r="D52" s="13" t="str">
        <f>IFERROR(IF($B52="","",INDEX('RAW_DISTRICT'!$E$4:$E$745,MATCH(1,('RAW_DISTRICT'!$C$4:$C$745=$B52)*('RAW_DISTRICT'!$B$4:$B$745=$C52),0))),"")</f>
        <v/>
      </c>
      <c r="E52" s="13">
        <f>IFERROR(IF($B52="","",SUMPRODUCT(('RAW_DISTRICT'!$C$4:$C$745=$B52)*('RAW_DISTRICT'!$B$4:$B$745=$C52)*'RAW_DISTRICT'!$F$4:$F$745)),"")</f>
        <v>0</v>
      </c>
      <c r="F52" s="14" t="str">
        <f>IFERROR(IF($B52="","",SUMPRODUCT(('RAW_DISTRICT'!$C$4:$C$745=$B52)*('RAW_DISTRICT'!$B$4:$B$745=$C52)*'RAW_DISTRICT'!$I$4:$I$745)/SUMPRODUCT(('RAW_DISTRICT'!$C$4:$C$745=$B52)*('RAW_DISTRICT'!$B$4:$B$745=$C52)*'RAW_DISTRICT'!$H$4:$H$745)),"")</f>
        <v/>
      </c>
      <c r="G52" s="14" t="str">
        <f>IFERROR(IF($B52="","",SUMPRODUCT(('RAW_DISTRICT'!$C$4:$C$745=$B52)*('RAW_DISTRICT'!$B$4:$B$745=$C52)*'RAW_DISTRICT'!$K$4:$K$745)/SUMPRODUCT(('RAW_DISTRICT'!$C$4:$C$745=$B52)*('RAW_DISTRICT'!$B$4:$B$745=$C52)*'RAW_DISTRICT'!$J$4:$J$745)),"")</f>
        <v/>
      </c>
      <c r="H52" s="14" t="str">
        <f>IFERROR(IF($B52="","",SUMPRODUCT(('RAW_DISTRICT'!$C$4:$C$745=$B52)*('RAW_DISTRICT'!$B$4:$B$745=$C52)*'RAW_DISTRICT'!$M$4:$M$745)/SUMPRODUCT(('RAW_DISTRICT'!$C$4:$C$745=$B52)*('RAW_DISTRICT'!$B$4:$B$745=$C52)*'RAW_DISTRICT'!$L$4:$L$745)),"")</f>
        <v/>
      </c>
      <c r="I52" s="14" t="str">
        <f>IFERROR(IF($B52="","",SUMPRODUCT(('RAW_DISTRICT'!$C$4:$C$745=$B52)*('RAW_DISTRICT'!$B$4:$B$745=$C52)*'RAW_DISTRICT'!$N$4:$N$745)/SUMPRODUCT(('RAW_DISTRICT'!$C$4:$C$745=$B52)*('RAW_DISTRICT'!$B$4:$B$745=$C52)*'RAW_DISTRICT'!$O$4:$O$745)),"")</f>
        <v/>
      </c>
      <c r="J52" s="13" t="str">
        <f>IFERROR(IF($B52="","",INDEX('RAW_DISTRICT'!$R$4:$R$745,MATCH(1,('RAW_DISTRICT'!$C$4:$C$745=$B52)*('RAW_DISTRICT'!$B$4:$B$745=$C52),0))),"")</f>
        <v/>
      </c>
      <c r="K52" s="13" t="str">
        <f>IFERROR(IF($B52="","",INDEX('RAW_DISTRICT'!$S$4:$S$745,MATCH(1,('RAW_DISTRICT'!$C$4:$C$745=$B52)*('RAW_DISTRICT'!$B$4:$B$745=$C52),0))),"")</f>
        <v/>
      </c>
    </row>
    <row r="53" spans="1:11" ht="15" customHeight="1" x14ac:dyDescent="0.3">
      <c r="A53" s="23">
        <v>49</v>
      </c>
      <c r="B53" s="9" t="str">
        <f>IFERROR(IF(SelectedScope="All India",INDEX('RAW_DISTRICT'!$C$4:$C$745,49),INDEX('RAW_DISTRICT'!$C$4:$C$745,MATCH(49,'RAW_DISTRICT'!$V$4:$V$745,0))),"")</f>
        <v>Bongaigaon</v>
      </c>
      <c r="C53" s="9" t="str">
        <f>IFERROR(IF($B53="","",IF(SelectedScope="All India",INDEX('RAW_DISTRICT'!$B$4:$B$745,49),SelectedScope)),"")</f>
        <v>Assam</v>
      </c>
      <c r="D53" s="10" t="str">
        <f>IFERROR(IF($B53="","",INDEX('RAW_DISTRICT'!$E$4:$E$745,MATCH(1,('RAW_DISTRICT'!$C$4:$C$745=$B53)*('RAW_DISTRICT'!$B$4:$B$745=$C53),0))),"")</f>
        <v/>
      </c>
      <c r="E53" s="10">
        <f>IFERROR(IF($B53="","",SUMPRODUCT(('RAW_DISTRICT'!$C$4:$C$745=$B53)*('RAW_DISTRICT'!$B$4:$B$745=$C53)*'RAW_DISTRICT'!$F$4:$F$745)),"")</f>
        <v>0</v>
      </c>
      <c r="F53" s="11" t="str">
        <f>IFERROR(IF($B53="","",SUMPRODUCT(('RAW_DISTRICT'!$C$4:$C$745=$B53)*('RAW_DISTRICT'!$B$4:$B$745=$C53)*'RAW_DISTRICT'!$I$4:$I$745)/SUMPRODUCT(('RAW_DISTRICT'!$C$4:$C$745=$B53)*('RAW_DISTRICT'!$B$4:$B$745=$C53)*'RAW_DISTRICT'!$H$4:$H$745)),"")</f>
        <v/>
      </c>
      <c r="G53" s="11" t="str">
        <f>IFERROR(IF($B53="","",SUMPRODUCT(('RAW_DISTRICT'!$C$4:$C$745=$B53)*('RAW_DISTRICT'!$B$4:$B$745=$C53)*'RAW_DISTRICT'!$K$4:$K$745)/SUMPRODUCT(('RAW_DISTRICT'!$C$4:$C$745=$B53)*('RAW_DISTRICT'!$B$4:$B$745=$C53)*'RAW_DISTRICT'!$J$4:$J$745)),"")</f>
        <v/>
      </c>
      <c r="H53" s="11" t="str">
        <f>IFERROR(IF($B53="","",SUMPRODUCT(('RAW_DISTRICT'!$C$4:$C$745=$B53)*('RAW_DISTRICT'!$B$4:$B$745=$C53)*'RAW_DISTRICT'!$M$4:$M$745)/SUMPRODUCT(('RAW_DISTRICT'!$C$4:$C$745=$B53)*('RAW_DISTRICT'!$B$4:$B$745=$C53)*'RAW_DISTRICT'!$L$4:$L$745)),"")</f>
        <v/>
      </c>
      <c r="I53" s="11" t="str">
        <f>IFERROR(IF($B53="","",SUMPRODUCT(('RAW_DISTRICT'!$C$4:$C$745=$B53)*('RAW_DISTRICT'!$B$4:$B$745=$C53)*'RAW_DISTRICT'!$N$4:$N$745)/SUMPRODUCT(('RAW_DISTRICT'!$C$4:$C$745=$B53)*('RAW_DISTRICT'!$B$4:$B$745=$C53)*'RAW_DISTRICT'!$O$4:$O$745)),"")</f>
        <v/>
      </c>
      <c r="J53" s="10" t="str">
        <f>IFERROR(IF($B53="","",INDEX('RAW_DISTRICT'!$R$4:$R$745,MATCH(1,('RAW_DISTRICT'!$C$4:$C$745=$B53)*('RAW_DISTRICT'!$B$4:$B$745=$C53),0))),"")</f>
        <v/>
      </c>
      <c r="K53" s="10" t="str">
        <f>IFERROR(IF($B53="","",INDEX('RAW_DISTRICT'!$S$4:$S$745,MATCH(1,('RAW_DISTRICT'!$C$4:$C$745=$B53)*('RAW_DISTRICT'!$B$4:$B$745=$C53),0))),"")</f>
        <v/>
      </c>
    </row>
    <row r="54" spans="1:11" ht="15" customHeight="1" x14ac:dyDescent="0.3">
      <c r="A54" s="24">
        <v>50</v>
      </c>
      <c r="B54" s="12" t="str">
        <f>IFERROR(IF(SelectedScope="All India",INDEX('RAW_DISTRICT'!$C$4:$C$745,50),INDEX('RAW_DISTRICT'!$C$4:$C$745,MATCH(50,'RAW_DISTRICT'!$V$4:$V$745,0))),"")</f>
        <v>Cachar</v>
      </c>
      <c r="C54" s="12" t="str">
        <f>IFERROR(IF($B54="","",IF(SelectedScope="All India",INDEX('RAW_DISTRICT'!$B$4:$B$745,50),SelectedScope)),"")</f>
        <v>Assam</v>
      </c>
      <c r="D54" s="13" t="str">
        <f>IFERROR(IF($B54="","",INDEX('RAW_DISTRICT'!$E$4:$E$745,MATCH(1,('RAW_DISTRICT'!$C$4:$C$745=$B54)*('RAW_DISTRICT'!$B$4:$B$745=$C54),0))),"")</f>
        <v/>
      </c>
      <c r="E54" s="13">
        <f>IFERROR(IF($B54="","",SUMPRODUCT(('RAW_DISTRICT'!$C$4:$C$745=$B54)*('RAW_DISTRICT'!$B$4:$B$745=$C54)*'RAW_DISTRICT'!$F$4:$F$745)),"")</f>
        <v>0</v>
      </c>
      <c r="F54" s="14" t="str">
        <f>IFERROR(IF($B54="","",SUMPRODUCT(('RAW_DISTRICT'!$C$4:$C$745=$B54)*('RAW_DISTRICT'!$B$4:$B$745=$C54)*'RAW_DISTRICT'!$I$4:$I$745)/SUMPRODUCT(('RAW_DISTRICT'!$C$4:$C$745=$B54)*('RAW_DISTRICT'!$B$4:$B$745=$C54)*'RAW_DISTRICT'!$H$4:$H$745)),"")</f>
        <v/>
      </c>
      <c r="G54" s="14" t="str">
        <f>IFERROR(IF($B54="","",SUMPRODUCT(('RAW_DISTRICT'!$C$4:$C$745=$B54)*('RAW_DISTRICT'!$B$4:$B$745=$C54)*'RAW_DISTRICT'!$K$4:$K$745)/SUMPRODUCT(('RAW_DISTRICT'!$C$4:$C$745=$B54)*('RAW_DISTRICT'!$B$4:$B$745=$C54)*'RAW_DISTRICT'!$J$4:$J$745)),"")</f>
        <v/>
      </c>
      <c r="H54" s="14" t="str">
        <f>IFERROR(IF($B54="","",SUMPRODUCT(('RAW_DISTRICT'!$C$4:$C$745=$B54)*('RAW_DISTRICT'!$B$4:$B$745=$C54)*'RAW_DISTRICT'!$M$4:$M$745)/SUMPRODUCT(('RAW_DISTRICT'!$C$4:$C$745=$B54)*('RAW_DISTRICT'!$B$4:$B$745=$C54)*'RAW_DISTRICT'!$L$4:$L$745)),"")</f>
        <v/>
      </c>
      <c r="I54" s="14" t="str">
        <f>IFERROR(IF($B54="","",SUMPRODUCT(('RAW_DISTRICT'!$C$4:$C$745=$B54)*('RAW_DISTRICT'!$B$4:$B$745=$C54)*'RAW_DISTRICT'!$N$4:$N$745)/SUMPRODUCT(('RAW_DISTRICT'!$C$4:$C$745=$B54)*('RAW_DISTRICT'!$B$4:$B$745=$C54)*'RAW_DISTRICT'!$O$4:$O$745)),"")</f>
        <v/>
      </c>
      <c r="J54" s="13" t="str">
        <f>IFERROR(IF($B54="","",INDEX('RAW_DISTRICT'!$R$4:$R$745,MATCH(1,('RAW_DISTRICT'!$C$4:$C$745=$B54)*('RAW_DISTRICT'!$B$4:$B$745=$C54),0))),"")</f>
        <v/>
      </c>
      <c r="K54" s="13" t="str">
        <f>IFERROR(IF($B54="","",INDEX('RAW_DISTRICT'!$S$4:$S$745,MATCH(1,('RAW_DISTRICT'!$C$4:$C$745=$B54)*('RAW_DISTRICT'!$B$4:$B$745=$C54),0))),"")</f>
        <v/>
      </c>
    </row>
    <row r="55" spans="1:11" ht="15" customHeight="1" x14ac:dyDescent="0.3">
      <c r="A55" s="23">
        <v>51</v>
      </c>
      <c r="B55" s="9" t="str">
        <f>IFERROR(IF(SelectedScope="All India",INDEX('RAW_DISTRICT'!$C$4:$C$745,51),INDEX('RAW_DISTRICT'!$C$4:$C$745,MATCH(51,'RAW_DISTRICT'!$V$4:$V$745,0))),"")</f>
        <v>Chirang</v>
      </c>
      <c r="C55" s="9" t="str">
        <f>IFERROR(IF($B55="","",IF(SelectedScope="All India",INDEX('RAW_DISTRICT'!$B$4:$B$745,51),SelectedScope)),"")</f>
        <v>Assam</v>
      </c>
      <c r="D55" s="10" t="str">
        <f>IFERROR(IF($B55="","",INDEX('RAW_DISTRICT'!$E$4:$E$745,MATCH(1,('RAW_DISTRICT'!$C$4:$C$745=$B55)*('RAW_DISTRICT'!$B$4:$B$745=$C55),0))),"")</f>
        <v/>
      </c>
      <c r="E55" s="10">
        <f>IFERROR(IF($B55="","",SUMPRODUCT(('RAW_DISTRICT'!$C$4:$C$745=$B55)*('RAW_DISTRICT'!$B$4:$B$745=$C55)*'RAW_DISTRICT'!$F$4:$F$745)),"")</f>
        <v>0</v>
      </c>
      <c r="F55" s="11" t="str">
        <f>IFERROR(IF($B55="","",SUMPRODUCT(('RAW_DISTRICT'!$C$4:$C$745=$B55)*('RAW_DISTRICT'!$B$4:$B$745=$C55)*'RAW_DISTRICT'!$I$4:$I$745)/SUMPRODUCT(('RAW_DISTRICT'!$C$4:$C$745=$B55)*('RAW_DISTRICT'!$B$4:$B$745=$C55)*'RAW_DISTRICT'!$H$4:$H$745)),"")</f>
        <v/>
      </c>
      <c r="G55" s="11" t="str">
        <f>IFERROR(IF($B55="","",SUMPRODUCT(('RAW_DISTRICT'!$C$4:$C$745=$B55)*('RAW_DISTRICT'!$B$4:$B$745=$C55)*'RAW_DISTRICT'!$K$4:$K$745)/SUMPRODUCT(('RAW_DISTRICT'!$C$4:$C$745=$B55)*('RAW_DISTRICT'!$B$4:$B$745=$C55)*'RAW_DISTRICT'!$J$4:$J$745)),"")</f>
        <v/>
      </c>
      <c r="H55" s="11" t="str">
        <f>IFERROR(IF($B55="","",SUMPRODUCT(('RAW_DISTRICT'!$C$4:$C$745=$B55)*('RAW_DISTRICT'!$B$4:$B$745=$C55)*'RAW_DISTRICT'!$M$4:$M$745)/SUMPRODUCT(('RAW_DISTRICT'!$C$4:$C$745=$B55)*('RAW_DISTRICT'!$B$4:$B$745=$C55)*'RAW_DISTRICT'!$L$4:$L$745)),"")</f>
        <v/>
      </c>
      <c r="I55" s="11" t="str">
        <f>IFERROR(IF($B55="","",SUMPRODUCT(('RAW_DISTRICT'!$C$4:$C$745=$B55)*('RAW_DISTRICT'!$B$4:$B$745=$C55)*'RAW_DISTRICT'!$N$4:$N$745)/SUMPRODUCT(('RAW_DISTRICT'!$C$4:$C$745=$B55)*('RAW_DISTRICT'!$B$4:$B$745=$C55)*'RAW_DISTRICT'!$O$4:$O$745)),"")</f>
        <v/>
      </c>
      <c r="J55" s="10" t="str">
        <f>IFERROR(IF($B55="","",INDEX('RAW_DISTRICT'!$R$4:$R$745,MATCH(1,('RAW_DISTRICT'!$C$4:$C$745=$B55)*('RAW_DISTRICT'!$B$4:$B$745=$C55),0))),"")</f>
        <v/>
      </c>
      <c r="K55" s="10" t="str">
        <f>IFERROR(IF($B55="","",INDEX('RAW_DISTRICT'!$S$4:$S$745,MATCH(1,('RAW_DISTRICT'!$C$4:$C$745=$B55)*('RAW_DISTRICT'!$B$4:$B$745=$C55),0))),"")</f>
        <v/>
      </c>
    </row>
    <row r="56" spans="1:11" ht="15" customHeight="1" x14ac:dyDescent="0.3">
      <c r="A56" s="24">
        <v>52</v>
      </c>
      <c r="B56" s="12" t="str">
        <f>IFERROR(IF(SelectedScope="All India",INDEX('RAW_DISTRICT'!$C$4:$C$745,52),INDEX('RAW_DISTRICT'!$C$4:$C$745,MATCH(52,'RAW_DISTRICT'!$V$4:$V$745,0))),"")</f>
        <v>Darrang</v>
      </c>
      <c r="C56" s="12" t="str">
        <f>IFERROR(IF($B56="","",IF(SelectedScope="All India",INDEX('RAW_DISTRICT'!$B$4:$B$745,52),SelectedScope)),"")</f>
        <v>Assam</v>
      </c>
      <c r="D56" s="13" t="str">
        <f>IFERROR(IF($B56="","",INDEX('RAW_DISTRICT'!$E$4:$E$745,MATCH(1,('RAW_DISTRICT'!$C$4:$C$745=$B56)*('RAW_DISTRICT'!$B$4:$B$745=$C56),0))),"")</f>
        <v/>
      </c>
      <c r="E56" s="13">
        <f>IFERROR(IF($B56="","",SUMPRODUCT(('RAW_DISTRICT'!$C$4:$C$745=$B56)*('RAW_DISTRICT'!$B$4:$B$745=$C56)*'RAW_DISTRICT'!$F$4:$F$745)),"")</f>
        <v>0</v>
      </c>
      <c r="F56" s="14" t="str">
        <f>IFERROR(IF($B56="","",SUMPRODUCT(('RAW_DISTRICT'!$C$4:$C$745=$B56)*('RAW_DISTRICT'!$B$4:$B$745=$C56)*'RAW_DISTRICT'!$I$4:$I$745)/SUMPRODUCT(('RAW_DISTRICT'!$C$4:$C$745=$B56)*('RAW_DISTRICT'!$B$4:$B$745=$C56)*'RAW_DISTRICT'!$H$4:$H$745)),"")</f>
        <v/>
      </c>
      <c r="G56" s="14" t="str">
        <f>IFERROR(IF($B56="","",SUMPRODUCT(('RAW_DISTRICT'!$C$4:$C$745=$B56)*('RAW_DISTRICT'!$B$4:$B$745=$C56)*'RAW_DISTRICT'!$K$4:$K$745)/SUMPRODUCT(('RAW_DISTRICT'!$C$4:$C$745=$B56)*('RAW_DISTRICT'!$B$4:$B$745=$C56)*'RAW_DISTRICT'!$J$4:$J$745)),"")</f>
        <v/>
      </c>
      <c r="H56" s="14" t="str">
        <f>IFERROR(IF($B56="","",SUMPRODUCT(('RAW_DISTRICT'!$C$4:$C$745=$B56)*('RAW_DISTRICT'!$B$4:$B$745=$C56)*'RAW_DISTRICT'!$M$4:$M$745)/SUMPRODUCT(('RAW_DISTRICT'!$C$4:$C$745=$B56)*('RAW_DISTRICT'!$B$4:$B$745=$C56)*'RAW_DISTRICT'!$L$4:$L$745)),"")</f>
        <v/>
      </c>
      <c r="I56" s="14" t="str">
        <f>IFERROR(IF($B56="","",SUMPRODUCT(('RAW_DISTRICT'!$C$4:$C$745=$B56)*('RAW_DISTRICT'!$B$4:$B$745=$C56)*'RAW_DISTRICT'!$N$4:$N$745)/SUMPRODUCT(('RAW_DISTRICT'!$C$4:$C$745=$B56)*('RAW_DISTRICT'!$B$4:$B$745=$C56)*'RAW_DISTRICT'!$O$4:$O$745)),"")</f>
        <v/>
      </c>
      <c r="J56" s="13" t="str">
        <f>IFERROR(IF($B56="","",INDEX('RAW_DISTRICT'!$R$4:$R$745,MATCH(1,('RAW_DISTRICT'!$C$4:$C$745=$B56)*('RAW_DISTRICT'!$B$4:$B$745=$C56),0))),"")</f>
        <v/>
      </c>
      <c r="K56" s="13" t="str">
        <f>IFERROR(IF($B56="","",INDEX('RAW_DISTRICT'!$S$4:$S$745,MATCH(1,('RAW_DISTRICT'!$C$4:$C$745=$B56)*('RAW_DISTRICT'!$B$4:$B$745=$C56),0))),"")</f>
        <v/>
      </c>
    </row>
    <row r="57" spans="1:11" ht="15" customHeight="1" x14ac:dyDescent="0.3">
      <c r="A57" s="23">
        <v>53</v>
      </c>
      <c r="B57" s="9" t="str">
        <f>IFERROR(IF(SelectedScope="All India",INDEX('RAW_DISTRICT'!$C$4:$C$745,53),INDEX('RAW_DISTRICT'!$C$4:$C$745,MATCH(53,'RAW_DISTRICT'!$V$4:$V$745,0))),"")</f>
        <v>Dhemaji</v>
      </c>
      <c r="C57" s="9" t="str">
        <f>IFERROR(IF($B57="","",IF(SelectedScope="All India",INDEX('RAW_DISTRICT'!$B$4:$B$745,53),SelectedScope)),"")</f>
        <v>Assam</v>
      </c>
      <c r="D57" s="10" t="str">
        <f>IFERROR(IF($B57="","",INDEX('RAW_DISTRICT'!$E$4:$E$745,MATCH(1,('RAW_DISTRICT'!$C$4:$C$745=$B57)*('RAW_DISTRICT'!$B$4:$B$745=$C57),0))),"")</f>
        <v/>
      </c>
      <c r="E57" s="10">
        <f>IFERROR(IF($B57="","",SUMPRODUCT(('RAW_DISTRICT'!$C$4:$C$745=$B57)*('RAW_DISTRICT'!$B$4:$B$745=$C57)*'RAW_DISTRICT'!$F$4:$F$745)),"")</f>
        <v>0</v>
      </c>
      <c r="F57" s="11" t="str">
        <f>IFERROR(IF($B57="","",SUMPRODUCT(('RAW_DISTRICT'!$C$4:$C$745=$B57)*('RAW_DISTRICT'!$B$4:$B$745=$C57)*'RAW_DISTRICT'!$I$4:$I$745)/SUMPRODUCT(('RAW_DISTRICT'!$C$4:$C$745=$B57)*('RAW_DISTRICT'!$B$4:$B$745=$C57)*'RAW_DISTRICT'!$H$4:$H$745)),"")</f>
        <v/>
      </c>
      <c r="G57" s="11" t="str">
        <f>IFERROR(IF($B57="","",SUMPRODUCT(('RAW_DISTRICT'!$C$4:$C$745=$B57)*('RAW_DISTRICT'!$B$4:$B$745=$C57)*'RAW_DISTRICT'!$K$4:$K$745)/SUMPRODUCT(('RAW_DISTRICT'!$C$4:$C$745=$B57)*('RAW_DISTRICT'!$B$4:$B$745=$C57)*'RAW_DISTRICT'!$J$4:$J$745)),"")</f>
        <v/>
      </c>
      <c r="H57" s="11" t="str">
        <f>IFERROR(IF($B57="","",SUMPRODUCT(('RAW_DISTRICT'!$C$4:$C$745=$B57)*('RAW_DISTRICT'!$B$4:$B$745=$C57)*'RAW_DISTRICT'!$M$4:$M$745)/SUMPRODUCT(('RAW_DISTRICT'!$C$4:$C$745=$B57)*('RAW_DISTRICT'!$B$4:$B$745=$C57)*'RAW_DISTRICT'!$L$4:$L$745)),"")</f>
        <v/>
      </c>
      <c r="I57" s="11" t="str">
        <f>IFERROR(IF($B57="","",SUMPRODUCT(('RAW_DISTRICT'!$C$4:$C$745=$B57)*('RAW_DISTRICT'!$B$4:$B$745=$C57)*'RAW_DISTRICT'!$N$4:$N$745)/SUMPRODUCT(('RAW_DISTRICT'!$C$4:$C$745=$B57)*('RAW_DISTRICT'!$B$4:$B$745=$C57)*'RAW_DISTRICT'!$O$4:$O$745)),"")</f>
        <v/>
      </c>
      <c r="J57" s="10" t="str">
        <f>IFERROR(IF($B57="","",INDEX('RAW_DISTRICT'!$R$4:$R$745,MATCH(1,('RAW_DISTRICT'!$C$4:$C$745=$B57)*('RAW_DISTRICT'!$B$4:$B$745=$C57),0))),"")</f>
        <v/>
      </c>
      <c r="K57" s="10" t="str">
        <f>IFERROR(IF($B57="","",INDEX('RAW_DISTRICT'!$S$4:$S$745,MATCH(1,('RAW_DISTRICT'!$C$4:$C$745=$B57)*('RAW_DISTRICT'!$B$4:$B$745=$C57),0))),"")</f>
        <v/>
      </c>
    </row>
    <row r="58" spans="1:11" ht="15" customHeight="1" x14ac:dyDescent="0.3">
      <c r="A58" s="24">
        <v>54</v>
      </c>
      <c r="B58" s="12" t="str">
        <f>IFERROR(IF(SelectedScope="All India",INDEX('RAW_DISTRICT'!$C$4:$C$745,54),INDEX('RAW_DISTRICT'!$C$4:$C$745,MATCH(54,'RAW_DISTRICT'!$V$4:$V$745,0))),"")</f>
        <v>Dhubri</v>
      </c>
      <c r="C58" s="12" t="str">
        <f>IFERROR(IF($B58="","",IF(SelectedScope="All India",INDEX('RAW_DISTRICT'!$B$4:$B$745,54),SelectedScope)),"")</f>
        <v>Assam</v>
      </c>
      <c r="D58" s="13" t="str">
        <f>IFERROR(IF($B58="","",INDEX('RAW_DISTRICT'!$E$4:$E$745,MATCH(1,('RAW_DISTRICT'!$C$4:$C$745=$B58)*('RAW_DISTRICT'!$B$4:$B$745=$C58),0))),"")</f>
        <v/>
      </c>
      <c r="E58" s="13">
        <f>IFERROR(IF($B58="","",SUMPRODUCT(('RAW_DISTRICT'!$C$4:$C$745=$B58)*('RAW_DISTRICT'!$B$4:$B$745=$C58)*'RAW_DISTRICT'!$F$4:$F$745)),"")</f>
        <v>0</v>
      </c>
      <c r="F58" s="14" t="str">
        <f>IFERROR(IF($B58="","",SUMPRODUCT(('RAW_DISTRICT'!$C$4:$C$745=$B58)*('RAW_DISTRICT'!$B$4:$B$745=$C58)*'RAW_DISTRICT'!$I$4:$I$745)/SUMPRODUCT(('RAW_DISTRICT'!$C$4:$C$745=$B58)*('RAW_DISTRICT'!$B$4:$B$745=$C58)*'RAW_DISTRICT'!$H$4:$H$745)),"")</f>
        <v/>
      </c>
      <c r="G58" s="14" t="str">
        <f>IFERROR(IF($B58="","",SUMPRODUCT(('RAW_DISTRICT'!$C$4:$C$745=$B58)*('RAW_DISTRICT'!$B$4:$B$745=$C58)*'RAW_DISTRICT'!$K$4:$K$745)/SUMPRODUCT(('RAW_DISTRICT'!$C$4:$C$745=$B58)*('RAW_DISTRICT'!$B$4:$B$745=$C58)*'RAW_DISTRICT'!$J$4:$J$745)),"")</f>
        <v/>
      </c>
      <c r="H58" s="14" t="str">
        <f>IFERROR(IF($B58="","",SUMPRODUCT(('RAW_DISTRICT'!$C$4:$C$745=$B58)*('RAW_DISTRICT'!$B$4:$B$745=$C58)*'RAW_DISTRICT'!$M$4:$M$745)/SUMPRODUCT(('RAW_DISTRICT'!$C$4:$C$745=$B58)*('RAW_DISTRICT'!$B$4:$B$745=$C58)*'RAW_DISTRICT'!$L$4:$L$745)),"")</f>
        <v/>
      </c>
      <c r="I58" s="14" t="str">
        <f>IFERROR(IF($B58="","",SUMPRODUCT(('RAW_DISTRICT'!$C$4:$C$745=$B58)*('RAW_DISTRICT'!$B$4:$B$745=$C58)*'RAW_DISTRICT'!$N$4:$N$745)/SUMPRODUCT(('RAW_DISTRICT'!$C$4:$C$745=$B58)*('RAW_DISTRICT'!$B$4:$B$745=$C58)*'RAW_DISTRICT'!$O$4:$O$745)),"")</f>
        <v/>
      </c>
      <c r="J58" s="13" t="str">
        <f>IFERROR(IF($B58="","",INDEX('RAW_DISTRICT'!$R$4:$R$745,MATCH(1,('RAW_DISTRICT'!$C$4:$C$745=$B58)*('RAW_DISTRICT'!$B$4:$B$745=$C58),0))),"")</f>
        <v/>
      </c>
      <c r="K58" s="13" t="str">
        <f>IFERROR(IF($B58="","",INDEX('RAW_DISTRICT'!$S$4:$S$745,MATCH(1,('RAW_DISTRICT'!$C$4:$C$745=$B58)*('RAW_DISTRICT'!$B$4:$B$745=$C58),0))),"")</f>
        <v/>
      </c>
    </row>
    <row r="59" spans="1:11" ht="15" customHeight="1" x14ac:dyDescent="0.3">
      <c r="A59" s="23">
        <v>55</v>
      </c>
      <c r="B59" s="9" t="str">
        <f>IFERROR(IF(SelectedScope="All India",INDEX('RAW_DISTRICT'!$C$4:$C$745,55),INDEX('RAW_DISTRICT'!$C$4:$C$745,MATCH(55,'RAW_DISTRICT'!$V$4:$V$745,0))),"")</f>
        <v>Dibrugarh</v>
      </c>
      <c r="C59" s="9" t="str">
        <f>IFERROR(IF($B59="","",IF(SelectedScope="All India",INDEX('RAW_DISTRICT'!$B$4:$B$745,55),SelectedScope)),"")</f>
        <v>Assam</v>
      </c>
      <c r="D59" s="10" t="str">
        <f>IFERROR(IF($B59="","",INDEX('RAW_DISTRICT'!$E$4:$E$745,MATCH(1,('RAW_DISTRICT'!$C$4:$C$745=$B59)*('RAW_DISTRICT'!$B$4:$B$745=$C59),0))),"")</f>
        <v/>
      </c>
      <c r="E59" s="10">
        <f>IFERROR(IF($B59="","",SUMPRODUCT(('RAW_DISTRICT'!$C$4:$C$745=$B59)*('RAW_DISTRICT'!$B$4:$B$745=$C59)*'RAW_DISTRICT'!$F$4:$F$745)),"")</f>
        <v>0</v>
      </c>
      <c r="F59" s="11" t="str">
        <f>IFERROR(IF($B59="","",SUMPRODUCT(('RAW_DISTRICT'!$C$4:$C$745=$B59)*('RAW_DISTRICT'!$B$4:$B$745=$C59)*'RAW_DISTRICT'!$I$4:$I$745)/SUMPRODUCT(('RAW_DISTRICT'!$C$4:$C$745=$B59)*('RAW_DISTRICT'!$B$4:$B$745=$C59)*'RAW_DISTRICT'!$H$4:$H$745)),"")</f>
        <v/>
      </c>
      <c r="G59" s="11" t="str">
        <f>IFERROR(IF($B59="","",SUMPRODUCT(('RAW_DISTRICT'!$C$4:$C$745=$B59)*('RAW_DISTRICT'!$B$4:$B$745=$C59)*'RAW_DISTRICT'!$K$4:$K$745)/SUMPRODUCT(('RAW_DISTRICT'!$C$4:$C$745=$B59)*('RAW_DISTRICT'!$B$4:$B$745=$C59)*'RAW_DISTRICT'!$J$4:$J$745)),"")</f>
        <v/>
      </c>
      <c r="H59" s="11" t="str">
        <f>IFERROR(IF($B59="","",SUMPRODUCT(('RAW_DISTRICT'!$C$4:$C$745=$B59)*('RAW_DISTRICT'!$B$4:$B$745=$C59)*'RAW_DISTRICT'!$M$4:$M$745)/SUMPRODUCT(('RAW_DISTRICT'!$C$4:$C$745=$B59)*('RAW_DISTRICT'!$B$4:$B$745=$C59)*'RAW_DISTRICT'!$L$4:$L$745)),"")</f>
        <v/>
      </c>
      <c r="I59" s="11" t="str">
        <f>IFERROR(IF($B59="","",SUMPRODUCT(('RAW_DISTRICT'!$C$4:$C$745=$B59)*('RAW_DISTRICT'!$B$4:$B$745=$C59)*'RAW_DISTRICT'!$N$4:$N$745)/SUMPRODUCT(('RAW_DISTRICT'!$C$4:$C$745=$B59)*('RAW_DISTRICT'!$B$4:$B$745=$C59)*'RAW_DISTRICT'!$O$4:$O$745)),"")</f>
        <v/>
      </c>
      <c r="J59" s="10" t="str">
        <f>IFERROR(IF($B59="","",INDEX('RAW_DISTRICT'!$R$4:$R$745,MATCH(1,('RAW_DISTRICT'!$C$4:$C$745=$B59)*('RAW_DISTRICT'!$B$4:$B$745=$C59),0))),"")</f>
        <v/>
      </c>
      <c r="K59" s="10" t="str">
        <f>IFERROR(IF($B59="","",INDEX('RAW_DISTRICT'!$S$4:$S$745,MATCH(1,('RAW_DISTRICT'!$C$4:$C$745=$B59)*('RAW_DISTRICT'!$B$4:$B$745=$C59),0))),"")</f>
        <v/>
      </c>
    </row>
    <row r="60" spans="1:11" ht="15" customHeight="1" x14ac:dyDescent="0.3">
      <c r="A60" s="24">
        <v>56</v>
      </c>
      <c r="B60" s="12" t="str">
        <f>IFERROR(IF(SelectedScope="All India",INDEX('RAW_DISTRICT'!$C$4:$C$745,56),INDEX('RAW_DISTRICT'!$C$4:$C$745,MATCH(56,'RAW_DISTRICT'!$V$4:$V$745,0))),"")</f>
        <v>Dima Hasao</v>
      </c>
      <c r="C60" s="12" t="str">
        <f>IFERROR(IF($B60="","",IF(SelectedScope="All India",INDEX('RAW_DISTRICT'!$B$4:$B$745,56),SelectedScope)),"")</f>
        <v>Assam</v>
      </c>
      <c r="D60" s="13" t="str">
        <f>IFERROR(IF($B60="","",INDEX('RAW_DISTRICT'!$E$4:$E$745,MATCH(1,('RAW_DISTRICT'!$C$4:$C$745=$B60)*('RAW_DISTRICT'!$B$4:$B$745=$C60),0))),"")</f>
        <v/>
      </c>
      <c r="E60" s="13">
        <f>IFERROR(IF($B60="","",SUMPRODUCT(('RAW_DISTRICT'!$C$4:$C$745=$B60)*('RAW_DISTRICT'!$B$4:$B$745=$C60)*'RAW_DISTRICT'!$F$4:$F$745)),"")</f>
        <v>0</v>
      </c>
      <c r="F60" s="14" t="str">
        <f>IFERROR(IF($B60="","",SUMPRODUCT(('RAW_DISTRICT'!$C$4:$C$745=$B60)*('RAW_DISTRICT'!$B$4:$B$745=$C60)*'RAW_DISTRICT'!$I$4:$I$745)/SUMPRODUCT(('RAW_DISTRICT'!$C$4:$C$745=$B60)*('RAW_DISTRICT'!$B$4:$B$745=$C60)*'RAW_DISTRICT'!$H$4:$H$745)),"")</f>
        <v/>
      </c>
      <c r="G60" s="14" t="str">
        <f>IFERROR(IF($B60="","",SUMPRODUCT(('RAW_DISTRICT'!$C$4:$C$745=$B60)*('RAW_DISTRICT'!$B$4:$B$745=$C60)*'RAW_DISTRICT'!$K$4:$K$745)/SUMPRODUCT(('RAW_DISTRICT'!$C$4:$C$745=$B60)*('RAW_DISTRICT'!$B$4:$B$745=$C60)*'RAW_DISTRICT'!$J$4:$J$745)),"")</f>
        <v/>
      </c>
      <c r="H60" s="14" t="str">
        <f>IFERROR(IF($B60="","",SUMPRODUCT(('RAW_DISTRICT'!$C$4:$C$745=$B60)*('RAW_DISTRICT'!$B$4:$B$745=$C60)*'RAW_DISTRICT'!$M$4:$M$745)/SUMPRODUCT(('RAW_DISTRICT'!$C$4:$C$745=$B60)*('RAW_DISTRICT'!$B$4:$B$745=$C60)*'RAW_DISTRICT'!$L$4:$L$745)),"")</f>
        <v/>
      </c>
      <c r="I60" s="14" t="str">
        <f>IFERROR(IF($B60="","",SUMPRODUCT(('RAW_DISTRICT'!$C$4:$C$745=$B60)*('RAW_DISTRICT'!$B$4:$B$745=$C60)*'RAW_DISTRICT'!$N$4:$N$745)/SUMPRODUCT(('RAW_DISTRICT'!$C$4:$C$745=$B60)*('RAW_DISTRICT'!$B$4:$B$745=$C60)*'RAW_DISTRICT'!$O$4:$O$745)),"")</f>
        <v/>
      </c>
      <c r="J60" s="13" t="str">
        <f>IFERROR(IF($B60="","",INDEX('RAW_DISTRICT'!$R$4:$R$745,MATCH(1,('RAW_DISTRICT'!$C$4:$C$745=$B60)*('RAW_DISTRICT'!$B$4:$B$745=$C60),0))),"")</f>
        <v/>
      </c>
      <c r="K60" s="13" t="str">
        <f>IFERROR(IF($B60="","",INDEX('RAW_DISTRICT'!$S$4:$S$745,MATCH(1,('RAW_DISTRICT'!$C$4:$C$745=$B60)*('RAW_DISTRICT'!$B$4:$B$745=$C60),0))),"")</f>
        <v/>
      </c>
    </row>
    <row r="61" spans="1:11" ht="15" customHeight="1" x14ac:dyDescent="0.3">
      <c r="A61" s="23">
        <v>57</v>
      </c>
      <c r="B61" s="9" t="str">
        <f>IFERROR(IF(SelectedScope="All India",INDEX('RAW_DISTRICT'!$C$4:$C$745,57),INDEX('RAW_DISTRICT'!$C$4:$C$745,MATCH(57,'RAW_DISTRICT'!$V$4:$V$745,0))),"")</f>
        <v>Goalpara</v>
      </c>
      <c r="C61" s="9" t="str">
        <f>IFERROR(IF($B61="","",IF(SelectedScope="All India",INDEX('RAW_DISTRICT'!$B$4:$B$745,57),SelectedScope)),"")</f>
        <v>Assam</v>
      </c>
      <c r="D61" s="10" t="str">
        <f>IFERROR(IF($B61="","",INDEX('RAW_DISTRICT'!$E$4:$E$745,MATCH(1,('RAW_DISTRICT'!$C$4:$C$745=$B61)*('RAW_DISTRICT'!$B$4:$B$745=$C61),0))),"")</f>
        <v/>
      </c>
      <c r="E61" s="10">
        <f>IFERROR(IF($B61="","",SUMPRODUCT(('RAW_DISTRICT'!$C$4:$C$745=$B61)*('RAW_DISTRICT'!$B$4:$B$745=$C61)*'RAW_DISTRICT'!$F$4:$F$745)),"")</f>
        <v>0</v>
      </c>
      <c r="F61" s="11" t="str">
        <f>IFERROR(IF($B61="","",SUMPRODUCT(('RAW_DISTRICT'!$C$4:$C$745=$B61)*('RAW_DISTRICT'!$B$4:$B$745=$C61)*'RAW_DISTRICT'!$I$4:$I$745)/SUMPRODUCT(('RAW_DISTRICT'!$C$4:$C$745=$B61)*('RAW_DISTRICT'!$B$4:$B$745=$C61)*'RAW_DISTRICT'!$H$4:$H$745)),"")</f>
        <v/>
      </c>
      <c r="G61" s="11" t="str">
        <f>IFERROR(IF($B61="","",SUMPRODUCT(('RAW_DISTRICT'!$C$4:$C$745=$B61)*('RAW_DISTRICT'!$B$4:$B$745=$C61)*'RAW_DISTRICT'!$K$4:$K$745)/SUMPRODUCT(('RAW_DISTRICT'!$C$4:$C$745=$B61)*('RAW_DISTRICT'!$B$4:$B$745=$C61)*'RAW_DISTRICT'!$J$4:$J$745)),"")</f>
        <v/>
      </c>
      <c r="H61" s="11" t="str">
        <f>IFERROR(IF($B61="","",SUMPRODUCT(('RAW_DISTRICT'!$C$4:$C$745=$B61)*('RAW_DISTRICT'!$B$4:$B$745=$C61)*'RAW_DISTRICT'!$M$4:$M$745)/SUMPRODUCT(('RAW_DISTRICT'!$C$4:$C$745=$B61)*('RAW_DISTRICT'!$B$4:$B$745=$C61)*'RAW_DISTRICT'!$L$4:$L$745)),"")</f>
        <v/>
      </c>
      <c r="I61" s="11" t="str">
        <f>IFERROR(IF($B61="","",SUMPRODUCT(('RAW_DISTRICT'!$C$4:$C$745=$B61)*('RAW_DISTRICT'!$B$4:$B$745=$C61)*'RAW_DISTRICT'!$N$4:$N$745)/SUMPRODUCT(('RAW_DISTRICT'!$C$4:$C$745=$B61)*('RAW_DISTRICT'!$B$4:$B$745=$C61)*'RAW_DISTRICT'!$O$4:$O$745)),"")</f>
        <v/>
      </c>
      <c r="J61" s="10" t="str">
        <f>IFERROR(IF($B61="","",INDEX('RAW_DISTRICT'!$R$4:$R$745,MATCH(1,('RAW_DISTRICT'!$C$4:$C$745=$B61)*('RAW_DISTRICT'!$B$4:$B$745=$C61),0))),"")</f>
        <v/>
      </c>
      <c r="K61" s="10" t="str">
        <f>IFERROR(IF($B61="","",INDEX('RAW_DISTRICT'!$S$4:$S$745,MATCH(1,('RAW_DISTRICT'!$C$4:$C$745=$B61)*('RAW_DISTRICT'!$B$4:$B$745=$C61),0))),"")</f>
        <v/>
      </c>
    </row>
    <row r="62" spans="1:11" ht="15" customHeight="1" x14ac:dyDescent="0.3">
      <c r="A62" s="24">
        <v>58</v>
      </c>
      <c r="B62" s="12" t="str">
        <f>IFERROR(IF(SelectedScope="All India",INDEX('RAW_DISTRICT'!$C$4:$C$745,58),INDEX('RAW_DISTRICT'!$C$4:$C$745,MATCH(58,'RAW_DISTRICT'!$V$4:$V$745,0))),"")</f>
        <v>Golaghat</v>
      </c>
      <c r="C62" s="12" t="str">
        <f>IFERROR(IF($B62="","",IF(SelectedScope="All India",INDEX('RAW_DISTRICT'!$B$4:$B$745,58),SelectedScope)),"")</f>
        <v>Assam</v>
      </c>
      <c r="D62" s="13" t="str">
        <f>IFERROR(IF($B62="","",INDEX('RAW_DISTRICT'!$E$4:$E$745,MATCH(1,('RAW_DISTRICT'!$C$4:$C$745=$B62)*('RAW_DISTRICT'!$B$4:$B$745=$C62),0))),"")</f>
        <v/>
      </c>
      <c r="E62" s="13">
        <f>IFERROR(IF($B62="","",SUMPRODUCT(('RAW_DISTRICT'!$C$4:$C$745=$B62)*('RAW_DISTRICT'!$B$4:$B$745=$C62)*'RAW_DISTRICT'!$F$4:$F$745)),"")</f>
        <v>0</v>
      </c>
      <c r="F62" s="14" t="str">
        <f>IFERROR(IF($B62="","",SUMPRODUCT(('RAW_DISTRICT'!$C$4:$C$745=$B62)*('RAW_DISTRICT'!$B$4:$B$745=$C62)*'RAW_DISTRICT'!$I$4:$I$745)/SUMPRODUCT(('RAW_DISTRICT'!$C$4:$C$745=$B62)*('RAW_DISTRICT'!$B$4:$B$745=$C62)*'RAW_DISTRICT'!$H$4:$H$745)),"")</f>
        <v/>
      </c>
      <c r="G62" s="14" t="str">
        <f>IFERROR(IF($B62="","",SUMPRODUCT(('RAW_DISTRICT'!$C$4:$C$745=$B62)*('RAW_DISTRICT'!$B$4:$B$745=$C62)*'RAW_DISTRICT'!$K$4:$K$745)/SUMPRODUCT(('RAW_DISTRICT'!$C$4:$C$745=$B62)*('RAW_DISTRICT'!$B$4:$B$745=$C62)*'RAW_DISTRICT'!$J$4:$J$745)),"")</f>
        <v/>
      </c>
      <c r="H62" s="14" t="str">
        <f>IFERROR(IF($B62="","",SUMPRODUCT(('RAW_DISTRICT'!$C$4:$C$745=$B62)*('RAW_DISTRICT'!$B$4:$B$745=$C62)*'RAW_DISTRICT'!$M$4:$M$745)/SUMPRODUCT(('RAW_DISTRICT'!$C$4:$C$745=$B62)*('RAW_DISTRICT'!$B$4:$B$745=$C62)*'RAW_DISTRICT'!$L$4:$L$745)),"")</f>
        <v/>
      </c>
      <c r="I62" s="14" t="str">
        <f>IFERROR(IF($B62="","",SUMPRODUCT(('RAW_DISTRICT'!$C$4:$C$745=$B62)*('RAW_DISTRICT'!$B$4:$B$745=$C62)*'RAW_DISTRICT'!$N$4:$N$745)/SUMPRODUCT(('RAW_DISTRICT'!$C$4:$C$745=$B62)*('RAW_DISTRICT'!$B$4:$B$745=$C62)*'RAW_DISTRICT'!$O$4:$O$745)),"")</f>
        <v/>
      </c>
      <c r="J62" s="13" t="str">
        <f>IFERROR(IF($B62="","",INDEX('RAW_DISTRICT'!$R$4:$R$745,MATCH(1,('RAW_DISTRICT'!$C$4:$C$745=$B62)*('RAW_DISTRICT'!$B$4:$B$745=$C62),0))),"")</f>
        <v/>
      </c>
      <c r="K62" s="13" t="str">
        <f>IFERROR(IF($B62="","",INDEX('RAW_DISTRICT'!$S$4:$S$745,MATCH(1,('RAW_DISTRICT'!$C$4:$C$745=$B62)*('RAW_DISTRICT'!$B$4:$B$745=$C62),0))),"")</f>
        <v/>
      </c>
    </row>
    <row r="63" spans="1:11" ht="15" customHeight="1" x14ac:dyDescent="0.3">
      <c r="A63" s="23">
        <v>59</v>
      </c>
      <c r="B63" s="9" t="str">
        <f>IFERROR(IF(SelectedScope="All India",INDEX('RAW_DISTRICT'!$C$4:$C$745,59),INDEX('RAW_DISTRICT'!$C$4:$C$745,MATCH(59,'RAW_DISTRICT'!$V$4:$V$745,0))),"")</f>
        <v>Hailakandi</v>
      </c>
      <c r="C63" s="9" t="str">
        <f>IFERROR(IF($B63="","",IF(SelectedScope="All India",INDEX('RAW_DISTRICT'!$B$4:$B$745,59),SelectedScope)),"")</f>
        <v>Assam</v>
      </c>
      <c r="D63" s="10" t="str">
        <f>IFERROR(IF($B63="","",INDEX('RAW_DISTRICT'!$E$4:$E$745,MATCH(1,('RAW_DISTRICT'!$C$4:$C$745=$B63)*('RAW_DISTRICT'!$B$4:$B$745=$C63),0))),"")</f>
        <v/>
      </c>
      <c r="E63" s="10">
        <f>IFERROR(IF($B63="","",SUMPRODUCT(('RAW_DISTRICT'!$C$4:$C$745=$B63)*('RAW_DISTRICT'!$B$4:$B$745=$C63)*'RAW_DISTRICT'!$F$4:$F$745)),"")</f>
        <v>0</v>
      </c>
      <c r="F63" s="11" t="str">
        <f>IFERROR(IF($B63="","",SUMPRODUCT(('RAW_DISTRICT'!$C$4:$C$745=$B63)*('RAW_DISTRICT'!$B$4:$B$745=$C63)*'RAW_DISTRICT'!$I$4:$I$745)/SUMPRODUCT(('RAW_DISTRICT'!$C$4:$C$745=$B63)*('RAW_DISTRICT'!$B$4:$B$745=$C63)*'RAW_DISTRICT'!$H$4:$H$745)),"")</f>
        <v/>
      </c>
      <c r="G63" s="11" t="str">
        <f>IFERROR(IF($B63="","",SUMPRODUCT(('RAW_DISTRICT'!$C$4:$C$745=$B63)*('RAW_DISTRICT'!$B$4:$B$745=$C63)*'RAW_DISTRICT'!$K$4:$K$745)/SUMPRODUCT(('RAW_DISTRICT'!$C$4:$C$745=$B63)*('RAW_DISTRICT'!$B$4:$B$745=$C63)*'RAW_DISTRICT'!$J$4:$J$745)),"")</f>
        <v/>
      </c>
      <c r="H63" s="11" t="str">
        <f>IFERROR(IF($B63="","",SUMPRODUCT(('RAW_DISTRICT'!$C$4:$C$745=$B63)*('RAW_DISTRICT'!$B$4:$B$745=$C63)*'RAW_DISTRICT'!$M$4:$M$745)/SUMPRODUCT(('RAW_DISTRICT'!$C$4:$C$745=$B63)*('RAW_DISTRICT'!$B$4:$B$745=$C63)*'RAW_DISTRICT'!$L$4:$L$745)),"")</f>
        <v/>
      </c>
      <c r="I63" s="11" t="str">
        <f>IFERROR(IF($B63="","",SUMPRODUCT(('RAW_DISTRICT'!$C$4:$C$745=$B63)*('RAW_DISTRICT'!$B$4:$B$745=$C63)*'RAW_DISTRICT'!$N$4:$N$745)/SUMPRODUCT(('RAW_DISTRICT'!$C$4:$C$745=$B63)*('RAW_DISTRICT'!$B$4:$B$745=$C63)*'RAW_DISTRICT'!$O$4:$O$745)),"")</f>
        <v/>
      </c>
      <c r="J63" s="10" t="str">
        <f>IFERROR(IF($B63="","",INDEX('RAW_DISTRICT'!$R$4:$R$745,MATCH(1,('RAW_DISTRICT'!$C$4:$C$745=$B63)*('RAW_DISTRICT'!$B$4:$B$745=$C63),0))),"")</f>
        <v/>
      </c>
      <c r="K63" s="10" t="str">
        <f>IFERROR(IF($B63="","",INDEX('RAW_DISTRICT'!$S$4:$S$745,MATCH(1,('RAW_DISTRICT'!$C$4:$C$745=$B63)*('RAW_DISTRICT'!$B$4:$B$745=$C63),0))),"")</f>
        <v/>
      </c>
    </row>
    <row r="64" spans="1:11" ht="15" customHeight="1" x14ac:dyDescent="0.3">
      <c r="A64" s="24">
        <v>60</v>
      </c>
      <c r="B64" s="12" t="str">
        <f>IFERROR(IF(SelectedScope="All India",INDEX('RAW_DISTRICT'!$C$4:$C$745,60),INDEX('RAW_DISTRICT'!$C$4:$C$745,MATCH(60,'RAW_DISTRICT'!$V$4:$V$745,0))),"")</f>
        <v>Hojai</v>
      </c>
      <c r="C64" s="12" t="str">
        <f>IFERROR(IF($B64="","",IF(SelectedScope="All India",INDEX('RAW_DISTRICT'!$B$4:$B$745,60),SelectedScope)),"")</f>
        <v>Assam</v>
      </c>
      <c r="D64" s="13" t="str">
        <f>IFERROR(IF($B64="","",INDEX('RAW_DISTRICT'!$E$4:$E$745,MATCH(1,('RAW_DISTRICT'!$C$4:$C$745=$B64)*('RAW_DISTRICT'!$B$4:$B$745=$C64),0))),"")</f>
        <v/>
      </c>
      <c r="E64" s="13">
        <f>IFERROR(IF($B64="","",SUMPRODUCT(('RAW_DISTRICT'!$C$4:$C$745=$B64)*('RAW_DISTRICT'!$B$4:$B$745=$C64)*'RAW_DISTRICT'!$F$4:$F$745)),"")</f>
        <v>0</v>
      </c>
      <c r="F64" s="14" t="str">
        <f>IFERROR(IF($B64="","",SUMPRODUCT(('RAW_DISTRICT'!$C$4:$C$745=$B64)*('RAW_DISTRICT'!$B$4:$B$745=$C64)*'RAW_DISTRICT'!$I$4:$I$745)/SUMPRODUCT(('RAW_DISTRICT'!$C$4:$C$745=$B64)*('RAW_DISTRICT'!$B$4:$B$745=$C64)*'RAW_DISTRICT'!$H$4:$H$745)),"")</f>
        <v/>
      </c>
      <c r="G64" s="14" t="str">
        <f>IFERROR(IF($B64="","",SUMPRODUCT(('RAW_DISTRICT'!$C$4:$C$745=$B64)*('RAW_DISTRICT'!$B$4:$B$745=$C64)*'RAW_DISTRICT'!$K$4:$K$745)/SUMPRODUCT(('RAW_DISTRICT'!$C$4:$C$745=$B64)*('RAW_DISTRICT'!$B$4:$B$745=$C64)*'RAW_DISTRICT'!$J$4:$J$745)),"")</f>
        <v/>
      </c>
      <c r="H64" s="14" t="str">
        <f>IFERROR(IF($B64="","",SUMPRODUCT(('RAW_DISTRICT'!$C$4:$C$745=$B64)*('RAW_DISTRICT'!$B$4:$B$745=$C64)*'RAW_DISTRICT'!$M$4:$M$745)/SUMPRODUCT(('RAW_DISTRICT'!$C$4:$C$745=$B64)*('RAW_DISTRICT'!$B$4:$B$745=$C64)*'RAW_DISTRICT'!$L$4:$L$745)),"")</f>
        <v/>
      </c>
      <c r="I64" s="14" t="str">
        <f>IFERROR(IF($B64="","",SUMPRODUCT(('RAW_DISTRICT'!$C$4:$C$745=$B64)*('RAW_DISTRICT'!$B$4:$B$745=$C64)*'RAW_DISTRICT'!$N$4:$N$745)/SUMPRODUCT(('RAW_DISTRICT'!$C$4:$C$745=$B64)*('RAW_DISTRICT'!$B$4:$B$745=$C64)*'RAW_DISTRICT'!$O$4:$O$745)),"")</f>
        <v/>
      </c>
      <c r="J64" s="13" t="str">
        <f>IFERROR(IF($B64="","",INDEX('RAW_DISTRICT'!$R$4:$R$745,MATCH(1,('RAW_DISTRICT'!$C$4:$C$745=$B64)*('RAW_DISTRICT'!$B$4:$B$745=$C64),0))),"")</f>
        <v/>
      </c>
      <c r="K64" s="13" t="str">
        <f>IFERROR(IF($B64="","",INDEX('RAW_DISTRICT'!$S$4:$S$745,MATCH(1,('RAW_DISTRICT'!$C$4:$C$745=$B64)*('RAW_DISTRICT'!$B$4:$B$745=$C64),0))),"")</f>
        <v/>
      </c>
    </row>
    <row r="65" spans="1:11" ht="15" customHeight="1" x14ac:dyDescent="0.3">
      <c r="A65" s="23">
        <v>61</v>
      </c>
      <c r="B65" s="9" t="str">
        <f>IFERROR(IF(SelectedScope="All India",INDEX('RAW_DISTRICT'!$C$4:$C$745,61),INDEX('RAW_DISTRICT'!$C$4:$C$745,MATCH(61,'RAW_DISTRICT'!$V$4:$V$745,0))),"")</f>
        <v>Jorhat</v>
      </c>
      <c r="C65" s="9" t="str">
        <f>IFERROR(IF($B65="","",IF(SelectedScope="All India",INDEX('RAW_DISTRICT'!$B$4:$B$745,61),SelectedScope)),"")</f>
        <v>Assam</v>
      </c>
      <c r="D65" s="10" t="str">
        <f>IFERROR(IF($B65="","",INDEX('RAW_DISTRICT'!$E$4:$E$745,MATCH(1,('RAW_DISTRICT'!$C$4:$C$745=$B65)*('RAW_DISTRICT'!$B$4:$B$745=$C65),0))),"")</f>
        <v/>
      </c>
      <c r="E65" s="10">
        <f>IFERROR(IF($B65="","",SUMPRODUCT(('RAW_DISTRICT'!$C$4:$C$745=$B65)*('RAW_DISTRICT'!$B$4:$B$745=$C65)*'RAW_DISTRICT'!$F$4:$F$745)),"")</f>
        <v>0</v>
      </c>
      <c r="F65" s="11" t="str">
        <f>IFERROR(IF($B65="","",SUMPRODUCT(('RAW_DISTRICT'!$C$4:$C$745=$B65)*('RAW_DISTRICT'!$B$4:$B$745=$C65)*'RAW_DISTRICT'!$I$4:$I$745)/SUMPRODUCT(('RAW_DISTRICT'!$C$4:$C$745=$B65)*('RAW_DISTRICT'!$B$4:$B$745=$C65)*'RAW_DISTRICT'!$H$4:$H$745)),"")</f>
        <v/>
      </c>
      <c r="G65" s="11" t="str">
        <f>IFERROR(IF($B65="","",SUMPRODUCT(('RAW_DISTRICT'!$C$4:$C$745=$B65)*('RAW_DISTRICT'!$B$4:$B$745=$C65)*'RAW_DISTRICT'!$K$4:$K$745)/SUMPRODUCT(('RAW_DISTRICT'!$C$4:$C$745=$B65)*('RAW_DISTRICT'!$B$4:$B$745=$C65)*'RAW_DISTRICT'!$J$4:$J$745)),"")</f>
        <v/>
      </c>
      <c r="H65" s="11" t="str">
        <f>IFERROR(IF($B65="","",SUMPRODUCT(('RAW_DISTRICT'!$C$4:$C$745=$B65)*('RAW_DISTRICT'!$B$4:$B$745=$C65)*'RAW_DISTRICT'!$M$4:$M$745)/SUMPRODUCT(('RAW_DISTRICT'!$C$4:$C$745=$B65)*('RAW_DISTRICT'!$B$4:$B$745=$C65)*'RAW_DISTRICT'!$L$4:$L$745)),"")</f>
        <v/>
      </c>
      <c r="I65" s="11" t="str">
        <f>IFERROR(IF($B65="","",SUMPRODUCT(('RAW_DISTRICT'!$C$4:$C$745=$B65)*('RAW_DISTRICT'!$B$4:$B$745=$C65)*'RAW_DISTRICT'!$N$4:$N$745)/SUMPRODUCT(('RAW_DISTRICT'!$C$4:$C$745=$B65)*('RAW_DISTRICT'!$B$4:$B$745=$C65)*'RAW_DISTRICT'!$O$4:$O$745)),"")</f>
        <v/>
      </c>
      <c r="J65" s="10" t="str">
        <f>IFERROR(IF($B65="","",INDEX('RAW_DISTRICT'!$R$4:$R$745,MATCH(1,('RAW_DISTRICT'!$C$4:$C$745=$B65)*('RAW_DISTRICT'!$B$4:$B$745=$C65),0))),"")</f>
        <v/>
      </c>
      <c r="K65" s="10" t="str">
        <f>IFERROR(IF($B65="","",INDEX('RAW_DISTRICT'!$S$4:$S$745,MATCH(1,('RAW_DISTRICT'!$C$4:$C$745=$B65)*('RAW_DISTRICT'!$B$4:$B$745=$C65),0))),"")</f>
        <v/>
      </c>
    </row>
    <row r="66" spans="1:11" ht="15" customHeight="1" x14ac:dyDescent="0.3">
      <c r="A66" s="24">
        <v>62</v>
      </c>
      <c r="B66" s="12" t="str">
        <f>IFERROR(IF(SelectedScope="All India",INDEX('RAW_DISTRICT'!$C$4:$C$745,62),INDEX('RAW_DISTRICT'!$C$4:$C$745,MATCH(62,'RAW_DISTRICT'!$V$4:$V$745,0))),"")</f>
        <v>Kamrup</v>
      </c>
      <c r="C66" s="12" t="str">
        <f>IFERROR(IF($B66="","",IF(SelectedScope="All India",INDEX('RAW_DISTRICT'!$B$4:$B$745,62),SelectedScope)),"")</f>
        <v>Assam</v>
      </c>
      <c r="D66" s="13" t="str">
        <f>IFERROR(IF($B66="","",INDEX('RAW_DISTRICT'!$E$4:$E$745,MATCH(1,('RAW_DISTRICT'!$C$4:$C$745=$B66)*('RAW_DISTRICT'!$B$4:$B$745=$C66),0))),"")</f>
        <v/>
      </c>
      <c r="E66" s="13">
        <f>IFERROR(IF($B66="","",SUMPRODUCT(('RAW_DISTRICT'!$C$4:$C$745=$B66)*('RAW_DISTRICT'!$B$4:$B$745=$C66)*'RAW_DISTRICT'!$F$4:$F$745)),"")</f>
        <v>0</v>
      </c>
      <c r="F66" s="14" t="str">
        <f>IFERROR(IF($B66="","",SUMPRODUCT(('RAW_DISTRICT'!$C$4:$C$745=$B66)*('RAW_DISTRICT'!$B$4:$B$745=$C66)*'RAW_DISTRICT'!$I$4:$I$745)/SUMPRODUCT(('RAW_DISTRICT'!$C$4:$C$745=$B66)*('RAW_DISTRICT'!$B$4:$B$745=$C66)*'RAW_DISTRICT'!$H$4:$H$745)),"")</f>
        <v/>
      </c>
      <c r="G66" s="14" t="str">
        <f>IFERROR(IF($B66="","",SUMPRODUCT(('RAW_DISTRICT'!$C$4:$C$745=$B66)*('RAW_DISTRICT'!$B$4:$B$745=$C66)*'RAW_DISTRICT'!$K$4:$K$745)/SUMPRODUCT(('RAW_DISTRICT'!$C$4:$C$745=$B66)*('RAW_DISTRICT'!$B$4:$B$745=$C66)*'RAW_DISTRICT'!$J$4:$J$745)),"")</f>
        <v/>
      </c>
      <c r="H66" s="14" t="str">
        <f>IFERROR(IF($B66="","",SUMPRODUCT(('RAW_DISTRICT'!$C$4:$C$745=$B66)*('RAW_DISTRICT'!$B$4:$B$745=$C66)*'RAW_DISTRICT'!$M$4:$M$745)/SUMPRODUCT(('RAW_DISTRICT'!$C$4:$C$745=$B66)*('RAW_DISTRICT'!$B$4:$B$745=$C66)*'RAW_DISTRICT'!$L$4:$L$745)),"")</f>
        <v/>
      </c>
      <c r="I66" s="14" t="str">
        <f>IFERROR(IF($B66="","",SUMPRODUCT(('RAW_DISTRICT'!$C$4:$C$745=$B66)*('RAW_DISTRICT'!$B$4:$B$745=$C66)*'RAW_DISTRICT'!$N$4:$N$745)/SUMPRODUCT(('RAW_DISTRICT'!$C$4:$C$745=$B66)*('RAW_DISTRICT'!$B$4:$B$745=$C66)*'RAW_DISTRICT'!$O$4:$O$745)),"")</f>
        <v/>
      </c>
      <c r="J66" s="13" t="str">
        <f>IFERROR(IF($B66="","",INDEX('RAW_DISTRICT'!$R$4:$R$745,MATCH(1,('RAW_DISTRICT'!$C$4:$C$745=$B66)*('RAW_DISTRICT'!$B$4:$B$745=$C66),0))),"")</f>
        <v/>
      </c>
      <c r="K66" s="13" t="str">
        <f>IFERROR(IF($B66="","",INDEX('RAW_DISTRICT'!$S$4:$S$745,MATCH(1,('RAW_DISTRICT'!$C$4:$C$745=$B66)*('RAW_DISTRICT'!$B$4:$B$745=$C66),0))),"")</f>
        <v/>
      </c>
    </row>
    <row r="67" spans="1:11" ht="15" customHeight="1" x14ac:dyDescent="0.3">
      <c r="A67" s="23">
        <v>63</v>
      </c>
      <c r="B67" s="9" t="str">
        <f>IFERROR(IF(SelectedScope="All India",INDEX('RAW_DISTRICT'!$C$4:$C$745,63),INDEX('RAW_DISTRICT'!$C$4:$C$745,MATCH(63,'RAW_DISTRICT'!$V$4:$V$745,0))),"")</f>
        <v>Kamrup Metropolitan</v>
      </c>
      <c r="C67" s="9" t="str">
        <f>IFERROR(IF($B67="","",IF(SelectedScope="All India",INDEX('RAW_DISTRICT'!$B$4:$B$745,63),SelectedScope)),"")</f>
        <v>Assam</v>
      </c>
      <c r="D67" s="10" t="str">
        <f>IFERROR(IF($B67="","",INDEX('RAW_DISTRICT'!$E$4:$E$745,MATCH(1,('RAW_DISTRICT'!$C$4:$C$745=$B67)*('RAW_DISTRICT'!$B$4:$B$745=$C67),0))),"")</f>
        <v/>
      </c>
      <c r="E67" s="10">
        <f>IFERROR(IF($B67="","",SUMPRODUCT(('RAW_DISTRICT'!$C$4:$C$745=$B67)*('RAW_DISTRICT'!$B$4:$B$745=$C67)*'RAW_DISTRICT'!$F$4:$F$745)),"")</f>
        <v>0</v>
      </c>
      <c r="F67" s="11" t="str">
        <f>IFERROR(IF($B67="","",SUMPRODUCT(('RAW_DISTRICT'!$C$4:$C$745=$B67)*('RAW_DISTRICT'!$B$4:$B$745=$C67)*'RAW_DISTRICT'!$I$4:$I$745)/SUMPRODUCT(('RAW_DISTRICT'!$C$4:$C$745=$B67)*('RAW_DISTRICT'!$B$4:$B$745=$C67)*'RAW_DISTRICT'!$H$4:$H$745)),"")</f>
        <v/>
      </c>
      <c r="G67" s="11" t="str">
        <f>IFERROR(IF($B67="","",SUMPRODUCT(('RAW_DISTRICT'!$C$4:$C$745=$B67)*('RAW_DISTRICT'!$B$4:$B$745=$C67)*'RAW_DISTRICT'!$K$4:$K$745)/SUMPRODUCT(('RAW_DISTRICT'!$C$4:$C$745=$B67)*('RAW_DISTRICT'!$B$4:$B$745=$C67)*'RAW_DISTRICT'!$J$4:$J$745)),"")</f>
        <v/>
      </c>
      <c r="H67" s="11" t="str">
        <f>IFERROR(IF($B67="","",SUMPRODUCT(('RAW_DISTRICT'!$C$4:$C$745=$B67)*('RAW_DISTRICT'!$B$4:$B$745=$C67)*'RAW_DISTRICT'!$M$4:$M$745)/SUMPRODUCT(('RAW_DISTRICT'!$C$4:$C$745=$B67)*('RAW_DISTRICT'!$B$4:$B$745=$C67)*'RAW_DISTRICT'!$L$4:$L$745)),"")</f>
        <v/>
      </c>
      <c r="I67" s="11" t="str">
        <f>IFERROR(IF($B67="","",SUMPRODUCT(('RAW_DISTRICT'!$C$4:$C$745=$B67)*('RAW_DISTRICT'!$B$4:$B$745=$C67)*'RAW_DISTRICT'!$N$4:$N$745)/SUMPRODUCT(('RAW_DISTRICT'!$C$4:$C$745=$B67)*('RAW_DISTRICT'!$B$4:$B$745=$C67)*'RAW_DISTRICT'!$O$4:$O$745)),"")</f>
        <v/>
      </c>
      <c r="J67" s="10" t="str">
        <f>IFERROR(IF($B67="","",INDEX('RAW_DISTRICT'!$R$4:$R$745,MATCH(1,('RAW_DISTRICT'!$C$4:$C$745=$B67)*('RAW_DISTRICT'!$B$4:$B$745=$C67),0))),"")</f>
        <v/>
      </c>
      <c r="K67" s="10" t="str">
        <f>IFERROR(IF($B67="","",INDEX('RAW_DISTRICT'!$S$4:$S$745,MATCH(1,('RAW_DISTRICT'!$C$4:$C$745=$B67)*('RAW_DISTRICT'!$B$4:$B$745=$C67),0))),"")</f>
        <v/>
      </c>
    </row>
    <row r="68" spans="1:11" ht="15" customHeight="1" x14ac:dyDescent="0.3">
      <c r="A68" s="24">
        <v>64</v>
      </c>
      <c r="B68" s="12" t="str">
        <f>IFERROR(IF(SelectedScope="All India",INDEX('RAW_DISTRICT'!$C$4:$C$745,64),INDEX('RAW_DISTRICT'!$C$4:$C$745,MATCH(64,'RAW_DISTRICT'!$V$4:$V$745,0))),"")</f>
        <v>Karbi Anglong</v>
      </c>
      <c r="C68" s="12" t="str">
        <f>IFERROR(IF($B68="","",IF(SelectedScope="All India",INDEX('RAW_DISTRICT'!$B$4:$B$745,64),SelectedScope)),"")</f>
        <v>Assam</v>
      </c>
      <c r="D68" s="13" t="str">
        <f>IFERROR(IF($B68="","",INDEX('RAW_DISTRICT'!$E$4:$E$745,MATCH(1,('RAW_DISTRICT'!$C$4:$C$745=$B68)*('RAW_DISTRICT'!$B$4:$B$745=$C68),0))),"")</f>
        <v/>
      </c>
      <c r="E68" s="13">
        <f>IFERROR(IF($B68="","",SUMPRODUCT(('RAW_DISTRICT'!$C$4:$C$745=$B68)*('RAW_DISTRICT'!$B$4:$B$745=$C68)*'RAW_DISTRICT'!$F$4:$F$745)),"")</f>
        <v>0</v>
      </c>
      <c r="F68" s="14" t="str">
        <f>IFERROR(IF($B68="","",SUMPRODUCT(('RAW_DISTRICT'!$C$4:$C$745=$B68)*('RAW_DISTRICT'!$B$4:$B$745=$C68)*'RAW_DISTRICT'!$I$4:$I$745)/SUMPRODUCT(('RAW_DISTRICT'!$C$4:$C$745=$B68)*('RAW_DISTRICT'!$B$4:$B$745=$C68)*'RAW_DISTRICT'!$H$4:$H$745)),"")</f>
        <v/>
      </c>
      <c r="G68" s="14" t="str">
        <f>IFERROR(IF($B68="","",SUMPRODUCT(('RAW_DISTRICT'!$C$4:$C$745=$B68)*('RAW_DISTRICT'!$B$4:$B$745=$C68)*'RAW_DISTRICT'!$K$4:$K$745)/SUMPRODUCT(('RAW_DISTRICT'!$C$4:$C$745=$B68)*('RAW_DISTRICT'!$B$4:$B$745=$C68)*'RAW_DISTRICT'!$J$4:$J$745)),"")</f>
        <v/>
      </c>
      <c r="H68" s="14" t="str">
        <f>IFERROR(IF($B68="","",SUMPRODUCT(('RAW_DISTRICT'!$C$4:$C$745=$B68)*('RAW_DISTRICT'!$B$4:$B$745=$C68)*'RAW_DISTRICT'!$M$4:$M$745)/SUMPRODUCT(('RAW_DISTRICT'!$C$4:$C$745=$B68)*('RAW_DISTRICT'!$B$4:$B$745=$C68)*'RAW_DISTRICT'!$L$4:$L$745)),"")</f>
        <v/>
      </c>
      <c r="I68" s="14" t="str">
        <f>IFERROR(IF($B68="","",SUMPRODUCT(('RAW_DISTRICT'!$C$4:$C$745=$B68)*('RAW_DISTRICT'!$B$4:$B$745=$C68)*'RAW_DISTRICT'!$N$4:$N$745)/SUMPRODUCT(('RAW_DISTRICT'!$C$4:$C$745=$B68)*('RAW_DISTRICT'!$B$4:$B$745=$C68)*'RAW_DISTRICT'!$O$4:$O$745)),"")</f>
        <v/>
      </c>
      <c r="J68" s="13" t="str">
        <f>IFERROR(IF($B68="","",INDEX('RAW_DISTRICT'!$R$4:$R$745,MATCH(1,('RAW_DISTRICT'!$C$4:$C$745=$B68)*('RAW_DISTRICT'!$B$4:$B$745=$C68),0))),"")</f>
        <v/>
      </c>
      <c r="K68" s="13" t="str">
        <f>IFERROR(IF($B68="","",INDEX('RAW_DISTRICT'!$S$4:$S$745,MATCH(1,('RAW_DISTRICT'!$C$4:$C$745=$B68)*('RAW_DISTRICT'!$B$4:$B$745=$C68),0))),"")</f>
        <v/>
      </c>
    </row>
    <row r="69" spans="1:11" ht="15" customHeight="1" x14ac:dyDescent="0.3">
      <c r="A69" s="23">
        <v>65</v>
      </c>
      <c r="B69" s="9" t="str">
        <f>IFERROR(IF(SelectedScope="All India",INDEX('RAW_DISTRICT'!$C$4:$C$745,65),INDEX('RAW_DISTRICT'!$C$4:$C$745,MATCH(65,'RAW_DISTRICT'!$V$4:$V$745,0))),"")</f>
        <v>Karimganj</v>
      </c>
      <c r="C69" s="9" t="str">
        <f>IFERROR(IF($B69="","",IF(SelectedScope="All India",INDEX('RAW_DISTRICT'!$B$4:$B$745,65),SelectedScope)),"")</f>
        <v>Assam</v>
      </c>
      <c r="D69" s="10" t="str">
        <f>IFERROR(IF($B69="","",INDEX('RAW_DISTRICT'!$E$4:$E$745,MATCH(1,('RAW_DISTRICT'!$C$4:$C$745=$B69)*('RAW_DISTRICT'!$B$4:$B$745=$C69),0))),"")</f>
        <v/>
      </c>
      <c r="E69" s="10">
        <f>IFERROR(IF($B69="","",SUMPRODUCT(('RAW_DISTRICT'!$C$4:$C$745=$B69)*('RAW_DISTRICT'!$B$4:$B$745=$C69)*'RAW_DISTRICT'!$F$4:$F$745)),"")</f>
        <v>0</v>
      </c>
      <c r="F69" s="11" t="str">
        <f>IFERROR(IF($B69="","",SUMPRODUCT(('RAW_DISTRICT'!$C$4:$C$745=$B69)*('RAW_DISTRICT'!$B$4:$B$745=$C69)*'RAW_DISTRICT'!$I$4:$I$745)/SUMPRODUCT(('RAW_DISTRICT'!$C$4:$C$745=$B69)*('RAW_DISTRICT'!$B$4:$B$745=$C69)*'RAW_DISTRICT'!$H$4:$H$745)),"")</f>
        <v/>
      </c>
      <c r="G69" s="11" t="str">
        <f>IFERROR(IF($B69="","",SUMPRODUCT(('RAW_DISTRICT'!$C$4:$C$745=$B69)*('RAW_DISTRICT'!$B$4:$B$745=$C69)*'RAW_DISTRICT'!$K$4:$K$745)/SUMPRODUCT(('RAW_DISTRICT'!$C$4:$C$745=$B69)*('RAW_DISTRICT'!$B$4:$B$745=$C69)*'RAW_DISTRICT'!$J$4:$J$745)),"")</f>
        <v/>
      </c>
      <c r="H69" s="11" t="str">
        <f>IFERROR(IF($B69="","",SUMPRODUCT(('RAW_DISTRICT'!$C$4:$C$745=$B69)*('RAW_DISTRICT'!$B$4:$B$745=$C69)*'RAW_DISTRICT'!$M$4:$M$745)/SUMPRODUCT(('RAW_DISTRICT'!$C$4:$C$745=$B69)*('RAW_DISTRICT'!$B$4:$B$745=$C69)*'RAW_DISTRICT'!$L$4:$L$745)),"")</f>
        <v/>
      </c>
      <c r="I69" s="11" t="str">
        <f>IFERROR(IF($B69="","",SUMPRODUCT(('RAW_DISTRICT'!$C$4:$C$745=$B69)*('RAW_DISTRICT'!$B$4:$B$745=$C69)*'RAW_DISTRICT'!$N$4:$N$745)/SUMPRODUCT(('RAW_DISTRICT'!$C$4:$C$745=$B69)*('RAW_DISTRICT'!$B$4:$B$745=$C69)*'RAW_DISTRICT'!$O$4:$O$745)),"")</f>
        <v/>
      </c>
      <c r="J69" s="10" t="str">
        <f>IFERROR(IF($B69="","",INDEX('RAW_DISTRICT'!$R$4:$R$745,MATCH(1,('RAW_DISTRICT'!$C$4:$C$745=$B69)*('RAW_DISTRICT'!$B$4:$B$745=$C69),0))),"")</f>
        <v/>
      </c>
      <c r="K69" s="10" t="str">
        <f>IFERROR(IF($B69="","",INDEX('RAW_DISTRICT'!$S$4:$S$745,MATCH(1,('RAW_DISTRICT'!$C$4:$C$745=$B69)*('RAW_DISTRICT'!$B$4:$B$745=$C69),0))),"")</f>
        <v/>
      </c>
    </row>
    <row r="70" spans="1:11" ht="15" customHeight="1" x14ac:dyDescent="0.3">
      <c r="A70" s="24">
        <v>66</v>
      </c>
      <c r="B70" s="12" t="str">
        <f>IFERROR(IF(SelectedScope="All India",INDEX('RAW_DISTRICT'!$C$4:$C$745,66),INDEX('RAW_DISTRICT'!$C$4:$C$745,MATCH(66,'RAW_DISTRICT'!$V$4:$V$745,0))),"")</f>
        <v>Kokrajhar</v>
      </c>
      <c r="C70" s="12" t="str">
        <f>IFERROR(IF($B70="","",IF(SelectedScope="All India",INDEX('RAW_DISTRICT'!$B$4:$B$745,66),SelectedScope)),"")</f>
        <v>Assam</v>
      </c>
      <c r="D70" s="13" t="str">
        <f>IFERROR(IF($B70="","",INDEX('RAW_DISTRICT'!$E$4:$E$745,MATCH(1,('RAW_DISTRICT'!$C$4:$C$745=$B70)*('RAW_DISTRICT'!$B$4:$B$745=$C70),0))),"")</f>
        <v/>
      </c>
      <c r="E70" s="13">
        <f>IFERROR(IF($B70="","",SUMPRODUCT(('RAW_DISTRICT'!$C$4:$C$745=$B70)*('RAW_DISTRICT'!$B$4:$B$745=$C70)*'RAW_DISTRICT'!$F$4:$F$745)),"")</f>
        <v>0</v>
      </c>
      <c r="F70" s="14" t="str">
        <f>IFERROR(IF($B70="","",SUMPRODUCT(('RAW_DISTRICT'!$C$4:$C$745=$B70)*('RAW_DISTRICT'!$B$4:$B$745=$C70)*'RAW_DISTRICT'!$I$4:$I$745)/SUMPRODUCT(('RAW_DISTRICT'!$C$4:$C$745=$B70)*('RAW_DISTRICT'!$B$4:$B$745=$C70)*'RAW_DISTRICT'!$H$4:$H$745)),"")</f>
        <v/>
      </c>
      <c r="G70" s="14" t="str">
        <f>IFERROR(IF($B70="","",SUMPRODUCT(('RAW_DISTRICT'!$C$4:$C$745=$B70)*('RAW_DISTRICT'!$B$4:$B$745=$C70)*'RAW_DISTRICT'!$K$4:$K$745)/SUMPRODUCT(('RAW_DISTRICT'!$C$4:$C$745=$B70)*('RAW_DISTRICT'!$B$4:$B$745=$C70)*'RAW_DISTRICT'!$J$4:$J$745)),"")</f>
        <v/>
      </c>
      <c r="H70" s="14" t="str">
        <f>IFERROR(IF($B70="","",SUMPRODUCT(('RAW_DISTRICT'!$C$4:$C$745=$B70)*('RAW_DISTRICT'!$B$4:$B$745=$C70)*'RAW_DISTRICT'!$M$4:$M$745)/SUMPRODUCT(('RAW_DISTRICT'!$C$4:$C$745=$B70)*('RAW_DISTRICT'!$B$4:$B$745=$C70)*'RAW_DISTRICT'!$L$4:$L$745)),"")</f>
        <v/>
      </c>
      <c r="I70" s="14" t="str">
        <f>IFERROR(IF($B70="","",SUMPRODUCT(('RAW_DISTRICT'!$C$4:$C$745=$B70)*('RAW_DISTRICT'!$B$4:$B$745=$C70)*'RAW_DISTRICT'!$N$4:$N$745)/SUMPRODUCT(('RAW_DISTRICT'!$C$4:$C$745=$B70)*('RAW_DISTRICT'!$B$4:$B$745=$C70)*'RAW_DISTRICT'!$O$4:$O$745)),"")</f>
        <v/>
      </c>
      <c r="J70" s="13" t="str">
        <f>IFERROR(IF($B70="","",INDEX('RAW_DISTRICT'!$R$4:$R$745,MATCH(1,('RAW_DISTRICT'!$C$4:$C$745=$B70)*('RAW_DISTRICT'!$B$4:$B$745=$C70),0))),"")</f>
        <v/>
      </c>
      <c r="K70" s="13" t="str">
        <f>IFERROR(IF($B70="","",INDEX('RAW_DISTRICT'!$S$4:$S$745,MATCH(1,('RAW_DISTRICT'!$C$4:$C$745=$B70)*('RAW_DISTRICT'!$B$4:$B$745=$C70),0))),"")</f>
        <v/>
      </c>
    </row>
    <row r="71" spans="1:11" ht="15" customHeight="1" x14ac:dyDescent="0.3">
      <c r="A71" s="23">
        <v>67</v>
      </c>
      <c r="B71" s="9" t="str">
        <f>IFERROR(IF(SelectedScope="All India",INDEX('RAW_DISTRICT'!$C$4:$C$745,67),INDEX('RAW_DISTRICT'!$C$4:$C$745,MATCH(67,'RAW_DISTRICT'!$V$4:$V$745,0))),"")</f>
        <v>Lakhimpur</v>
      </c>
      <c r="C71" s="9" t="str">
        <f>IFERROR(IF($B71="","",IF(SelectedScope="All India",INDEX('RAW_DISTRICT'!$B$4:$B$745,67),SelectedScope)),"")</f>
        <v>Assam</v>
      </c>
      <c r="D71" s="10" t="str">
        <f>IFERROR(IF($B71="","",INDEX('RAW_DISTRICT'!$E$4:$E$745,MATCH(1,('RAW_DISTRICT'!$C$4:$C$745=$B71)*('RAW_DISTRICT'!$B$4:$B$745=$C71),0))),"")</f>
        <v/>
      </c>
      <c r="E71" s="10">
        <f>IFERROR(IF($B71="","",SUMPRODUCT(('RAW_DISTRICT'!$C$4:$C$745=$B71)*('RAW_DISTRICT'!$B$4:$B$745=$C71)*'RAW_DISTRICT'!$F$4:$F$745)),"")</f>
        <v>0</v>
      </c>
      <c r="F71" s="11" t="str">
        <f>IFERROR(IF($B71="","",SUMPRODUCT(('RAW_DISTRICT'!$C$4:$C$745=$B71)*('RAW_DISTRICT'!$B$4:$B$745=$C71)*'RAW_DISTRICT'!$I$4:$I$745)/SUMPRODUCT(('RAW_DISTRICT'!$C$4:$C$745=$B71)*('RAW_DISTRICT'!$B$4:$B$745=$C71)*'RAW_DISTRICT'!$H$4:$H$745)),"")</f>
        <v/>
      </c>
      <c r="G71" s="11" t="str">
        <f>IFERROR(IF($B71="","",SUMPRODUCT(('RAW_DISTRICT'!$C$4:$C$745=$B71)*('RAW_DISTRICT'!$B$4:$B$745=$C71)*'RAW_DISTRICT'!$K$4:$K$745)/SUMPRODUCT(('RAW_DISTRICT'!$C$4:$C$745=$B71)*('RAW_DISTRICT'!$B$4:$B$745=$C71)*'RAW_DISTRICT'!$J$4:$J$745)),"")</f>
        <v/>
      </c>
      <c r="H71" s="11" t="str">
        <f>IFERROR(IF($B71="","",SUMPRODUCT(('RAW_DISTRICT'!$C$4:$C$745=$B71)*('RAW_DISTRICT'!$B$4:$B$745=$C71)*'RAW_DISTRICT'!$M$4:$M$745)/SUMPRODUCT(('RAW_DISTRICT'!$C$4:$C$745=$B71)*('RAW_DISTRICT'!$B$4:$B$745=$C71)*'RAW_DISTRICT'!$L$4:$L$745)),"")</f>
        <v/>
      </c>
      <c r="I71" s="11" t="str">
        <f>IFERROR(IF($B71="","",SUMPRODUCT(('RAW_DISTRICT'!$C$4:$C$745=$B71)*('RAW_DISTRICT'!$B$4:$B$745=$C71)*'RAW_DISTRICT'!$N$4:$N$745)/SUMPRODUCT(('RAW_DISTRICT'!$C$4:$C$745=$B71)*('RAW_DISTRICT'!$B$4:$B$745=$C71)*'RAW_DISTRICT'!$O$4:$O$745)),"")</f>
        <v/>
      </c>
      <c r="J71" s="10" t="str">
        <f>IFERROR(IF($B71="","",INDEX('RAW_DISTRICT'!$R$4:$R$745,MATCH(1,('RAW_DISTRICT'!$C$4:$C$745=$B71)*('RAW_DISTRICT'!$B$4:$B$745=$C71),0))),"")</f>
        <v/>
      </c>
      <c r="K71" s="10" t="str">
        <f>IFERROR(IF($B71="","",INDEX('RAW_DISTRICT'!$S$4:$S$745,MATCH(1,('RAW_DISTRICT'!$C$4:$C$745=$B71)*('RAW_DISTRICT'!$B$4:$B$745=$C71),0))),"")</f>
        <v/>
      </c>
    </row>
    <row r="72" spans="1:11" ht="15" customHeight="1" x14ac:dyDescent="0.3">
      <c r="A72" s="24">
        <v>68</v>
      </c>
      <c r="B72" s="12" t="str">
        <f>IFERROR(IF(SelectedScope="All India",INDEX('RAW_DISTRICT'!$C$4:$C$745,68),INDEX('RAW_DISTRICT'!$C$4:$C$745,MATCH(68,'RAW_DISTRICT'!$V$4:$V$745,0))),"")</f>
        <v>Majuli</v>
      </c>
      <c r="C72" s="12" t="str">
        <f>IFERROR(IF($B72="","",IF(SelectedScope="All India",INDEX('RAW_DISTRICT'!$B$4:$B$745,68),SelectedScope)),"")</f>
        <v>Assam</v>
      </c>
      <c r="D72" s="13" t="str">
        <f>IFERROR(IF($B72="","",INDEX('RAW_DISTRICT'!$E$4:$E$745,MATCH(1,('RAW_DISTRICT'!$C$4:$C$745=$B72)*('RAW_DISTRICT'!$B$4:$B$745=$C72),0))),"")</f>
        <v/>
      </c>
      <c r="E72" s="13">
        <f>IFERROR(IF($B72="","",SUMPRODUCT(('RAW_DISTRICT'!$C$4:$C$745=$B72)*('RAW_DISTRICT'!$B$4:$B$745=$C72)*'RAW_DISTRICT'!$F$4:$F$745)),"")</f>
        <v>0</v>
      </c>
      <c r="F72" s="14" t="str">
        <f>IFERROR(IF($B72="","",SUMPRODUCT(('RAW_DISTRICT'!$C$4:$C$745=$B72)*('RAW_DISTRICT'!$B$4:$B$745=$C72)*'RAW_DISTRICT'!$I$4:$I$745)/SUMPRODUCT(('RAW_DISTRICT'!$C$4:$C$745=$B72)*('RAW_DISTRICT'!$B$4:$B$745=$C72)*'RAW_DISTRICT'!$H$4:$H$745)),"")</f>
        <v/>
      </c>
      <c r="G72" s="14" t="str">
        <f>IFERROR(IF($B72="","",SUMPRODUCT(('RAW_DISTRICT'!$C$4:$C$745=$B72)*('RAW_DISTRICT'!$B$4:$B$745=$C72)*'RAW_DISTRICT'!$K$4:$K$745)/SUMPRODUCT(('RAW_DISTRICT'!$C$4:$C$745=$B72)*('RAW_DISTRICT'!$B$4:$B$745=$C72)*'RAW_DISTRICT'!$J$4:$J$745)),"")</f>
        <v/>
      </c>
      <c r="H72" s="14" t="str">
        <f>IFERROR(IF($B72="","",SUMPRODUCT(('RAW_DISTRICT'!$C$4:$C$745=$B72)*('RAW_DISTRICT'!$B$4:$B$745=$C72)*'RAW_DISTRICT'!$M$4:$M$745)/SUMPRODUCT(('RAW_DISTRICT'!$C$4:$C$745=$B72)*('RAW_DISTRICT'!$B$4:$B$745=$C72)*'RAW_DISTRICT'!$L$4:$L$745)),"")</f>
        <v/>
      </c>
      <c r="I72" s="14" t="str">
        <f>IFERROR(IF($B72="","",SUMPRODUCT(('RAW_DISTRICT'!$C$4:$C$745=$B72)*('RAW_DISTRICT'!$B$4:$B$745=$C72)*'RAW_DISTRICT'!$N$4:$N$745)/SUMPRODUCT(('RAW_DISTRICT'!$C$4:$C$745=$B72)*('RAW_DISTRICT'!$B$4:$B$745=$C72)*'RAW_DISTRICT'!$O$4:$O$745)),"")</f>
        <v/>
      </c>
      <c r="J72" s="13" t="str">
        <f>IFERROR(IF($B72="","",INDEX('RAW_DISTRICT'!$R$4:$R$745,MATCH(1,('RAW_DISTRICT'!$C$4:$C$745=$B72)*('RAW_DISTRICT'!$B$4:$B$745=$C72),0))),"")</f>
        <v/>
      </c>
      <c r="K72" s="13" t="str">
        <f>IFERROR(IF($B72="","",INDEX('RAW_DISTRICT'!$S$4:$S$745,MATCH(1,('RAW_DISTRICT'!$C$4:$C$745=$B72)*('RAW_DISTRICT'!$B$4:$B$745=$C72),0))),"")</f>
        <v/>
      </c>
    </row>
    <row r="73" spans="1:11" ht="15" customHeight="1" x14ac:dyDescent="0.3">
      <c r="A73" s="23">
        <v>69</v>
      </c>
      <c r="B73" s="9" t="str">
        <f>IFERROR(IF(SelectedScope="All India",INDEX('RAW_DISTRICT'!$C$4:$C$745,69),INDEX('RAW_DISTRICT'!$C$4:$C$745,MATCH(69,'RAW_DISTRICT'!$V$4:$V$745,0))),"")</f>
        <v>Morigaon</v>
      </c>
      <c r="C73" s="9" t="str">
        <f>IFERROR(IF($B73="","",IF(SelectedScope="All India",INDEX('RAW_DISTRICT'!$B$4:$B$745,69),SelectedScope)),"")</f>
        <v>Assam</v>
      </c>
      <c r="D73" s="10" t="str">
        <f>IFERROR(IF($B73="","",INDEX('RAW_DISTRICT'!$E$4:$E$745,MATCH(1,('RAW_DISTRICT'!$C$4:$C$745=$B73)*('RAW_DISTRICT'!$B$4:$B$745=$C73),0))),"")</f>
        <v/>
      </c>
      <c r="E73" s="10">
        <f>IFERROR(IF($B73="","",SUMPRODUCT(('RAW_DISTRICT'!$C$4:$C$745=$B73)*('RAW_DISTRICT'!$B$4:$B$745=$C73)*'RAW_DISTRICT'!$F$4:$F$745)),"")</f>
        <v>0</v>
      </c>
      <c r="F73" s="11" t="str">
        <f>IFERROR(IF($B73="","",SUMPRODUCT(('RAW_DISTRICT'!$C$4:$C$745=$B73)*('RAW_DISTRICT'!$B$4:$B$745=$C73)*'RAW_DISTRICT'!$I$4:$I$745)/SUMPRODUCT(('RAW_DISTRICT'!$C$4:$C$745=$B73)*('RAW_DISTRICT'!$B$4:$B$745=$C73)*'RAW_DISTRICT'!$H$4:$H$745)),"")</f>
        <v/>
      </c>
      <c r="G73" s="11" t="str">
        <f>IFERROR(IF($B73="","",SUMPRODUCT(('RAW_DISTRICT'!$C$4:$C$745=$B73)*('RAW_DISTRICT'!$B$4:$B$745=$C73)*'RAW_DISTRICT'!$K$4:$K$745)/SUMPRODUCT(('RAW_DISTRICT'!$C$4:$C$745=$B73)*('RAW_DISTRICT'!$B$4:$B$745=$C73)*'RAW_DISTRICT'!$J$4:$J$745)),"")</f>
        <v/>
      </c>
      <c r="H73" s="11" t="str">
        <f>IFERROR(IF($B73="","",SUMPRODUCT(('RAW_DISTRICT'!$C$4:$C$745=$B73)*('RAW_DISTRICT'!$B$4:$B$745=$C73)*'RAW_DISTRICT'!$M$4:$M$745)/SUMPRODUCT(('RAW_DISTRICT'!$C$4:$C$745=$B73)*('RAW_DISTRICT'!$B$4:$B$745=$C73)*'RAW_DISTRICT'!$L$4:$L$745)),"")</f>
        <v/>
      </c>
      <c r="I73" s="11" t="str">
        <f>IFERROR(IF($B73="","",SUMPRODUCT(('RAW_DISTRICT'!$C$4:$C$745=$B73)*('RAW_DISTRICT'!$B$4:$B$745=$C73)*'RAW_DISTRICT'!$N$4:$N$745)/SUMPRODUCT(('RAW_DISTRICT'!$C$4:$C$745=$B73)*('RAW_DISTRICT'!$B$4:$B$745=$C73)*'RAW_DISTRICT'!$O$4:$O$745)),"")</f>
        <v/>
      </c>
      <c r="J73" s="10" t="str">
        <f>IFERROR(IF($B73="","",INDEX('RAW_DISTRICT'!$R$4:$R$745,MATCH(1,('RAW_DISTRICT'!$C$4:$C$745=$B73)*('RAW_DISTRICT'!$B$4:$B$745=$C73),0))),"")</f>
        <v/>
      </c>
      <c r="K73" s="10" t="str">
        <f>IFERROR(IF($B73="","",INDEX('RAW_DISTRICT'!$S$4:$S$745,MATCH(1,('RAW_DISTRICT'!$C$4:$C$745=$B73)*('RAW_DISTRICT'!$B$4:$B$745=$C73),0))),"")</f>
        <v/>
      </c>
    </row>
    <row r="74" spans="1:11" ht="15" customHeight="1" x14ac:dyDescent="0.3">
      <c r="A74" s="24">
        <v>70</v>
      </c>
      <c r="B74" s="12" t="str">
        <f>IFERROR(IF(SelectedScope="All India",INDEX('RAW_DISTRICT'!$C$4:$C$745,70),INDEX('RAW_DISTRICT'!$C$4:$C$745,MATCH(70,'RAW_DISTRICT'!$V$4:$V$745,0))),"")</f>
        <v>Nagaon</v>
      </c>
      <c r="C74" s="12" t="str">
        <f>IFERROR(IF($B74="","",IF(SelectedScope="All India",INDEX('RAW_DISTRICT'!$B$4:$B$745,70),SelectedScope)),"")</f>
        <v>Assam</v>
      </c>
      <c r="D74" s="13" t="str">
        <f>IFERROR(IF($B74="","",INDEX('RAW_DISTRICT'!$E$4:$E$745,MATCH(1,('RAW_DISTRICT'!$C$4:$C$745=$B74)*('RAW_DISTRICT'!$B$4:$B$745=$C74),0))),"")</f>
        <v/>
      </c>
      <c r="E74" s="13">
        <f>IFERROR(IF($B74="","",SUMPRODUCT(('RAW_DISTRICT'!$C$4:$C$745=$B74)*('RAW_DISTRICT'!$B$4:$B$745=$C74)*'RAW_DISTRICT'!$F$4:$F$745)),"")</f>
        <v>0</v>
      </c>
      <c r="F74" s="14" t="str">
        <f>IFERROR(IF($B74="","",SUMPRODUCT(('RAW_DISTRICT'!$C$4:$C$745=$B74)*('RAW_DISTRICT'!$B$4:$B$745=$C74)*'RAW_DISTRICT'!$I$4:$I$745)/SUMPRODUCT(('RAW_DISTRICT'!$C$4:$C$745=$B74)*('RAW_DISTRICT'!$B$4:$B$745=$C74)*'RAW_DISTRICT'!$H$4:$H$745)),"")</f>
        <v/>
      </c>
      <c r="G74" s="14" t="str">
        <f>IFERROR(IF($B74="","",SUMPRODUCT(('RAW_DISTRICT'!$C$4:$C$745=$B74)*('RAW_DISTRICT'!$B$4:$B$745=$C74)*'RAW_DISTRICT'!$K$4:$K$745)/SUMPRODUCT(('RAW_DISTRICT'!$C$4:$C$745=$B74)*('RAW_DISTRICT'!$B$4:$B$745=$C74)*'RAW_DISTRICT'!$J$4:$J$745)),"")</f>
        <v/>
      </c>
      <c r="H74" s="14" t="str">
        <f>IFERROR(IF($B74="","",SUMPRODUCT(('RAW_DISTRICT'!$C$4:$C$745=$B74)*('RAW_DISTRICT'!$B$4:$B$745=$C74)*'RAW_DISTRICT'!$M$4:$M$745)/SUMPRODUCT(('RAW_DISTRICT'!$C$4:$C$745=$B74)*('RAW_DISTRICT'!$B$4:$B$745=$C74)*'RAW_DISTRICT'!$L$4:$L$745)),"")</f>
        <v/>
      </c>
      <c r="I74" s="14" t="str">
        <f>IFERROR(IF($B74="","",SUMPRODUCT(('RAW_DISTRICT'!$C$4:$C$745=$B74)*('RAW_DISTRICT'!$B$4:$B$745=$C74)*'RAW_DISTRICT'!$N$4:$N$745)/SUMPRODUCT(('RAW_DISTRICT'!$C$4:$C$745=$B74)*('RAW_DISTRICT'!$B$4:$B$745=$C74)*'RAW_DISTRICT'!$O$4:$O$745)),"")</f>
        <v/>
      </c>
      <c r="J74" s="13" t="str">
        <f>IFERROR(IF($B74="","",INDEX('RAW_DISTRICT'!$R$4:$R$745,MATCH(1,('RAW_DISTRICT'!$C$4:$C$745=$B74)*('RAW_DISTRICT'!$B$4:$B$745=$C74),0))),"")</f>
        <v/>
      </c>
      <c r="K74" s="13" t="str">
        <f>IFERROR(IF($B74="","",INDEX('RAW_DISTRICT'!$S$4:$S$745,MATCH(1,('RAW_DISTRICT'!$C$4:$C$745=$B74)*('RAW_DISTRICT'!$B$4:$B$745=$C74),0))),"")</f>
        <v/>
      </c>
    </row>
    <row r="75" spans="1:11" ht="15" customHeight="1" x14ac:dyDescent="0.3">
      <c r="A75" s="23">
        <v>71</v>
      </c>
      <c r="B75" s="9" t="str">
        <f>IFERROR(IF(SelectedScope="All India",INDEX('RAW_DISTRICT'!$C$4:$C$745,71),INDEX('RAW_DISTRICT'!$C$4:$C$745,MATCH(71,'RAW_DISTRICT'!$V$4:$V$745,0))),"")</f>
        <v>Nalbari</v>
      </c>
      <c r="C75" s="9" t="str">
        <f>IFERROR(IF($B75="","",IF(SelectedScope="All India",INDEX('RAW_DISTRICT'!$B$4:$B$745,71),SelectedScope)),"")</f>
        <v>Assam</v>
      </c>
      <c r="D75" s="10" t="str">
        <f>IFERROR(IF($B75="","",INDEX('RAW_DISTRICT'!$E$4:$E$745,MATCH(1,('RAW_DISTRICT'!$C$4:$C$745=$B75)*('RAW_DISTRICT'!$B$4:$B$745=$C75),0))),"")</f>
        <v/>
      </c>
      <c r="E75" s="10">
        <f>IFERROR(IF($B75="","",SUMPRODUCT(('RAW_DISTRICT'!$C$4:$C$745=$B75)*('RAW_DISTRICT'!$B$4:$B$745=$C75)*'RAW_DISTRICT'!$F$4:$F$745)),"")</f>
        <v>0</v>
      </c>
      <c r="F75" s="11" t="str">
        <f>IFERROR(IF($B75="","",SUMPRODUCT(('RAW_DISTRICT'!$C$4:$C$745=$B75)*('RAW_DISTRICT'!$B$4:$B$745=$C75)*'RAW_DISTRICT'!$I$4:$I$745)/SUMPRODUCT(('RAW_DISTRICT'!$C$4:$C$745=$B75)*('RAW_DISTRICT'!$B$4:$B$745=$C75)*'RAW_DISTRICT'!$H$4:$H$745)),"")</f>
        <v/>
      </c>
      <c r="G75" s="11" t="str">
        <f>IFERROR(IF($B75="","",SUMPRODUCT(('RAW_DISTRICT'!$C$4:$C$745=$B75)*('RAW_DISTRICT'!$B$4:$B$745=$C75)*'RAW_DISTRICT'!$K$4:$K$745)/SUMPRODUCT(('RAW_DISTRICT'!$C$4:$C$745=$B75)*('RAW_DISTRICT'!$B$4:$B$745=$C75)*'RAW_DISTRICT'!$J$4:$J$745)),"")</f>
        <v/>
      </c>
      <c r="H75" s="11" t="str">
        <f>IFERROR(IF($B75="","",SUMPRODUCT(('RAW_DISTRICT'!$C$4:$C$745=$B75)*('RAW_DISTRICT'!$B$4:$B$745=$C75)*'RAW_DISTRICT'!$M$4:$M$745)/SUMPRODUCT(('RAW_DISTRICT'!$C$4:$C$745=$B75)*('RAW_DISTRICT'!$B$4:$B$745=$C75)*'RAW_DISTRICT'!$L$4:$L$745)),"")</f>
        <v/>
      </c>
      <c r="I75" s="11" t="str">
        <f>IFERROR(IF($B75="","",SUMPRODUCT(('RAW_DISTRICT'!$C$4:$C$745=$B75)*('RAW_DISTRICT'!$B$4:$B$745=$C75)*'RAW_DISTRICT'!$N$4:$N$745)/SUMPRODUCT(('RAW_DISTRICT'!$C$4:$C$745=$B75)*('RAW_DISTRICT'!$B$4:$B$745=$C75)*'RAW_DISTRICT'!$O$4:$O$745)),"")</f>
        <v/>
      </c>
      <c r="J75" s="10" t="str">
        <f>IFERROR(IF($B75="","",INDEX('RAW_DISTRICT'!$R$4:$R$745,MATCH(1,('RAW_DISTRICT'!$C$4:$C$745=$B75)*('RAW_DISTRICT'!$B$4:$B$745=$C75),0))),"")</f>
        <v/>
      </c>
      <c r="K75" s="10" t="str">
        <f>IFERROR(IF($B75="","",INDEX('RAW_DISTRICT'!$S$4:$S$745,MATCH(1,('RAW_DISTRICT'!$C$4:$C$745=$B75)*('RAW_DISTRICT'!$B$4:$B$745=$C75),0))),"")</f>
        <v/>
      </c>
    </row>
    <row r="76" spans="1:11" ht="15" customHeight="1" x14ac:dyDescent="0.3">
      <c r="A76" s="24">
        <v>72</v>
      </c>
      <c r="B76" s="12" t="str">
        <f>IFERROR(IF(SelectedScope="All India",INDEX('RAW_DISTRICT'!$C$4:$C$745,72),INDEX('RAW_DISTRICT'!$C$4:$C$745,MATCH(72,'RAW_DISTRICT'!$V$4:$V$745,0))),"")</f>
        <v>Sivasagar</v>
      </c>
      <c r="C76" s="12" t="str">
        <f>IFERROR(IF($B76="","",IF(SelectedScope="All India",INDEX('RAW_DISTRICT'!$B$4:$B$745,72),SelectedScope)),"")</f>
        <v>Assam</v>
      </c>
      <c r="D76" s="13" t="str">
        <f>IFERROR(IF($B76="","",INDEX('RAW_DISTRICT'!$E$4:$E$745,MATCH(1,('RAW_DISTRICT'!$C$4:$C$745=$B76)*('RAW_DISTRICT'!$B$4:$B$745=$C76),0))),"")</f>
        <v/>
      </c>
      <c r="E76" s="13">
        <f>IFERROR(IF($B76="","",SUMPRODUCT(('RAW_DISTRICT'!$C$4:$C$745=$B76)*('RAW_DISTRICT'!$B$4:$B$745=$C76)*'RAW_DISTRICT'!$F$4:$F$745)),"")</f>
        <v>0</v>
      </c>
      <c r="F76" s="14" t="str">
        <f>IFERROR(IF($B76="","",SUMPRODUCT(('RAW_DISTRICT'!$C$4:$C$745=$B76)*('RAW_DISTRICT'!$B$4:$B$745=$C76)*'RAW_DISTRICT'!$I$4:$I$745)/SUMPRODUCT(('RAW_DISTRICT'!$C$4:$C$745=$B76)*('RAW_DISTRICT'!$B$4:$B$745=$C76)*'RAW_DISTRICT'!$H$4:$H$745)),"")</f>
        <v/>
      </c>
      <c r="G76" s="14" t="str">
        <f>IFERROR(IF($B76="","",SUMPRODUCT(('RAW_DISTRICT'!$C$4:$C$745=$B76)*('RAW_DISTRICT'!$B$4:$B$745=$C76)*'RAW_DISTRICT'!$K$4:$K$745)/SUMPRODUCT(('RAW_DISTRICT'!$C$4:$C$745=$B76)*('RAW_DISTRICT'!$B$4:$B$745=$C76)*'RAW_DISTRICT'!$J$4:$J$745)),"")</f>
        <v/>
      </c>
      <c r="H76" s="14" t="str">
        <f>IFERROR(IF($B76="","",SUMPRODUCT(('RAW_DISTRICT'!$C$4:$C$745=$B76)*('RAW_DISTRICT'!$B$4:$B$745=$C76)*'RAW_DISTRICT'!$M$4:$M$745)/SUMPRODUCT(('RAW_DISTRICT'!$C$4:$C$745=$B76)*('RAW_DISTRICT'!$B$4:$B$745=$C76)*'RAW_DISTRICT'!$L$4:$L$745)),"")</f>
        <v/>
      </c>
      <c r="I76" s="14" t="str">
        <f>IFERROR(IF($B76="","",SUMPRODUCT(('RAW_DISTRICT'!$C$4:$C$745=$B76)*('RAW_DISTRICT'!$B$4:$B$745=$C76)*'RAW_DISTRICT'!$N$4:$N$745)/SUMPRODUCT(('RAW_DISTRICT'!$C$4:$C$745=$B76)*('RAW_DISTRICT'!$B$4:$B$745=$C76)*'RAW_DISTRICT'!$O$4:$O$745)),"")</f>
        <v/>
      </c>
      <c r="J76" s="13" t="str">
        <f>IFERROR(IF($B76="","",INDEX('RAW_DISTRICT'!$R$4:$R$745,MATCH(1,('RAW_DISTRICT'!$C$4:$C$745=$B76)*('RAW_DISTRICT'!$B$4:$B$745=$C76),0))),"")</f>
        <v/>
      </c>
      <c r="K76" s="13" t="str">
        <f>IFERROR(IF($B76="","",INDEX('RAW_DISTRICT'!$S$4:$S$745,MATCH(1,('RAW_DISTRICT'!$C$4:$C$745=$B76)*('RAW_DISTRICT'!$B$4:$B$745=$C76),0))),"")</f>
        <v/>
      </c>
    </row>
    <row r="77" spans="1:11" ht="15" customHeight="1" x14ac:dyDescent="0.3">
      <c r="A77" s="23">
        <v>73</v>
      </c>
      <c r="B77" s="9" t="str">
        <f>IFERROR(IF(SelectedScope="All India",INDEX('RAW_DISTRICT'!$C$4:$C$745,73),INDEX('RAW_DISTRICT'!$C$4:$C$745,MATCH(73,'RAW_DISTRICT'!$V$4:$V$745,0))),"")</f>
        <v>Sonitpur</v>
      </c>
      <c r="C77" s="9" t="str">
        <f>IFERROR(IF($B77="","",IF(SelectedScope="All India",INDEX('RAW_DISTRICT'!$B$4:$B$745,73),SelectedScope)),"")</f>
        <v>Assam</v>
      </c>
      <c r="D77" s="10" t="str">
        <f>IFERROR(IF($B77="","",INDEX('RAW_DISTRICT'!$E$4:$E$745,MATCH(1,('RAW_DISTRICT'!$C$4:$C$745=$B77)*('RAW_DISTRICT'!$B$4:$B$745=$C77),0))),"")</f>
        <v/>
      </c>
      <c r="E77" s="10">
        <f>IFERROR(IF($B77="","",SUMPRODUCT(('RAW_DISTRICT'!$C$4:$C$745=$B77)*('RAW_DISTRICT'!$B$4:$B$745=$C77)*'RAW_DISTRICT'!$F$4:$F$745)),"")</f>
        <v>0</v>
      </c>
      <c r="F77" s="11" t="str">
        <f>IFERROR(IF($B77="","",SUMPRODUCT(('RAW_DISTRICT'!$C$4:$C$745=$B77)*('RAW_DISTRICT'!$B$4:$B$745=$C77)*'RAW_DISTRICT'!$I$4:$I$745)/SUMPRODUCT(('RAW_DISTRICT'!$C$4:$C$745=$B77)*('RAW_DISTRICT'!$B$4:$B$745=$C77)*'RAW_DISTRICT'!$H$4:$H$745)),"")</f>
        <v/>
      </c>
      <c r="G77" s="11" t="str">
        <f>IFERROR(IF($B77="","",SUMPRODUCT(('RAW_DISTRICT'!$C$4:$C$745=$B77)*('RAW_DISTRICT'!$B$4:$B$745=$C77)*'RAW_DISTRICT'!$K$4:$K$745)/SUMPRODUCT(('RAW_DISTRICT'!$C$4:$C$745=$B77)*('RAW_DISTRICT'!$B$4:$B$745=$C77)*'RAW_DISTRICT'!$J$4:$J$745)),"")</f>
        <v/>
      </c>
      <c r="H77" s="11" t="str">
        <f>IFERROR(IF($B77="","",SUMPRODUCT(('RAW_DISTRICT'!$C$4:$C$745=$B77)*('RAW_DISTRICT'!$B$4:$B$745=$C77)*'RAW_DISTRICT'!$M$4:$M$745)/SUMPRODUCT(('RAW_DISTRICT'!$C$4:$C$745=$B77)*('RAW_DISTRICT'!$B$4:$B$745=$C77)*'RAW_DISTRICT'!$L$4:$L$745)),"")</f>
        <v/>
      </c>
      <c r="I77" s="11" t="str">
        <f>IFERROR(IF($B77="","",SUMPRODUCT(('RAW_DISTRICT'!$C$4:$C$745=$B77)*('RAW_DISTRICT'!$B$4:$B$745=$C77)*'RAW_DISTRICT'!$N$4:$N$745)/SUMPRODUCT(('RAW_DISTRICT'!$C$4:$C$745=$B77)*('RAW_DISTRICT'!$B$4:$B$745=$C77)*'RAW_DISTRICT'!$O$4:$O$745)),"")</f>
        <v/>
      </c>
      <c r="J77" s="10" t="str">
        <f>IFERROR(IF($B77="","",INDEX('RAW_DISTRICT'!$R$4:$R$745,MATCH(1,('RAW_DISTRICT'!$C$4:$C$745=$B77)*('RAW_DISTRICT'!$B$4:$B$745=$C77),0))),"")</f>
        <v/>
      </c>
      <c r="K77" s="10" t="str">
        <f>IFERROR(IF($B77="","",INDEX('RAW_DISTRICT'!$S$4:$S$745,MATCH(1,('RAW_DISTRICT'!$C$4:$C$745=$B77)*('RAW_DISTRICT'!$B$4:$B$745=$C77),0))),"")</f>
        <v/>
      </c>
    </row>
    <row r="78" spans="1:11" ht="15" customHeight="1" x14ac:dyDescent="0.3">
      <c r="A78" s="24">
        <v>74</v>
      </c>
      <c r="B78" s="12" t="str">
        <f>IFERROR(IF(SelectedScope="All India",INDEX('RAW_DISTRICT'!$C$4:$C$745,74),INDEX('RAW_DISTRICT'!$C$4:$C$745,MATCH(74,'RAW_DISTRICT'!$V$4:$V$745,0))),"")</f>
        <v>Tinsukia</v>
      </c>
      <c r="C78" s="12" t="str">
        <f>IFERROR(IF($B78="","",IF(SelectedScope="All India",INDEX('RAW_DISTRICT'!$B$4:$B$745,74),SelectedScope)),"")</f>
        <v>Assam</v>
      </c>
      <c r="D78" s="13" t="str">
        <f>IFERROR(IF($B78="","",INDEX('RAW_DISTRICT'!$E$4:$E$745,MATCH(1,('RAW_DISTRICT'!$C$4:$C$745=$B78)*('RAW_DISTRICT'!$B$4:$B$745=$C78),0))),"")</f>
        <v/>
      </c>
      <c r="E78" s="13">
        <f>IFERROR(IF($B78="","",SUMPRODUCT(('RAW_DISTRICT'!$C$4:$C$745=$B78)*('RAW_DISTRICT'!$B$4:$B$745=$C78)*'RAW_DISTRICT'!$F$4:$F$745)),"")</f>
        <v>0</v>
      </c>
      <c r="F78" s="14" t="str">
        <f>IFERROR(IF($B78="","",SUMPRODUCT(('RAW_DISTRICT'!$C$4:$C$745=$B78)*('RAW_DISTRICT'!$B$4:$B$745=$C78)*'RAW_DISTRICT'!$I$4:$I$745)/SUMPRODUCT(('RAW_DISTRICT'!$C$4:$C$745=$B78)*('RAW_DISTRICT'!$B$4:$B$745=$C78)*'RAW_DISTRICT'!$H$4:$H$745)),"")</f>
        <v/>
      </c>
      <c r="G78" s="14" t="str">
        <f>IFERROR(IF($B78="","",SUMPRODUCT(('RAW_DISTRICT'!$C$4:$C$745=$B78)*('RAW_DISTRICT'!$B$4:$B$745=$C78)*'RAW_DISTRICT'!$K$4:$K$745)/SUMPRODUCT(('RAW_DISTRICT'!$C$4:$C$745=$B78)*('RAW_DISTRICT'!$B$4:$B$745=$C78)*'RAW_DISTRICT'!$J$4:$J$745)),"")</f>
        <v/>
      </c>
      <c r="H78" s="14" t="str">
        <f>IFERROR(IF($B78="","",SUMPRODUCT(('RAW_DISTRICT'!$C$4:$C$745=$B78)*('RAW_DISTRICT'!$B$4:$B$745=$C78)*'RAW_DISTRICT'!$M$4:$M$745)/SUMPRODUCT(('RAW_DISTRICT'!$C$4:$C$745=$B78)*('RAW_DISTRICT'!$B$4:$B$745=$C78)*'RAW_DISTRICT'!$L$4:$L$745)),"")</f>
        <v/>
      </c>
      <c r="I78" s="14" t="str">
        <f>IFERROR(IF($B78="","",SUMPRODUCT(('RAW_DISTRICT'!$C$4:$C$745=$B78)*('RAW_DISTRICT'!$B$4:$B$745=$C78)*'RAW_DISTRICT'!$N$4:$N$745)/SUMPRODUCT(('RAW_DISTRICT'!$C$4:$C$745=$B78)*('RAW_DISTRICT'!$B$4:$B$745=$C78)*'RAW_DISTRICT'!$O$4:$O$745)),"")</f>
        <v/>
      </c>
      <c r="J78" s="13" t="str">
        <f>IFERROR(IF($B78="","",INDEX('RAW_DISTRICT'!$R$4:$R$745,MATCH(1,('RAW_DISTRICT'!$C$4:$C$745=$B78)*('RAW_DISTRICT'!$B$4:$B$745=$C78),0))),"")</f>
        <v/>
      </c>
      <c r="K78" s="13" t="str">
        <f>IFERROR(IF($B78="","",INDEX('RAW_DISTRICT'!$S$4:$S$745,MATCH(1,('RAW_DISTRICT'!$C$4:$C$745=$B78)*('RAW_DISTRICT'!$B$4:$B$745=$C78),0))),"")</f>
        <v/>
      </c>
    </row>
    <row r="79" spans="1:11" ht="15" customHeight="1" x14ac:dyDescent="0.3">
      <c r="A79" s="23">
        <v>75</v>
      </c>
      <c r="B79" s="9" t="str">
        <f>IFERROR(IF(SelectedScope="All India",INDEX('RAW_DISTRICT'!$C$4:$C$745,75),INDEX('RAW_DISTRICT'!$C$4:$C$745,MATCH(75,'RAW_DISTRICT'!$V$4:$V$745,0))),"")</f>
        <v>Udalguri</v>
      </c>
      <c r="C79" s="9" t="str">
        <f>IFERROR(IF($B79="","",IF(SelectedScope="All India",INDEX('RAW_DISTRICT'!$B$4:$B$745,75),SelectedScope)),"")</f>
        <v>Assam</v>
      </c>
      <c r="D79" s="10" t="str">
        <f>IFERROR(IF($B79="","",INDEX('RAW_DISTRICT'!$E$4:$E$745,MATCH(1,('RAW_DISTRICT'!$C$4:$C$745=$B79)*('RAW_DISTRICT'!$B$4:$B$745=$C79),0))),"")</f>
        <v/>
      </c>
      <c r="E79" s="10">
        <f>IFERROR(IF($B79="","",SUMPRODUCT(('RAW_DISTRICT'!$C$4:$C$745=$B79)*('RAW_DISTRICT'!$B$4:$B$745=$C79)*'RAW_DISTRICT'!$F$4:$F$745)),"")</f>
        <v>0</v>
      </c>
      <c r="F79" s="11" t="str">
        <f>IFERROR(IF($B79="","",SUMPRODUCT(('RAW_DISTRICT'!$C$4:$C$745=$B79)*('RAW_DISTRICT'!$B$4:$B$745=$C79)*'RAW_DISTRICT'!$I$4:$I$745)/SUMPRODUCT(('RAW_DISTRICT'!$C$4:$C$745=$B79)*('RAW_DISTRICT'!$B$4:$B$745=$C79)*'RAW_DISTRICT'!$H$4:$H$745)),"")</f>
        <v/>
      </c>
      <c r="G79" s="11" t="str">
        <f>IFERROR(IF($B79="","",SUMPRODUCT(('RAW_DISTRICT'!$C$4:$C$745=$B79)*('RAW_DISTRICT'!$B$4:$B$745=$C79)*'RAW_DISTRICT'!$K$4:$K$745)/SUMPRODUCT(('RAW_DISTRICT'!$C$4:$C$745=$B79)*('RAW_DISTRICT'!$B$4:$B$745=$C79)*'RAW_DISTRICT'!$J$4:$J$745)),"")</f>
        <v/>
      </c>
      <c r="H79" s="11" t="str">
        <f>IFERROR(IF($B79="","",SUMPRODUCT(('RAW_DISTRICT'!$C$4:$C$745=$B79)*('RAW_DISTRICT'!$B$4:$B$745=$C79)*'RAW_DISTRICT'!$M$4:$M$745)/SUMPRODUCT(('RAW_DISTRICT'!$C$4:$C$745=$B79)*('RAW_DISTRICT'!$B$4:$B$745=$C79)*'RAW_DISTRICT'!$L$4:$L$745)),"")</f>
        <v/>
      </c>
      <c r="I79" s="11" t="str">
        <f>IFERROR(IF($B79="","",SUMPRODUCT(('RAW_DISTRICT'!$C$4:$C$745=$B79)*('RAW_DISTRICT'!$B$4:$B$745=$C79)*'RAW_DISTRICT'!$N$4:$N$745)/SUMPRODUCT(('RAW_DISTRICT'!$C$4:$C$745=$B79)*('RAW_DISTRICT'!$B$4:$B$745=$C79)*'RAW_DISTRICT'!$O$4:$O$745)),"")</f>
        <v/>
      </c>
      <c r="J79" s="10" t="str">
        <f>IFERROR(IF($B79="","",INDEX('RAW_DISTRICT'!$R$4:$R$745,MATCH(1,('RAW_DISTRICT'!$C$4:$C$745=$B79)*('RAW_DISTRICT'!$B$4:$B$745=$C79),0))),"")</f>
        <v/>
      </c>
      <c r="K79" s="10" t="str">
        <f>IFERROR(IF($B79="","",INDEX('RAW_DISTRICT'!$S$4:$S$745,MATCH(1,('RAW_DISTRICT'!$C$4:$C$745=$B79)*('RAW_DISTRICT'!$B$4:$B$745=$C79),0))),"")</f>
        <v/>
      </c>
    </row>
    <row r="80" spans="1:11" ht="15" customHeight="1" x14ac:dyDescent="0.3">
      <c r="A80" s="24">
        <v>76</v>
      </c>
      <c r="B80" s="12" t="str">
        <f>IFERROR(IF(SelectedScope="All India",INDEX('RAW_DISTRICT'!$C$4:$C$745,76),INDEX('RAW_DISTRICT'!$C$4:$C$745,MATCH(76,'RAW_DISTRICT'!$V$4:$V$745,0))),"")</f>
        <v>Araria</v>
      </c>
      <c r="C80" s="12" t="str">
        <f>IFERROR(IF($B80="","",IF(SelectedScope="All India",INDEX('RAW_DISTRICT'!$B$4:$B$745,76),SelectedScope)),"")</f>
        <v>Bihar</v>
      </c>
      <c r="D80" s="13" t="str">
        <f>IFERROR(IF($B80="","",INDEX('RAW_DISTRICT'!$E$4:$E$745,MATCH(1,('RAW_DISTRICT'!$C$4:$C$745=$B80)*('RAW_DISTRICT'!$B$4:$B$745=$C80),0))),"")</f>
        <v/>
      </c>
      <c r="E80" s="13">
        <f>IFERROR(IF($B80="","",SUMPRODUCT(('RAW_DISTRICT'!$C$4:$C$745=$B80)*('RAW_DISTRICT'!$B$4:$B$745=$C80)*'RAW_DISTRICT'!$F$4:$F$745)),"")</f>
        <v>0</v>
      </c>
      <c r="F80" s="14" t="str">
        <f>IFERROR(IF($B80="","",SUMPRODUCT(('RAW_DISTRICT'!$C$4:$C$745=$B80)*('RAW_DISTRICT'!$B$4:$B$745=$C80)*'RAW_DISTRICT'!$I$4:$I$745)/SUMPRODUCT(('RAW_DISTRICT'!$C$4:$C$745=$B80)*('RAW_DISTRICT'!$B$4:$B$745=$C80)*'RAW_DISTRICT'!$H$4:$H$745)),"")</f>
        <v/>
      </c>
      <c r="G80" s="14" t="str">
        <f>IFERROR(IF($B80="","",SUMPRODUCT(('RAW_DISTRICT'!$C$4:$C$745=$B80)*('RAW_DISTRICT'!$B$4:$B$745=$C80)*'RAW_DISTRICT'!$K$4:$K$745)/SUMPRODUCT(('RAW_DISTRICT'!$C$4:$C$745=$B80)*('RAW_DISTRICT'!$B$4:$B$745=$C80)*'RAW_DISTRICT'!$J$4:$J$745)),"")</f>
        <v/>
      </c>
      <c r="H80" s="14" t="str">
        <f>IFERROR(IF($B80="","",SUMPRODUCT(('RAW_DISTRICT'!$C$4:$C$745=$B80)*('RAW_DISTRICT'!$B$4:$B$745=$C80)*'RAW_DISTRICT'!$M$4:$M$745)/SUMPRODUCT(('RAW_DISTRICT'!$C$4:$C$745=$B80)*('RAW_DISTRICT'!$B$4:$B$745=$C80)*'RAW_DISTRICT'!$L$4:$L$745)),"")</f>
        <v/>
      </c>
      <c r="I80" s="14" t="str">
        <f>IFERROR(IF($B80="","",SUMPRODUCT(('RAW_DISTRICT'!$C$4:$C$745=$B80)*('RAW_DISTRICT'!$B$4:$B$745=$C80)*'RAW_DISTRICT'!$N$4:$N$745)/SUMPRODUCT(('RAW_DISTRICT'!$C$4:$C$745=$B80)*('RAW_DISTRICT'!$B$4:$B$745=$C80)*'RAW_DISTRICT'!$O$4:$O$745)),"")</f>
        <v/>
      </c>
      <c r="J80" s="13" t="str">
        <f>IFERROR(IF($B80="","",INDEX('RAW_DISTRICT'!$R$4:$R$745,MATCH(1,('RAW_DISTRICT'!$C$4:$C$745=$B80)*('RAW_DISTRICT'!$B$4:$B$745=$C80),0))),"")</f>
        <v/>
      </c>
      <c r="K80" s="13" t="str">
        <f>IFERROR(IF($B80="","",INDEX('RAW_DISTRICT'!$S$4:$S$745,MATCH(1,('RAW_DISTRICT'!$C$4:$C$745=$B80)*('RAW_DISTRICT'!$B$4:$B$745=$C80),0))),"")</f>
        <v/>
      </c>
    </row>
    <row r="81" spans="1:11" ht="15" customHeight="1" x14ac:dyDescent="0.3">
      <c r="A81" s="23">
        <v>77</v>
      </c>
      <c r="B81" s="9" t="str">
        <f>IFERROR(IF(SelectedScope="All India",INDEX('RAW_DISTRICT'!$C$4:$C$745,77),INDEX('RAW_DISTRICT'!$C$4:$C$745,MATCH(77,'RAW_DISTRICT'!$V$4:$V$745,0))),"")</f>
        <v>Arwal</v>
      </c>
      <c r="C81" s="9" t="str">
        <f>IFERROR(IF($B81="","",IF(SelectedScope="All India",INDEX('RAW_DISTRICT'!$B$4:$B$745,77),SelectedScope)),"")</f>
        <v>Bihar</v>
      </c>
      <c r="D81" s="10" t="str">
        <f>IFERROR(IF($B81="","",INDEX('RAW_DISTRICT'!$E$4:$E$745,MATCH(1,('RAW_DISTRICT'!$C$4:$C$745=$B81)*('RAW_DISTRICT'!$B$4:$B$745=$C81),0))),"")</f>
        <v/>
      </c>
      <c r="E81" s="10">
        <f>IFERROR(IF($B81="","",SUMPRODUCT(('RAW_DISTRICT'!$C$4:$C$745=$B81)*('RAW_DISTRICT'!$B$4:$B$745=$C81)*'RAW_DISTRICT'!$F$4:$F$745)),"")</f>
        <v>0</v>
      </c>
      <c r="F81" s="11" t="str">
        <f>IFERROR(IF($B81="","",SUMPRODUCT(('RAW_DISTRICT'!$C$4:$C$745=$B81)*('RAW_DISTRICT'!$B$4:$B$745=$C81)*'RAW_DISTRICT'!$I$4:$I$745)/SUMPRODUCT(('RAW_DISTRICT'!$C$4:$C$745=$B81)*('RAW_DISTRICT'!$B$4:$B$745=$C81)*'RAW_DISTRICT'!$H$4:$H$745)),"")</f>
        <v/>
      </c>
      <c r="G81" s="11" t="str">
        <f>IFERROR(IF($B81="","",SUMPRODUCT(('RAW_DISTRICT'!$C$4:$C$745=$B81)*('RAW_DISTRICT'!$B$4:$B$745=$C81)*'RAW_DISTRICT'!$K$4:$K$745)/SUMPRODUCT(('RAW_DISTRICT'!$C$4:$C$745=$B81)*('RAW_DISTRICT'!$B$4:$B$745=$C81)*'RAW_DISTRICT'!$J$4:$J$745)),"")</f>
        <v/>
      </c>
      <c r="H81" s="11" t="str">
        <f>IFERROR(IF($B81="","",SUMPRODUCT(('RAW_DISTRICT'!$C$4:$C$745=$B81)*('RAW_DISTRICT'!$B$4:$B$745=$C81)*'RAW_DISTRICT'!$M$4:$M$745)/SUMPRODUCT(('RAW_DISTRICT'!$C$4:$C$745=$B81)*('RAW_DISTRICT'!$B$4:$B$745=$C81)*'RAW_DISTRICT'!$L$4:$L$745)),"")</f>
        <v/>
      </c>
      <c r="I81" s="11" t="str">
        <f>IFERROR(IF($B81="","",SUMPRODUCT(('RAW_DISTRICT'!$C$4:$C$745=$B81)*('RAW_DISTRICT'!$B$4:$B$745=$C81)*'RAW_DISTRICT'!$N$4:$N$745)/SUMPRODUCT(('RAW_DISTRICT'!$C$4:$C$745=$B81)*('RAW_DISTRICT'!$B$4:$B$745=$C81)*'RAW_DISTRICT'!$O$4:$O$745)),"")</f>
        <v/>
      </c>
      <c r="J81" s="10" t="str">
        <f>IFERROR(IF($B81="","",INDEX('RAW_DISTRICT'!$R$4:$R$745,MATCH(1,('RAW_DISTRICT'!$C$4:$C$745=$B81)*('RAW_DISTRICT'!$B$4:$B$745=$C81),0))),"")</f>
        <v/>
      </c>
      <c r="K81" s="10" t="str">
        <f>IFERROR(IF($B81="","",INDEX('RAW_DISTRICT'!$S$4:$S$745,MATCH(1,('RAW_DISTRICT'!$C$4:$C$745=$B81)*('RAW_DISTRICT'!$B$4:$B$745=$C81),0))),"")</f>
        <v/>
      </c>
    </row>
    <row r="82" spans="1:11" ht="15" customHeight="1" x14ac:dyDescent="0.3">
      <c r="A82" s="24">
        <v>78</v>
      </c>
      <c r="B82" s="12" t="str">
        <f>IFERROR(IF(SelectedScope="All India",INDEX('RAW_DISTRICT'!$C$4:$C$745,78),INDEX('RAW_DISTRICT'!$C$4:$C$745,MATCH(78,'RAW_DISTRICT'!$V$4:$V$745,0))),"")</f>
        <v>Aurangabad</v>
      </c>
      <c r="C82" s="12" t="str">
        <f>IFERROR(IF($B82="","",IF(SelectedScope="All India",INDEX('RAW_DISTRICT'!$B$4:$B$745,78),SelectedScope)),"")</f>
        <v>Bihar</v>
      </c>
      <c r="D82" s="13" t="str">
        <f>IFERROR(IF($B82="","",INDEX('RAW_DISTRICT'!$E$4:$E$745,MATCH(1,('RAW_DISTRICT'!$C$4:$C$745=$B82)*('RAW_DISTRICT'!$B$4:$B$745=$C82),0))),"")</f>
        <v/>
      </c>
      <c r="E82" s="13">
        <f>IFERROR(IF($B82="","",SUMPRODUCT(('RAW_DISTRICT'!$C$4:$C$745=$B82)*('RAW_DISTRICT'!$B$4:$B$745=$C82)*'RAW_DISTRICT'!$F$4:$F$745)),"")</f>
        <v>0</v>
      </c>
      <c r="F82" s="14" t="str">
        <f>IFERROR(IF($B82="","",SUMPRODUCT(('RAW_DISTRICT'!$C$4:$C$745=$B82)*('RAW_DISTRICT'!$B$4:$B$745=$C82)*'RAW_DISTRICT'!$I$4:$I$745)/SUMPRODUCT(('RAW_DISTRICT'!$C$4:$C$745=$B82)*('RAW_DISTRICT'!$B$4:$B$745=$C82)*'RAW_DISTRICT'!$H$4:$H$745)),"")</f>
        <v/>
      </c>
      <c r="G82" s="14" t="str">
        <f>IFERROR(IF($B82="","",SUMPRODUCT(('RAW_DISTRICT'!$C$4:$C$745=$B82)*('RAW_DISTRICT'!$B$4:$B$745=$C82)*'RAW_DISTRICT'!$K$4:$K$745)/SUMPRODUCT(('RAW_DISTRICT'!$C$4:$C$745=$B82)*('RAW_DISTRICT'!$B$4:$B$745=$C82)*'RAW_DISTRICT'!$J$4:$J$745)),"")</f>
        <v/>
      </c>
      <c r="H82" s="14" t="str">
        <f>IFERROR(IF($B82="","",SUMPRODUCT(('RAW_DISTRICT'!$C$4:$C$745=$B82)*('RAW_DISTRICT'!$B$4:$B$745=$C82)*'RAW_DISTRICT'!$M$4:$M$745)/SUMPRODUCT(('RAW_DISTRICT'!$C$4:$C$745=$B82)*('RAW_DISTRICT'!$B$4:$B$745=$C82)*'RAW_DISTRICT'!$L$4:$L$745)),"")</f>
        <v/>
      </c>
      <c r="I82" s="14" t="str">
        <f>IFERROR(IF($B82="","",SUMPRODUCT(('RAW_DISTRICT'!$C$4:$C$745=$B82)*('RAW_DISTRICT'!$B$4:$B$745=$C82)*'RAW_DISTRICT'!$N$4:$N$745)/SUMPRODUCT(('RAW_DISTRICT'!$C$4:$C$745=$B82)*('RAW_DISTRICT'!$B$4:$B$745=$C82)*'RAW_DISTRICT'!$O$4:$O$745)),"")</f>
        <v/>
      </c>
      <c r="J82" s="13" t="str">
        <f>IFERROR(IF($B82="","",INDEX('RAW_DISTRICT'!$R$4:$R$745,MATCH(1,('RAW_DISTRICT'!$C$4:$C$745=$B82)*('RAW_DISTRICT'!$B$4:$B$745=$C82),0))),"")</f>
        <v/>
      </c>
      <c r="K82" s="13" t="str">
        <f>IFERROR(IF($B82="","",INDEX('RAW_DISTRICT'!$S$4:$S$745,MATCH(1,('RAW_DISTRICT'!$C$4:$C$745=$B82)*('RAW_DISTRICT'!$B$4:$B$745=$C82),0))),"")</f>
        <v/>
      </c>
    </row>
    <row r="83" spans="1:11" ht="15" customHeight="1" x14ac:dyDescent="0.3">
      <c r="A83" s="23">
        <v>79</v>
      </c>
      <c r="B83" s="9" t="str">
        <f>IFERROR(IF(SelectedScope="All India",INDEX('RAW_DISTRICT'!$C$4:$C$745,79),INDEX('RAW_DISTRICT'!$C$4:$C$745,MATCH(79,'RAW_DISTRICT'!$V$4:$V$745,0))),"")</f>
        <v>Banka</v>
      </c>
      <c r="C83" s="9" t="str">
        <f>IFERROR(IF($B83="","",IF(SelectedScope="All India",INDEX('RAW_DISTRICT'!$B$4:$B$745,79),SelectedScope)),"")</f>
        <v>Bihar</v>
      </c>
      <c r="D83" s="10" t="str">
        <f>IFERROR(IF($B83="","",INDEX('RAW_DISTRICT'!$E$4:$E$745,MATCH(1,('RAW_DISTRICT'!$C$4:$C$745=$B83)*('RAW_DISTRICT'!$B$4:$B$745=$C83),0))),"")</f>
        <v/>
      </c>
      <c r="E83" s="10">
        <f>IFERROR(IF($B83="","",SUMPRODUCT(('RAW_DISTRICT'!$C$4:$C$745=$B83)*('RAW_DISTRICT'!$B$4:$B$745=$C83)*'RAW_DISTRICT'!$F$4:$F$745)),"")</f>
        <v>0</v>
      </c>
      <c r="F83" s="11" t="str">
        <f>IFERROR(IF($B83="","",SUMPRODUCT(('RAW_DISTRICT'!$C$4:$C$745=$B83)*('RAW_DISTRICT'!$B$4:$B$745=$C83)*'RAW_DISTRICT'!$I$4:$I$745)/SUMPRODUCT(('RAW_DISTRICT'!$C$4:$C$745=$B83)*('RAW_DISTRICT'!$B$4:$B$745=$C83)*'RAW_DISTRICT'!$H$4:$H$745)),"")</f>
        <v/>
      </c>
      <c r="G83" s="11" t="str">
        <f>IFERROR(IF($B83="","",SUMPRODUCT(('RAW_DISTRICT'!$C$4:$C$745=$B83)*('RAW_DISTRICT'!$B$4:$B$745=$C83)*'RAW_DISTRICT'!$K$4:$K$745)/SUMPRODUCT(('RAW_DISTRICT'!$C$4:$C$745=$B83)*('RAW_DISTRICT'!$B$4:$B$745=$C83)*'RAW_DISTRICT'!$J$4:$J$745)),"")</f>
        <v/>
      </c>
      <c r="H83" s="11" t="str">
        <f>IFERROR(IF($B83="","",SUMPRODUCT(('RAW_DISTRICT'!$C$4:$C$745=$B83)*('RAW_DISTRICT'!$B$4:$B$745=$C83)*'RAW_DISTRICT'!$M$4:$M$745)/SUMPRODUCT(('RAW_DISTRICT'!$C$4:$C$745=$B83)*('RAW_DISTRICT'!$B$4:$B$745=$C83)*'RAW_DISTRICT'!$L$4:$L$745)),"")</f>
        <v/>
      </c>
      <c r="I83" s="11" t="str">
        <f>IFERROR(IF($B83="","",SUMPRODUCT(('RAW_DISTRICT'!$C$4:$C$745=$B83)*('RAW_DISTRICT'!$B$4:$B$745=$C83)*'RAW_DISTRICT'!$N$4:$N$745)/SUMPRODUCT(('RAW_DISTRICT'!$C$4:$C$745=$B83)*('RAW_DISTRICT'!$B$4:$B$745=$C83)*'RAW_DISTRICT'!$O$4:$O$745)),"")</f>
        <v/>
      </c>
      <c r="J83" s="10" t="str">
        <f>IFERROR(IF($B83="","",INDEX('RAW_DISTRICT'!$R$4:$R$745,MATCH(1,('RAW_DISTRICT'!$C$4:$C$745=$B83)*('RAW_DISTRICT'!$B$4:$B$745=$C83),0))),"")</f>
        <v/>
      </c>
      <c r="K83" s="10" t="str">
        <f>IFERROR(IF($B83="","",INDEX('RAW_DISTRICT'!$S$4:$S$745,MATCH(1,('RAW_DISTRICT'!$C$4:$C$745=$B83)*('RAW_DISTRICT'!$B$4:$B$745=$C83),0))),"")</f>
        <v/>
      </c>
    </row>
    <row r="84" spans="1:11" ht="15" customHeight="1" x14ac:dyDescent="0.3">
      <c r="A84" s="24">
        <v>80</v>
      </c>
      <c r="B84" s="12" t="str">
        <f>IFERROR(IF(SelectedScope="All India",INDEX('RAW_DISTRICT'!$C$4:$C$745,80),INDEX('RAW_DISTRICT'!$C$4:$C$745,MATCH(80,'RAW_DISTRICT'!$V$4:$V$745,0))),"")</f>
        <v>Begusarai</v>
      </c>
      <c r="C84" s="12" t="str">
        <f>IFERROR(IF($B84="","",IF(SelectedScope="All India",INDEX('RAW_DISTRICT'!$B$4:$B$745,80),SelectedScope)),"")</f>
        <v>Bihar</v>
      </c>
      <c r="D84" s="13" t="str">
        <f>IFERROR(IF($B84="","",INDEX('RAW_DISTRICT'!$E$4:$E$745,MATCH(1,('RAW_DISTRICT'!$C$4:$C$745=$B84)*('RAW_DISTRICT'!$B$4:$B$745=$C84),0))),"")</f>
        <v/>
      </c>
      <c r="E84" s="13">
        <f>IFERROR(IF($B84="","",SUMPRODUCT(('RAW_DISTRICT'!$C$4:$C$745=$B84)*('RAW_DISTRICT'!$B$4:$B$745=$C84)*'RAW_DISTRICT'!$F$4:$F$745)),"")</f>
        <v>0</v>
      </c>
      <c r="F84" s="14" t="str">
        <f>IFERROR(IF($B84="","",SUMPRODUCT(('RAW_DISTRICT'!$C$4:$C$745=$B84)*('RAW_DISTRICT'!$B$4:$B$745=$C84)*'RAW_DISTRICT'!$I$4:$I$745)/SUMPRODUCT(('RAW_DISTRICT'!$C$4:$C$745=$B84)*('RAW_DISTRICT'!$B$4:$B$745=$C84)*'RAW_DISTRICT'!$H$4:$H$745)),"")</f>
        <v/>
      </c>
      <c r="G84" s="14" t="str">
        <f>IFERROR(IF($B84="","",SUMPRODUCT(('RAW_DISTRICT'!$C$4:$C$745=$B84)*('RAW_DISTRICT'!$B$4:$B$745=$C84)*'RAW_DISTRICT'!$K$4:$K$745)/SUMPRODUCT(('RAW_DISTRICT'!$C$4:$C$745=$B84)*('RAW_DISTRICT'!$B$4:$B$745=$C84)*'RAW_DISTRICT'!$J$4:$J$745)),"")</f>
        <v/>
      </c>
      <c r="H84" s="14" t="str">
        <f>IFERROR(IF($B84="","",SUMPRODUCT(('RAW_DISTRICT'!$C$4:$C$745=$B84)*('RAW_DISTRICT'!$B$4:$B$745=$C84)*'RAW_DISTRICT'!$M$4:$M$745)/SUMPRODUCT(('RAW_DISTRICT'!$C$4:$C$745=$B84)*('RAW_DISTRICT'!$B$4:$B$745=$C84)*'RAW_DISTRICT'!$L$4:$L$745)),"")</f>
        <v/>
      </c>
      <c r="I84" s="14" t="str">
        <f>IFERROR(IF($B84="","",SUMPRODUCT(('RAW_DISTRICT'!$C$4:$C$745=$B84)*('RAW_DISTRICT'!$B$4:$B$745=$C84)*'RAW_DISTRICT'!$N$4:$N$745)/SUMPRODUCT(('RAW_DISTRICT'!$C$4:$C$745=$B84)*('RAW_DISTRICT'!$B$4:$B$745=$C84)*'RAW_DISTRICT'!$O$4:$O$745)),"")</f>
        <v/>
      </c>
      <c r="J84" s="13" t="str">
        <f>IFERROR(IF($B84="","",INDEX('RAW_DISTRICT'!$R$4:$R$745,MATCH(1,('RAW_DISTRICT'!$C$4:$C$745=$B84)*('RAW_DISTRICT'!$B$4:$B$745=$C84),0))),"")</f>
        <v/>
      </c>
      <c r="K84" s="13" t="str">
        <f>IFERROR(IF($B84="","",INDEX('RAW_DISTRICT'!$S$4:$S$745,MATCH(1,('RAW_DISTRICT'!$C$4:$C$745=$B84)*('RAW_DISTRICT'!$B$4:$B$745=$C84),0))),"")</f>
        <v/>
      </c>
    </row>
  </sheetData>
  <mergeCells count="3">
    <mergeCell ref="A2:K2"/>
    <mergeCell ref="A1:K1"/>
    <mergeCell ref="A3:K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53"/>
  <sheetViews>
    <sheetView showGridLines="0" workbookViewId="0">
      <selection sqref="A1:J1"/>
    </sheetView>
  </sheetViews>
  <sheetFormatPr defaultRowHeight="14.4" x14ac:dyDescent="0.3"/>
  <cols>
    <col min="1" max="1" width="4" customWidth="1"/>
    <col min="2" max="2" width="26" customWidth="1"/>
    <col min="3" max="4" width="14" customWidth="1"/>
    <col min="5" max="9" width="13" customWidth="1"/>
    <col min="10" max="10" width="22" customWidth="1"/>
  </cols>
  <sheetData>
    <row r="1" spans="1:10" ht="28.05" customHeight="1" x14ac:dyDescent="0.3">
      <c r="A1" s="32" t="s">
        <v>196</v>
      </c>
      <c r="B1" s="33"/>
      <c r="C1" s="33"/>
      <c r="D1" s="33"/>
      <c r="E1" s="33"/>
      <c r="F1" s="33"/>
      <c r="G1" s="33"/>
      <c r="H1" s="33"/>
      <c r="I1" s="33"/>
      <c r="J1" s="33"/>
    </row>
    <row r="2" spans="1:10" ht="18" customHeight="1" x14ac:dyDescent="0.3">
      <c r="A2" s="38" t="str">
        <f>IF(SelectedScope="All India","NATIONAL VIEW — ALL INDIA","STATE VIEW — "&amp;SelectedScope)</f>
        <v>NATIONAL VIEW — ALL INDIA</v>
      </c>
      <c r="B2" s="33"/>
      <c r="C2" s="33"/>
      <c r="D2" s="33"/>
      <c r="E2" s="33"/>
      <c r="F2" s="33"/>
      <c r="G2" s="33"/>
      <c r="H2" s="33"/>
      <c r="I2" s="33"/>
      <c r="J2" s="33"/>
    </row>
    <row r="3" spans="1:10" ht="16.05" customHeight="1" x14ac:dyDescent="0.3">
      <c r="A3" s="39" t="s">
        <v>197</v>
      </c>
      <c r="B3" s="33"/>
      <c r="C3" s="33"/>
      <c r="D3" s="33"/>
      <c r="E3" s="33"/>
      <c r="F3" s="33"/>
      <c r="G3" s="33"/>
      <c r="H3" s="33"/>
      <c r="I3" s="33"/>
      <c r="J3" s="33"/>
    </row>
    <row r="4" spans="1:10" ht="19.95" customHeight="1" x14ac:dyDescent="0.3">
      <c r="A4" s="37" t="s">
        <v>198</v>
      </c>
      <c r="B4" s="33"/>
      <c r="C4" s="33"/>
      <c r="D4" s="33"/>
      <c r="E4" s="33"/>
      <c r="F4" s="33"/>
      <c r="G4" s="33"/>
      <c r="H4" s="33"/>
      <c r="I4" s="33"/>
      <c r="J4" s="33"/>
    </row>
    <row r="5" spans="1:10" ht="31.95" customHeight="1" x14ac:dyDescent="0.3">
      <c r="A5" s="15" t="s">
        <v>78</v>
      </c>
      <c r="B5" s="15" t="s">
        <v>135</v>
      </c>
      <c r="C5" s="15" t="s">
        <v>141</v>
      </c>
      <c r="D5" s="15" t="s">
        <v>199</v>
      </c>
      <c r="E5" s="15" t="s">
        <v>200</v>
      </c>
      <c r="F5" s="15" t="s">
        <v>201</v>
      </c>
      <c r="G5" s="15" t="s">
        <v>159</v>
      </c>
      <c r="H5" s="15" t="s">
        <v>202</v>
      </c>
      <c r="I5" s="15" t="s">
        <v>203</v>
      </c>
      <c r="J5" s="15" t="s">
        <v>86</v>
      </c>
    </row>
    <row r="6" spans="1:10" ht="16.05" customHeight="1" x14ac:dyDescent="0.3">
      <c r="A6" s="16">
        <v>1</v>
      </c>
      <c r="B6" s="16" t="s">
        <v>142</v>
      </c>
      <c r="C6" s="12">
        <f>SUMPRODUCT((IF(SelectedScope="All India",1,'RAW_QUIZ'!$B$4:$B$363=SelectedScope))*('RAW_QUIZ'!$C$4:$C$363=$B6))</f>
        <v>36</v>
      </c>
      <c r="D6" s="12">
        <f>SUMPRODUCT((IF(SelectedScope="All India",1,'RAW_QUIZ'!$B$4:$B$363=SelectedScope))*('RAW_QUIZ'!$C$4:$C$363=$B6)*'RAW_QUIZ'!$K$4:$K$363)</f>
        <v>0</v>
      </c>
      <c r="E6" s="20" t="str">
        <f>IFERROR((SUMPRODUCT((IF(SelectedScope="All India",1,'RAW_QUIZ'!$B$4:$B$363=SelectedScope))*('RAW_QUIZ'!$C$4:$C$363=$B6)*'RAW_QUIZ'!$L$4:$L$363))/(SUMPRODUCT((IF(SelectedScope="All India",1,'RAW_QUIZ'!$B$4:$B$363=SelectedScope))*('RAW_QUIZ'!$C$4:$C$363=$B6)*'RAW_QUIZ'!$K$4:$K$363)),"")</f>
        <v/>
      </c>
      <c r="F6" s="12">
        <f>SUMPRODUCT((IF(SelectedScope="All India",1,'RAW_QUIZ'!$B$4:$B$363=SelectedScope))*('RAW_QUIZ'!$C$4:$C$363=$B6)*'RAW_QUIZ'!$M$4:$M$363)</f>
        <v>0</v>
      </c>
      <c r="G6" s="20" t="str">
        <f t="shared" ref="G6:G18" si="0">IFERROR(F6/D6,"")</f>
        <v/>
      </c>
      <c r="H6" s="12">
        <f>SUMPRODUCT((IF(SelectedScope="All India",1,'RAW_QUIZ'!$B$4:$B$363=SelectedScope))*('RAW_QUIZ'!$C$4:$C$363=$B6)*'RAW_QUIZ'!$N$4:$N$363)</f>
        <v>0</v>
      </c>
      <c r="I6" s="20" t="str">
        <f t="shared" ref="I6:I18" si="1">IFERROR(H6/D6,"")</f>
        <v/>
      </c>
      <c r="J6" s="16"/>
    </row>
    <row r="7" spans="1:10" ht="16.05" customHeight="1" x14ac:dyDescent="0.3">
      <c r="A7" s="18">
        <v>2</v>
      </c>
      <c r="B7" s="18" t="s">
        <v>143</v>
      </c>
      <c r="C7" s="9">
        <f>SUMPRODUCT((IF(SelectedScope="All India",1,'RAW_QUIZ'!$B$4:$B$363=SelectedScope))*('RAW_QUIZ'!$C$4:$C$363=$B7))</f>
        <v>108</v>
      </c>
      <c r="D7" s="9">
        <f>SUMPRODUCT((IF(SelectedScope="All India",1,'RAW_QUIZ'!$B$4:$B$363=SelectedScope))*('RAW_QUIZ'!$C$4:$C$363=$B7)*'RAW_QUIZ'!$K$4:$K$363)</f>
        <v>0</v>
      </c>
      <c r="E7" s="21" t="str">
        <f>IFERROR((SUMPRODUCT((IF(SelectedScope="All India",1,'RAW_QUIZ'!$B$4:$B$363=SelectedScope))*('RAW_QUIZ'!$C$4:$C$363=$B7)*'RAW_QUIZ'!$L$4:$L$363))/(SUMPRODUCT((IF(SelectedScope="All India",1,'RAW_QUIZ'!$B$4:$B$363=SelectedScope))*('RAW_QUIZ'!$C$4:$C$363=$B7)*'RAW_QUIZ'!$K$4:$K$363)),"")</f>
        <v/>
      </c>
      <c r="F7" s="9">
        <f>SUMPRODUCT((IF(SelectedScope="All India",1,'RAW_QUIZ'!$B$4:$B$363=SelectedScope))*('RAW_QUIZ'!$C$4:$C$363=$B7)*'RAW_QUIZ'!$M$4:$M$363)</f>
        <v>0</v>
      </c>
      <c r="G7" s="21" t="str">
        <f t="shared" si="0"/>
        <v/>
      </c>
      <c r="H7" s="9">
        <f>SUMPRODUCT((IF(SelectedScope="All India",1,'RAW_QUIZ'!$B$4:$B$363=SelectedScope))*('RAW_QUIZ'!$C$4:$C$363=$B7)*'RAW_QUIZ'!$N$4:$N$363)</f>
        <v>0</v>
      </c>
      <c r="I7" s="21" t="str">
        <f t="shared" si="1"/>
        <v/>
      </c>
      <c r="J7" s="18"/>
    </row>
    <row r="8" spans="1:10" ht="16.05" customHeight="1" x14ac:dyDescent="0.3">
      <c r="A8" s="16">
        <v>3</v>
      </c>
      <c r="B8" s="16" t="s">
        <v>144</v>
      </c>
      <c r="C8" s="12">
        <f>SUMPRODUCT((IF(SelectedScope="All India",1,'RAW_QUIZ'!$B$4:$B$363=SelectedScope))*('RAW_QUIZ'!$C$4:$C$363=$B8))</f>
        <v>36</v>
      </c>
      <c r="D8" s="12">
        <f>SUMPRODUCT((IF(SelectedScope="All India",1,'RAW_QUIZ'!$B$4:$B$363=SelectedScope))*('RAW_QUIZ'!$C$4:$C$363=$B8)*'RAW_QUIZ'!$K$4:$K$363)</f>
        <v>0</v>
      </c>
      <c r="E8" s="20" t="str">
        <f>IFERROR((SUMPRODUCT((IF(SelectedScope="All India",1,'RAW_QUIZ'!$B$4:$B$363=SelectedScope))*('RAW_QUIZ'!$C$4:$C$363=$B8)*'RAW_QUIZ'!$L$4:$L$363))/(SUMPRODUCT((IF(SelectedScope="All India",1,'RAW_QUIZ'!$B$4:$B$363=SelectedScope))*('RAW_QUIZ'!$C$4:$C$363=$B8)*'RAW_QUIZ'!$K$4:$K$363)),"")</f>
        <v/>
      </c>
      <c r="F8" s="12">
        <f>SUMPRODUCT((IF(SelectedScope="All India",1,'RAW_QUIZ'!$B$4:$B$363=SelectedScope))*('RAW_QUIZ'!$C$4:$C$363=$B8)*'RAW_QUIZ'!$M$4:$M$363)</f>
        <v>0</v>
      </c>
      <c r="G8" s="20" t="str">
        <f t="shared" si="0"/>
        <v/>
      </c>
      <c r="H8" s="12">
        <f>SUMPRODUCT((IF(SelectedScope="All India",1,'RAW_QUIZ'!$B$4:$B$363=SelectedScope))*('RAW_QUIZ'!$C$4:$C$363=$B8)*'RAW_QUIZ'!$N$4:$N$363)</f>
        <v>0</v>
      </c>
      <c r="I8" s="20" t="str">
        <f t="shared" si="1"/>
        <v/>
      </c>
      <c r="J8" s="16"/>
    </row>
    <row r="9" spans="1:10" ht="16.05" customHeight="1" x14ac:dyDescent="0.3">
      <c r="A9" s="18">
        <v>4</v>
      </c>
      <c r="B9" s="18" t="s">
        <v>145</v>
      </c>
      <c r="C9" s="9">
        <f>SUMPRODUCT((IF(SelectedScope="All India",1,'RAW_QUIZ'!$B$4:$B$363=SelectedScope))*('RAW_QUIZ'!$C$4:$C$363=$B9))</f>
        <v>0</v>
      </c>
      <c r="D9" s="9">
        <f>SUMPRODUCT((IF(SelectedScope="All India",1,'RAW_QUIZ'!$B$4:$B$363=SelectedScope))*('RAW_QUIZ'!$C$4:$C$363=$B9)*'RAW_QUIZ'!$K$4:$K$363)</f>
        <v>0</v>
      </c>
      <c r="E9" s="21" t="str">
        <f>IFERROR((SUMPRODUCT((IF(SelectedScope="All India",1,'RAW_QUIZ'!$B$4:$B$363=SelectedScope))*('RAW_QUIZ'!$C$4:$C$363=$B9)*'RAW_QUIZ'!$L$4:$L$363))/(SUMPRODUCT((IF(SelectedScope="All India",1,'RAW_QUIZ'!$B$4:$B$363=SelectedScope))*('RAW_QUIZ'!$C$4:$C$363=$B9)*'RAW_QUIZ'!$K$4:$K$363)),"")</f>
        <v/>
      </c>
      <c r="F9" s="9">
        <f>SUMPRODUCT((IF(SelectedScope="All India",1,'RAW_QUIZ'!$B$4:$B$363=SelectedScope))*('RAW_QUIZ'!$C$4:$C$363=$B9)*'RAW_QUIZ'!$M$4:$M$363)</f>
        <v>0</v>
      </c>
      <c r="G9" s="21" t="str">
        <f t="shared" si="0"/>
        <v/>
      </c>
      <c r="H9" s="9">
        <f>SUMPRODUCT((IF(SelectedScope="All India",1,'RAW_QUIZ'!$B$4:$B$363=SelectedScope))*('RAW_QUIZ'!$C$4:$C$363=$B9)*'RAW_QUIZ'!$N$4:$N$363)</f>
        <v>0</v>
      </c>
      <c r="I9" s="21" t="str">
        <f t="shared" si="1"/>
        <v/>
      </c>
      <c r="J9" s="18"/>
    </row>
    <row r="10" spans="1:10" ht="16.05" customHeight="1" x14ac:dyDescent="0.3">
      <c r="A10" s="16">
        <v>5</v>
      </c>
      <c r="B10" s="16" t="s">
        <v>146</v>
      </c>
      <c r="C10" s="12">
        <f>SUMPRODUCT((IF(SelectedScope="All India",1,'RAW_QUIZ'!$B$4:$B$363=SelectedScope))*('RAW_QUIZ'!$C$4:$C$363=$B10))</f>
        <v>36</v>
      </c>
      <c r="D10" s="12">
        <f>SUMPRODUCT((IF(SelectedScope="All India",1,'RAW_QUIZ'!$B$4:$B$363=SelectedScope))*('RAW_QUIZ'!$C$4:$C$363=$B10)*'RAW_QUIZ'!$K$4:$K$363)</f>
        <v>0</v>
      </c>
      <c r="E10" s="20" t="str">
        <f>IFERROR((SUMPRODUCT((IF(SelectedScope="All India",1,'RAW_QUIZ'!$B$4:$B$363=SelectedScope))*('RAW_QUIZ'!$C$4:$C$363=$B10)*'RAW_QUIZ'!$L$4:$L$363))/(SUMPRODUCT((IF(SelectedScope="All India",1,'RAW_QUIZ'!$B$4:$B$363=SelectedScope))*('RAW_QUIZ'!$C$4:$C$363=$B10)*'RAW_QUIZ'!$K$4:$K$363)),"")</f>
        <v/>
      </c>
      <c r="F10" s="12">
        <f>SUMPRODUCT((IF(SelectedScope="All India",1,'RAW_QUIZ'!$B$4:$B$363=SelectedScope))*('RAW_QUIZ'!$C$4:$C$363=$B10)*'RAW_QUIZ'!$M$4:$M$363)</f>
        <v>0</v>
      </c>
      <c r="G10" s="20" t="str">
        <f t="shared" si="0"/>
        <v/>
      </c>
      <c r="H10" s="12">
        <f>SUMPRODUCT((IF(SelectedScope="All India",1,'RAW_QUIZ'!$B$4:$B$363=SelectedScope))*('RAW_QUIZ'!$C$4:$C$363=$B10)*'RAW_QUIZ'!$N$4:$N$363)</f>
        <v>0</v>
      </c>
      <c r="I10" s="20" t="str">
        <f t="shared" si="1"/>
        <v/>
      </c>
      <c r="J10" s="16"/>
    </row>
    <row r="11" spans="1:10" ht="16.05" customHeight="1" x14ac:dyDescent="0.3">
      <c r="A11" s="18">
        <v>6</v>
      </c>
      <c r="B11" s="18" t="s">
        <v>147</v>
      </c>
      <c r="C11" s="9">
        <f>SUMPRODUCT((IF(SelectedScope="All India",1,'RAW_QUIZ'!$B$4:$B$363=SelectedScope))*('RAW_QUIZ'!$C$4:$C$363=$B11))</f>
        <v>36</v>
      </c>
      <c r="D11" s="9">
        <f>SUMPRODUCT((IF(SelectedScope="All India",1,'RAW_QUIZ'!$B$4:$B$363=SelectedScope))*('RAW_QUIZ'!$C$4:$C$363=$B11)*'RAW_QUIZ'!$K$4:$K$363)</f>
        <v>0</v>
      </c>
      <c r="E11" s="21" t="str">
        <f>IFERROR((SUMPRODUCT((IF(SelectedScope="All India",1,'RAW_QUIZ'!$B$4:$B$363=SelectedScope))*('RAW_QUIZ'!$C$4:$C$363=$B11)*'RAW_QUIZ'!$L$4:$L$363))/(SUMPRODUCT((IF(SelectedScope="All India",1,'RAW_QUIZ'!$B$4:$B$363=SelectedScope))*('RAW_QUIZ'!$C$4:$C$363=$B11)*'RAW_QUIZ'!$K$4:$K$363)),"")</f>
        <v/>
      </c>
      <c r="F11" s="9">
        <f>SUMPRODUCT((IF(SelectedScope="All India",1,'RAW_QUIZ'!$B$4:$B$363=SelectedScope))*('RAW_QUIZ'!$C$4:$C$363=$B11)*'RAW_QUIZ'!$M$4:$M$363)</f>
        <v>0</v>
      </c>
      <c r="G11" s="21" t="str">
        <f t="shared" si="0"/>
        <v/>
      </c>
      <c r="H11" s="9">
        <f>SUMPRODUCT((IF(SelectedScope="All India",1,'RAW_QUIZ'!$B$4:$B$363=SelectedScope))*('RAW_QUIZ'!$C$4:$C$363=$B11)*'RAW_QUIZ'!$N$4:$N$363)</f>
        <v>0</v>
      </c>
      <c r="I11" s="21" t="str">
        <f t="shared" si="1"/>
        <v/>
      </c>
      <c r="J11" s="18"/>
    </row>
    <row r="12" spans="1:10" ht="16.05" customHeight="1" x14ac:dyDescent="0.3">
      <c r="A12" s="16">
        <v>7</v>
      </c>
      <c r="B12" s="16" t="s">
        <v>148</v>
      </c>
      <c r="C12" s="12">
        <f>SUMPRODUCT((IF(SelectedScope="All India",1,'RAW_QUIZ'!$B$4:$B$363=SelectedScope))*('RAW_QUIZ'!$C$4:$C$363=$B12))</f>
        <v>72</v>
      </c>
      <c r="D12" s="12">
        <f>SUMPRODUCT((IF(SelectedScope="All India",1,'RAW_QUIZ'!$B$4:$B$363=SelectedScope))*('RAW_QUIZ'!$C$4:$C$363=$B12)*'RAW_QUIZ'!$K$4:$K$363)</f>
        <v>0</v>
      </c>
      <c r="E12" s="20" t="str">
        <f>IFERROR((SUMPRODUCT((IF(SelectedScope="All India",1,'RAW_QUIZ'!$B$4:$B$363=SelectedScope))*('RAW_QUIZ'!$C$4:$C$363=$B12)*'RAW_QUIZ'!$L$4:$L$363))/(SUMPRODUCT((IF(SelectedScope="All India",1,'RAW_QUIZ'!$B$4:$B$363=SelectedScope))*('RAW_QUIZ'!$C$4:$C$363=$B12)*'RAW_QUIZ'!$K$4:$K$363)),"")</f>
        <v/>
      </c>
      <c r="F12" s="12">
        <f>SUMPRODUCT((IF(SelectedScope="All India",1,'RAW_QUIZ'!$B$4:$B$363=SelectedScope))*('RAW_QUIZ'!$C$4:$C$363=$B12)*'RAW_QUIZ'!$M$4:$M$363)</f>
        <v>0</v>
      </c>
      <c r="G12" s="20" t="str">
        <f t="shared" si="0"/>
        <v/>
      </c>
      <c r="H12" s="12">
        <f>SUMPRODUCT((IF(SelectedScope="All India",1,'RAW_QUIZ'!$B$4:$B$363=SelectedScope))*('RAW_QUIZ'!$C$4:$C$363=$B12)*'RAW_QUIZ'!$N$4:$N$363)</f>
        <v>0</v>
      </c>
      <c r="I12" s="20" t="str">
        <f t="shared" si="1"/>
        <v/>
      </c>
      <c r="J12" s="16"/>
    </row>
    <row r="13" spans="1:10" ht="16.05" customHeight="1" x14ac:dyDescent="0.3">
      <c r="A13" s="18">
        <v>8</v>
      </c>
      <c r="B13" s="18" t="s">
        <v>149</v>
      </c>
      <c r="C13" s="9">
        <f>SUMPRODUCT((IF(SelectedScope="All India",1,'RAW_QUIZ'!$B$4:$B$363=SelectedScope))*('RAW_QUIZ'!$C$4:$C$363=$B13))</f>
        <v>0</v>
      </c>
      <c r="D13" s="9">
        <f>SUMPRODUCT((IF(SelectedScope="All India",1,'RAW_QUIZ'!$B$4:$B$363=SelectedScope))*('RAW_QUIZ'!$C$4:$C$363=$B13)*'RAW_QUIZ'!$K$4:$K$363)</f>
        <v>0</v>
      </c>
      <c r="E13" s="21" t="str">
        <f>IFERROR((SUMPRODUCT((IF(SelectedScope="All India",1,'RAW_QUIZ'!$B$4:$B$363=SelectedScope))*('RAW_QUIZ'!$C$4:$C$363=$B13)*'RAW_QUIZ'!$L$4:$L$363))/(SUMPRODUCT((IF(SelectedScope="All India",1,'RAW_QUIZ'!$B$4:$B$363=SelectedScope))*('RAW_QUIZ'!$C$4:$C$363=$B13)*'RAW_QUIZ'!$K$4:$K$363)),"")</f>
        <v/>
      </c>
      <c r="F13" s="9">
        <f>SUMPRODUCT((IF(SelectedScope="All India",1,'RAW_QUIZ'!$B$4:$B$363=SelectedScope))*('RAW_QUIZ'!$C$4:$C$363=$B13)*'RAW_QUIZ'!$M$4:$M$363)</f>
        <v>0</v>
      </c>
      <c r="G13" s="21" t="str">
        <f t="shared" si="0"/>
        <v/>
      </c>
      <c r="H13" s="9">
        <f>SUMPRODUCT((IF(SelectedScope="All India",1,'RAW_QUIZ'!$B$4:$B$363=SelectedScope))*('RAW_QUIZ'!$C$4:$C$363=$B13)*'RAW_QUIZ'!$N$4:$N$363)</f>
        <v>0</v>
      </c>
      <c r="I13" s="21" t="str">
        <f t="shared" si="1"/>
        <v/>
      </c>
      <c r="J13" s="18"/>
    </row>
    <row r="14" spans="1:10" ht="16.05" customHeight="1" x14ac:dyDescent="0.3">
      <c r="A14" s="16">
        <v>9</v>
      </c>
      <c r="B14" s="16" t="s">
        <v>150</v>
      </c>
      <c r="C14" s="12">
        <f>SUMPRODUCT((IF(SelectedScope="All India",1,'RAW_QUIZ'!$B$4:$B$363=SelectedScope))*('RAW_QUIZ'!$C$4:$C$363=$B14))</f>
        <v>0</v>
      </c>
      <c r="D14" s="12">
        <f>SUMPRODUCT((IF(SelectedScope="All India",1,'RAW_QUIZ'!$B$4:$B$363=SelectedScope))*('RAW_QUIZ'!$C$4:$C$363=$B14)*'RAW_QUIZ'!$K$4:$K$363)</f>
        <v>0</v>
      </c>
      <c r="E14" s="20" t="str">
        <f>IFERROR((SUMPRODUCT((IF(SelectedScope="All India",1,'RAW_QUIZ'!$B$4:$B$363=SelectedScope))*('RAW_QUIZ'!$C$4:$C$363=$B14)*'RAW_QUIZ'!$L$4:$L$363))/(SUMPRODUCT((IF(SelectedScope="All India",1,'RAW_QUIZ'!$B$4:$B$363=SelectedScope))*('RAW_QUIZ'!$C$4:$C$363=$B14)*'RAW_QUIZ'!$K$4:$K$363)),"")</f>
        <v/>
      </c>
      <c r="F14" s="12">
        <f>SUMPRODUCT((IF(SelectedScope="All India",1,'RAW_QUIZ'!$B$4:$B$363=SelectedScope))*('RAW_QUIZ'!$C$4:$C$363=$B14)*'RAW_QUIZ'!$M$4:$M$363)</f>
        <v>0</v>
      </c>
      <c r="G14" s="20" t="str">
        <f t="shared" si="0"/>
        <v/>
      </c>
      <c r="H14" s="12">
        <f>SUMPRODUCT((IF(SelectedScope="All India",1,'RAW_QUIZ'!$B$4:$B$363=SelectedScope))*('RAW_QUIZ'!$C$4:$C$363=$B14)*'RAW_QUIZ'!$N$4:$N$363)</f>
        <v>0</v>
      </c>
      <c r="I14" s="20" t="str">
        <f t="shared" si="1"/>
        <v/>
      </c>
      <c r="J14" s="16"/>
    </row>
    <row r="15" spans="1:10" ht="16.05" customHeight="1" x14ac:dyDescent="0.3">
      <c r="A15" s="18">
        <v>10</v>
      </c>
      <c r="B15" s="18" t="s">
        <v>151</v>
      </c>
      <c r="C15" s="9">
        <f>SUMPRODUCT((IF(SelectedScope="All India",1,'RAW_QUIZ'!$B$4:$B$363=SelectedScope))*('RAW_QUIZ'!$C$4:$C$363=$B15))</f>
        <v>0</v>
      </c>
      <c r="D15" s="9">
        <f>SUMPRODUCT((IF(SelectedScope="All India",1,'RAW_QUIZ'!$B$4:$B$363=SelectedScope))*('RAW_QUIZ'!$C$4:$C$363=$B15)*'RAW_QUIZ'!$K$4:$K$363)</f>
        <v>0</v>
      </c>
      <c r="E15" s="21" t="str">
        <f>IFERROR((SUMPRODUCT((IF(SelectedScope="All India",1,'RAW_QUIZ'!$B$4:$B$363=SelectedScope))*('RAW_QUIZ'!$C$4:$C$363=$B15)*'RAW_QUIZ'!$L$4:$L$363))/(SUMPRODUCT((IF(SelectedScope="All India",1,'RAW_QUIZ'!$B$4:$B$363=SelectedScope))*('RAW_QUIZ'!$C$4:$C$363=$B15)*'RAW_QUIZ'!$K$4:$K$363)),"")</f>
        <v/>
      </c>
      <c r="F15" s="9">
        <f>SUMPRODUCT((IF(SelectedScope="All India",1,'RAW_QUIZ'!$B$4:$B$363=SelectedScope))*('RAW_QUIZ'!$C$4:$C$363=$B15)*'RAW_QUIZ'!$M$4:$M$363)</f>
        <v>0</v>
      </c>
      <c r="G15" s="21" t="str">
        <f t="shared" si="0"/>
        <v/>
      </c>
      <c r="H15" s="9">
        <f>SUMPRODUCT((IF(SelectedScope="All India",1,'RAW_QUIZ'!$B$4:$B$363=SelectedScope))*('RAW_QUIZ'!$C$4:$C$363=$B15)*'RAW_QUIZ'!$N$4:$N$363)</f>
        <v>0</v>
      </c>
      <c r="I15" s="21" t="str">
        <f t="shared" si="1"/>
        <v/>
      </c>
      <c r="J15" s="18"/>
    </row>
    <row r="16" spans="1:10" ht="16.05" customHeight="1" x14ac:dyDescent="0.3">
      <c r="A16" s="16">
        <v>11</v>
      </c>
      <c r="B16" s="16" t="s">
        <v>152</v>
      </c>
      <c r="C16" s="12">
        <f>SUMPRODUCT((IF(SelectedScope="All India",1,'RAW_QUIZ'!$B$4:$B$363=SelectedScope))*('RAW_QUIZ'!$C$4:$C$363=$B16))</f>
        <v>36</v>
      </c>
      <c r="D16" s="12">
        <f>SUMPRODUCT((IF(SelectedScope="All India",1,'RAW_QUIZ'!$B$4:$B$363=SelectedScope))*('RAW_QUIZ'!$C$4:$C$363=$B16)*'RAW_QUIZ'!$K$4:$K$363)</f>
        <v>0</v>
      </c>
      <c r="E16" s="20" t="str">
        <f>IFERROR((SUMPRODUCT((IF(SelectedScope="All India",1,'RAW_QUIZ'!$B$4:$B$363=SelectedScope))*('RAW_QUIZ'!$C$4:$C$363=$B16)*'RAW_QUIZ'!$L$4:$L$363))/(SUMPRODUCT((IF(SelectedScope="All India",1,'RAW_QUIZ'!$B$4:$B$363=SelectedScope))*('RAW_QUIZ'!$C$4:$C$363=$B16)*'RAW_QUIZ'!$K$4:$K$363)),"")</f>
        <v/>
      </c>
      <c r="F16" s="12">
        <f>SUMPRODUCT((IF(SelectedScope="All India",1,'RAW_QUIZ'!$B$4:$B$363=SelectedScope))*('RAW_QUIZ'!$C$4:$C$363=$B16)*'RAW_QUIZ'!$M$4:$M$363)</f>
        <v>0</v>
      </c>
      <c r="G16" s="20" t="str">
        <f t="shared" si="0"/>
        <v/>
      </c>
      <c r="H16" s="12">
        <f>SUMPRODUCT((IF(SelectedScope="All India",1,'RAW_QUIZ'!$B$4:$B$363=SelectedScope))*('RAW_QUIZ'!$C$4:$C$363=$B16)*'RAW_QUIZ'!$N$4:$N$363)</f>
        <v>0</v>
      </c>
      <c r="I16" s="20" t="str">
        <f t="shared" si="1"/>
        <v/>
      </c>
      <c r="J16" s="16"/>
    </row>
    <row r="17" spans="1:10" ht="16.05" customHeight="1" x14ac:dyDescent="0.3">
      <c r="A17" s="18">
        <v>12</v>
      </c>
      <c r="B17" s="18" t="s">
        <v>153</v>
      </c>
      <c r="C17" s="9">
        <f>SUMPRODUCT((IF(SelectedScope="All India",1,'RAW_QUIZ'!$B$4:$B$363=SelectedScope))*('RAW_QUIZ'!$C$4:$C$363=$B17))</f>
        <v>0</v>
      </c>
      <c r="D17" s="9">
        <f>SUMPRODUCT((IF(SelectedScope="All India",1,'RAW_QUIZ'!$B$4:$B$363=SelectedScope))*('RAW_QUIZ'!$C$4:$C$363=$B17)*'RAW_QUIZ'!$K$4:$K$363)</f>
        <v>0</v>
      </c>
      <c r="E17" s="21" t="str">
        <f>IFERROR((SUMPRODUCT((IF(SelectedScope="All India",1,'RAW_QUIZ'!$B$4:$B$363=SelectedScope))*('RAW_QUIZ'!$C$4:$C$363=$B17)*'RAW_QUIZ'!$L$4:$L$363))/(SUMPRODUCT((IF(SelectedScope="All India",1,'RAW_QUIZ'!$B$4:$B$363=SelectedScope))*('RAW_QUIZ'!$C$4:$C$363=$B17)*'RAW_QUIZ'!$K$4:$K$363)),"")</f>
        <v/>
      </c>
      <c r="F17" s="9">
        <f>SUMPRODUCT((IF(SelectedScope="All India",1,'RAW_QUIZ'!$B$4:$B$363=SelectedScope))*('RAW_QUIZ'!$C$4:$C$363=$B17)*'RAW_QUIZ'!$M$4:$M$363)</f>
        <v>0</v>
      </c>
      <c r="G17" s="21" t="str">
        <f t="shared" si="0"/>
        <v/>
      </c>
      <c r="H17" s="9">
        <f>SUMPRODUCT((IF(SelectedScope="All India",1,'RAW_QUIZ'!$B$4:$B$363=SelectedScope))*('RAW_QUIZ'!$C$4:$C$363=$B17)*'RAW_QUIZ'!$N$4:$N$363)</f>
        <v>0</v>
      </c>
      <c r="I17" s="21" t="str">
        <f t="shared" si="1"/>
        <v/>
      </c>
      <c r="J17" s="18"/>
    </row>
    <row r="18" spans="1:10" ht="16.05" customHeight="1" x14ac:dyDescent="0.3">
      <c r="A18" s="16">
        <v>13</v>
      </c>
      <c r="B18" s="16" t="s">
        <v>154</v>
      </c>
      <c r="C18" s="12">
        <f>SUMPRODUCT((IF(SelectedScope="All India",1,'RAW_QUIZ'!$B$4:$B$363=SelectedScope))*('RAW_QUIZ'!$C$4:$C$363=$B18))</f>
        <v>0</v>
      </c>
      <c r="D18" s="12">
        <f>SUMPRODUCT((IF(SelectedScope="All India",1,'RAW_QUIZ'!$B$4:$B$363=SelectedScope))*('RAW_QUIZ'!$C$4:$C$363=$B18)*'RAW_QUIZ'!$K$4:$K$363)</f>
        <v>0</v>
      </c>
      <c r="E18" s="20" t="str">
        <f>IFERROR((SUMPRODUCT((IF(SelectedScope="All India",1,'RAW_QUIZ'!$B$4:$B$363=SelectedScope))*('RAW_QUIZ'!$C$4:$C$363=$B18)*'RAW_QUIZ'!$L$4:$L$363))/(SUMPRODUCT((IF(SelectedScope="All India",1,'RAW_QUIZ'!$B$4:$B$363=SelectedScope))*('RAW_QUIZ'!$C$4:$C$363=$B18)*'RAW_QUIZ'!$K$4:$K$363)),"")</f>
        <v/>
      </c>
      <c r="F18" s="12">
        <f>SUMPRODUCT((IF(SelectedScope="All India",1,'RAW_QUIZ'!$B$4:$B$363=SelectedScope))*('RAW_QUIZ'!$C$4:$C$363=$B18)*'RAW_QUIZ'!$M$4:$M$363)</f>
        <v>0</v>
      </c>
      <c r="G18" s="20" t="str">
        <f t="shared" si="0"/>
        <v/>
      </c>
      <c r="H18" s="12">
        <f>SUMPRODUCT((IF(SelectedScope="All India",1,'RAW_QUIZ'!$B$4:$B$363=SelectedScope))*('RAW_QUIZ'!$C$4:$C$363=$B18)*'RAW_QUIZ'!$N$4:$N$363)</f>
        <v>0</v>
      </c>
      <c r="I18" s="20" t="str">
        <f t="shared" si="1"/>
        <v/>
      </c>
      <c r="J18" s="16"/>
    </row>
    <row r="20" spans="1:10" ht="19.95" customHeight="1" x14ac:dyDescent="0.3">
      <c r="A20" s="37" t="s">
        <v>204</v>
      </c>
      <c r="B20" s="33"/>
      <c r="C20" s="33"/>
      <c r="D20" s="33"/>
      <c r="E20" s="33"/>
      <c r="F20" s="33"/>
      <c r="G20" s="33"/>
      <c r="H20" s="33"/>
      <c r="I20" s="33"/>
      <c r="J20" s="33"/>
    </row>
    <row r="21" spans="1:10" ht="31.95" customHeight="1" x14ac:dyDescent="0.3">
      <c r="A21" s="15" t="s">
        <v>78</v>
      </c>
      <c r="B21" s="15" t="s">
        <v>205</v>
      </c>
      <c r="C21" s="15" t="s">
        <v>206</v>
      </c>
      <c r="D21" s="15" t="s">
        <v>199</v>
      </c>
      <c r="E21" s="15" t="s">
        <v>200</v>
      </c>
      <c r="F21" s="15" t="s">
        <v>201</v>
      </c>
      <c r="G21" s="15" t="s">
        <v>159</v>
      </c>
      <c r="H21" s="15" t="s">
        <v>207</v>
      </c>
      <c r="I21" s="15" t="s">
        <v>208</v>
      </c>
      <c r="J21" s="15" t="s">
        <v>86</v>
      </c>
    </row>
    <row r="22" spans="1:10" ht="16.05" customHeight="1" x14ac:dyDescent="0.3">
      <c r="A22" s="16">
        <v>1</v>
      </c>
      <c r="B22" s="16" t="s">
        <v>209</v>
      </c>
      <c r="C22" s="12">
        <f>SUMPRODUCT((IF(SelectedScope="All India",1,'RAW_QUIZ'!$B$4:$B$363=SelectedScope))*('RAW_QUIZ'!$H$4:$H$363=$B22))</f>
        <v>0</v>
      </c>
      <c r="D22" s="12">
        <f>SUMPRODUCT((IF(SelectedScope="All India",1,'RAW_QUIZ'!$B$4:$B$363=SelectedScope))*('RAW_QUIZ'!$H$4:$H$363=$B22)*'RAW_QUIZ'!$K$4:$K$363)</f>
        <v>0</v>
      </c>
      <c r="E22" s="20" t="str">
        <f>IFERROR((SUMPRODUCT((IF(SelectedScope="All India",1,'RAW_QUIZ'!$B$4:$B$363=SelectedScope))*('RAW_QUIZ'!$H$4:$H$363=$B22)*'RAW_QUIZ'!$L$4:$L$363))/(SUMPRODUCT((IF(SelectedScope="All India",1,'RAW_QUIZ'!$B$4:$B$363=SelectedScope))*('RAW_QUIZ'!$H$4:$H$363=$B22)*'RAW_QUIZ'!$K$4:$K$363)),"")</f>
        <v/>
      </c>
      <c r="F22" s="12">
        <f>SUMPRODUCT((IF(SelectedScope="All India",1,'RAW_QUIZ'!$B$4:$B$363=SelectedScope))*('RAW_QUIZ'!$H$4:$H$363=$B22)*'RAW_QUIZ'!$M$4:$M$363)</f>
        <v>0</v>
      </c>
      <c r="G22" s="20" t="str">
        <f t="shared" ref="G22:G27" si="2">IFERROR(F22/D22,"")</f>
        <v/>
      </c>
      <c r="H22" s="16" t="s">
        <v>210</v>
      </c>
      <c r="I22" s="16"/>
      <c r="J22" s="16"/>
    </row>
    <row r="23" spans="1:10" ht="16.05" customHeight="1" x14ac:dyDescent="0.3">
      <c r="A23" s="18">
        <v>2</v>
      </c>
      <c r="B23" s="18" t="s">
        <v>211</v>
      </c>
      <c r="C23" s="9">
        <f>SUMPRODUCT((IF(SelectedScope="All India",1,'RAW_QUIZ'!$B$4:$B$363=SelectedScope))*('RAW_QUIZ'!$H$4:$H$363=$B23))</f>
        <v>0</v>
      </c>
      <c r="D23" s="9">
        <f>SUMPRODUCT((IF(SelectedScope="All India",1,'RAW_QUIZ'!$B$4:$B$363=SelectedScope))*('RAW_QUIZ'!$H$4:$H$363=$B23)*'RAW_QUIZ'!$K$4:$K$363)</f>
        <v>0</v>
      </c>
      <c r="E23" s="21" t="str">
        <f>IFERROR((SUMPRODUCT((IF(SelectedScope="All India",1,'RAW_QUIZ'!$B$4:$B$363=SelectedScope))*('RAW_QUIZ'!$H$4:$H$363=$B23)*'RAW_QUIZ'!$L$4:$L$363))/(SUMPRODUCT((IF(SelectedScope="All India",1,'RAW_QUIZ'!$B$4:$B$363=SelectedScope))*('RAW_QUIZ'!$H$4:$H$363=$B23)*'RAW_QUIZ'!$K$4:$K$363)),"")</f>
        <v/>
      </c>
      <c r="F23" s="9">
        <f>SUMPRODUCT((IF(SelectedScope="All India",1,'RAW_QUIZ'!$B$4:$B$363=SelectedScope))*('RAW_QUIZ'!$H$4:$H$363=$B23)*'RAW_QUIZ'!$M$4:$M$363)</f>
        <v>0</v>
      </c>
      <c r="G23" s="21" t="str">
        <f t="shared" si="2"/>
        <v/>
      </c>
      <c r="H23" s="18" t="s">
        <v>212</v>
      </c>
      <c r="I23" s="18"/>
      <c r="J23" s="18"/>
    </row>
    <row r="24" spans="1:10" ht="16.05" customHeight="1" x14ac:dyDescent="0.3">
      <c r="A24" s="16">
        <v>3</v>
      </c>
      <c r="B24" s="16" t="s">
        <v>213</v>
      </c>
      <c r="C24" s="12">
        <f>SUMPRODUCT((IF(SelectedScope="All India",1,'RAW_QUIZ'!$B$4:$B$363=SelectedScope))*('RAW_QUIZ'!$H$4:$H$363=$B24))</f>
        <v>0</v>
      </c>
      <c r="D24" s="12">
        <f>SUMPRODUCT((IF(SelectedScope="All India",1,'RAW_QUIZ'!$B$4:$B$363=SelectedScope))*('RAW_QUIZ'!$H$4:$H$363=$B24)*'RAW_QUIZ'!$K$4:$K$363)</f>
        <v>0</v>
      </c>
      <c r="E24" s="20" t="str">
        <f>IFERROR((SUMPRODUCT((IF(SelectedScope="All India",1,'RAW_QUIZ'!$B$4:$B$363=SelectedScope))*('RAW_QUIZ'!$H$4:$H$363=$B24)*'RAW_QUIZ'!$L$4:$L$363))/(SUMPRODUCT((IF(SelectedScope="All India",1,'RAW_QUIZ'!$B$4:$B$363=SelectedScope))*('RAW_QUIZ'!$H$4:$H$363=$B24)*'RAW_QUIZ'!$K$4:$K$363)),"")</f>
        <v/>
      </c>
      <c r="F24" s="12">
        <f>SUMPRODUCT((IF(SelectedScope="All India",1,'RAW_QUIZ'!$B$4:$B$363=SelectedScope))*('RAW_QUIZ'!$H$4:$H$363=$B24)*'RAW_QUIZ'!$M$4:$M$363)</f>
        <v>0</v>
      </c>
      <c r="G24" s="20" t="str">
        <f t="shared" si="2"/>
        <v/>
      </c>
      <c r="H24" s="16" t="s">
        <v>212</v>
      </c>
      <c r="I24" s="16"/>
      <c r="J24" s="16"/>
    </row>
    <row r="25" spans="1:10" ht="16.05" customHeight="1" x14ac:dyDescent="0.3">
      <c r="A25" s="18">
        <v>4</v>
      </c>
      <c r="B25" s="18" t="s">
        <v>214</v>
      </c>
      <c r="C25" s="9">
        <f>SUMPRODUCT((IF(SelectedScope="All India",1,'RAW_QUIZ'!$B$4:$B$363=SelectedScope))*('RAW_QUIZ'!$H$4:$H$363=$B25))</f>
        <v>0</v>
      </c>
      <c r="D25" s="9">
        <f>SUMPRODUCT((IF(SelectedScope="All India",1,'RAW_QUIZ'!$B$4:$B$363=SelectedScope))*('RAW_QUIZ'!$H$4:$H$363=$B25)*'RAW_QUIZ'!$K$4:$K$363)</f>
        <v>0</v>
      </c>
      <c r="E25" s="21" t="str">
        <f>IFERROR((SUMPRODUCT((IF(SelectedScope="All India",1,'RAW_QUIZ'!$B$4:$B$363=SelectedScope))*('RAW_QUIZ'!$H$4:$H$363=$B25)*'RAW_QUIZ'!$L$4:$L$363))/(SUMPRODUCT((IF(SelectedScope="All India",1,'RAW_QUIZ'!$B$4:$B$363=SelectedScope))*('RAW_QUIZ'!$H$4:$H$363=$B25)*'RAW_QUIZ'!$K$4:$K$363)),"")</f>
        <v/>
      </c>
      <c r="F25" s="9">
        <f>SUMPRODUCT((IF(SelectedScope="All India",1,'RAW_QUIZ'!$B$4:$B$363=SelectedScope))*('RAW_QUIZ'!$H$4:$H$363=$B25)*'RAW_QUIZ'!$M$4:$M$363)</f>
        <v>0</v>
      </c>
      <c r="G25" s="21" t="str">
        <f t="shared" si="2"/>
        <v/>
      </c>
      <c r="H25" s="18" t="s">
        <v>215</v>
      </c>
      <c r="I25" s="18"/>
      <c r="J25" s="18"/>
    </row>
    <row r="26" spans="1:10" ht="16.05" customHeight="1" x14ac:dyDescent="0.3">
      <c r="A26" s="16">
        <v>5</v>
      </c>
      <c r="B26" s="16" t="s">
        <v>216</v>
      </c>
      <c r="C26" s="12">
        <f>SUMPRODUCT((IF(SelectedScope="All India",1,'RAW_QUIZ'!$B$4:$B$363=SelectedScope))*('RAW_QUIZ'!$H$4:$H$363=$B26))</f>
        <v>0</v>
      </c>
      <c r="D26" s="12">
        <f>SUMPRODUCT((IF(SelectedScope="All India",1,'RAW_QUIZ'!$B$4:$B$363=SelectedScope))*('RAW_QUIZ'!$H$4:$H$363=$B26)*'RAW_QUIZ'!$K$4:$K$363)</f>
        <v>0</v>
      </c>
      <c r="E26" s="20" t="str">
        <f>IFERROR((SUMPRODUCT((IF(SelectedScope="All India",1,'RAW_QUIZ'!$B$4:$B$363=SelectedScope))*('RAW_QUIZ'!$H$4:$H$363=$B26)*'RAW_QUIZ'!$L$4:$L$363))/(SUMPRODUCT((IF(SelectedScope="All India",1,'RAW_QUIZ'!$B$4:$B$363=SelectedScope))*('RAW_QUIZ'!$H$4:$H$363=$B26)*'RAW_QUIZ'!$K$4:$K$363)),"")</f>
        <v/>
      </c>
      <c r="F26" s="12">
        <f>SUMPRODUCT((IF(SelectedScope="All India",1,'RAW_QUIZ'!$B$4:$B$363=SelectedScope))*('RAW_QUIZ'!$H$4:$H$363=$B26)*'RAW_QUIZ'!$M$4:$M$363)</f>
        <v>0</v>
      </c>
      <c r="G26" s="20" t="str">
        <f t="shared" si="2"/>
        <v/>
      </c>
      <c r="H26" s="16" t="s">
        <v>217</v>
      </c>
      <c r="I26" s="16"/>
      <c r="J26" s="16"/>
    </row>
    <row r="27" spans="1:10" ht="16.05" customHeight="1" x14ac:dyDescent="0.3">
      <c r="A27" s="18">
        <v>6</v>
      </c>
      <c r="B27" s="18" t="s">
        <v>218</v>
      </c>
      <c r="C27" s="9">
        <f>SUMPRODUCT((IF(SelectedScope="All India",1,'RAW_QUIZ'!$B$4:$B$363=SelectedScope))*('RAW_QUIZ'!$H$4:$H$363=$B27))</f>
        <v>0</v>
      </c>
      <c r="D27" s="9">
        <f>SUMPRODUCT((IF(SelectedScope="All India",1,'RAW_QUIZ'!$B$4:$B$363=SelectedScope))*('RAW_QUIZ'!$H$4:$H$363=$B27)*'RAW_QUIZ'!$K$4:$K$363)</f>
        <v>0</v>
      </c>
      <c r="E27" s="21" t="str">
        <f>IFERROR((SUMPRODUCT((IF(SelectedScope="All India",1,'RAW_QUIZ'!$B$4:$B$363=SelectedScope))*('RAW_QUIZ'!$H$4:$H$363=$B27)*'RAW_QUIZ'!$L$4:$L$363))/(SUMPRODUCT((IF(SelectedScope="All India",1,'RAW_QUIZ'!$B$4:$B$363=SelectedScope))*('RAW_QUIZ'!$H$4:$H$363=$B27)*'RAW_QUIZ'!$K$4:$K$363)),"")</f>
        <v/>
      </c>
      <c r="F27" s="9">
        <f>SUMPRODUCT((IF(SelectedScope="All India",1,'RAW_QUIZ'!$B$4:$B$363=SelectedScope))*('RAW_QUIZ'!$H$4:$H$363=$B27)*'RAW_QUIZ'!$M$4:$M$363)</f>
        <v>0</v>
      </c>
      <c r="G27" s="21" t="str">
        <f t="shared" si="2"/>
        <v/>
      </c>
      <c r="H27" s="18" t="s">
        <v>219</v>
      </c>
      <c r="I27" s="18"/>
      <c r="J27" s="18"/>
    </row>
    <row r="29" spans="1:10" ht="19.95" customHeight="1" x14ac:dyDescent="0.3">
      <c r="A29" s="37" t="s">
        <v>220</v>
      </c>
      <c r="B29" s="33"/>
      <c r="C29" s="33"/>
      <c r="D29" s="33"/>
      <c r="E29" s="33"/>
      <c r="F29" s="33"/>
      <c r="G29" s="33"/>
      <c r="H29" s="33"/>
      <c r="I29" s="33"/>
      <c r="J29" s="33"/>
    </row>
    <row r="30" spans="1:10" ht="31.95" customHeight="1" x14ac:dyDescent="0.3">
      <c r="A30" s="15" t="s">
        <v>78</v>
      </c>
      <c r="B30" s="15" t="s">
        <v>221</v>
      </c>
      <c r="C30" s="15" t="s">
        <v>222</v>
      </c>
      <c r="D30" s="15" t="s">
        <v>199</v>
      </c>
      <c r="E30" s="15" t="s">
        <v>200</v>
      </c>
      <c r="F30" s="15" t="s">
        <v>201</v>
      </c>
      <c r="G30" s="15" t="s">
        <v>159</v>
      </c>
      <c r="H30" s="15" t="s">
        <v>223</v>
      </c>
      <c r="I30" s="15" t="s">
        <v>86</v>
      </c>
      <c r="J30" s="15" t="s">
        <v>89</v>
      </c>
    </row>
    <row r="31" spans="1:10" ht="16.05" customHeight="1" x14ac:dyDescent="0.3">
      <c r="A31" s="18">
        <v>1</v>
      </c>
      <c r="B31" s="18" t="s">
        <v>224</v>
      </c>
      <c r="C31" s="9">
        <f>SUMPRODUCT((IF(SelectedScope="All India",1,'RAW_QUIZ'!$B$4:$B$363=SelectedScope))*('RAW_QUIZ'!$I$4:$I$363=$B31))</f>
        <v>0</v>
      </c>
      <c r="D31" s="9">
        <f>SUMPRODUCT((IF(SelectedScope="All India",1,'RAW_QUIZ'!$B$4:$B$363=SelectedScope))*('RAW_QUIZ'!$I$4:$I$363=$B31)*'RAW_QUIZ'!$K$4:$K$363)</f>
        <v>0</v>
      </c>
      <c r="E31" s="21" t="str">
        <f>IFERROR((SUMPRODUCT((IF(SelectedScope="All India",1,'RAW_QUIZ'!$B$4:$B$363=SelectedScope))*('RAW_QUIZ'!$I$4:$I$363=$B31)*'RAW_QUIZ'!$L$4:$L$363))/(SUMPRODUCT((IF(SelectedScope="All India",1,'RAW_QUIZ'!$B$4:$B$363=SelectedScope))*('RAW_QUIZ'!$I$4:$I$363=$B31)*'RAW_QUIZ'!$K$4:$K$363)),"")</f>
        <v/>
      </c>
      <c r="F31" s="9">
        <f>SUMPRODUCT((IF(SelectedScope="All India",1,'RAW_QUIZ'!$B$4:$B$363=SelectedScope))*('RAW_QUIZ'!$I$4:$I$363=$B31)*'RAW_QUIZ'!$M$4:$M$363)</f>
        <v>0</v>
      </c>
      <c r="G31" s="21" t="str">
        <f t="shared" ref="G31:G53" si="3">IFERROR(F31/D31,"")</f>
        <v/>
      </c>
      <c r="H31" s="21" t="str">
        <f>IFERROR(E31-E37,"")</f>
        <v/>
      </c>
      <c r="I31" s="18"/>
      <c r="J31" s="18"/>
    </row>
    <row r="32" spans="1:10" ht="16.05" customHeight="1" x14ac:dyDescent="0.3">
      <c r="A32" s="16">
        <v>2</v>
      </c>
      <c r="B32" s="16" t="s">
        <v>225</v>
      </c>
      <c r="C32" s="12">
        <f>SUMPRODUCT((IF(SelectedScope="All India",1,'RAW_QUIZ'!$B$4:$B$363=SelectedScope))*('RAW_QUIZ'!$I$4:$I$363=$B32))</f>
        <v>0</v>
      </c>
      <c r="D32" s="12">
        <f>SUMPRODUCT((IF(SelectedScope="All India",1,'RAW_QUIZ'!$B$4:$B$363=SelectedScope))*('RAW_QUIZ'!$I$4:$I$363=$B32)*'RAW_QUIZ'!$K$4:$K$363)</f>
        <v>0</v>
      </c>
      <c r="E32" s="20" t="str">
        <f>IFERROR((SUMPRODUCT((IF(SelectedScope="All India",1,'RAW_QUIZ'!$B$4:$B$363=SelectedScope))*('RAW_QUIZ'!$I$4:$I$363=$B32)*'RAW_QUIZ'!$L$4:$L$363))/(SUMPRODUCT((IF(SelectedScope="All India",1,'RAW_QUIZ'!$B$4:$B$363=SelectedScope))*('RAW_QUIZ'!$I$4:$I$363=$B32)*'RAW_QUIZ'!$K$4:$K$363)),"")</f>
        <v/>
      </c>
      <c r="F32" s="12">
        <f>SUMPRODUCT((IF(SelectedScope="All India",1,'RAW_QUIZ'!$B$4:$B$363=SelectedScope))*('RAW_QUIZ'!$I$4:$I$363=$B32)*'RAW_QUIZ'!$M$4:$M$363)</f>
        <v>0</v>
      </c>
      <c r="G32" s="20" t="str">
        <f t="shared" si="3"/>
        <v/>
      </c>
      <c r="H32" s="20" t="str">
        <f>IFERROR(E32-E37,"")</f>
        <v/>
      </c>
      <c r="I32" s="16"/>
      <c r="J32" s="16"/>
    </row>
    <row r="33" spans="1:10" ht="16.05" customHeight="1" x14ac:dyDescent="0.3">
      <c r="A33" s="18">
        <v>3</v>
      </c>
      <c r="B33" s="18" t="s">
        <v>226</v>
      </c>
      <c r="C33" s="9">
        <f>SUMPRODUCT((IF(SelectedScope="All India",1,'RAW_QUIZ'!$B$4:$B$363=SelectedScope))*('RAW_QUIZ'!$I$4:$I$363=$B33))</f>
        <v>0</v>
      </c>
      <c r="D33" s="9">
        <f>SUMPRODUCT((IF(SelectedScope="All India",1,'RAW_QUIZ'!$B$4:$B$363=SelectedScope))*('RAW_QUIZ'!$I$4:$I$363=$B33)*'RAW_QUIZ'!$K$4:$K$363)</f>
        <v>0</v>
      </c>
      <c r="E33" s="21" t="str">
        <f>IFERROR((SUMPRODUCT((IF(SelectedScope="All India",1,'RAW_QUIZ'!$B$4:$B$363=SelectedScope))*('RAW_QUIZ'!$I$4:$I$363=$B33)*'RAW_QUIZ'!$L$4:$L$363))/(SUMPRODUCT((IF(SelectedScope="All India",1,'RAW_QUIZ'!$B$4:$B$363=SelectedScope))*('RAW_QUIZ'!$I$4:$I$363=$B33)*'RAW_QUIZ'!$K$4:$K$363)),"")</f>
        <v/>
      </c>
      <c r="F33" s="9">
        <f>SUMPRODUCT((IF(SelectedScope="All India",1,'RAW_QUIZ'!$B$4:$B$363=SelectedScope))*('RAW_QUIZ'!$I$4:$I$363=$B33)*'RAW_QUIZ'!$M$4:$M$363)</f>
        <v>0</v>
      </c>
      <c r="G33" s="21" t="str">
        <f t="shared" si="3"/>
        <v/>
      </c>
      <c r="H33" s="21" t="str">
        <f>IFERROR(E33-E37,"")</f>
        <v/>
      </c>
      <c r="I33" s="18"/>
      <c r="J33" s="18"/>
    </row>
    <row r="34" spans="1:10" ht="16.05" customHeight="1" x14ac:dyDescent="0.3">
      <c r="A34" s="16">
        <v>4</v>
      </c>
      <c r="B34" s="16" t="s">
        <v>227</v>
      </c>
      <c r="C34" s="12">
        <f>SUMPRODUCT((IF(SelectedScope="All India",1,'RAW_QUIZ'!$B$4:$B$363=SelectedScope))*('RAW_QUIZ'!$I$4:$I$363=$B34))</f>
        <v>0</v>
      </c>
      <c r="D34" s="12">
        <f>SUMPRODUCT((IF(SelectedScope="All India",1,'RAW_QUIZ'!$B$4:$B$363=SelectedScope))*('RAW_QUIZ'!$I$4:$I$363=$B34)*'RAW_QUIZ'!$K$4:$K$363)</f>
        <v>0</v>
      </c>
      <c r="E34" s="20" t="str">
        <f>IFERROR((SUMPRODUCT((IF(SelectedScope="All India",1,'RAW_QUIZ'!$B$4:$B$363=SelectedScope))*('RAW_QUIZ'!$I$4:$I$363=$B34)*'RAW_QUIZ'!$L$4:$L$363))/(SUMPRODUCT((IF(SelectedScope="All India",1,'RAW_QUIZ'!$B$4:$B$363=SelectedScope))*('RAW_QUIZ'!$I$4:$I$363=$B34)*'RAW_QUIZ'!$K$4:$K$363)),"")</f>
        <v/>
      </c>
      <c r="F34" s="12">
        <f>SUMPRODUCT((IF(SelectedScope="All India",1,'RAW_QUIZ'!$B$4:$B$363=SelectedScope))*('RAW_QUIZ'!$I$4:$I$363=$B34)*'RAW_QUIZ'!$M$4:$M$363)</f>
        <v>0</v>
      </c>
      <c r="G34" s="20" t="str">
        <f t="shared" si="3"/>
        <v/>
      </c>
      <c r="H34" s="20" t="str">
        <f>IFERROR(E34-E37,"")</f>
        <v/>
      </c>
      <c r="I34" s="16"/>
      <c r="J34" s="16"/>
    </row>
    <row r="35" spans="1:10" ht="16.05" customHeight="1" x14ac:dyDescent="0.3">
      <c r="A35" s="18">
        <v>5</v>
      </c>
      <c r="B35" s="18" t="s">
        <v>149</v>
      </c>
      <c r="C35" s="9">
        <f>SUMPRODUCT((IF(SelectedScope="All India",1,'RAW_QUIZ'!$B$4:$B$363=SelectedScope))*('RAW_QUIZ'!$I$4:$I$363=$B35))</f>
        <v>0</v>
      </c>
      <c r="D35" s="9">
        <f>SUMPRODUCT((IF(SelectedScope="All India",1,'RAW_QUIZ'!$B$4:$B$363=SelectedScope))*('RAW_QUIZ'!$I$4:$I$363=$B35)*'RAW_QUIZ'!$K$4:$K$363)</f>
        <v>0</v>
      </c>
      <c r="E35" s="21" t="str">
        <f>IFERROR((SUMPRODUCT((IF(SelectedScope="All India",1,'RAW_QUIZ'!$B$4:$B$363=SelectedScope))*('RAW_QUIZ'!$I$4:$I$363=$B35)*'RAW_QUIZ'!$L$4:$L$363))/(SUMPRODUCT((IF(SelectedScope="All India",1,'RAW_QUIZ'!$B$4:$B$363=SelectedScope))*('RAW_QUIZ'!$I$4:$I$363=$B35)*'RAW_QUIZ'!$K$4:$K$363)),"")</f>
        <v/>
      </c>
      <c r="F35" s="9">
        <f>SUMPRODUCT((IF(SelectedScope="All India",1,'RAW_QUIZ'!$B$4:$B$363=SelectedScope))*('RAW_QUIZ'!$I$4:$I$363=$B35)*'RAW_QUIZ'!$M$4:$M$363)</f>
        <v>0</v>
      </c>
      <c r="G35" s="21" t="str">
        <f t="shared" si="3"/>
        <v/>
      </c>
      <c r="H35" s="21" t="str">
        <f>IFERROR(E35-E37,"")</f>
        <v/>
      </c>
      <c r="I35" s="18"/>
      <c r="J35" s="18"/>
    </row>
    <row r="36" spans="1:10" ht="16.05" customHeight="1" x14ac:dyDescent="0.3">
      <c r="A36" s="16">
        <v>6</v>
      </c>
      <c r="B36" s="16" t="s">
        <v>228</v>
      </c>
      <c r="C36" s="12">
        <f>SUMPRODUCT((IF(SelectedScope="All India",1,'RAW_QUIZ'!$B$4:$B$363=SelectedScope))*('RAW_QUIZ'!$I$4:$I$363=$B36))</f>
        <v>0</v>
      </c>
      <c r="D36" s="12">
        <f>SUMPRODUCT((IF(SelectedScope="All India",1,'RAW_QUIZ'!$B$4:$B$363=SelectedScope))*('RAW_QUIZ'!$I$4:$I$363=$B36)*'RAW_QUIZ'!$K$4:$K$363)</f>
        <v>0</v>
      </c>
      <c r="E36" s="20" t="str">
        <f>IFERROR((SUMPRODUCT((IF(SelectedScope="All India",1,'RAW_QUIZ'!$B$4:$B$363=SelectedScope))*('RAW_QUIZ'!$I$4:$I$363=$B36)*'RAW_QUIZ'!$L$4:$L$363))/(SUMPRODUCT((IF(SelectedScope="All India",1,'RAW_QUIZ'!$B$4:$B$363=SelectedScope))*('RAW_QUIZ'!$I$4:$I$363=$B36)*'RAW_QUIZ'!$K$4:$K$363)),"")</f>
        <v/>
      </c>
      <c r="F36" s="12">
        <f>SUMPRODUCT((IF(SelectedScope="All India",1,'RAW_QUIZ'!$B$4:$B$363=SelectedScope))*('RAW_QUIZ'!$I$4:$I$363=$B36)*'RAW_QUIZ'!$M$4:$M$363)</f>
        <v>0</v>
      </c>
      <c r="G36" s="20" t="str">
        <f t="shared" si="3"/>
        <v/>
      </c>
      <c r="H36" s="20" t="str">
        <f>IFERROR(E36-E37,"")</f>
        <v/>
      </c>
      <c r="I36" s="16"/>
      <c r="J36" s="16"/>
    </row>
    <row r="37" spans="1:10" ht="16.05" customHeight="1" x14ac:dyDescent="0.3">
      <c r="A37" s="18">
        <v>7</v>
      </c>
      <c r="B37" s="18" t="s">
        <v>150</v>
      </c>
      <c r="C37" s="9">
        <f>SUMPRODUCT((IF(SelectedScope="All India",1,'RAW_QUIZ'!$B$4:$B$363=SelectedScope))*('RAW_QUIZ'!$I$4:$I$363=$B37))</f>
        <v>0</v>
      </c>
      <c r="D37" s="9">
        <f>SUMPRODUCT((IF(SelectedScope="All India",1,'RAW_QUIZ'!$B$4:$B$363=SelectedScope))*('RAW_QUIZ'!$I$4:$I$363=$B37)*'RAW_QUIZ'!$K$4:$K$363)</f>
        <v>0</v>
      </c>
      <c r="E37" s="21" t="str">
        <f>IFERROR((SUMPRODUCT((IF(SelectedScope="All India",1,'RAW_QUIZ'!$B$4:$B$363=SelectedScope))*('RAW_QUIZ'!$I$4:$I$363=$B37)*'RAW_QUIZ'!$L$4:$L$363))/(SUMPRODUCT((IF(SelectedScope="All India",1,'RAW_QUIZ'!$B$4:$B$363=SelectedScope))*('RAW_QUIZ'!$I$4:$I$363=$B37)*'RAW_QUIZ'!$K$4:$K$363)),"")</f>
        <v/>
      </c>
      <c r="F37" s="9">
        <f>SUMPRODUCT((IF(SelectedScope="All India",1,'RAW_QUIZ'!$B$4:$B$363=SelectedScope))*('RAW_QUIZ'!$I$4:$I$363=$B37)*'RAW_QUIZ'!$M$4:$M$363)</f>
        <v>0</v>
      </c>
      <c r="G37" s="21" t="str">
        <f t="shared" si="3"/>
        <v/>
      </c>
      <c r="H37" s="21" t="str">
        <f>IFERROR(E37-E37,"")</f>
        <v/>
      </c>
      <c r="I37" s="18"/>
      <c r="J37" s="18"/>
    </row>
    <row r="38" spans="1:10" ht="16.05" customHeight="1" x14ac:dyDescent="0.3">
      <c r="A38" s="16">
        <v>8</v>
      </c>
      <c r="B38" s="16" t="s">
        <v>229</v>
      </c>
      <c r="C38" s="12">
        <f>SUMPRODUCT((IF(SelectedScope="All India",1,'RAW_QUIZ'!$B$4:$B$363=SelectedScope))*('RAW_QUIZ'!$I$4:$I$363=$B38))</f>
        <v>0</v>
      </c>
      <c r="D38" s="12">
        <f>SUMPRODUCT((IF(SelectedScope="All India",1,'RAW_QUIZ'!$B$4:$B$363=SelectedScope))*('RAW_QUIZ'!$I$4:$I$363=$B38)*'RAW_QUIZ'!$K$4:$K$363)</f>
        <v>0</v>
      </c>
      <c r="E38" s="20" t="str">
        <f>IFERROR((SUMPRODUCT((IF(SelectedScope="All India",1,'RAW_QUIZ'!$B$4:$B$363=SelectedScope))*('RAW_QUIZ'!$I$4:$I$363=$B38)*'RAW_QUIZ'!$L$4:$L$363))/(SUMPRODUCT((IF(SelectedScope="All India",1,'RAW_QUIZ'!$B$4:$B$363=SelectedScope))*('RAW_QUIZ'!$I$4:$I$363=$B38)*'RAW_QUIZ'!$K$4:$K$363)),"")</f>
        <v/>
      </c>
      <c r="F38" s="12">
        <f>SUMPRODUCT((IF(SelectedScope="All India",1,'RAW_QUIZ'!$B$4:$B$363=SelectedScope))*('RAW_QUIZ'!$I$4:$I$363=$B38)*'RAW_QUIZ'!$M$4:$M$363)</f>
        <v>0</v>
      </c>
      <c r="G38" s="20" t="str">
        <f t="shared" si="3"/>
        <v/>
      </c>
      <c r="H38" s="20" t="str">
        <f>IFERROR(E38-E37,"")</f>
        <v/>
      </c>
      <c r="I38" s="16"/>
      <c r="J38" s="16"/>
    </row>
    <row r="39" spans="1:10" ht="16.05" customHeight="1" x14ac:dyDescent="0.3">
      <c r="A39" s="18">
        <v>9</v>
      </c>
      <c r="B39" s="18" t="s">
        <v>230</v>
      </c>
      <c r="C39" s="9">
        <f>SUMPRODUCT((IF(SelectedScope="All India",1,'RAW_QUIZ'!$B$4:$B$363=SelectedScope))*('RAW_QUIZ'!$I$4:$I$363=$B39))</f>
        <v>0</v>
      </c>
      <c r="D39" s="9">
        <f>SUMPRODUCT((IF(SelectedScope="All India",1,'RAW_QUIZ'!$B$4:$B$363=SelectedScope))*('RAW_QUIZ'!$I$4:$I$363=$B39)*'RAW_QUIZ'!$K$4:$K$363)</f>
        <v>0</v>
      </c>
      <c r="E39" s="21" t="str">
        <f>IFERROR((SUMPRODUCT((IF(SelectedScope="All India",1,'RAW_QUIZ'!$B$4:$B$363=SelectedScope))*('RAW_QUIZ'!$I$4:$I$363=$B39)*'RAW_QUIZ'!$L$4:$L$363))/(SUMPRODUCT((IF(SelectedScope="All India",1,'RAW_QUIZ'!$B$4:$B$363=SelectedScope))*('RAW_QUIZ'!$I$4:$I$363=$B39)*'RAW_QUIZ'!$K$4:$K$363)),"")</f>
        <v/>
      </c>
      <c r="F39" s="9">
        <f>SUMPRODUCT((IF(SelectedScope="All India",1,'RAW_QUIZ'!$B$4:$B$363=SelectedScope))*('RAW_QUIZ'!$I$4:$I$363=$B39)*'RAW_QUIZ'!$M$4:$M$363)</f>
        <v>0</v>
      </c>
      <c r="G39" s="21" t="str">
        <f t="shared" si="3"/>
        <v/>
      </c>
      <c r="H39" s="21" t="str">
        <f>IFERROR(E39-E37,"")</f>
        <v/>
      </c>
      <c r="I39" s="18"/>
      <c r="J39" s="18"/>
    </row>
    <row r="40" spans="1:10" ht="16.05" customHeight="1" x14ac:dyDescent="0.3">
      <c r="A40" s="16">
        <v>10</v>
      </c>
      <c r="B40" s="16" t="s">
        <v>231</v>
      </c>
      <c r="C40" s="12">
        <f>SUMPRODUCT((IF(SelectedScope="All India",1,'RAW_QUIZ'!$B$4:$B$363=SelectedScope))*('RAW_QUIZ'!$I$4:$I$363=$B40))</f>
        <v>0</v>
      </c>
      <c r="D40" s="12">
        <f>SUMPRODUCT((IF(SelectedScope="All India",1,'RAW_QUIZ'!$B$4:$B$363=SelectedScope))*('RAW_QUIZ'!$I$4:$I$363=$B40)*'RAW_QUIZ'!$K$4:$K$363)</f>
        <v>0</v>
      </c>
      <c r="E40" s="20" t="str">
        <f>IFERROR((SUMPRODUCT((IF(SelectedScope="All India",1,'RAW_QUIZ'!$B$4:$B$363=SelectedScope))*('RAW_QUIZ'!$I$4:$I$363=$B40)*'RAW_QUIZ'!$L$4:$L$363))/(SUMPRODUCT((IF(SelectedScope="All India",1,'RAW_QUIZ'!$B$4:$B$363=SelectedScope))*('RAW_QUIZ'!$I$4:$I$363=$B40)*'RAW_QUIZ'!$K$4:$K$363)),"")</f>
        <v/>
      </c>
      <c r="F40" s="12">
        <f>SUMPRODUCT((IF(SelectedScope="All India",1,'RAW_QUIZ'!$B$4:$B$363=SelectedScope))*('RAW_QUIZ'!$I$4:$I$363=$B40)*'RAW_QUIZ'!$M$4:$M$363)</f>
        <v>0</v>
      </c>
      <c r="G40" s="20" t="str">
        <f t="shared" si="3"/>
        <v/>
      </c>
      <c r="H40" s="20" t="str">
        <f>IFERROR(E40-E37,"")</f>
        <v/>
      </c>
      <c r="I40" s="16"/>
      <c r="J40" s="16"/>
    </row>
    <row r="41" spans="1:10" ht="16.05" customHeight="1" x14ac:dyDescent="0.3">
      <c r="A41" s="18">
        <v>11</v>
      </c>
      <c r="B41" s="18" t="s">
        <v>232</v>
      </c>
      <c r="C41" s="9">
        <f>SUMPRODUCT((IF(SelectedScope="All India",1,'RAW_QUIZ'!$B$4:$B$363=SelectedScope))*('RAW_QUIZ'!$I$4:$I$363=$B41))</f>
        <v>0</v>
      </c>
      <c r="D41" s="9">
        <f>SUMPRODUCT((IF(SelectedScope="All India",1,'RAW_QUIZ'!$B$4:$B$363=SelectedScope))*('RAW_QUIZ'!$I$4:$I$363=$B41)*'RAW_QUIZ'!$K$4:$K$363)</f>
        <v>0</v>
      </c>
      <c r="E41" s="21" t="str">
        <f>IFERROR((SUMPRODUCT((IF(SelectedScope="All India",1,'RAW_QUIZ'!$B$4:$B$363=SelectedScope))*('RAW_QUIZ'!$I$4:$I$363=$B41)*'RAW_QUIZ'!$L$4:$L$363))/(SUMPRODUCT((IF(SelectedScope="All India",1,'RAW_QUIZ'!$B$4:$B$363=SelectedScope))*('RAW_QUIZ'!$I$4:$I$363=$B41)*'RAW_QUIZ'!$K$4:$K$363)),"")</f>
        <v/>
      </c>
      <c r="F41" s="9">
        <f>SUMPRODUCT((IF(SelectedScope="All India",1,'RAW_QUIZ'!$B$4:$B$363=SelectedScope))*('RAW_QUIZ'!$I$4:$I$363=$B41)*'RAW_QUIZ'!$M$4:$M$363)</f>
        <v>0</v>
      </c>
      <c r="G41" s="21" t="str">
        <f t="shared" si="3"/>
        <v/>
      </c>
      <c r="H41" s="21" t="str">
        <f>IFERROR(E41-E37,"")</f>
        <v/>
      </c>
      <c r="I41" s="18"/>
      <c r="J41" s="18"/>
    </row>
    <row r="42" spans="1:10" ht="16.05" customHeight="1" x14ac:dyDescent="0.3">
      <c r="A42" s="16">
        <v>12</v>
      </c>
      <c r="B42" s="16" t="s">
        <v>233</v>
      </c>
      <c r="C42" s="12">
        <f>SUMPRODUCT((IF(SelectedScope="All India",1,'RAW_QUIZ'!$B$4:$B$363=SelectedScope))*('RAW_QUIZ'!$I$4:$I$363=$B42))</f>
        <v>0</v>
      </c>
      <c r="D42" s="12">
        <f>SUMPRODUCT((IF(SelectedScope="All India",1,'RAW_QUIZ'!$B$4:$B$363=SelectedScope))*('RAW_QUIZ'!$I$4:$I$363=$B42)*'RAW_QUIZ'!$K$4:$K$363)</f>
        <v>0</v>
      </c>
      <c r="E42" s="20" t="str">
        <f>IFERROR((SUMPRODUCT((IF(SelectedScope="All India",1,'RAW_QUIZ'!$B$4:$B$363=SelectedScope))*('RAW_QUIZ'!$I$4:$I$363=$B42)*'RAW_QUIZ'!$L$4:$L$363))/(SUMPRODUCT((IF(SelectedScope="All India",1,'RAW_QUIZ'!$B$4:$B$363=SelectedScope))*('RAW_QUIZ'!$I$4:$I$363=$B42)*'RAW_QUIZ'!$K$4:$K$363)),"")</f>
        <v/>
      </c>
      <c r="F42" s="12">
        <f>SUMPRODUCT((IF(SelectedScope="All India",1,'RAW_QUIZ'!$B$4:$B$363=SelectedScope))*('RAW_QUIZ'!$I$4:$I$363=$B42)*'RAW_QUIZ'!$M$4:$M$363)</f>
        <v>0</v>
      </c>
      <c r="G42" s="20" t="str">
        <f t="shared" si="3"/>
        <v/>
      </c>
      <c r="H42" s="20" t="str">
        <f>IFERROR(E42-E37,"")</f>
        <v/>
      </c>
      <c r="I42" s="16"/>
      <c r="J42" s="16"/>
    </row>
    <row r="43" spans="1:10" ht="16.05" customHeight="1" x14ac:dyDescent="0.3">
      <c r="A43" s="18">
        <v>13</v>
      </c>
      <c r="B43" s="18" t="s">
        <v>234</v>
      </c>
      <c r="C43" s="9">
        <f>SUMPRODUCT((IF(SelectedScope="All India",1,'RAW_QUIZ'!$B$4:$B$363=SelectedScope))*('RAW_QUIZ'!$I$4:$I$363=$B43))</f>
        <v>0</v>
      </c>
      <c r="D43" s="9">
        <f>SUMPRODUCT((IF(SelectedScope="All India",1,'RAW_QUIZ'!$B$4:$B$363=SelectedScope))*('RAW_QUIZ'!$I$4:$I$363=$B43)*'RAW_QUIZ'!$K$4:$K$363)</f>
        <v>0</v>
      </c>
      <c r="E43" s="21" t="str">
        <f>IFERROR((SUMPRODUCT((IF(SelectedScope="All India",1,'RAW_QUIZ'!$B$4:$B$363=SelectedScope))*('RAW_QUIZ'!$I$4:$I$363=$B43)*'RAW_QUIZ'!$L$4:$L$363))/(SUMPRODUCT((IF(SelectedScope="All India",1,'RAW_QUIZ'!$B$4:$B$363=SelectedScope))*('RAW_QUIZ'!$I$4:$I$363=$B43)*'RAW_QUIZ'!$K$4:$K$363)),"")</f>
        <v/>
      </c>
      <c r="F43" s="9">
        <f>SUMPRODUCT((IF(SelectedScope="All India",1,'RAW_QUIZ'!$B$4:$B$363=SelectedScope))*('RAW_QUIZ'!$I$4:$I$363=$B43)*'RAW_QUIZ'!$M$4:$M$363)</f>
        <v>0</v>
      </c>
      <c r="G43" s="21" t="str">
        <f t="shared" si="3"/>
        <v/>
      </c>
      <c r="H43" s="21" t="str">
        <f>IFERROR(E43-E37,"")</f>
        <v/>
      </c>
      <c r="I43" s="18"/>
      <c r="J43" s="18"/>
    </row>
    <row r="44" spans="1:10" ht="16.05" customHeight="1" x14ac:dyDescent="0.3">
      <c r="A44" s="16">
        <v>14</v>
      </c>
      <c r="B44" s="16" t="s">
        <v>235</v>
      </c>
      <c r="C44" s="12">
        <f>SUMPRODUCT((IF(SelectedScope="All India",1,'RAW_QUIZ'!$B$4:$B$363=SelectedScope))*('RAW_QUIZ'!$I$4:$I$363=$B44))</f>
        <v>0</v>
      </c>
      <c r="D44" s="12">
        <f>SUMPRODUCT((IF(SelectedScope="All India",1,'RAW_QUIZ'!$B$4:$B$363=SelectedScope))*('RAW_QUIZ'!$I$4:$I$363=$B44)*'RAW_QUIZ'!$K$4:$K$363)</f>
        <v>0</v>
      </c>
      <c r="E44" s="20" t="str">
        <f>IFERROR((SUMPRODUCT((IF(SelectedScope="All India",1,'RAW_QUIZ'!$B$4:$B$363=SelectedScope))*('RAW_QUIZ'!$I$4:$I$363=$B44)*'RAW_QUIZ'!$L$4:$L$363))/(SUMPRODUCT((IF(SelectedScope="All India",1,'RAW_QUIZ'!$B$4:$B$363=SelectedScope))*('RAW_QUIZ'!$I$4:$I$363=$B44)*'RAW_QUIZ'!$K$4:$K$363)),"")</f>
        <v/>
      </c>
      <c r="F44" s="12">
        <f>SUMPRODUCT((IF(SelectedScope="All India",1,'RAW_QUIZ'!$B$4:$B$363=SelectedScope))*('RAW_QUIZ'!$I$4:$I$363=$B44)*'RAW_QUIZ'!$M$4:$M$363)</f>
        <v>0</v>
      </c>
      <c r="G44" s="20" t="str">
        <f t="shared" si="3"/>
        <v/>
      </c>
      <c r="H44" s="20" t="str">
        <f>IFERROR(E44-E37,"")</f>
        <v/>
      </c>
      <c r="I44" s="16"/>
      <c r="J44" s="16"/>
    </row>
    <row r="45" spans="1:10" ht="16.05" customHeight="1" x14ac:dyDescent="0.3">
      <c r="A45" s="18">
        <v>15</v>
      </c>
      <c r="B45" s="18" t="s">
        <v>236</v>
      </c>
      <c r="C45" s="9">
        <f>SUMPRODUCT((IF(SelectedScope="All India",1,'RAW_QUIZ'!$B$4:$B$363=SelectedScope))*('RAW_QUIZ'!$I$4:$I$363=$B45))</f>
        <v>0</v>
      </c>
      <c r="D45" s="9">
        <f>SUMPRODUCT((IF(SelectedScope="All India",1,'RAW_QUIZ'!$B$4:$B$363=SelectedScope))*('RAW_QUIZ'!$I$4:$I$363=$B45)*'RAW_QUIZ'!$K$4:$K$363)</f>
        <v>0</v>
      </c>
      <c r="E45" s="21" t="str">
        <f>IFERROR((SUMPRODUCT((IF(SelectedScope="All India",1,'RAW_QUIZ'!$B$4:$B$363=SelectedScope))*('RAW_QUIZ'!$I$4:$I$363=$B45)*'RAW_QUIZ'!$L$4:$L$363))/(SUMPRODUCT((IF(SelectedScope="All India",1,'RAW_QUIZ'!$B$4:$B$363=SelectedScope))*('RAW_QUIZ'!$I$4:$I$363=$B45)*'RAW_QUIZ'!$K$4:$K$363)),"")</f>
        <v/>
      </c>
      <c r="F45" s="9">
        <f>SUMPRODUCT((IF(SelectedScope="All India",1,'RAW_QUIZ'!$B$4:$B$363=SelectedScope))*('RAW_QUIZ'!$I$4:$I$363=$B45)*'RAW_QUIZ'!$M$4:$M$363)</f>
        <v>0</v>
      </c>
      <c r="G45" s="21" t="str">
        <f t="shared" si="3"/>
        <v/>
      </c>
      <c r="H45" s="21" t="str">
        <f>IFERROR(E45-E37,"")</f>
        <v/>
      </c>
      <c r="I45" s="18"/>
      <c r="J45" s="18"/>
    </row>
    <row r="46" spans="1:10" ht="16.05" customHeight="1" x14ac:dyDescent="0.3">
      <c r="A46" s="16">
        <v>16</v>
      </c>
      <c r="B46" s="16" t="s">
        <v>237</v>
      </c>
      <c r="C46" s="12">
        <f>SUMPRODUCT((IF(SelectedScope="All India",1,'RAW_QUIZ'!$B$4:$B$363=SelectedScope))*('RAW_QUIZ'!$I$4:$I$363=$B46))</f>
        <v>0</v>
      </c>
      <c r="D46" s="12">
        <f>SUMPRODUCT((IF(SelectedScope="All India",1,'RAW_QUIZ'!$B$4:$B$363=SelectedScope))*('RAW_QUIZ'!$I$4:$I$363=$B46)*'RAW_QUIZ'!$K$4:$K$363)</f>
        <v>0</v>
      </c>
      <c r="E46" s="20" t="str">
        <f>IFERROR((SUMPRODUCT((IF(SelectedScope="All India",1,'RAW_QUIZ'!$B$4:$B$363=SelectedScope))*('RAW_QUIZ'!$I$4:$I$363=$B46)*'RAW_QUIZ'!$L$4:$L$363))/(SUMPRODUCT((IF(SelectedScope="All India",1,'RAW_QUIZ'!$B$4:$B$363=SelectedScope))*('RAW_QUIZ'!$I$4:$I$363=$B46)*'RAW_QUIZ'!$K$4:$K$363)),"")</f>
        <v/>
      </c>
      <c r="F46" s="12">
        <f>SUMPRODUCT((IF(SelectedScope="All India",1,'RAW_QUIZ'!$B$4:$B$363=SelectedScope))*('RAW_QUIZ'!$I$4:$I$363=$B46)*'RAW_QUIZ'!$M$4:$M$363)</f>
        <v>0</v>
      </c>
      <c r="G46" s="20" t="str">
        <f t="shared" si="3"/>
        <v/>
      </c>
      <c r="H46" s="20" t="str">
        <f>IFERROR(E46-E37,"")</f>
        <v/>
      </c>
      <c r="I46" s="16"/>
      <c r="J46" s="16"/>
    </row>
    <row r="47" spans="1:10" ht="16.05" customHeight="1" x14ac:dyDescent="0.3">
      <c r="A47" s="18">
        <v>17</v>
      </c>
      <c r="B47" s="18" t="s">
        <v>238</v>
      </c>
      <c r="C47" s="9">
        <f>SUMPRODUCT((IF(SelectedScope="All India",1,'RAW_QUIZ'!$B$4:$B$363=SelectedScope))*('RAW_QUIZ'!$I$4:$I$363=$B47))</f>
        <v>0</v>
      </c>
      <c r="D47" s="9">
        <f>SUMPRODUCT((IF(SelectedScope="All India",1,'RAW_QUIZ'!$B$4:$B$363=SelectedScope))*('RAW_QUIZ'!$I$4:$I$363=$B47)*'RAW_QUIZ'!$K$4:$K$363)</f>
        <v>0</v>
      </c>
      <c r="E47" s="21" t="str">
        <f>IFERROR((SUMPRODUCT((IF(SelectedScope="All India",1,'RAW_QUIZ'!$B$4:$B$363=SelectedScope))*('RAW_QUIZ'!$I$4:$I$363=$B47)*'RAW_QUIZ'!$L$4:$L$363))/(SUMPRODUCT((IF(SelectedScope="All India",1,'RAW_QUIZ'!$B$4:$B$363=SelectedScope))*('RAW_QUIZ'!$I$4:$I$363=$B47)*'RAW_QUIZ'!$K$4:$K$363)),"")</f>
        <v/>
      </c>
      <c r="F47" s="9">
        <f>SUMPRODUCT((IF(SelectedScope="All India",1,'RAW_QUIZ'!$B$4:$B$363=SelectedScope))*('RAW_QUIZ'!$I$4:$I$363=$B47)*'RAW_QUIZ'!$M$4:$M$363)</f>
        <v>0</v>
      </c>
      <c r="G47" s="21" t="str">
        <f t="shared" si="3"/>
        <v/>
      </c>
      <c r="H47" s="21" t="str">
        <f>IFERROR(E47-E37,"")</f>
        <v/>
      </c>
      <c r="I47" s="18"/>
      <c r="J47" s="18"/>
    </row>
    <row r="48" spans="1:10" ht="16.05" customHeight="1" x14ac:dyDescent="0.3">
      <c r="A48" s="16">
        <v>18</v>
      </c>
      <c r="B48" s="16" t="s">
        <v>239</v>
      </c>
      <c r="C48" s="12">
        <f>SUMPRODUCT((IF(SelectedScope="All India",1,'RAW_QUIZ'!$B$4:$B$363=SelectedScope))*('RAW_QUIZ'!$I$4:$I$363=$B48))</f>
        <v>0</v>
      </c>
      <c r="D48" s="12">
        <f>SUMPRODUCT((IF(SelectedScope="All India",1,'RAW_QUIZ'!$B$4:$B$363=SelectedScope))*('RAW_QUIZ'!$I$4:$I$363=$B48)*'RAW_QUIZ'!$K$4:$K$363)</f>
        <v>0</v>
      </c>
      <c r="E48" s="20" t="str">
        <f>IFERROR((SUMPRODUCT((IF(SelectedScope="All India",1,'RAW_QUIZ'!$B$4:$B$363=SelectedScope))*('RAW_QUIZ'!$I$4:$I$363=$B48)*'RAW_QUIZ'!$L$4:$L$363))/(SUMPRODUCT((IF(SelectedScope="All India",1,'RAW_QUIZ'!$B$4:$B$363=SelectedScope))*('RAW_QUIZ'!$I$4:$I$363=$B48)*'RAW_QUIZ'!$K$4:$K$363)),"")</f>
        <v/>
      </c>
      <c r="F48" s="12">
        <f>SUMPRODUCT((IF(SelectedScope="All India",1,'RAW_QUIZ'!$B$4:$B$363=SelectedScope))*('RAW_QUIZ'!$I$4:$I$363=$B48)*'RAW_QUIZ'!$M$4:$M$363)</f>
        <v>0</v>
      </c>
      <c r="G48" s="20" t="str">
        <f t="shared" si="3"/>
        <v/>
      </c>
      <c r="H48" s="20" t="str">
        <f>IFERROR(E48-E37,"")</f>
        <v/>
      </c>
      <c r="I48" s="16"/>
      <c r="J48" s="16"/>
    </row>
    <row r="49" spans="1:10" ht="16.05" customHeight="1" x14ac:dyDescent="0.3">
      <c r="A49" s="18">
        <v>19</v>
      </c>
      <c r="B49" s="18" t="s">
        <v>240</v>
      </c>
      <c r="C49" s="9">
        <f>SUMPRODUCT((IF(SelectedScope="All India",1,'RAW_QUIZ'!$B$4:$B$363=SelectedScope))*('RAW_QUIZ'!$I$4:$I$363=$B49))</f>
        <v>0</v>
      </c>
      <c r="D49" s="9">
        <f>SUMPRODUCT((IF(SelectedScope="All India",1,'RAW_QUIZ'!$B$4:$B$363=SelectedScope))*('RAW_QUIZ'!$I$4:$I$363=$B49)*'RAW_QUIZ'!$K$4:$K$363)</f>
        <v>0</v>
      </c>
      <c r="E49" s="21" t="str">
        <f>IFERROR((SUMPRODUCT((IF(SelectedScope="All India",1,'RAW_QUIZ'!$B$4:$B$363=SelectedScope))*('RAW_QUIZ'!$I$4:$I$363=$B49)*'RAW_QUIZ'!$L$4:$L$363))/(SUMPRODUCT((IF(SelectedScope="All India",1,'RAW_QUIZ'!$B$4:$B$363=SelectedScope))*('RAW_QUIZ'!$I$4:$I$363=$B49)*'RAW_QUIZ'!$K$4:$K$363)),"")</f>
        <v/>
      </c>
      <c r="F49" s="9">
        <f>SUMPRODUCT((IF(SelectedScope="All India",1,'RAW_QUIZ'!$B$4:$B$363=SelectedScope))*('RAW_QUIZ'!$I$4:$I$363=$B49)*'RAW_QUIZ'!$M$4:$M$363)</f>
        <v>0</v>
      </c>
      <c r="G49" s="21" t="str">
        <f t="shared" si="3"/>
        <v/>
      </c>
      <c r="H49" s="21" t="str">
        <f>IFERROR(E49-E37,"")</f>
        <v/>
      </c>
      <c r="I49" s="18"/>
      <c r="J49" s="18"/>
    </row>
    <row r="50" spans="1:10" ht="16.05" customHeight="1" x14ac:dyDescent="0.3">
      <c r="A50" s="16">
        <v>20</v>
      </c>
      <c r="B50" s="16" t="s">
        <v>241</v>
      </c>
      <c r="C50" s="12">
        <f>SUMPRODUCT((IF(SelectedScope="All India",1,'RAW_QUIZ'!$B$4:$B$363=SelectedScope))*('RAW_QUIZ'!$I$4:$I$363=$B50))</f>
        <v>0</v>
      </c>
      <c r="D50" s="12">
        <f>SUMPRODUCT((IF(SelectedScope="All India",1,'RAW_QUIZ'!$B$4:$B$363=SelectedScope))*('RAW_QUIZ'!$I$4:$I$363=$B50)*'RAW_QUIZ'!$K$4:$K$363)</f>
        <v>0</v>
      </c>
      <c r="E50" s="20" t="str">
        <f>IFERROR((SUMPRODUCT((IF(SelectedScope="All India",1,'RAW_QUIZ'!$B$4:$B$363=SelectedScope))*('RAW_QUIZ'!$I$4:$I$363=$B50)*'RAW_QUIZ'!$L$4:$L$363))/(SUMPRODUCT((IF(SelectedScope="All India",1,'RAW_QUIZ'!$B$4:$B$363=SelectedScope))*('RAW_QUIZ'!$I$4:$I$363=$B50)*'RAW_QUIZ'!$K$4:$K$363)),"")</f>
        <v/>
      </c>
      <c r="F50" s="12">
        <f>SUMPRODUCT((IF(SelectedScope="All India",1,'RAW_QUIZ'!$B$4:$B$363=SelectedScope))*('RAW_QUIZ'!$I$4:$I$363=$B50)*'RAW_QUIZ'!$M$4:$M$363)</f>
        <v>0</v>
      </c>
      <c r="G50" s="20" t="str">
        <f t="shared" si="3"/>
        <v/>
      </c>
      <c r="H50" s="20" t="str">
        <f>IFERROR(E50-E37,"")</f>
        <v/>
      </c>
      <c r="I50" s="16"/>
      <c r="J50" s="16"/>
    </row>
    <row r="51" spans="1:10" ht="16.05" customHeight="1" x14ac:dyDescent="0.3">
      <c r="A51" s="18">
        <v>21</v>
      </c>
      <c r="B51" s="18" t="s">
        <v>242</v>
      </c>
      <c r="C51" s="9">
        <f>SUMPRODUCT((IF(SelectedScope="All India",1,'RAW_QUIZ'!$B$4:$B$363=SelectedScope))*('RAW_QUIZ'!$I$4:$I$363=$B51))</f>
        <v>0</v>
      </c>
      <c r="D51" s="9">
        <f>SUMPRODUCT((IF(SelectedScope="All India",1,'RAW_QUIZ'!$B$4:$B$363=SelectedScope))*('RAW_QUIZ'!$I$4:$I$363=$B51)*'RAW_QUIZ'!$K$4:$K$363)</f>
        <v>0</v>
      </c>
      <c r="E51" s="21" t="str">
        <f>IFERROR((SUMPRODUCT((IF(SelectedScope="All India",1,'RAW_QUIZ'!$B$4:$B$363=SelectedScope))*('RAW_QUIZ'!$I$4:$I$363=$B51)*'RAW_QUIZ'!$L$4:$L$363))/(SUMPRODUCT((IF(SelectedScope="All India",1,'RAW_QUIZ'!$B$4:$B$363=SelectedScope))*('RAW_QUIZ'!$I$4:$I$363=$B51)*'RAW_QUIZ'!$K$4:$K$363)),"")</f>
        <v/>
      </c>
      <c r="F51" s="9">
        <f>SUMPRODUCT((IF(SelectedScope="All India",1,'RAW_QUIZ'!$B$4:$B$363=SelectedScope))*('RAW_QUIZ'!$I$4:$I$363=$B51)*'RAW_QUIZ'!$M$4:$M$363)</f>
        <v>0</v>
      </c>
      <c r="G51" s="21" t="str">
        <f t="shared" si="3"/>
        <v/>
      </c>
      <c r="H51" s="21" t="str">
        <f>IFERROR(E51-E37,"")</f>
        <v/>
      </c>
      <c r="I51" s="18"/>
      <c r="J51" s="18"/>
    </row>
    <row r="52" spans="1:10" ht="16.05" customHeight="1" x14ac:dyDescent="0.3">
      <c r="A52" s="16">
        <v>22</v>
      </c>
      <c r="B52" s="16" t="s">
        <v>243</v>
      </c>
      <c r="C52" s="12">
        <f>SUMPRODUCT((IF(SelectedScope="All India",1,'RAW_QUIZ'!$B$4:$B$363=SelectedScope))*('RAW_QUIZ'!$I$4:$I$363=$B52))</f>
        <v>0</v>
      </c>
      <c r="D52" s="12">
        <f>SUMPRODUCT((IF(SelectedScope="All India",1,'RAW_QUIZ'!$B$4:$B$363=SelectedScope))*('RAW_QUIZ'!$I$4:$I$363=$B52)*'RAW_QUIZ'!$K$4:$K$363)</f>
        <v>0</v>
      </c>
      <c r="E52" s="20" t="str">
        <f>IFERROR((SUMPRODUCT((IF(SelectedScope="All India",1,'RAW_QUIZ'!$B$4:$B$363=SelectedScope))*('RAW_QUIZ'!$I$4:$I$363=$B52)*'RAW_QUIZ'!$L$4:$L$363))/(SUMPRODUCT((IF(SelectedScope="All India",1,'RAW_QUIZ'!$B$4:$B$363=SelectedScope))*('RAW_QUIZ'!$I$4:$I$363=$B52)*'RAW_QUIZ'!$K$4:$K$363)),"")</f>
        <v/>
      </c>
      <c r="F52" s="12">
        <f>SUMPRODUCT((IF(SelectedScope="All India",1,'RAW_QUIZ'!$B$4:$B$363=SelectedScope))*('RAW_QUIZ'!$I$4:$I$363=$B52)*'RAW_QUIZ'!$M$4:$M$363)</f>
        <v>0</v>
      </c>
      <c r="G52" s="20" t="str">
        <f t="shared" si="3"/>
        <v/>
      </c>
      <c r="H52" s="20" t="str">
        <f>IFERROR(E52-E37,"")</f>
        <v/>
      </c>
      <c r="I52" s="16"/>
      <c r="J52" s="16"/>
    </row>
    <row r="53" spans="1:10" ht="16.05" customHeight="1" x14ac:dyDescent="0.3">
      <c r="A53" s="18">
        <v>23</v>
      </c>
      <c r="B53" s="18" t="s">
        <v>244</v>
      </c>
      <c r="C53" s="9">
        <f>SUMPRODUCT((IF(SelectedScope="All India",1,'RAW_QUIZ'!$B$4:$B$363=SelectedScope))*('RAW_QUIZ'!$I$4:$I$363=$B53))</f>
        <v>0</v>
      </c>
      <c r="D53" s="9">
        <f>SUMPRODUCT((IF(SelectedScope="All India",1,'RAW_QUIZ'!$B$4:$B$363=SelectedScope))*('RAW_QUIZ'!$I$4:$I$363=$B53)*'RAW_QUIZ'!$K$4:$K$363)</f>
        <v>0</v>
      </c>
      <c r="E53" s="21" t="str">
        <f>IFERROR((SUMPRODUCT((IF(SelectedScope="All India",1,'RAW_QUIZ'!$B$4:$B$363=SelectedScope))*('RAW_QUIZ'!$I$4:$I$363=$B53)*'RAW_QUIZ'!$L$4:$L$363))/(SUMPRODUCT((IF(SelectedScope="All India",1,'RAW_QUIZ'!$B$4:$B$363=SelectedScope))*('RAW_QUIZ'!$I$4:$I$363=$B53)*'RAW_QUIZ'!$K$4:$K$363)),"")</f>
        <v/>
      </c>
      <c r="F53" s="9">
        <f>SUMPRODUCT((IF(SelectedScope="All India",1,'RAW_QUIZ'!$B$4:$B$363=SelectedScope))*('RAW_QUIZ'!$I$4:$I$363=$B53)*'RAW_QUIZ'!$M$4:$M$363)</f>
        <v>0</v>
      </c>
      <c r="G53" s="21" t="str">
        <f t="shared" si="3"/>
        <v/>
      </c>
      <c r="H53" s="21" t="str">
        <f>IFERROR(E53-E37,"")</f>
        <v/>
      </c>
      <c r="I53" s="18"/>
      <c r="J53" s="18"/>
    </row>
  </sheetData>
  <mergeCells count="6">
    <mergeCell ref="A1:J1"/>
    <mergeCell ref="A3:J3"/>
    <mergeCell ref="A29:J29"/>
    <mergeCell ref="A4:J4"/>
    <mergeCell ref="A20:J20"/>
    <mergeCell ref="A2:J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544"/>
  <sheetViews>
    <sheetView showGridLines="0" workbookViewId="0">
      <pane xSplit="4" ySplit="4" topLeftCell="E5" activePane="bottomRight" state="frozen"/>
      <selection pane="topRight"/>
      <selection pane="bottomLeft"/>
      <selection pane="bottomRight" sqref="A1:R1"/>
    </sheetView>
  </sheetViews>
  <sheetFormatPr defaultRowHeight="14.4" x14ac:dyDescent="0.3"/>
  <cols>
    <col min="1" max="1" width="4" customWidth="1"/>
    <col min="2" max="2" width="22" customWidth="1"/>
    <col min="3" max="3" width="14" customWidth="1"/>
    <col min="4" max="4" width="11" customWidth="1"/>
    <col min="5" max="5" width="26" customWidth="1"/>
    <col min="6" max="6" width="13" customWidth="1"/>
    <col min="7" max="7" width="11" customWidth="1"/>
    <col min="8" max="8" width="10" customWidth="1"/>
    <col min="9" max="12" width="11" customWidth="1"/>
    <col min="13" max="16" width="12" customWidth="1"/>
    <col min="17" max="17" width="16" customWidth="1"/>
    <col min="18" max="18" width="14" customWidth="1"/>
  </cols>
  <sheetData>
    <row r="1" spans="1:18" ht="28.05" customHeight="1" x14ac:dyDescent="0.3">
      <c r="A1" s="32" t="s">
        <v>245</v>
      </c>
      <c r="B1" s="33"/>
      <c r="C1" s="33"/>
      <c r="D1" s="33"/>
      <c r="E1" s="33"/>
      <c r="F1" s="33"/>
      <c r="G1" s="33"/>
      <c r="H1" s="33"/>
      <c r="I1" s="33"/>
      <c r="J1" s="33"/>
      <c r="K1" s="33"/>
      <c r="L1" s="33"/>
      <c r="M1" s="33"/>
      <c r="N1" s="33"/>
      <c r="O1" s="33"/>
      <c r="P1" s="33"/>
      <c r="Q1" s="33"/>
      <c r="R1" s="33"/>
    </row>
    <row r="2" spans="1:18" ht="18" customHeight="1" x14ac:dyDescent="0.3">
      <c r="A2" s="38" t="str">
        <f>IF(SelectedScope="All India","NATIONAL VIEW — ALL INDIA","STATE VIEW — "&amp;SelectedScope)</f>
        <v>NATIONAL VIEW — ALL INDIA</v>
      </c>
      <c r="B2" s="33"/>
      <c r="C2" s="33"/>
      <c r="D2" s="33"/>
      <c r="E2" s="33"/>
      <c r="F2" s="33"/>
      <c r="G2" s="33"/>
      <c r="H2" s="33"/>
      <c r="I2" s="33"/>
      <c r="J2" s="33"/>
      <c r="K2" s="33"/>
      <c r="L2" s="33"/>
      <c r="M2" s="33"/>
      <c r="N2" s="33"/>
      <c r="O2" s="33"/>
      <c r="P2" s="33"/>
      <c r="Q2" s="33"/>
      <c r="R2" s="33"/>
    </row>
    <row r="3" spans="1:18" ht="16.05" customHeight="1" x14ac:dyDescent="0.3">
      <c r="A3" s="39" t="s">
        <v>246</v>
      </c>
      <c r="B3" s="33"/>
      <c r="C3" s="33"/>
      <c r="D3" s="33"/>
      <c r="E3" s="33"/>
      <c r="F3" s="33"/>
      <c r="G3" s="33"/>
      <c r="H3" s="33"/>
      <c r="I3" s="33"/>
      <c r="J3" s="33"/>
      <c r="K3" s="33"/>
      <c r="L3" s="33"/>
      <c r="M3" s="33"/>
      <c r="N3" s="33"/>
      <c r="O3" s="33"/>
      <c r="P3" s="33"/>
      <c r="Q3" s="33"/>
      <c r="R3" s="33"/>
    </row>
    <row r="4" spans="1:18" ht="31.95" customHeight="1" x14ac:dyDescent="0.3">
      <c r="A4" s="25" t="s">
        <v>78</v>
      </c>
      <c r="B4" s="25" t="s">
        <v>192</v>
      </c>
      <c r="C4" s="25" t="s">
        <v>135</v>
      </c>
      <c r="D4" s="25" t="s">
        <v>157</v>
      </c>
      <c r="E4" s="25" t="s">
        <v>156</v>
      </c>
      <c r="F4" s="25" t="s">
        <v>162</v>
      </c>
      <c r="G4" s="25" t="s">
        <v>247</v>
      </c>
      <c r="H4" s="25" t="s">
        <v>248</v>
      </c>
      <c r="I4" s="25" t="s">
        <v>249</v>
      </c>
      <c r="J4" s="25" t="s">
        <v>221</v>
      </c>
      <c r="K4" s="25" t="s">
        <v>250</v>
      </c>
      <c r="L4" s="25" t="s">
        <v>251</v>
      </c>
      <c r="M4" s="25" t="s">
        <v>252</v>
      </c>
      <c r="N4" s="25" t="s">
        <v>159</v>
      </c>
      <c r="O4" s="25" t="s">
        <v>161</v>
      </c>
      <c r="P4" s="25" t="s">
        <v>253</v>
      </c>
      <c r="Q4" s="25" t="s">
        <v>254</v>
      </c>
      <c r="R4" s="25" t="s">
        <v>255</v>
      </c>
    </row>
    <row r="5" spans="1:18" ht="15" customHeight="1" x14ac:dyDescent="0.3">
      <c r="A5" s="9">
        <f>IF(IF(SelectedScope="All India",TRUE,'RAW_AR_CONTENT'!$B4=SelectedScope),'RAW_AR_CONTENT'!A4,"")</f>
        <v>1</v>
      </c>
      <c r="B5" s="9" t="str">
        <f>IF(IF(SelectedScope="All India",TRUE,'RAW_AR_CONTENT'!$B4=SelectedScope),'RAW_AR_CONTENT'!B4,"")</f>
        <v>Andaman and Nicobar Islands</v>
      </c>
      <c r="C5" s="9" t="str">
        <f>IF(IF(SelectedScope="All India",TRUE,'RAW_AR_CONTENT'!$B4=SelectedScope),'RAW_AR_CONTENT'!C4,"")</f>
        <v>Science</v>
      </c>
      <c r="D5" s="9" t="str">
        <f>IF(IF(SelectedScope="All India",TRUE,'RAW_AR_CONTENT'!$B4=SelectedScope),'RAW_AR_CONTENT'!D4,"")</f>
        <v>Class 8</v>
      </c>
      <c r="E5" s="9" t="str">
        <f>IF(IF(SelectedScope="All India",TRUE,'RAW_AR_CONTENT'!$B4=SelectedScope),'RAW_AR_CONTENT'!E4,"")</f>
        <v>Solar System 3D</v>
      </c>
      <c r="F5" s="9" t="str">
        <f>IF(IF(SelectedScope="All India",TRUE,'RAW_AR_CONTENT'!$B4=SelectedScope),'RAW_AR_CONTENT'!F4,"")</f>
        <v>Animated</v>
      </c>
      <c r="G5" s="9" t="str">
        <f>IF(IF(SelectedScope="All India",TRUE,'RAW_AR_CONTENT'!$B4=SelectedScope),'RAW_AR_CONTENT'!G4,"")</f>
        <v>Active</v>
      </c>
      <c r="H5" s="9">
        <f>IF(IF(SelectedScope="All India",TRUE,'RAW_AR_CONTENT'!$B4=SelectedScope),'RAW_AR_CONTENT'!H4,"")</f>
        <v>0</v>
      </c>
      <c r="I5" s="9">
        <f>IF(IF(SelectedScope="All India",TRUE,'RAW_AR_CONTENT'!$B4=SelectedScope),'RAW_AR_CONTENT'!I4,"")</f>
        <v>0</v>
      </c>
      <c r="J5" s="9">
        <f>IF(IF(SelectedScope="All India",TRUE,'RAW_AR_CONTENT'!$B4=SelectedScope),'RAW_AR_CONTENT'!J4,"")</f>
        <v>0</v>
      </c>
      <c r="K5" s="9">
        <f>IF(IF(SelectedScope="All India",TRUE,'RAW_AR_CONTENT'!$B4=SelectedScope),'RAW_AR_CONTENT'!K4,"")</f>
        <v>0</v>
      </c>
      <c r="L5" s="9">
        <f>IF(IF(SelectedScope="All India",TRUE,'RAW_AR_CONTENT'!$B4=SelectedScope),'RAW_AR_CONTENT'!L4,"")</f>
        <v>0</v>
      </c>
      <c r="M5" s="9">
        <f>IF(IF(SelectedScope="All India",TRUE,'RAW_AR_CONTENT'!$B4=SelectedScope),'RAW_AR_CONTENT'!M4,"")</f>
        <v>0</v>
      </c>
      <c r="N5" s="9">
        <f>IF(IF(SelectedScope="All India",TRUE,'RAW_AR_CONTENT'!$B4=SelectedScope),'RAW_AR_CONTENT'!N4,"")</f>
        <v>0</v>
      </c>
      <c r="O5" s="9">
        <f>IF(IF(SelectedScope="All India",TRUE,'RAW_AR_CONTENT'!$B4=SelectedScope),'RAW_AR_CONTENT'!O4,"")</f>
        <v>0</v>
      </c>
      <c r="P5" s="9">
        <f>IF(IF(SelectedScope="All India",TRUE,'RAW_AR_CONTENT'!$B4=SelectedScope),'RAW_AR_CONTENT'!P4,"")</f>
        <v>0</v>
      </c>
      <c r="Q5" s="9">
        <f>IF(IF(SelectedScope="All India",TRUE,'RAW_AR_CONTENT'!$B4=SelectedScope),'RAW_AR_CONTENT'!Q4,"")</f>
        <v>0</v>
      </c>
      <c r="R5" s="9">
        <f>IF(IF(SelectedScope="All India",TRUE,'RAW_AR_CONTENT'!$B4=SelectedScope),'RAW_AR_CONTENT'!R4,"")</f>
        <v>0</v>
      </c>
    </row>
    <row r="6" spans="1:18" ht="15" customHeight="1" x14ac:dyDescent="0.3">
      <c r="A6" s="12">
        <f>IF(IF(SelectedScope="All India",TRUE,'RAW_AR_CONTENT'!$B5=SelectedScope),'RAW_AR_CONTENT'!A5,"")</f>
        <v>2</v>
      </c>
      <c r="B6" s="12" t="str">
        <f>IF(IF(SelectedScope="All India",TRUE,'RAW_AR_CONTENT'!$B5=SelectedScope),'RAW_AR_CONTENT'!B5,"")</f>
        <v>Andaman and Nicobar Islands</v>
      </c>
      <c r="C6" s="12" t="str">
        <f>IF(IF(SelectedScope="All India",TRUE,'RAW_AR_CONTENT'!$B5=SelectedScope),'RAW_AR_CONTENT'!C5,"")</f>
        <v>Biology</v>
      </c>
      <c r="D6" s="12" t="str">
        <f>IF(IF(SelectedScope="All India",TRUE,'RAW_AR_CONTENT'!$B5=SelectedScope),'RAW_AR_CONTENT'!D5,"")</f>
        <v>Class 9</v>
      </c>
      <c r="E6" s="12" t="str">
        <f>IF(IF(SelectedScope="All India",TRUE,'RAW_AR_CONTENT'!$B5=SelectedScope),'RAW_AR_CONTENT'!E5,"")</f>
        <v>Cell Division</v>
      </c>
      <c r="F6" s="12" t="str">
        <f>IF(IF(SelectedScope="All India",TRUE,'RAW_AR_CONTENT'!$B5=SelectedScope),'RAW_AR_CONTENT'!F5,"")</f>
        <v>Interactive</v>
      </c>
      <c r="G6" s="12" t="str">
        <f>IF(IF(SelectedScope="All India",TRUE,'RAW_AR_CONTENT'!$B5=SelectedScope),'RAW_AR_CONTENT'!G5,"")</f>
        <v>Active</v>
      </c>
      <c r="H6" s="12">
        <f>IF(IF(SelectedScope="All India",TRUE,'RAW_AR_CONTENT'!$B5=SelectedScope),'RAW_AR_CONTENT'!H5,"")</f>
        <v>0</v>
      </c>
      <c r="I6" s="12">
        <f>IF(IF(SelectedScope="All India",TRUE,'RAW_AR_CONTENT'!$B5=SelectedScope),'RAW_AR_CONTENT'!I5,"")</f>
        <v>0</v>
      </c>
      <c r="J6" s="12">
        <f>IF(IF(SelectedScope="All India",TRUE,'RAW_AR_CONTENT'!$B5=SelectedScope),'RAW_AR_CONTENT'!J5,"")</f>
        <v>0</v>
      </c>
      <c r="K6" s="12">
        <f>IF(IF(SelectedScope="All India",TRUE,'RAW_AR_CONTENT'!$B5=SelectedScope),'RAW_AR_CONTENT'!K5,"")</f>
        <v>0</v>
      </c>
      <c r="L6" s="12">
        <f>IF(IF(SelectedScope="All India",TRUE,'RAW_AR_CONTENT'!$B5=SelectedScope),'RAW_AR_CONTENT'!L5,"")</f>
        <v>0</v>
      </c>
      <c r="M6" s="12">
        <f>IF(IF(SelectedScope="All India",TRUE,'RAW_AR_CONTENT'!$B5=SelectedScope),'RAW_AR_CONTENT'!M5,"")</f>
        <v>0</v>
      </c>
      <c r="N6" s="12">
        <f>IF(IF(SelectedScope="All India",TRUE,'RAW_AR_CONTENT'!$B5=SelectedScope),'RAW_AR_CONTENT'!N5,"")</f>
        <v>0</v>
      </c>
      <c r="O6" s="12">
        <f>IF(IF(SelectedScope="All India",TRUE,'RAW_AR_CONTENT'!$B5=SelectedScope),'RAW_AR_CONTENT'!O5,"")</f>
        <v>0</v>
      </c>
      <c r="P6" s="12">
        <f>IF(IF(SelectedScope="All India",TRUE,'RAW_AR_CONTENT'!$B5=SelectedScope),'RAW_AR_CONTENT'!P5,"")</f>
        <v>0</v>
      </c>
      <c r="Q6" s="12">
        <f>IF(IF(SelectedScope="All India",TRUE,'RAW_AR_CONTENT'!$B5=SelectedScope),'RAW_AR_CONTENT'!Q5,"")</f>
        <v>0</v>
      </c>
      <c r="R6" s="12">
        <f>IF(IF(SelectedScope="All India",TRUE,'RAW_AR_CONTENT'!$B5=SelectedScope),'RAW_AR_CONTENT'!R5,"")</f>
        <v>0</v>
      </c>
    </row>
    <row r="7" spans="1:18" ht="15" customHeight="1" x14ac:dyDescent="0.3">
      <c r="A7" s="9">
        <f>IF(IF(SelectedScope="All India",TRUE,'RAW_AR_CONTENT'!$B6=SelectedScope),'RAW_AR_CONTENT'!A6,"")</f>
        <v>3</v>
      </c>
      <c r="B7" s="9" t="str">
        <f>IF(IF(SelectedScope="All India",TRUE,'RAW_AR_CONTENT'!$B6=SelectedScope),'RAW_AR_CONTENT'!B6,"")</f>
        <v>Andaman and Nicobar Islands</v>
      </c>
      <c r="C7" s="9" t="str">
        <f>IF(IF(SelectedScope="All India",TRUE,'RAW_AR_CONTENT'!$B6=SelectedScope),'RAW_AR_CONTENT'!C6,"")</f>
        <v>Chemistry</v>
      </c>
      <c r="D7" s="9" t="str">
        <f>IF(IF(SelectedScope="All India",TRUE,'RAW_AR_CONTENT'!$B6=SelectedScope),'RAW_AR_CONTENT'!D6,"")</f>
        <v>Class 9</v>
      </c>
      <c r="E7" s="9" t="str">
        <f>IF(IF(SelectedScope="All India",TRUE,'RAW_AR_CONTENT'!$B6=SelectedScope),'RAW_AR_CONTENT'!E6,"")</f>
        <v>Atoms and Molecules</v>
      </c>
      <c r="F7" s="9" t="str">
        <f>IF(IF(SelectedScope="All India",TRUE,'RAW_AR_CONTENT'!$B6=SelectedScope),'RAW_AR_CONTENT'!F6,"")</f>
        <v>Animated</v>
      </c>
      <c r="G7" s="9" t="str">
        <f>IF(IF(SelectedScope="All India",TRUE,'RAW_AR_CONTENT'!$B6=SelectedScope),'RAW_AR_CONTENT'!G6,"")</f>
        <v>Active</v>
      </c>
      <c r="H7" s="9">
        <f>IF(IF(SelectedScope="All India",TRUE,'RAW_AR_CONTENT'!$B6=SelectedScope),'RAW_AR_CONTENT'!H6,"")</f>
        <v>0</v>
      </c>
      <c r="I7" s="9">
        <f>IF(IF(SelectedScope="All India",TRUE,'RAW_AR_CONTENT'!$B6=SelectedScope),'RAW_AR_CONTENT'!I6,"")</f>
        <v>0</v>
      </c>
      <c r="J7" s="9">
        <f>IF(IF(SelectedScope="All India",TRUE,'RAW_AR_CONTENT'!$B6=SelectedScope),'RAW_AR_CONTENT'!J6,"")</f>
        <v>0</v>
      </c>
      <c r="K7" s="9">
        <f>IF(IF(SelectedScope="All India",TRUE,'RAW_AR_CONTENT'!$B6=SelectedScope),'RAW_AR_CONTENT'!K6,"")</f>
        <v>0</v>
      </c>
      <c r="L7" s="9">
        <f>IF(IF(SelectedScope="All India",TRUE,'RAW_AR_CONTENT'!$B6=SelectedScope),'RAW_AR_CONTENT'!L6,"")</f>
        <v>0</v>
      </c>
      <c r="M7" s="9">
        <f>IF(IF(SelectedScope="All India",TRUE,'RAW_AR_CONTENT'!$B6=SelectedScope),'RAW_AR_CONTENT'!M6,"")</f>
        <v>0</v>
      </c>
      <c r="N7" s="9">
        <f>IF(IF(SelectedScope="All India",TRUE,'RAW_AR_CONTENT'!$B6=SelectedScope),'RAW_AR_CONTENT'!N6,"")</f>
        <v>0</v>
      </c>
      <c r="O7" s="9">
        <f>IF(IF(SelectedScope="All India",TRUE,'RAW_AR_CONTENT'!$B6=SelectedScope),'RAW_AR_CONTENT'!O6,"")</f>
        <v>0</v>
      </c>
      <c r="P7" s="9">
        <f>IF(IF(SelectedScope="All India",TRUE,'RAW_AR_CONTENT'!$B6=SelectedScope),'RAW_AR_CONTENT'!P6,"")</f>
        <v>0</v>
      </c>
      <c r="Q7" s="9">
        <f>IF(IF(SelectedScope="All India",TRUE,'RAW_AR_CONTENT'!$B6=SelectedScope),'RAW_AR_CONTENT'!Q6,"")</f>
        <v>0</v>
      </c>
      <c r="R7" s="9">
        <f>IF(IF(SelectedScope="All India",TRUE,'RAW_AR_CONTENT'!$B6=SelectedScope),'RAW_AR_CONTENT'!R6,"")</f>
        <v>0</v>
      </c>
    </row>
    <row r="8" spans="1:18" ht="15" customHeight="1" x14ac:dyDescent="0.3">
      <c r="A8" s="12">
        <f>IF(IF(SelectedScope="All India",TRUE,'RAW_AR_CONTENT'!$B7=SelectedScope),'RAW_AR_CONTENT'!A7,"")</f>
        <v>4</v>
      </c>
      <c r="B8" s="12" t="str">
        <f>IF(IF(SelectedScope="All India",TRUE,'RAW_AR_CONTENT'!$B7=SelectedScope),'RAW_AR_CONTENT'!B7,"")</f>
        <v>Andaman and Nicobar Islands</v>
      </c>
      <c r="C8" s="12" t="str">
        <f>IF(IF(SelectedScope="All India",TRUE,'RAW_AR_CONTENT'!$B7=SelectedScope),'RAW_AR_CONTENT'!C7,"")</f>
        <v>Biology</v>
      </c>
      <c r="D8" s="12" t="str">
        <f>IF(IF(SelectedScope="All India",TRUE,'RAW_AR_CONTENT'!$B7=SelectedScope),'RAW_AR_CONTENT'!D7,"")</f>
        <v>Class 7</v>
      </c>
      <c r="E8" s="12" t="str">
        <f>IF(IF(SelectedScope="All India",TRUE,'RAW_AR_CONTENT'!$B7=SelectedScope),'RAW_AR_CONTENT'!E7,"")</f>
        <v>Photosynthesis</v>
      </c>
      <c r="F8" s="12" t="str">
        <f>IF(IF(SelectedScope="All India",TRUE,'RAW_AR_CONTENT'!$B7=SelectedScope),'RAW_AR_CONTENT'!F7,"")</f>
        <v>Basic 3D</v>
      </c>
      <c r="G8" s="12" t="str">
        <f>IF(IF(SelectedScope="All India",TRUE,'RAW_AR_CONTENT'!$B7=SelectedScope),'RAW_AR_CONTENT'!G7,"")</f>
        <v>Active</v>
      </c>
      <c r="H8" s="12">
        <f>IF(IF(SelectedScope="All India",TRUE,'RAW_AR_CONTENT'!$B7=SelectedScope),'RAW_AR_CONTENT'!H7,"")</f>
        <v>0</v>
      </c>
      <c r="I8" s="12">
        <f>IF(IF(SelectedScope="All India",TRUE,'RAW_AR_CONTENT'!$B7=SelectedScope),'RAW_AR_CONTENT'!I7,"")</f>
        <v>0</v>
      </c>
      <c r="J8" s="12">
        <f>IF(IF(SelectedScope="All India",TRUE,'RAW_AR_CONTENT'!$B7=SelectedScope),'RAW_AR_CONTENT'!J7,"")</f>
        <v>0</v>
      </c>
      <c r="K8" s="12">
        <f>IF(IF(SelectedScope="All India",TRUE,'RAW_AR_CONTENT'!$B7=SelectedScope),'RAW_AR_CONTENT'!K7,"")</f>
        <v>0</v>
      </c>
      <c r="L8" s="12">
        <f>IF(IF(SelectedScope="All India",TRUE,'RAW_AR_CONTENT'!$B7=SelectedScope),'RAW_AR_CONTENT'!L7,"")</f>
        <v>0</v>
      </c>
      <c r="M8" s="12">
        <f>IF(IF(SelectedScope="All India",TRUE,'RAW_AR_CONTENT'!$B7=SelectedScope),'RAW_AR_CONTENT'!M7,"")</f>
        <v>0</v>
      </c>
      <c r="N8" s="12">
        <f>IF(IF(SelectedScope="All India",TRUE,'RAW_AR_CONTENT'!$B7=SelectedScope),'RAW_AR_CONTENT'!N7,"")</f>
        <v>0</v>
      </c>
      <c r="O8" s="12">
        <f>IF(IF(SelectedScope="All India",TRUE,'RAW_AR_CONTENT'!$B7=SelectedScope),'RAW_AR_CONTENT'!O7,"")</f>
        <v>0</v>
      </c>
      <c r="P8" s="12">
        <f>IF(IF(SelectedScope="All India",TRUE,'RAW_AR_CONTENT'!$B7=SelectedScope),'RAW_AR_CONTENT'!P7,"")</f>
        <v>0</v>
      </c>
      <c r="Q8" s="12">
        <f>IF(IF(SelectedScope="All India",TRUE,'RAW_AR_CONTENT'!$B7=SelectedScope),'RAW_AR_CONTENT'!Q7,"")</f>
        <v>0</v>
      </c>
      <c r="R8" s="12">
        <f>IF(IF(SelectedScope="All India",TRUE,'RAW_AR_CONTENT'!$B7=SelectedScope),'RAW_AR_CONTENT'!R7,"")</f>
        <v>0</v>
      </c>
    </row>
    <row r="9" spans="1:18" ht="15" customHeight="1" x14ac:dyDescent="0.3">
      <c r="A9" s="9">
        <f>IF(IF(SelectedScope="All India",TRUE,'RAW_AR_CONTENT'!$B8=SelectedScope),'RAW_AR_CONTENT'!A8,"")</f>
        <v>5</v>
      </c>
      <c r="B9" s="9" t="str">
        <f>IF(IF(SelectedScope="All India",TRUE,'RAW_AR_CONTENT'!$B8=SelectedScope),'RAW_AR_CONTENT'!B8,"")</f>
        <v>Andaman and Nicobar Islands</v>
      </c>
      <c r="C9" s="9" t="str">
        <f>IF(IF(SelectedScope="All India",TRUE,'RAW_AR_CONTENT'!$B8=SelectedScope),'RAW_AR_CONTENT'!C8,"")</f>
        <v>Mathematics</v>
      </c>
      <c r="D9" s="9" t="str">
        <f>IF(IF(SelectedScope="All India",TRUE,'RAW_AR_CONTENT'!$B8=SelectedScope),'RAW_AR_CONTENT'!D8,"")</f>
        <v>Class 7</v>
      </c>
      <c r="E9" s="9" t="str">
        <f>IF(IF(SelectedScope="All India",TRUE,'RAW_AR_CONTENT'!$B8=SelectedScope),'RAW_AR_CONTENT'!E8,"")</f>
        <v>Fractions 3D Model</v>
      </c>
      <c r="F9" s="9" t="str">
        <f>IF(IF(SelectedScope="All India",TRUE,'RAW_AR_CONTENT'!$B8=SelectedScope),'RAW_AR_CONTENT'!F8,"")</f>
        <v>Interactive</v>
      </c>
      <c r="G9" s="9" t="str">
        <f>IF(IF(SelectedScope="All India",TRUE,'RAW_AR_CONTENT'!$B8=SelectedScope),'RAW_AR_CONTENT'!G8,"")</f>
        <v>Active</v>
      </c>
      <c r="H9" s="9">
        <f>IF(IF(SelectedScope="All India",TRUE,'RAW_AR_CONTENT'!$B8=SelectedScope),'RAW_AR_CONTENT'!H8,"")</f>
        <v>0</v>
      </c>
      <c r="I9" s="9">
        <f>IF(IF(SelectedScope="All India",TRUE,'RAW_AR_CONTENT'!$B8=SelectedScope),'RAW_AR_CONTENT'!I8,"")</f>
        <v>0</v>
      </c>
      <c r="J9" s="9">
        <f>IF(IF(SelectedScope="All India",TRUE,'RAW_AR_CONTENT'!$B8=SelectedScope),'RAW_AR_CONTENT'!J8,"")</f>
        <v>0</v>
      </c>
      <c r="K9" s="9">
        <f>IF(IF(SelectedScope="All India",TRUE,'RAW_AR_CONTENT'!$B8=SelectedScope),'RAW_AR_CONTENT'!K8,"")</f>
        <v>0</v>
      </c>
      <c r="L9" s="9">
        <f>IF(IF(SelectedScope="All India",TRUE,'RAW_AR_CONTENT'!$B8=SelectedScope),'RAW_AR_CONTENT'!L8,"")</f>
        <v>0</v>
      </c>
      <c r="M9" s="9">
        <f>IF(IF(SelectedScope="All India",TRUE,'RAW_AR_CONTENT'!$B8=SelectedScope),'RAW_AR_CONTENT'!M8,"")</f>
        <v>0</v>
      </c>
      <c r="N9" s="9">
        <f>IF(IF(SelectedScope="All India",TRUE,'RAW_AR_CONTENT'!$B8=SelectedScope),'RAW_AR_CONTENT'!N8,"")</f>
        <v>0</v>
      </c>
      <c r="O9" s="9">
        <f>IF(IF(SelectedScope="All India",TRUE,'RAW_AR_CONTENT'!$B8=SelectedScope),'RAW_AR_CONTENT'!O8,"")</f>
        <v>0</v>
      </c>
      <c r="P9" s="9">
        <f>IF(IF(SelectedScope="All India",TRUE,'RAW_AR_CONTENT'!$B8=SelectedScope),'RAW_AR_CONTENT'!P8,"")</f>
        <v>0</v>
      </c>
      <c r="Q9" s="9">
        <f>IF(IF(SelectedScope="All India",TRUE,'RAW_AR_CONTENT'!$B8=SelectedScope),'RAW_AR_CONTENT'!Q8,"")</f>
        <v>0</v>
      </c>
      <c r="R9" s="9">
        <f>IF(IF(SelectedScope="All India",TRUE,'RAW_AR_CONTENT'!$B8=SelectedScope),'RAW_AR_CONTENT'!R8,"")</f>
        <v>0</v>
      </c>
    </row>
    <row r="10" spans="1:18" ht="15" customHeight="1" x14ac:dyDescent="0.3">
      <c r="A10" s="12">
        <f>IF(IF(SelectedScope="All India",TRUE,'RAW_AR_CONTENT'!$B9=SelectedScope),'RAW_AR_CONTENT'!A9,"")</f>
        <v>6</v>
      </c>
      <c r="B10" s="12" t="str">
        <f>IF(IF(SelectedScope="All India",TRUE,'RAW_AR_CONTENT'!$B9=SelectedScope),'RAW_AR_CONTENT'!B9,"")</f>
        <v>Andaman and Nicobar Islands</v>
      </c>
      <c r="C10" s="12" t="str">
        <f>IF(IF(SelectedScope="All India",TRUE,'RAW_AR_CONTENT'!$B9=SelectedScope),'RAW_AR_CONTENT'!C9,"")</f>
        <v>Mathematics</v>
      </c>
      <c r="D10" s="12" t="str">
        <f>IF(IF(SelectedScope="All India",TRUE,'RAW_AR_CONTENT'!$B9=SelectedScope),'RAW_AR_CONTENT'!D9,"")</f>
        <v>Class 10</v>
      </c>
      <c r="E10" s="12" t="str">
        <f>IF(IF(SelectedScope="All India",TRUE,'RAW_AR_CONTENT'!$B9=SelectedScope),'RAW_AR_CONTENT'!E9,"")</f>
        <v>Trigonometry 3D</v>
      </c>
      <c r="F10" s="12" t="str">
        <f>IF(IF(SelectedScope="All India",TRUE,'RAW_AR_CONTENT'!$B9=SelectedScope),'RAW_AR_CONTENT'!F9,"")</f>
        <v>Animated</v>
      </c>
      <c r="G10" s="12" t="str">
        <f>IF(IF(SelectedScope="All India",TRUE,'RAW_AR_CONTENT'!$B9=SelectedScope),'RAW_AR_CONTENT'!G9,"")</f>
        <v>Active</v>
      </c>
      <c r="H10" s="12">
        <f>IF(IF(SelectedScope="All India",TRUE,'RAW_AR_CONTENT'!$B9=SelectedScope),'RAW_AR_CONTENT'!H9,"")</f>
        <v>0</v>
      </c>
      <c r="I10" s="12">
        <f>IF(IF(SelectedScope="All India",TRUE,'RAW_AR_CONTENT'!$B9=SelectedScope),'RAW_AR_CONTENT'!I9,"")</f>
        <v>0</v>
      </c>
      <c r="J10" s="12">
        <f>IF(IF(SelectedScope="All India",TRUE,'RAW_AR_CONTENT'!$B9=SelectedScope),'RAW_AR_CONTENT'!J9,"")</f>
        <v>0</v>
      </c>
      <c r="K10" s="12">
        <f>IF(IF(SelectedScope="All India",TRUE,'RAW_AR_CONTENT'!$B9=SelectedScope),'RAW_AR_CONTENT'!K9,"")</f>
        <v>0</v>
      </c>
      <c r="L10" s="12">
        <f>IF(IF(SelectedScope="All India",TRUE,'RAW_AR_CONTENT'!$B9=SelectedScope),'RAW_AR_CONTENT'!L9,"")</f>
        <v>0</v>
      </c>
      <c r="M10" s="12">
        <f>IF(IF(SelectedScope="All India",TRUE,'RAW_AR_CONTENT'!$B9=SelectedScope),'RAW_AR_CONTENT'!M9,"")</f>
        <v>0</v>
      </c>
      <c r="N10" s="12">
        <f>IF(IF(SelectedScope="All India",TRUE,'RAW_AR_CONTENT'!$B9=SelectedScope),'RAW_AR_CONTENT'!N9,"")</f>
        <v>0</v>
      </c>
      <c r="O10" s="12">
        <f>IF(IF(SelectedScope="All India",TRUE,'RAW_AR_CONTENT'!$B9=SelectedScope),'RAW_AR_CONTENT'!O9,"")</f>
        <v>0</v>
      </c>
      <c r="P10" s="12">
        <f>IF(IF(SelectedScope="All India",TRUE,'RAW_AR_CONTENT'!$B9=SelectedScope),'RAW_AR_CONTENT'!P9,"")</f>
        <v>0</v>
      </c>
      <c r="Q10" s="12">
        <f>IF(IF(SelectedScope="All India",TRUE,'RAW_AR_CONTENT'!$B9=SelectedScope),'RAW_AR_CONTENT'!Q9,"")</f>
        <v>0</v>
      </c>
      <c r="R10" s="12">
        <f>IF(IF(SelectedScope="All India",TRUE,'RAW_AR_CONTENT'!$B9=SelectedScope),'RAW_AR_CONTENT'!R9,"")</f>
        <v>0</v>
      </c>
    </row>
    <row r="11" spans="1:18" ht="15" customHeight="1" x14ac:dyDescent="0.3">
      <c r="A11" s="9">
        <f>IF(IF(SelectedScope="All India",TRUE,'RAW_AR_CONTENT'!$B10=SelectedScope),'RAW_AR_CONTENT'!A10,"")</f>
        <v>7</v>
      </c>
      <c r="B11" s="9" t="str">
        <f>IF(IF(SelectedScope="All India",TRUE,'RAW_AR_CONTENT'!$B10=SelectedScope),'RAW_AR_CONTENT'!B10,"")</f>
        <v>Andaman and Nicobar Islands</v>
      </c>
      <c r="C11" s="9" t="str">
        <f>IF(IF(SelectedScope="All India",TRUE,'RAW_AR_CONTENT'!$B10=SelectedScope),'RAW_AR_CONTENT'!C10,"")</f>
        <v>History</v>
      </c>
      <c r="D11" s="9" t="str">
        <f>IF(IF(SelectedScope="All India",TRUE,'RAW_AR_CONTENT'!$B10=SelectedScope),'RAW_AR_CONTENT'!D10,"")</f>
        <v>Class 10</v>
      </c>
      <c r="E11" s="9" t="str">
        <f>IF(IF(SelectedScope="All India",TRUE,'RAW_AR_CONTENT'!$B10=SelectedScope),'RAW_AR_CONTENT'!E10,"")</f>
        <v>Mughal Empire AR</v>
      </c>
      <c r="F11" s="9" t="str">
        <f>IF(IF(SelectedScope="All India",TRUE,'RAW_AR_CONTENT'!$B10=SelectedScope),'RAW_AR_CONTENT'!F10,"")</f>
        <v>Basic 3D</v>
      </c>
      <c r="G11" s="9" t="str">
        <f>IF(IF(SelectedScope="All India",TRUE,'RAW_AR_CONTENT'!$B10=SelectedScope),'RAW_AR_CONTENT'!G10,"")</f>
        <v>Active</v>
      </c>
      <c r="H11" s="9">
        <f>IF(IF(SelectedScope="All India",TRUE,'RAW_AR_CONTENT'!$B10=SelectedScope),'RAW_AR_CONTENT'!H10,"")</f>
        <v>0</v>
      </c>
      <c r="I11" s="9">
        <f>IF(IF(SelectedScope="All India",TRUE,'RAW_AR_CONTENT'!$B10=SelectedScope),'RAW_AR_CONTENT'!I10,"")</f>
        <v>0</v>
      </c>
      <c r="J11" s="9">
        <f>IF(IF(SelectedScope="All India",TRUE,'RAW_AR_CONTENT'!$B10=SelectedScope),'RAW_AR_CONTENT'!J10,"")</f>
        <v>0</v>
      </c>
      <c r="K11" s="9">
        <f>IF(IF(SelectedScope="All India",TRUE,'RAW_AR_CONTENT'!$B10=SelectedScope),'RAW_AR_CONTENT'!K10,"")</f>
        <v>0</v>
      </c>
      <c r="L11" s="9">
        <f>IF(IF(SelectedScope="All India",TRUE,'RAW_AR_CONTENT'!$B10=SelectedScope),'RAW_AR_CONTENT'!L10,"")</f>
        <v>0</v>
      </c>
      <c r="M11" s="9">
        <f>IF(IF(SelectedScope="All India",TRUE,'RAW_AR_CONTENT'!$B10=SelectedScope),'RAW_AR_CONTENT'!M10,"")</f>
        <v>0</v>
      </c>
      <c r="N11" s="9">
        <f>IF(IF(SelectedScope="All India",TRUE,'RAW_AR_CONTENT'!$B10=SelectedScope),'RAW_AR_CONTENT'!N10,"")</f>
        <v>0</v>
      </c>
      <c r="O11" s="9">
        <f>IF(IF(SelectedScope="All India",TRUE,'RAW_AR_CONTENT'!$B10=SelectedScope),'RAW_AR_CONTENT'!O10,"")</f>
        <v>0</v>
      </c>
      <c r="P11" s="9">
        <f>IF(IF(SelectedScope="All India",TRUE,'RAW_AR_CONTENT'!$B10=SelectedScope),'RAW_AR_CONTENT'!P10,"")</f>
        <v>0</v>
      </c>
      <c r="Q11" s="9">
        <f>IF(IF(SelectedScope="All India",TRUE,'RAW_AR_CONTENT'!$B10=SelectedScope),'RAW_AR_CONTENT'!Q10,"")</f>
        <v>0</v>
      </c>
      <c r="R11" s="9">
        <f>IF(IF(SelectedScope="All India",TRUE,'RAW_AR_CONTENT'!$B10=SelectedScope),'RAW_AR_CONTENT'!R10,"")</f>
        <v>0</v>
      </c>
    </row>
    <row r="12" spans="1:18" ht="15" customHeight="1" x14ac:dyDescent="0.3">
      <c r="A12" s="12">
        <f>IF(IF(SelectedScope="All India",TRUE,'RAW_AR_CONTENT'!$B11=SelectedScope),'RAW_AR_CONTENT'!A11,"")</f>
        <v>8</v>
      </c>
      <c r="B12" s="12" t="str">
        <f>IF(IF(SelectedScope="All India",TRUE,'RAW_AR_CONTENT'!$B11=SelectedScope),'RAW_AR_CONTENT'!B11,"")</f>
        <v>Andaman and Nicobar Islands</v>
      </c>
      <c r="C12" s="12" t="str">
        <f>IF(IF(SelectedScope="All India",TRUE,'RAW_AR_CONTENT'!$B11=SelectedScope),'RAW_AR_CONTENT'!C11,"")</f>
        <v>Geography</v>
      </c>
      <c r="D12" s="12" t="str">
        <f>IF(IF(SelectedScope="All India",TRUE,'RAW_AR_CONTENT'!$B11=SelectedScope),'RAW_AR_CONTENT'!D11,"")</f>
        <v>Class 6</v>
      </c>
      <c r="E12" s="12" t="str">
        <f>IF(IF(SelectedScope="All India",TRUE,'RAW_AR_CONTENT'!$B11=SelectedScope),'RAW_AR_CONTENT'!E11,"")</f>
        <v>Water Cycle Simulation</v>
      </c>
      <c r="F12" s="12" t="str">
        <f>IF(IF(SelectedScope="All India",TRUE,'RAW_AR_CONTENT'!$B11=SelectedScope),'RAW_AR_CONTENT'!F11,"")</f>
        <v>Animated</v>
      </c>
      <c r="G12" s="12" t="str">
        <f>IF(IF(SelectedScope="All India",TRUE,'RAW_AR_CONTENT'!$B11=SelectedScope),'RAW_AR_CONTENT'!G11,"")</f>
        <v>Active</v>
      </c>
      <c r="H12" s="12">
        <f>IF(IF(SelectedScope="All India",TRUE,'RAW_AR_CONTENT'!$B11=SelectedScope),'RAW_AR_CONTENT'!H11,"")</f>
        <v>0</v>
      </c>
      <c r="I12" s="12">
        <f>IF(IF(SelectedScope="All India",TRUE,'RAW_AR_CONTENT'!$B11=SelectedScope),'RAW_AR_CONTENT'!I11,"")</f>
        <v>0</v>
      </c>
      <c r="J12" s="12">
        <f>IF(IF(SelectedScope="All India",TRUE,'RAW_AR_CONTENT'!$B11=SelectedScope),'RAW_AR_CONTENT'!J11,"")</f>
        <v>0</v>
      </c>
      <c r="K12" s="12">
        <f>IF(IF(SelectedScope="All India",TRUE,'RAW_AR_CONTENT'!$B11=SelectedScope),'RAW_AR_CONTENT'!K11,"")</f>
        <v>0</v>
      </c>
      <c r="L12" s="12">
        <f>IF(IF(SelectedScope="All India",TRUE,'RAW_AR_CONTENT'!$B11=SelectedScope),'RAW_AR_CONTENT'!L11,"")</f>
        <v>0</v>
      </c>
      <c r="M12" s="12">
        <f>IF(IF(SelectedScope="All India",TRUE,'RAW_AR_CONTENT'!$B11=SelectedScope),'RAW_AR_CONTENT'!M11,"")</f>
        <v>0</v>
      </c>
      <c r="N12" s="12">
        <f>IF(IF(SelectedScope="All India",TRUE,'RAW_AR_CONTENT'!$B11=SelectedScope),'RAW_AR_CONTENT'!N11,"")</f>
        <v>0</v>
      </c>
      <c r="O12" s="12">
        <f>IF(IF(SelectedScope="All India",TRUE,'RAW_AR_CONTENT'!$B11=SelectedScope),'RAW_AR_CONTENT'!O11,"")</f>
        <v>0</v>
      </c>
      <c r="P12" s="12">
        <f>IF(IF(SelectedScope="All India",TRUE,'RAW_AR_CONTENT'!$B11=SelectedScope),'RAW_AR_CONTENT'!P11,"")</f>
        <v>0</v>
      </c>
      <c r="Q12" s="12">
        <f>IF(IF(SelectedScope="All India",TRUE,'RAW_AR_CONTENT'!$B11=SelectedScope),'RAW_AR_CONTENT'!Q11,"")</f>
        <v>0</v>
      </c>
      <c r="R12" s="12">
        <f>IF(IF(SelectedScope="All India",TRUE,'RAW_AR_CONTENT'!$B11=SelectedScope),'RAW_AR_CONTENT'!R11,"")</f>
        <v>0</v>
      </c>
    </row>
    <row r="13" spans="1:18" ht="15" customHeight="1" x14ac:dyDescent="0.3">
      <c r="A13" s="9">
        <f>IF(IF(SelectedScope="All India",TRUE,'RAW_AR_CONTENT'!$B12=SelectedScope),'RAW_AR_CONTENT'!A12,"")</f>
        <v>9</v>
      </c>
      <c r="B13" s="9" t="str">
        <f>IF(IF(SelectedScope="All India",TRUE,'RAW_AR_CONTENT'!$B12=SelectedScope),'RAW_AR_CONTENT'!B12,"")</f>
        <v>Andaman and Nicobar Islands</v>
      </c>
      <c r="C13" s="9" t="str">
        <f>IF(IF(SelectedScope="All India",TRUE,'RAW_AR_CONTENT'!$B12=SelectedScope),'RAW_AR_CONTENT'!C12,"")</f>
        <v>Biology</v>
      </c>
      <c r="D13" s="9" t="str">
        <f>IF(IF(SelectedScope="All India",TRUE,'RAW_AR_CONTENT'!$B12=SelectedScope),'RAW_AR_CONTENT'!D12,"")</f>
        <v>Class 11</v>
      </c>
      <c r="E13" s="9" t="str">
        <f>IF(IF(SelectedScope="All India",TRUE,'RAW_AR_CONTENT'!$B12=SelectedScope),'RAW_AR_CONTENT'!E12,"")</f>
        <v>Human Anatomy AR</v>
      </c>
      <c r="F13" s="9" t="str">
        <f>IF(IF(SelectedScope="All India",TRUE,'RAW_AR_CONTENT'!$B12=SelectedScope),'RAW_AR_CONTENT'!F12,"")</f>
        <v>Fully Immersive</v>
      </c>
      <c r="G13" s="9" t="str">
        <f>IF(IF(SelectedScope="All India",TRUE,'RAW_AR_CONTENT'!$B12=SelectedScope),'RAW_AR_CONTENT'!G12,"")</f>
        <v>Active</v>
      </c>
      <c r="H13" s="9">
        <f>IF(IF(SelectedScope="All India",TRUE,'RAW_AR_CONTENT'!$B12=SelectedScope),'RAW_AR_CONTENT'!H12,"")</f>
        <v>0</v>
      </c>
      <c r="I13" s="9">
        <f>IF(IF(SelectedScope="All India",TRUE,'RAW_AR_CONTENT'!$B12=SelectedScope),'RAW_AR_CONTENT'!I12,"")</f>
        <v>0</v>
      </c>
      <c r="J13" s="9">
        <f>IF(IF(SelectedScope="All India",TRUE,'RAW_AR_CONTENT'!$B12=SelectedScope),'RAW_AR_CONTENT'!J12,"")</f>
        <v>0</v>
      </c>
      <c r="K13" s="9">
        <f>IF(IF(SelectedScope="All India",TRUE,'RAW_AR_CONTENT'!$B12=SelectedScope),'RAW_AR_CONTENT'!K12,"")</f>
        <v>0</v>
      </c>
      <c r="L13" s="9">
        <f>IF(IF(SelectedScope="All India",TRUE,'RAW_AR_CONTENT'!$B12=SelectedScope),'RAW_AR_CONTENT'!L12,"")</f>
        <v>0</v>
      </c>
      <c r="M13" s="9">
        <f>IF(IF(SelectedScope="All India",TRUE,'RAW_AR_CONTENT'!$B12=SelectedScope),'RAW_AR_CONTENT'!M12,"")</f>
        <v>0</v>
      </c>
      <c r="N13" s="9">
        <f>IF(IF(SelectedScope="All India",TRUE,'RAW_AR_CONTENT'!$B12=SelectedScope),'RAW_AR_CONTENT'!N12,"")</f>
        <v>0</v>
      </c>
      <c r="O13" s="9">
        <f>IF(IF(SelectedScope="All India",TRUE,'RAW_AR_CONTENT'!$B12=SelectedScope),'RAW_AR_CONTENT'!O12,"")</f>
        <v>0</v>
      </c>
      <c r="P13" s="9">
        <f>IF(IF(SelectedScope="All India",TRUE,'RAW_AR_CONTENT'!$B12=SelectedScope),'RAW_AR_CONTENT'!P12,"")</f>
        <v>0</v>
      </c>
      <c r="Q13" s="9">
        <f>IF(IF(SelectedScope="All India",TRUE,'RAW_AR_CONTENT'!$B12=SelectedScope),'RAW_AR_CONTENT'!Q12,"")</f>
        <v>0</v>
      </c>
      <c r="R13" s="9">
        <f>IF(IF(SelectedScope="All India",TRUE,'RAW_AR_CONTENT'!$B12=SelectedScope),'RAW_AR_CONTENT'!R12,"")</f>
        <v>0</v>
      </c>
    </row>
    <row r="14" spans="1:18" ht="15" customHeight="1" x14ac:dyDescent="0.3">
      <c r="A14" s="12">
        <f>IF(IF(SelectedScope="All India",TRUE,'RAW_AR_CONTENT'!$B13=SelectedScope),'RAW_AR_CONTENT'!A13,"")</f>
        <v>10</v>
      </c>
      <c r="B14" s="12" t="str">
        <f>IF(IF(SelectedScope="All India",TRUE,'RAW_AR_CONTENT'!$B13=SelectedScope),'RAW_AR_CONTENT'!B13,"")</f>
        <v>Andaman and Nicobar Islands</v>
      </c>
      <c r="C14" s="12" t="str">
        <f>IF(IF(SelectedScope="All India",TRUE,'RAW_AR_CONTENT'!$B13=SelectedScope),'RAW_AR_CONTENT'!C13,"")</f>
        <v>Physics</v>
      </c>
      <c r="D14" s="12" t="str">
        <f>IF(IF(SelectedScope="All India",TRUE,'RAW_AR_CONTENT'!$B13=SelectedScope),'RAW_AR_CONTENT'!D13,"")</f>
        <v>Class 9</v>
      </c>
      <c r="E14" s="12" t="str">
        <f>IF(IF(SelectedScope="All India",TRUE,'RAW_AR_CONTENT'!$B13=SelectedScope),'RAW_AR_CONTENT'!E13,"")</f>
        <v>Laws of Motion</v>
      </c>
      <c r="F14" s="12" t="str">
        <f>IF(IF(SelectedScope="All India",TRUE,'RAW_AR_CONTENT'!$B13=SelectedScope),'RAW_AR_CONTENT'!F13,"")</f>
        <v>Interactive</v>
      </c>
      <c r="G14" s="12" t="str">
        <f>IF(IF(SelectedScope="All India",TRUE,'RAW_AR_CONTENT'!$B13=SelectedScope),'RAW_AR_CONTENT'!G13,"")</f>
        <v>Active</v>
      </c>
      <c r="H14" s="12">
        <f>IF(IF(SelectedScope="All India",TRUE,'RAW_AR_CONTENT'!$B13=SelectedScope),'RAW_AR_CONTENT'!H13,"")</f>
        <v>0</v>
      </c>
      <c r="I14" s="12">
        <f>IF(IF(SelectedScope="All India",TRUE,'RAW_AR_CONTENT'!$B13=SelectedScope),'RAW_AR_CONTENT'!I13,"")</f>
        <v>0</v>
      </c>
      <c r="J14" s="12">
        <f>IF(IF(SelectedScope="All India",TRUE,'RAW_AR_CONTENT'!$B13=SelectedScope),'RAW_AR_CONTENT'!J13,"")</f>
        <v>0</v>
      </c>
      <c r="K14" s="12">
        <f>IF(IF(SelectedScope="All India",TRUE,'RAW_AR_CONTENT'!$B13=SelectedScope),'RAW_AR_CONTENT'!K13,"")</f>
        <v>0</v>
      </c>
      <c r="L14" s="12">
        <f>IF(IF(SelectedScope="All India",TRUE,'RAW_AR_CONTENT'!$B13=SelectedScope),'RAW_AR_CONTENT'!L13,"")</f>
        <v>0</v>
      </c>
      <c r="M14" s="12">
        <f>IF(IF(SelectedScope="All India",TRUE,'RAW_AR_CONTENT'!$B13=SelectedScope),'RAW_AR_CONTENT'!M13,"")</f>
        <v>0</v>
      </c>
      <c r="N14" s="12">
        <f>IF(IF(SelectedScope="All India",TRUE,'RAW_AR_CONTENT'!$B13=SelectedScope),'RAW_AR_CONTENT'!N13,"")</f>
        <v>0</v>
      </c>
      <c r="O14" s="12">
        <f>IF(IF(SelectedScope="All India",TRUE,'RAW_AR_CONTENT'!$B13=SelectedScope),'RAW_AR_CONTENT'!O13,"")</f>
        <v>0</v>
      </c>
      <c r="P14" s="12">
        <f>IF(IF(SelectedScope="All India",TRUE,'RAW_AR_CONTENT'!$B13=SelectedScope),'RAW_AR_CONTENT'!P13,"")</f>
        <v>0</v>
      </c>
      <c r="Q14" s="12">
        <f>IF(IF(SelectedScope="All India",TRUE,'RAW_AR_CONTENT'!$B13=SelectedScope),'RAW_AR_CONTENT'!Q13,"")</f>
        <v>0</v>
      </c>
      <c r="R14" s="12">
        <f>IF(IF(SelectedScope="All India",TRUE,'RAW_AR_CONTENT'!$B13=SelectedScope),'RAW_AR_CONTENT'!R13,"")</f>
        <v>0</v>
      </c>
    </row>
    <row r="15" spans="1:18" ht="15" customHeight="1" x14ac:dyDescent="0.3">
      <c r="A15" s="9">
        <f>IF(IF(SelectedScope="All India",TRUE,'RAW_AR_CONTENT'!$B14=SelectedScope),'RAW_AR_CONTENT'!A14,"")</f>
        <v>11</v>
      </c>
      <c r="B15" s="9" t="str">
        <f>IF(IF(SelectedScope="All India",TRUE,'RAW_AR_CONTENT'!$B14=SelectedScope),'RAW_AR_CONTENT'!B14,"")</f>
        <v>Andaman and Nicobar Islands</v>
      </c>
      <c r="C15" s="9" t="str">
        <f>IF(IF(SelectedScope="All India",TRUE,'RAW_AR_CONTENT'!$B14=SelectedScope),'RAW_AR_CONTENT'!C14,"")</f>
        <v>Chemistry</v>
      </c>
      <c r="D15" s="9" t="str">
        <f>IF(IF(SelectedScope="All India",TRUE,'RAW_AR_CONTENT'!$B14=SelectedScope),'RAW_AR_CONTENT'!D14,"")</f>
        <v>Class 11</v>
      </c>
      <c r="E15" s="9" t="str">
        <f>IF(IF(SelectedScope="All India",TRUE,'RAW_AR_CONTENT'!$B14=SelectedScope),'RAW_AR_CONTENT'!E14,"")</f>
        <v>Periodic Table 3D</v>
      </c>
      <c r="F15" s="9" t="str">
        <f>IF(IF(SelectedScope="All India",TRUE,'RAW_AR_CONTENT'!$B14=SelectedScope),'RAW_AR_CONTENT'!F14,"")</f>
        <v>Interactive</v>
      </c>
      <c r="G15" s="9" t="str">
        <f>IF(IF(SelectedScope="All India",TRUE,'RAW_AR_CONTENT'!$B14=SelectedScope),'RAW_AR_CONTENT'!G14,"")</f>
        <v>Active</v>
      </c>
      <c r="H15" s="9">
        <f>IF(IF(SelectedScope="All India",TRUE,'RAW_AR_CONTENT'!$B14=SelectedScope),'RAW_AR_CONTENT'!H14,"")</f>
        <v>0</v>
      </c>
      <c r="I15" s="9">
        <f>IF(IF(SelectedScope="All India",TRUE,'RAW_AR_CONTENT'!$B14=SelectedScope),'RAW_AR_CONTENT'!I14,"")</f>
        <v>0</v>
      </c>
      <c r="J15" s="9">
        <f>IF(IF(SelectedScope="All India",TRUE,'RAW_AR_CONTENT'!$B14=SelectedScope),'RAW_AR_CONTENT'!J14,"")</f>
        <v>0</v>
      </c>
      <c r="K15" s="9">
        <f>IF(IF(SelectedScope="All India",TRUE,'RAW_AR_CONTENT'!$B14=SelectedScope),'RAW_AR_CONTENT'!K14,"")</f>
        <v>0</v>
      </c>
      <c r="L15" s="9">
        <f>IF(IF(SelectedScope="All India",TRUE,'RAW_AR_CONTENT'!$B14=SelectedScope),'RAW_AR_CONTENT'!L14,"")</f>
        <v>0</v>
      </c>
      <c r="M15" s="9">
        <f>IF(IF(SelectedScope="All India",TRUE,'RAW_AR_CONTENT'!$B14=SelectedScope),'RAW_AR_CONTENT'!M14,"")</f>
        <v>0</v>
      </c>
      <c r="N15" s="9">
        <f>IF(IF(SelectedScope="All India",TRUE,'RAW_AR_CONTENT'!$B14=SelectedScope),'RAW_AR_CONTENT'!N14,"")</f>
        <v>0</v>
      </c>
      <c r="O15" s="9">
        <f>IF(IF(SelectedScope="All India",TRUE,'RAW_AR_CONTENT'!$B14=SelectedScope),'RAW_AR_CONTENT'!O14,"")</f>
        <v>0</v>
      </c>
      <c r="P15" s="9">
        <f>IF(IF(SelectedScope="All India",TRUE,'RAW_AR_CONTENT'!$B14=SelectedScope),'RAW_AR_CONTENT'!P14,"")</f>
        <v>0</v>
      </c>
      <c r="Q15" s="9">
        <f>IF(IF(SelectedScope="All India",TRUE,'RAW_AR_CONTENT'!$B14=SelectedScope),'RAW_AR_CONTENT'!Q14,"")</f>
        <v>0</v>
      </c>
      <c r="R15" s="9">
        <f>IF(IF(SelectedScope="All India",TRUE,'RAW_AR_CONTENT'!$B14=SelectedScope),'RAW_AR_CONTENT'!R14,"")</f>
        <v>0</v>
      </c>
    </row>
    <row r="16" spans="1:18" ht="15" customHeight="1" x14ac:dyDescent="0.3">
      <c r="A16" s="12">
        <f>IF(IF(SelectedScope="All India",TRUE,'RAW_AR_CONTENT'!$B15=SelectedScope),'RAW_AR_CONTENT'!A15,"")</f>
        <v>12</v>
      </c>
      <c r="B16" s="12" t="str">
        <f>IF(IF(SelectedScope="All India",TRUE,'RAW_AR_CONTENT'!$B15=SelectedScope),'RAW_AR_CONTENT'!B15,"")</f>
        <v>Andaman and Nicobar Islands</v>
      </c>
      <c r="C16" s="12" t="str">
        <f>IF(IF(SelectedScope="All India",TRUE,'RAW_AR_CONTENT'!$B15=SelectedScope),'RAW_AR_CONTENT'!C15,"")</f>
        <v>Physics</v>
      </c>
      <c r="D16" s="12" t="str">
        <f>IF(IF(SelectedScope="All India",TRUE,'RAW_AR_CONTENT'!$B15=SelectedScope),'RAW_AR_CONTENT'!D15,"")</f>
        <v>Class 10</v>
      </c>
      <c r="E16" s="12" t="str">
        <f>IF(IF(SelectedScope="All India",TRUE,'RAW_AR_CONTENT'!$B15=SelectedScope),'RAW_AR_CONTENT'!E15,"")</f>
        <v>Electricity Circuits</v>
      </c>
      <c r="F16" s="12" t="str">
        <f>IF(IF(SelectedScope="All India",TRUE,'RAW_AR_CONTENT'!$B15=SelectedScope),'RAW_AR_CONTENT'!F15,"")</f>
        <v>Interactive</v>
      </c>
      <c r="G16" s="12" t="str">
        <f>IF(IF(SelectedScope="All India",TRUE,'RAW_AR_CONTENT'!$B15=SelectedScope),'RAW_AR_CONTENT'!G15,"")</f>
        <v>Active</v>
      </c>
      <c r="H16" s="12">
        <f>IF(IF(SelectedScope="All India",TRUE,'RAW_AR_CONTENT'!$B15=SelectedScope),'RAW_AR_CONTENT'!H15,"")</f>
        <v>0</v>
      </c>
      <c r="I16" s="12">
        <f>IF(IF(SelectedScope="All India",TRUE,'RAW_AR_CONTENT'!$B15=SelectedScope),'RAW_AR_CONTENT'!I15,"")</f>
        <v>0</v>
      </c>
      <c r="J16" s="12">
        <f>IF(IF(SelectedScope="All India",TRUE,'RAW_AR_CONTENT'!$B15=SelectedScope),'RAW_AR_CONTENT'!J15,"")</f>
        <v>0</v>
      </c>
      <c r="K16" s="12">
        <f>IF(IF(SelectedScope="All India",TRUE,'RAW_AR_CONTENT'!$B15=SelectedScope),'RAW_AR_CONTENT'!K15,"")</f>
        <v>0</v>
      </c>
      <c r="L16" s="12">
        <f>IF(IF(SelectedScope="All India",TRUE,'RAW_AR_CONTENT'!$B15=SelectedScope),'RAW_AR_CONTENT'!L15,"")</f>
        <v>0</v>
      </c>
      <c r="M16" s="12">
        <f>IF(IF(SelectedScope="All India",TRUE,'RAW_AR_CONTENT'!$B15=SelectedScope),'RAW_AR_CONTENT'!M15,"")</f>
        <v>0</v>
      </c>
      <c r="N16" s="12">
        <f>IF(IF(SelectedScope="All India",TRUE,'RAW_AR_CONTENT'!$B15=SelectedScope),'RAW_AR_CONTENT'!N15,"")</f>
        <v>0</v>
      </c>
      <c r="O16" s="12">
        <f>IF(IF(SelectedScope="All India",TRUE,'RAW_AR_CONTENT'!$B15=SelectedScope),'RAW_AR_CONTENT'!O15,"")</f>
        <v>0</v>
      </c>
      <c r="P16" s="12">
        <f>IF(IF(SelectedScope="All India",TRUE,'RAW_AR_CONTENT'!$B15=SelectedScope),'RAW_AR_CONTENT'!P15,"")</f>
        <v>0</v>
      </c>
      <c r="Q16" s="12">
        <f>IF(IF(SelectedScope="All India",TRUE,'RAW_AR_CONTENT'!$B15=SelectedScope),'RAW_AR_CONTENT'!Q15,"")</f>
        <v>0</v>
      </c>
      <c r="R16" s="12">
        <f>IF(IF(SelectedScope="All India",TRUE,'RAW_AR_CONTENT'!$B15=SelectedScope),'RAW_AR_CONTENT'!R15,"")</f>
        <v>0</v>
      </c>
    </row>
    <row r="17" spans="1:18" ht="15" customHeight="1" x14ac:dyDescent="0.3">
      <c r="A17" s="9">
        <f>IF(IF(SelectedScope="All India",TRUE,'RAW_AR_CONTENT'!$B16=SelectedScope),'RAW_AR_CONTENT'!A16,"")</f>
        <v>13</v>
      </c>
      <c r="B17" s="9" t="str">
        <f>IF(IF(SelectedScope="All India",TRUE,'RAW_AR_CONTENT'!$B16=SelectedScope),'RAW_AR_CONTENT'!B16,"")</f>
        <v>Andaman and Nicobar Islands</v>
      </c>
      <c r="C17" s="9" t="str">
        <f>IF(IF(SelectedScope="All India",TRUE,'RAW_AR_CONTENT'!$B16=SelectedScope),'RAW_AR_CONTENT'!C16,"")</f>
        <v>Civics</v>
      </c>
      <c r="D17" s="9" t="str">
        <f>IF(IF(SelectedScope="All India",TRUE,'RAW_AR_CONTENT'!$B16=SelectedScope),'RAW_AR_CONTENT'!D16,"")</f>
        <v>Class 9</v>
      </c>
      <c r="E17" s="9" t="str">
        <f>IF(IF(SelectedScope="All India",TRUE,'RAW_AR_CONTENT'!$B16=SelectedScope),'RAW_AR_CONTENT'!E16,"")</f>
        <v>Indian Constitution</v>
      </c>
      <c r="F17" s="9" t="str">
        <f>IF(IF(SelectedScope="All India",TRUE,'RAW_AR_CONTENT'!$B16=SelectedScope),'RAW_AR_CONTENT'!F16,"")</f>
        <v>Basic 3D</v>
      </c>
      <c r="G17" s="9" t="str">
        <f>IF(IF(SelectedScope="All India",TRUE,'RAW_AR_CONTENT'!$B16=SelectedScope),'RAW_AR_CONTENT'!G16,"")</f>
        <v>Active</v>
      </c>
      <c r="H17" s="9">
        <f>IF(IF(SelectedScope="All India",TRUE,'RAW_AR_CONTENT'!$B16=SelectedScope),'RAW_AR_CONTENT'!H16,"")</f>
        <v>0</v>
      </c>
      <c r="I17" s="9">
        <f>IF(IF(SelectedScope="All India",TRUE,'RAW_AR_CONTENT'!$B16=SelectedScope),'RAW_AR_CONTENT'!I16,"")</f>
        <v>0</v>
      </c>
      <c r="J17" s="9">
        <f>IF(IF(SelectedScope="All India",TRUE,'RAW_AR_CONTENT'!$B16=SelectedScope),'RAW_AR_CONTENT'!J16,"")</f>
        <v>0</v>
      </c>
      <c r="K17" s="9">
        <f>IF(IF(SelectedScope="All India",TRUE,'RAW_AR_CONTENT'!$B16=SelectedScope),'RAW_AR_CONTENT'!K16,"")</f>
        <v>0</v>
      </c>
      <c r="L17" s="9">
        <f>IF(IF(SelectedScope="All India",TRUE,'RAW_AR_CONTENT'!$B16=SelectedScope),'RAW_AR_CONTENT'!L16,"")</f>
        <v>0</v>
      </c>
      <c r="M17" s="9">
        <f>IF(IF(SelectedScope="All India",TRUE,'RAW_AR_CONTENT'!$B16=SelectedScope),'RAW_AR_CONTENT'!M16,"")</f>
        <v>0</v>
      </c>
      <c r="N17" s="9">
        <f>IF(IF(SelectedScope="All India",TRUE,'RAW_AR_CONTENT'!$B16=SelectedScope),'RAW_AR_CONTENT'!N16,"")</f>
        <v>0</v>
      </c>
      <c r="O17" s="9">
        <f>IF(IF(SelectedScope="All India",TRUE,'RAW_AR_CONTENT'!$B16=SelectedScope),'RAW_AR_CONTENT'!O16,"")</f>
        <v>0</v>
      </c>
      <c r="P17" s="9">
        <f>IF(IF(SelectedScope="All India",TRUE,'RAW_AR_CONTENT'!$B16=SelectedScope),'RAW_AR_CONTENT'!P16,"")</f>
        <v>0</v>
      </c>
      <c r="Q17" s="9">
        <f>IF(IF(SelectedScope="All India",TRUE,'RAW_AR_CONTENT'!$B16=SelectedScope),'RAW_AR_CONTENT'!Q16,"")</f>
        <v>0</v>
      </c>
      <c r="R17" s="9">
        <f>IF(IF(SelectedScope="All India",TRUE,'RAW_AR_CONTENT'!$B16=SelectedScope),'RAW_AR_CONTENT'!R16,"")</f>
        <v>0</v>
      </c>
    </row>
    <row r="18" spans="1:18" ht="15" customHeight="1" x14ac:dyDescent="0.3">
      <c r="A18" s="12">
        <f>IF(IF(SelectedScope="All India",TRUE,'RAW_AR_CONTENT'!$B17=SelectedScope),'RAW_AR_CONTENT'!A17,"")</f>
        <v>14</v>
      </c>
      <c r="B18" s="12" t="str">
        <f>IF(IF(SelectedScope="All India",TRUE,'RAW_AR_CONTENT'!$B17=SelectedScope),'RAW_AR_CONTENT'!B17,"")</f>
        <v>Andaman and Nicobar Islands</v>
      </c>
      <c r="C18" s="12" t="str">
        <f>IF(IF(SelectedScope="All India",TRUE,'RAW_AR_CONTENT'!$B17=SelectedScope),'RAW_AR_CONTENT'!C17,"")</f>
        <v>Environmental Science</v>
      </c>
      <c r="D18" s="12" t="str">
        <f>IF(IF(SelectedScope="All India",TRUE,'RAW_AR_CONTENT'!$B17=SelectedScope),'RAW_AR_CONTENT'!D17,"")</f>
        <v>Class 6</v>
      </c>
      <c r="E18" s="12" t="str">
        <f>IF(IF(SelectedScope="All India",TRUE,'RAW_AR_CONTENT'!$B17=SelectedScope),'RAW_AR_CONTENT'!E17,"")</f>
        <v>Food Chain</v>
      </c>
      <c r="F18" s="12" t="str">
        <f>IF(IF(SelectedScope="All India",TRUE,'RAW_AR_CONTENT'!$B17=SelectedScope),'RAW_AR_CONTENT'!F17,"")</f>
        <v>Animated</v>
      </c>
      <c r="G18" s="12" t="str">
        <f>IF(IF(SelectedScope="All India",TRUE,'RAW_AR_CONTENT'!$B17=SelectedScope),'RAW_AR_CONTENT'!G17,"")</f>
        <v>Active</v>
      </c>
      <c r="H18" s="12">
        <f>IF(IF(SelectedScope="All India",TRUE,'RAW_AR_CONTENT'!$B17=SelectedScope),'RAW_AR_CONTENT'!H17,"")</f>
        <v>0</v>
      </c>
      <c r="I18" s="12">
        <f>IF(IF(SelectedScope="All India",TRUE,'RAW_AR_CONTENT'!$B17=SelectedScope),'RAW_AR_CONTENT'!I17,"")</f>
        <v>0</v>
      </c>
      <c r="J18" s="12">
        <f>IF(IF(SelectedScope="All India",TRUE,'RAW_AR_CONTENT'!$B17=SelectedScope),'RAW_AR_CONTENT'!J17,"")</f>
        <v>0</v>
      </c>
      <c r="K18" s="12">
        <f>IF(IF(SelectedScope="All India",TRUE,'RAW_AR_CONTENT'!$B17=SelectedScope),'RAW_AR_CONTENT'!K17,"")</f>
        <v>0</v>
      </c>
      <c r="L18" s="12">
        <f>IF(IF(SelectedScope="All India",TRUE,'RAW_AR_CONTENT'!$B17=SelectedScope),'RAW_AR_CONTENT'!L17,"")</f>
        <v>0</v>
      </c>
      <c r="M18" s="12">
        <f>IF(IF(SelectedScope="All India",TRUE,'RAW_AR_CONTENT'!$B17=SelectedScope),'RAW_AR_CONTENT'!M17,"")</f>
        <v>0</v>
      </c>
      <c r="N18" s="12">
        <f>IF(IF(SelectedScope="All India",TRUE,'RAW_AR_CONTENT'!$B17=SelectedScope),'RAW_AR_CONTENT'!N17,"")</f>
        <v>0</v>
      </c>
      <c r="O18" s="12">
        <f>IF(IF(SelectedScope="All India",TRUE,'RAW_AR_CONTENT'!$B17=SelectedScope),'RAW_AR_CONTENT'!O17,"")</f>
        <v>0</v>
      </c>
      <c r="P18" s="12">
        <f>IF(IF(SelectedScope="All India",TRUE,'RAW_AR_CONTENT'!$B17=SelectedScope),'RAW_AR_CONTENT'!P17,"")</f>
        <v>0</v>
      </c>
      <c r="Q18" s="12">
        <f>IF(IF(SelectedScope="All India",TRUE,'RAW_AR_CONTENT'!$B17=SelectedScope),'RAW_AR_CONTENT'!Q17,"")</f>
        <v>0</v>
      </c>
      <c r="R18" s="12">
        <f>IF(IF(SelectedScope="All India",TRUE,'RAW_AR_CONTENT'!$B17=SelectedScope),'RAW_AR_CONTENT'!R17,"")</f>
        <v>0</v>
      </c>
    </row>
    <row r="19" spans="1:18" ht="15" customHeight="1" x14ac:dyDescent="0.3">
      <c r="A19" s="9">
        <f>IF(IF(SelectedScope="All India",TRUE,'RAW_AR_CONTENT'!$B18=SelectedScope),'RAW_AR_CONTENT'!A18,"")</f>
        <v>15</v>
      </c>
      <c r="B19" s="9" t="str">
        <f>IF(IF(SelectedScope="All India",TRUE,'RAW_AR_CONTENT'!$B18=SelectedScope),'RAW_AR_CONTENT'!B18,"")</f>
        <v>Andaman and Nicobar Islands</v>
      </c>
      <c r="C19" s="9" t="str">
        <f>IF(IF(SelectedScope="All India",TRUE,'RAW_AR_CONTENT'!$B18=SelectedScope),'RAW_AR_CONTENT'!C18,"")</f>
        <v>Mathematics</v>
      </c>
      <c r="D19" s="9" t="str">
        <f>IF(IF(SelectedScope="All India",TRUE,'RAW_AR_CONTENT'!$B18=SelectedScope),'RAW_AR_CONTENT'!D18,"")</f>
        <v>Class 10</v>
      </c>
      <c r="E19" s="9" t="str">
        <f>IF(IF(SelectedScope="All India",TRUE,'RAW_AR_CONTENT'!$B18=SelectedScope),'RAW_AR_CONTENT'!E18,"")</f>
        <v>Quadratic Equations</v>
      </c>
      <c r="F19" s="9" t="str">
        <f>IF(IF(SelectedScope="All India",TRUE,'RAW_AR_CONTENT'!$B18=SelectedScope),'RAW_AR_CONTENT'!F18,"")</f>
        <v>Animated</v>
      </c>
      <c r="G19" s="9" t="str">
        <f>IF(IF(SelectedScope="All India",TRUE,'RAW_AR_CONTENT'!$B18=SelectedScope),'RAW_AR_CONTENT'!G18,"")</f>
        <v>Active</v>
      </c>
      <c r="H19" s="9">
        <f>IF(IF(SelectedScope="All India",TRUE,'RAW_AR_CONTENT'!$B18=SelectedScope),'RAW_AR_CONTENT'!H18,"")</f>
        <v>0</v>
      </c>
      <c r="I19" s="9">
        <f>IF(IF(SelectedScope="All India",TRUE,'RAW_AR_CONTENT'!$B18=SelectedScope),'RAW_AR_CONTENT'!I18,"")</f>
        <v>0</v>
      </c>
      <c r="J19" s="9">
        <f>IF(IF(SelectedScope="All India",TRUE,'RAW_AR_CONTENT'!$B18=SelectedScope),'RAW_AR_CONTENT'!J18,"")</f>
        <v>0</v>
      </c>
      <c r="K19" s="9">
        <f>IF(IF(SelectedScope="All India",TRUE,'RAW_AR_CONTENT'!$B18=SelectedScope),'RAW_AR_CONTENT'!K18,"")</f>
        <v>0</v>
      </c>
      <c r="L19" s="9">
        <f>IF(IF(SelectedScope="All India",TRUE,'RAW_AR_CONTENT'!$B18=SelectedScope),'RAW_AR_CONTENT'!L18,"")</f>
        <v>0</v>
      </c>
      <c r="M19" s="9">
        <f>IF(IF(SelectedScope="All India",TRUE,'RAW_AR_CONTENT'!$B18=SelectedScope),'RAW_AR_CONTENT'!M18,"")</f>
        <v>0</v>
      </c>
      <c r="N19" s="9">
        <f>IF(IF(SelectedScope="All India",TRUE,'RAW_AR_CONTENT'!$B18=SelectedScope),'RAW_AR_CONTENT'!N18,"")</f>
        <v>0</v>
      </c>
      <c r="O19" s="9">
        <f>IF(IF(SelectedScope="All India",TRUE,'RAW_AR_CONTENT'!$B18=SelectedScope),'RAW_AR_CONTENT'!O18,"")</f>
        <v>0</v>
      </c>
      <c r="P19" s="9">
        <f>IF(IF(SelectedScope="All India",TRUE,'RAW_AR_CONTENT'!$B18=SelectedScope),'RAW_AR_CONTENT'!P18,"")</f>
        <v>0</v>
      </c>
      <c r="Q19" s="9">
        <f>IF(IF(SelectedScope="All India",TRUE,'RAW_AR_CONTENT'!$B18=SelectedScope),'RAW_AR_CONTENT'!Q18,"")</f>
        <v>0</v>
      </c>
      <c r="R19" s="9">
        <f>IF(IF(SelectedScope="All India",TRUE,'RAW_AR_CONTENT'!$B18=SelectedScope),'RAW_AR_CONTENT'!R18,"")</f>
        <v>0</v>
      </c>
    </row>
    <row r="20" spans="1:18" ht="15" customHeight="1" x14ac:dyDescent="0.3">
      <c r="A20" s="12">
        <f>IF(IF(SelectedScope="All India",TRUE,'RAW_AR_CONTENT'!$B19=SelectedScope),'RAW_AR_CONTENT'!A19,"")</f>
        <v>16</v>
      </c>
      <c r="B20" s="12" t="str">
        <f>IF(IF(SelectedScope="All India",TRUE,'RAW_AR_CONTENT'!$B19=SelectedScope),'RAW_AR_CONTENT'!B19,"")</f>
        <v>Andhra Pradesh</v>
      </c>
      <c r="C20" s="12" t="str">
        <f>IF(IF(SelectedScope="All India",TRUE,'RAW_AR_CONTENT'!$B19=SelectedScope),'RAW_AR_CONTENT'!C19,"")</f>
        <v>Science</v>
      </c>
      <c r="D20" s="12" t="str">
        <f>IF(IF(SelectedScope="All India",TRUE,'RAW_AR_CONTENT'!$B19=SelectedScope),'RAW_AR_CONTENT'!D19,"")</f>
        <v>Class 8</v>
      </c>
      <c r="E20" s="12" t="str">
        <f>IF(IF(SelectedScope="All India",TRUE,'RAW_AR_CONTENT'!$B19=SelectedScope),'RAW_AR_CONTENT'!E19,"")</f>
        <v>Solar System 3D</v>
      </c>
      <c r="F20" s="12" t="str">
        <f>IF(IF(SelectedScope="All India",TRUE,'RAW_AR_CONTENT'!$B19=SelectedScope),'RAW_AR_CONTENT'!F19,"")</f>
        <v>Animated</v>
      </c>
      <c r="G20" s="12" t="str">
        <f>IF(IF(SelectedScope="All India",TRUE,'RAW_AR_CONTENT'!$B19=SelectedScope),'RAW_AR_CONTENT'!G19,"")</f>
        <v>Active</v>
      </c>
      <c r="H20" s="12">
        <f>IF(IF(SelectedScope="All India",TRUE,'RAW_AR_CONTENT'!$B19=SelectedScope),'RAW_AR_CONTENT'!H19,"")</f>
        <v>0</v>
      </c>
      <c r="I20" s="12">
        <f>IF(IF(SelectedScope="All India",TRUE,'RAW_AR_CONTENT'!$B19=SelectedScope),'RAW_AR_CONTENT'!I19,"")</f>
        <v>0</v>
      </c>
      <c r="J20" s="12">
        <f>IF(IF(SelectedScope="All India",TRUE,'RAW_AR_CONTENT'!$B19=SelectedScope),'RAW_AR_CONTENT'!J19,"")</f>
        <v>0</v>
      </c>
      <c r="K20" s="12">
        <f>IF(IF(SelectedScope="All India",TRUE,'RAW_AR_CONTENT'!$B19=SelectedScope),'RAW_AR_CONTENT'!K19,"")</f>
        <v>0</v>
      </c>
      <c r="L20" s="12">
        <f>IF(IF(SelectedScope="All India",TRUE,'RAW_AR_CONTENT'!$B19=SelectedScope),'RAW_AR_CONTENT'!L19,"")</f>
        <v>0</v>
      </c>
      <c r="M20" s="12">
        <f>IF(IF(SelectedScope="All India",TRUE,'RAW_AR_CONTENT'!$B19=SelectedScope),'RAW_AR_CONTENT'!M19,"")</f>
        <v>0</v>
      </c>
      <c r="N20" s="12">
        <f>IF(IF(SelectedScope="All India",TRUE,'RAW_AR_CONTENT'!$B19=SelectedScope),'RAW_AR_CONTENT'!N19,"")</f>
        <v>0</v>
      </c>
      <c r="O20" s="12">
        <f>IF(IF(SelectedScope="All India",TRUE,'RAW_AR_CONTENT'!$B19=SelectedScope),'RAW_AR_CONTENT'!O19,"")</f>
        <v>0</v>
      </c>
      <c r="P20" s="12">
        <f>IF(IF(SelectedScope="All India",TRUE,'RAW_AR_CONTENT'!$B19=SelectedScope),'RAW_AR_CONTENT'!P19,"")</f>
        <v>0</v>
      </c>
      <c r="Q20" s="12">
        <f>IF(IF(SelectedScope="All India",TRUE,'RAW_AR_CONTENT'!$B19=SelectedScope),'RAW_AR_CONTENT'!Q19,"")</f>
        <v>0</v>
      </c>
      <c r="R20" s="12">
        <f>IF(IF(SelectedScope="All India",TRUE,'RAW_AR_CONTENT'!$B19=SelectedScope),'RAW_AR_CONTENT'!R19,"")</f>
        <v>0</v>
      </c>
    </row>
    <row r="21" spans="1:18" ht="15" customHeight="1" x14ac:dyDescent="0.3">
      <c r="A21" s="9">
        <f>IF(IF(SelectedScope="All India",TRUE,'RAW_AR_CONTENT'!$B20=SelectedScope),'RAW_AR_CONTENT'!A20,"")</f>
        <v>17</v>
      </c>
      <c r="B21" s="9" t="str">
        <f>IF(IF(SelectedScope="All India",TRUE,'RAW_AR_CONTENT'!$B20=SelectedScope),'RAW_AR_CONTENT'!B20,"")</f>
        <v>Andhra Pradesh</v>
      </c>
      <c r="C21" s="9" t="str">
        <f>IF(IF(SelectedScope="All India",TRUE,'RAW_AR_CONTENT'!$B20=SelectedScope),'RAW_AR_CONTENT'!C20,"")</f>
        <v>Biology</v>
      </c>
      <c r="D21" s="9" t="str">
        <f>IF(IF(SelectedScope="All India",TRUE,'RAW_AR_CONTENT'!$B20=SelectedScope),'RAW_AR_CONTENT'!D20,"")</f>
        <v>Class 9</v>
      </c>
      <c r="E21" s="9" t="str">
        <f>IF(IF(SelectedScope="All India",TRUE,'RAW_AR_CONTENT'!$B20=SelectedScope),'RAW_AR_CONTENT'!E20,"")</f>
        <v>Cell Division</v>
      </c>
      <c r="F21" s="9" t="str">
        <f>IF(IF(SelectedScope="All India",TRUE,'RAW_AR_CONTENT'!$B20=SelectedScope),'RAW_AR_CONTENT'!F20,"")</f>
        <v>Interactive</v>
      </c>
      <c r="G21" s="9" t="str">
        <f>IF(IF(SelectedScope="All India",TRUE,'RAW_AR_CONTENT'!$B20=SelectedScope),'RAW_AR_CONTENT'!G20,"")</f>
        <v>Active</v>
      </c>
      <c r="H21" s="9">
        <f>IF(IF(SelectedScope="All India",TRUE,'RAW_AR_CONTENT'!$B20=SelectedScope),'RAW_AR_CONTENT'!H20,"")</f>
        <v>0</v>
      </c>
      <c r="I21" s="9">
        <f>IF(IF(SelectedScope="All India",TRUE,'RAW_AR_CONTENT'!$B20=SelectedScope),'RAW_AR_CONTENT'!I20,"")</f>
        <v>0</v>
      </c>
      <c r="J21" s="9">
        <f>IF(IF(SelectedScope="All India",TRUE,'RAW_AR_CONTENT'!$B20=SelectedScope),'RAW_AR_CONTENT'!J20,"")</f>
        <v>0</v>
      </c>
      <c r="K21" s="9">
        <f>IF(IF(SelectedScope="All India",TRUE,'RAW_AR_CONTENT'!$B20=SelectedScope),'RAW_AR_CONTENT'!K20,"")</f>
        <v>0</v>
      </c>
      <c r="L21" s="9">
        <f>IF(IF(SelectedScope="All India",TRUE,'RAW_AR_CONTENT'!$B20=SelectedScope),'RAW_AR_CONTENT'!L20,"")</f>
        <v>0</v>
      </c>
      <c r="M21" s="9">
        <f>IF(IF(SelectedScope="All India",TRUE,'RAW_AR_CONTENT'!$B20=SelectedScope),'RAW_AR_CONTENT'!M20,"")</f>
        <v>0</v>
      </c>
      <c r="N21" s="9">
        <f>IF(IF(SelectedScope="All India",TRUE,'RAW_AR_CONTENT'!$B20=SelectedScope),'RAW_AR_CONTENT'!N20,"")</f>
        <v>0</v>
      </c>
      <c r="O21" s="9">
        <f>IF(IF(SelectedScope="All India",TRUE,'RAW_AR_CONTENT'!$B20=SelectedScope),'RAW_AR_CONTENT'!O20,"")</f>
        <v>0</v>
      </c>
      <c r="P21" s="9">
        <f>IF(IF(SelectedScope="All India",TRUE,'RAW_AR_CONTENT'!$B20=SelectedScope),'RAW_AR_CONTENT'!P20,"")</f>
        <v>0</v>
      </c>
      <c r="Q21" s="9">
        <f>IF(IF(SelectedScope="All India",TRUE,'RAW_AR_CONTENT'!$B20=SelectedScope),'RAW_AR_CONTENT'!Q20,"")</f>
        <v>0</v>
      </c>
      <c r="R21" s="9">
        <f>IF(IF(SelectedScope="All India",TRUE,'RAW_AR_CONTENT'!$B20=SelectedScope),'RAW_AR_CONTENT'!R20,"")</f>
        <v>0</v>
      </c>
    </row>
    <row r="22" spans="1:18" ht="15" customHeight="1" x14ac:dyDescent="0.3">
      <c r="A22" s="12">
        <f>IF(IF(SelectedScope="All India",TRUE,'RAW_AR_CONTENT'!$B21=SelectedScope),'RAW_AR_CONTENT'!A21,"")</f>
        <v>18</v>
      </c>
      <c r="B22" s="12" t="str">
        <f>IF(IF(SelectedScope="All India",TRUE,'RAW_AR_CONTENT'!$B21=SelectedScope),'RAW_AR_CONTENT'!B21,"")</f>
        <v>Andhra Pradesh</v>
      </c>
      <c r="C22" s="12" t="str">
        <f>IF(IF(SelectedScope="All India",TRUE,'RAW_AR_CONTENT'!$B21=SelectedScope),'RAW_AR_CONTENT'!C21,"")</f>
        <v>Chemistry</v>
      </c>
      <c r="D22" s="12" t="str">
        <f>IF(IF(SelectedScope="All India",TRUE,'RAW_AR_CONTENT'!$B21=SelectedScope),'RAW_AR_CONTENT'!D21,"")</f>
        <v>Class 9</v>
      </c>
      <c r="E22" s="12" t="str">
        <f>IF(IF(SelectedScope="All India",TRUE,'RAW_AR_CONTENT'!$B21=SelectedScope),'RAW_AR_CONTENT'!E21,"")</f>
        <v>Atoms and Molecules</v>
      </c>
      <c r="F22" s="12" t="str">
        <f>IF(IF(SelectedScope="All India",TRUE,'RAW_AR_CONTENT'!$B21=SelectedScope),'RAW_AR_CONTENT'!F21,"")</f>
        <v>Animated</v>
      </c>
      <c r="G22" s="12" t="str">
        <f>IF(IF(SelectedScope="All India",TRUE,'RAW_AR_CONTENT'!$B21=SelectedScope),'RAW_AR_CONTENT'!G21,"")</f>
        <v>Active</v>
      </c>
      <c r="H22" s="12">
        <f>IF(IF(SelectedScope="All India",TRUE,'RAW_AR_CONTENT'!$B21=SelectedScope),'RAW_AR_CONTENT'!H21,"")</f>
        <v>0</v>
      </c>
      <c r="I22" s="12">
        <f>IF(IF(SelectedScope="All India",TRUE,'RAW_AR_CONTENT'!$B21=SelectedScope),'RAW_AR_CONTENT'!I21,"")</f>
        <v>0</v>
      </c>
      <c r="J22" s="12">
        <f>IF(IF(SelectedScope="All India",TRUE,'RAW_AR_CONTENT'!$B21=SelectedScope),'RAW_AR_CONTENT'!J21,"")</f>
        <v>0</v>
      </c>
      <c r="K22" s="12">
        <f>IF(IF(SelectedScope="All India",TRUE,'RAW_AR_CONTENT'!$B21=SelectedScope),'RAW_AR_CONTENT'!K21,"")</f>
        <v>0</v>
      </c>
      <c r="L22" s="12">
        <f>IF(IF(SelectedScope="All India",TRUE,'RAW_AR_CONTENT'!$B21=SelectedScope),'RAW_AR_CONTENT'!L21,"")</f>
        <v>0</v>
      </c>
      <c r="M22" s="12">
        <f>IF(IF(SelectedScope="All India",TRUE,'RAW_AR_CONTENT'!$B21=SelectedScope),'RAW_AR_CONTENT'!M21,"")</f>
        <v>0</v>
      </c>
      <c r="N22" s="12">
        <f>IF(IF(SelectedScope="All India",TRUE,'RAW_AR_CONTENT'!$B21=SelectedScope),'RAW_AR_CONTENT'!N21,"")</f>
        <v>0</v>
      </c>
      <c r="O22" s="12">
        <f>IF(IF(SelectedScope="All India",TRUE,'RAW_AR_CONTENT'!$B21=SelectedScope),'RAW_AR_CONTENT'!O21,"")</f>
        <v>0</v>
      </c>
      <c r="P22" s="12">
        <f>IF(IF(SelectedScope="All India",TRUE,'RAW_AR_CONTENT'!$B21=SelectedScope),'RAW_AR_CONTENT'!P21,"")</f>
        <v>0</v>
      </c>
      <c r="Q22" s="12">
        <f>IF(IF(SelectedScope="All India",TRUE,'RAW_AR_CONTENT'!$B21=SelectedScope),'RAW_AR_CONTENT'!Q21,"")</f>
        <v>0</v>
      </c>
      <c r="R22" s="12">
        <f>IF(IF(SelectedScope="All India",TRUE,'RAW_AR_CONTENT'!$B21=SelectedScope),'RAW_AR_CONTENT'!R21,"")</f>
        <v>0</v>
      </c>
    </row>
    <row r="23" spans="1:18" ht="15" customHeight="1" x14ac:dyDescent="0.3">
      <c r="A23" s="9">
        <f>IF(IF(SelectedScope="All India",TRUE,'RAW_AR_CONTENT'!$B22=SelectedScope),'RAW_AR_CONTENT'!A22,"")</f>
        <v>19</v>
      </c>
      <c r="B23" s="9" t="str">
        <f>IF(IF(SelectedScope="All India",TRUE,'RAW_AR_CONTENT'!$B22=SelectedScope),'RAW_AR_CONTENT'!B22,"")</f>
        <v>Andhra Pradesh</v>
      </c>
      <c r="C23" s="9" t="str">
        <f>IF(IF(SelectedScope="All India",TRUE,'RAW_AR_CONTENT'!$B22=SelectedScope),'RAW_AR_CONTENT'!C22,"")</f>
        <v>Biology</v>
      </c>
      <c r="D23" s="9" t="str">
        <f>IF(IF(SelectedScope="All India",TRUE,'RAW_AR_CONTENT'!$B22=SelectedScope),'RAW_AR_CONTENT'!D22,"")</f>
        <v>Class 7</v>
      </c>
      <c r="E23" s="9" t="str">
        <f>IF(IF(SelectedScope="All India",TRUE,'RAW_AR_CONTENT'!$B22=SelectedScope),'RAW_AR_CONTENT'!E22,"")</f>
        <v>Photosynthesis</v>
      </c>
      <c r="F23" s="9" t="str">
        <f>IF(IF(SelectedScope="All India",TRUE,'RAW_AR_CONTENT'!$B22=SelectedScope),'RAW_AR_CONTENT'!F22,"")</f>
        <v>Basic 3D</v>
      </c>
      <c r="G23" s="9" t="str">
        <f>IF(IF(SelectedScope="All India",TRUE,'RAW_AR_CONTENT'!$B22=SelectedScope),'RAW_AR_CONTENT'!G22,"")</f>
        <v>Active</v>
      </c>
      <c r="H23" s="9">
        <f>IF(IF(SelectedScope="All India",TRUE,'RAW_AR_CONTENT'!$B22=SelectedScope),'RAW_AR_CONTENT'!H22,"")</f>
        <v>0</v>
      </c>
      <c r="I23" s="9">
        <f>IF(IF(SelectedScope="All India",TRUE,'RAW_AR_CONTENT'!$B22=SelectedScope),'RAW_AR_CONTENT'!I22,"")</f>
        <v>0</v>
      </c>
      <c r="J23" s="9">
        <f>IF(IF(SelectedScope="All India",TRUE,'RAW_AR_CONTENT'!$B22=SelectedScope),'RAW_AR_CONTENT'!J22,"")</f>
        <v>0</v>
      </c>
      <c r="K23" s="9">
        <f>IF(IF(SelectedScope="All India",TRUE,'RAW_AR_CONTENT'!$B22=SelectedScope),'RAW_AR_CONTENT'!K22,"")</f>
        <v>0</v>
      </c>
      <c r="L23" s="9">
        <f>IF(IF(SelectedScope="All India",TRUE,'RAW_AR_CONTENT'!$B22=SelectedScope),'RAW_AR_CONTENT'!L22,"")</f>
        <v>0</v>
      </c>
      <c r="M23" s="9">
        <f>IF(IF(SelectedScope="All India",TRUE,'RAW_AR_CONTENT'!$B22=SelectedScope),'RAW_AR_CONTENT'!M22,"")</f>
        <v>0</v>
      </c>
      <c r="N23" s="9">
        <f>IF(IF(SelectedScope="All India",TRUE,'RAW_AR_CONTENT'!$B22=SelectedScope),'RAW_AR_CONTENT'!N22,"")</f>
        <v>0</v>
      </c>
      <c r="O23" s="9">
        <f>IF(IF(SelectedScope="All India",TRUE,'RAW_AR_CONTENT'!$B22=SelectedScope),'RAW_AR_CONTENT'!O22,"")</f>
        <v>0</v>
      </c>
      <c r="P23" s="9">
        <f>IF(IF(SelectedScope="All India",TRUE,'RAW_AR_CONTENT'!$B22=SelectedScope),'RAW_AR_CONTENT'!P22,"")</f>
        <v>0</v>
      </c>
      <c r="Q23" s="9">
        <f>IF(IF(SelectedScope="All India",TRUE,'RAW_AR_CONTENT'!$B22=SelectedScope),'RAW_AR_CONTENT'!Q22,"")</f>
        <v>0</v>
      </c>
      <c r="R23" s="9">
        <f>IF(IF(SelectedScope="All India",TRUE,'RAW_AR_CONTENT'!$B22=SelectedScope),'RAW_AR_CONTENT'!R22,"")</f>
        <v>0</v>
      </c>
    </row>
    <row r="24" spans="1:18" ht="15" customHeight="1" x14ac:dyDescent="0.3">
      <c r="A24" s="12">
        <f>IF(IF(SelectedScope="All India",TRUE,'RAW_AR_CONTENT'!$B23=SelectedScope),'RAW_AR_CONTENT'!A23,"")</f>
        <v>20</v>
      </c>
      <c r="B24" s="12" t="str">
        <f>IF(IF(SelectedScope="All India",TRUE,'RAW_AR_CONTENT'!$B23=SelectedScope),'RAW_AR_CONTENT'!B23,"")</f>
        <v>Andhra Pradesh</v>
      </c>
      <c r="C24" s="12" t="str">
        <f>IF(IF(SelectedScope="All India",TRUE,'RAW_AR_CONTENT'!$B23=SelectedScope),'RAW_AR_CONTENT'!C23,"")</f>
        <v>Mathematics</v>
      </c>
      <c r="D24" s="12" t="str">
        <f>IF(IF(SelectedScope="All India",TRUE,'RAW_AR_CONTENT'!$B23=SelectedScope),'RAW_AR_CONTENT'!D23,"")</f>
        <v>Class 7</v>
      </c>
      <c r="E24" s="12" t="str">
        <f>IF(IF(SelectedScope="All India",TRUE,'RAW_AR_CONTENT'!$B23=SelectedScope),'RAW_AR_CONTENT'!E23,"")</f>
        <v>Fractions 3D Model</v>
      </c>
      <c r="F24" s="12" t="str">
        <f>IF(IF(SelectedScope="All India",TRUE,'RAW_AR_CONTENT'!$B23=SelectedScope),'RAW_AR_CONTENT'!F23,"")</f>
        <v>Interactive</v>
      </c>
      <c r="G24" s="12" t="str">
        <f>IF(IF(SelectedScope="All India",TRUE,'RAW_AR_CONTENT'!$B23=SelectedScope),'RAW_AR_CONTENT'!G23,"")</f>
        <v>Active</v>
      </c>
      <c r="H24" s="12">
        <f>IF(IF(SelectedScope="All India",TRUE,'RAW_AR_CONTENT'!$B23=SelectedScope),'RAW_AR_CONTENT'!H23,"")</f>
        <v>0</v>
      </c>
      <c r="I24" s="12">
        <f>IF(IF(SelectedScope="All India",TRUE,'RAW_AR_CONTENT'!$B23=SelectedScope),'RAW_AR_CONTENT'!I23,"")</f>
        <v>0</v>
      </c>
      <c r="J24" s="12">
        <f>IF(IF(SelectedScope="All India",TRUE,'RAW_AR_CONTENT'!$B23=SelectedScope),'RAW_AR_CONTENT'!J23,"")</f>
        <v>0</v>
      </c>
      <c r="K24" s="12">
        <f>IF(IF(SelectedScope="All India",TRUE,'RAW_AR_CONTENT'!$B23=SelectedScope),'RAW_AR_CONTENT'!K23,"")</f>
        <v>0</v>
      </c>
      <c r="L24" s="12">
        <f>IF(IF(SelectedScope="All India",TRUE,'RAW_AR_CONTENT'!$B23=SelectedScope),'RAW_AR_CONTENT'!L23,"")</f>
        <v>0</v>
      </c>
      <c r="M24" s="12">
        <f>IF(IF(SelectedScope="All India",TRUE,'RAW_AR_CONTENT'!$B23=SelectedScope),'RAW_AR_CONTENT'!M23,"")</f>
        <v>0</v>
      </c>
      <c r="N24" s="12">
        <f>IF(IF(SelectedScope="All India",TRUE,'RAW_AR_CONTENT'!$B23=SelectedScope),'RAW_AR_CONTENT'!N23,"")</f>
        <v>0</v>
      </c>
      <c r="O24" s="12">
        <f>IF(IF(SelectedScope="All India",TRUE,'RAW_AR_CONTENT'!$B23=SelectedScope),'RAW_AR_CONTENT'!O23,"")</f>
        <v>0</v>
      </c>
      <c r="P24" s="12">
        <f>IF(IF(SelectedScope="All India",TRUE,'RAW_AR_CONTENT'!$B23=SelectedScope),'RAW_AR_CONTENT'!P23,"")</f>
        <v>0</v>
      </c>
      <c r="Q24" s="12">
        <f>IF(IF(SelectedScope="All India",TRUE,'RAW_AR_CONTENT'!$B23=SelectedScope),'RAW_AR_CONTENT'!Q23,"")</f>
        <v>0</v>
      </c>
      <c r="R24" s="12">
        <f>IF(IF(SelectedScope="All India",TRUE,'RAW_AR_CONTENT'!$B23=SelectedScope),'RAW_AR_CONTENT'!R23,"")</f>
        <v>0</v>
      </c>
    </row>
    <row r="25" spans="1:18" ht="15" customHeight="1" x14ac:dyDescent="0.3">
      <c r="A25" s="9">
        <f>IF(IF(SelectedScope="All India",TRUE,'RAW_AR_CONTENT'!$B24=SelectedScope),'RAW_AR_CONTENT'!A24,"")</f>
        <v>21</v>
      </c>
      <c r="B25" s="9" t="str">
        <f>IF(IF(SelectedScope="All India",TRUE,'RAW_AR_CONTENT'!$B24=SelectedScope),'RAW_AR_CONTENT'!B24,"")</f>
        <v>Andhra Pradesh</v>
      </c>
      <c r="C25" s="9" t="str">
        <f>IF(IF(SelectedScope="All India",TRUE,'RAW_AR_CONTENT'!$B24=SelectedScope),'RAW_AR_CONTENT'!C24,"")</f>
        <v>Mathematics</v>
      </c>
      <c r="D25" s="9" t="str">
        <f>IF(IF(SelectedScope="All India",TRUE,'RAW_AR_CONTENT'!$B24=SelectedScope),'RAW_AR_CONTENT'!D24,"")</f>
        <v>Class 10</v>
      </c>
      <c r="E25" s="9" t="str">
        <f>IF(IF(SelectedScope="All India",TRUE,'RAW_AR_CONTENT'!$B24=SelectedScope),'RAW_AR_CONTENT'!E24,"")</f>
        <v>Trigonometry 3D</v>
      </c>
      <c r="F25" s="9" t="str">
        <f>IF(IF(SelectedScope="All India",TRUE,'RAW_AR_CONTENT'!$B24=SelectedScope),'RAW_AR_CONTENT'!F24,"")</f>
        <v>Animated</v>
      </c>
      <c r="G25" s="9" t="str">
        <f>IF(IF(SelectedScope="All India",TRUE,'RAW_AR_CONTENT'!$B24=SelectedScope),'RAW_AR_CONTENT'!G24,"")</f>
        <v>Active</v>
      </c>
      <c r="H25" s="9">
        <f>IF(IF(SelectedScope="All India",TRUE,'RAW_AR_CONTENT'!$B24=SelectedScope),'RAW_AR_CONTENT'!H24,"")</f>
        <v>0</v>
      </c>
      <c r="I25" s="9">
        <f>IF(IF(SelectedScope="All India",TRUE,'RAW_AR_CONTENT'!$B24=SelectedScope),'RAW_AR_CONTENT'!I24,"")</f>
        <v>0</v>
      </c>
      <c r="J25" s="9">
        <f>IF(IF(SelectedScope="All India",TRUE,'RAW_AR_CONTENT'!$B24=SelectedScope),'RAW_AR_CONTENT'!J24,"")</f>
        <v>0</v>
      </c>
      <c r="K25" s="9">
        <f>IF(IF(SelectedScope="All India",TRUE,'RAW_AR_CONTENT'!$B24=SelectedScope),'RAW_AR_CONTENT'!K24,"")</f>
        <v>0</v>
      </c>
      <c r="L25" s="9">
        <f>IF(IF(SelectedScope="All India",TRUE,'RAW_AR_CONTENT'!$B24=SelectedScope),'RAW_AR_CONTENT'!L24,"")</f>
        <v>0</v>
      </c>
      <c r="M25" s="9">
        <f>IF(IF(SelectedScope="All India",TRUE,'RAW_AR_CONTENT'!$B24=SelectedScope),'RAW_AR_CONTENT'!M24,"")</f>
        <v>0</v>
      </c>
      <c r="N25" s="9">
        <f>IF(IF(SelectedScope="All India",TRUE,'RAW_AR_CONTENT'!$B24=SelectedScope),'RAW_AR_CONTENT'!N24,"")</f>
        <v>0</v>
      </c>
      <c r="O25" s="9">
        <f>IF(IF(SelectedScope="All India",TRUE,'RAW_AR_CONTENT'!$B24=SelectedScope),'RAW_AR_CONTENT'!O24,"")</f>
        <v>0</v>
      </c>
      <c r="P25" s="9">
        <f>IF(IF(SelectedScope="All India",TRUE,'RAW_AR_CONTENT'!$B24=SelectedScope),'RAW_AR_CONTENT'!P24,"")</f>
        <v>0</v>
      </c>
      <c r="Q25" s="9">
        <f>IF(IF(SelectedScope="All India",TRUE,'RAW_AR_CONTENT'!$B24=SelectedScope),'RAW_AR_CONTENT'!Q24,"")</f>
        <v>0</v>
      </c>
      <c r="R25" s="9">
        <f>IF(IF(SelectedScope="All India",TRUE,'RAW_AR_CONTENT'!$B24=SelectedScope),'RAW_AR_CONTENT'!R24,"")</f>
        <v>0</v>
      </c>
    </row>
    <row r="26" spans="1:18" ht="15" customHeight="1" x14ac:dyDescent="0.3">
      <c r="A26" s="12">
        <f>IF(IF(SelectedScope="All India",TRUE,'RAW_AR_CONTENT'!$B25=SelectedScope),'RAW_AR_CONTENT'!A25,"")</f>
        <v>22</v>
      </c>
      <c r="B26" s="12" t="str">
        <f>IF(IF(SelectedScope="All India",TRUE,'RAW_AR_CONTENT'!$B25=SelectedScope),'RAW_AR_CONTENT'!B25,"")</f>
        <v>Andhra Pradesh</v>
      </c>
      <c r="C26" s="12" t="str">
        <f>IF(IF(SelectedScope="All India",TRUE,'RAW_AR_CONTENT'!$B25=SelectedScope),'RAW_AR_CONTENT'!C25,"")</f>
        <v>History</v>
      </c>
      <c r="D26" s="12" t="str">
        <f>IF(IF(SelectedScope="All India",TRUE,'RAW_AR_CONTENT'!$B25=SelectedScope),'RAW_AR_CONTENT'!D25,"")</f>
        <v>Class 10</v>
      </c>
      <c r="E26" s="12" t="str">
        <f>IF(IF(SelectedScope="All India",TRUE,'RAW_AR_CONTENT'!$B25=SelectedScope),'RAW_AR_CONTENT'!E25,"")</f>
        <v>Mughal Empire AR</v>
      </c>
      <c r="F26" s="12" t="str">
        <f>IF(IF(SelectedScope="All India",TRUE,'RAW_AR_CONTENT'!$B25=SelectedScope),'RAW_AR_CONTENT'!F25,"")</f>
        <v>Basic 3D</v>
      </c>
      <c r="G26" s="12" t="str">
        <f>IF(IF(SelectedScope="All India",TRUE,'RAW_AR_CONTENT'!$B25=SelectedScope),'RAW_AR_CONTENT'!G25,"")</f>
        <v>Active</v>
      </c>
      <c r="H26" s="12">
        <f>IF(IF(SelectedScope="All India",TRUE,'RAW_AR_CONTENT'!$B25=SelectedScope),'RAW_AR_CONTENT'!H25,"")</f>
        <v>0</v>
      </c>
      <c r="I26" s="12">
        <f>IF(IF(SelectedScope="All India",TRUE,'RAW_AR_CONTENT'!$B25=SelectedScope),'RAW_AR_CONTENT'!I25,"")</f>
        <v>0</v>
      </c>
      <c r="J26" s="12">
        <f>IF(IF(SelectedScope="All India",TRUE,'RAW_AR_CONTENT'!$B25=SelectedScope),'RAW_AR_CONTENT'!J25,"")</f>
        <v>0</v>
      </c>
      <c r="K26" s="12">
        <f>IF(IF(SelectedScope="All India",TRUE,'RAW_AR_CONTENT'!$B25=SelectedScope),'RAW_AR_CONTENT'!K25,"")</f>
        <v>0</v>
      </c>
      <c r="L26" s="12">
        <f>IF(IF(SelectedScope="All India",TRUE,'RAW_AR_CONTENT'!$B25=SelectedScope),'RAW_AR_CONTENT'!L25,"")</f>
        <v>0</v>
      </c>
      <c r="M26" s="12">
        <f>IF(IF(SelectedScope="All India",TRUE,'RAW_AR_CONTENT'!$B25=SelectedScope),'RAW_AR_CONTENT'!M25,"")</f>
        <v>0</v>
      </c>
      <c r="N26" s="12">
        <f>IF(IF(SelectedScope="All India",TRUE,'RAW_AR_CONTENT'!$B25=SelectedScope),'RAW_AR_CONTENT'!N25,"")</f>
        <v>0</v>
      </c>
      <c r="O26" s="12">
        <f>IF(IF(SelectedScope="All India",TRUE,'RAW_AR_CONTENT'!$B25=SelectedScope),'RAW_AR_CONTENT'!O25,"")</f>
        <v>0</v>
      </c>
      <c r="P26" s="12">
        <f>IF(IF(SelectedScope="All India",TRUE,'RAW_AR_CONTENT'!$B25=SelectedScope),'RAW_AR_CONTENT'!P25,"")</f>
        <v>0</v>
      </c>
      <c r="Q26" s="12">
        <f>IF(IF(SelectedScope="All India",TRUE,'RAW_AR_CONTENT'!$B25=SelectedScope),'RAW_AR_CONTENT'!Q25,"")</f>
        <v>0</v>
      </c>
      <c r="R26" s="12">
        <f>IF(IF(SelectedScope="All India",TRUE,'RAW_AR_CONTENT'!$B25=SelectedScope),'RAW_AR_CONTENT'!R25,"")</f>
        <v>0</v>
      </c>
    </row>
    <row r="27" spans="1:18" ht="15" customHeight="1" x14ac:dyDescent="0.3">
      <c r="A27" s="9">
        <f>IF(IF(SelectedScope="All India",TRUE,'RAW_AR_CONTENT'!$B26=SelectedScope),'RAW_AR_CONTENT'!A26,"")</f>
        <v>23</v>
      </c>
      <c r="B27" s="9" t="str">
        <f>IF(IF(SelectedScope="All India",TRUE,'RAW_AR_CONTENT'!$B26=SelectedScope),'RAW_AR_CONTENT'!B26,"")</f>
        <v>Andhra Pradesh</v>
      </c>
      <c r="C27" s="9" t="str">
        <f>IF(IF(SelectedScope="All India",TRUE,'RAW_AR_CONTENT'!$B26=SelectedScope),'RAW_AR_CONTENT'!C26,"")</f>
        <v>Geography</v>
      </c>
      <c r="D27" s="9" t="str">
        <f>IF(IF(SelectedScope="All India",TRUE,'RAW_AR_CONTENT'!$B26=SelectedScope),'RAW_AR_CONTENT'!D26,"")</f>
        <v>Class 6</v>
      </c>
      <c r="E27" s="9" t="str">
        <f>IF(IF(SelectedScope="All India",TRUE,'RAW_AR_CONTENT'!$B26=SelectedScope),'RAW_AR_CONTENT'!E26,"")</f>
        <v>Water Cycle Simulation</v>
      </c>
      <c r="F27" s="9" t="str">
        <f>IF(IF(SelectedScope="All India",TRUE,'RAW_AR_CONTENT'!$B26=SelectedScope),'RAW_AR_CONTENT'!F26,"")</f>
        <v>Animated</v>
      </c>
      <c r="G27" s="9" t="str">
        <f>IF(IF(SelectedScope="All India",TRUE,'RAW_AR_CONTENT'!$B26=SelectedScope),'RAW_AR_CONTENT'!G26,"")</f>
        <v>Active</v>
      </c>
      <c r="H27" s="9">
        <f>IF(IF(SelectedScope="All India",TRUE,'RAW_AR_CONTENT'!$B26=SelectedScope),'RAW_AR_CONTENT'!H26,"")</f>
        <v>0</v>
      </c>
      <c r="I27" s="9">
        <f>IF(IF(SelectedScope="All India",TRUE,'RAW_AR_CONTENT'!$B26=SelectedScope),'RAW_AR_CONTENT'!I26,"")</f>
        <v>0</v>
      </c>
      <c r="J27" s="9">
        <f>IF(IF(SelectedScope="All India",TRUE,'RAW_AR_CONTENT'!$B26=SelectedScope),'RAW_AR_CONTENT'!J26,"")</f>
        <v>0</v>
      </c>
      <c r="K27" s="9">
        <f>IF(IF(SelectedScope="All India",TRUE,'RAW_AR_CONTENT'!$B26=SelectedScope),'RAW_AR_CONTENT'!K26,"")</f>
        <v>0</v>
      </c>
      <c r="L27" s="9">
        <f>IF(IF(SelectedScope="All India",TRUE,'RAW_AR_CONTENT'!$B26=SelectedScope),'RAW_AR_CONTENT'!L26,"")</f>
        <v>0</v>
      </c>
      <c r="M27" s="9">
        <f>IF(IF(SelectedScope="All India",TRUE,'RAW_AR_CONTENT'!$B26=SelectedScope),'RAW_AR_CONTENT'!M26,"")</f>
        <v>0</v>
      </c>
      <c r="N27" s="9">
        <f>IF(IF(SelectedScope="All India",TRUE,'RAW_AR_CONTENT'!$B26=SelectedScope),'RAW_AR_CONTENT'!N26,"")</f>
        <v>0</v>
      </c>
      <c r="O27" s="9">
        <f>IF(IF(SelectedScope="All India",TRUE,'RAW_AR_CONTENT'!$B26=SelectedScope),'RAW_AR_CONTENT'!O26,"")</f>
        <v>0</v>
      </c>
      <c r="P27" s="9">
        <f>IF(IF(SelectedScope="All India",TRUE,'RAW_AR_CONTENT'!$B26=SelectedScope),'RAW_AR_CONTENT'!P26,"")</f>
        <v>0</v>
      </c>
      <c r="Q27" s="9">
        <f>IF(IF(SelectedScope="All India",TRUE,'RAW_AR_CONTENT'!$B26=SelectedScope),'RAW_AR_CONTENT'!Q26,"")</f>
        <v>0</v>
      </c>
      <c r="R27" s="9">
        <f>IF(IF(SelectedScope="All India",TRUE,'RAW_AR_CONTENT'!$B26=SelectedScope),'RAW_AR_CONTENT'!R26,"")</f>
        <v>0</v>
      </c>
    </row>
    <row r="28" spans="1:18" ht="15" customHeight="1" x14ac:dyDescent="0.3">
      <c r="A28" s="12">
        <f>IF(IF(SelectedScope="All India",TRUE,'RAW_AR_CONTENT'!$B27=SelectedScope),'RAW_AR_CONTENT'!A27,"")</f>
        <v>24</v>
      </c>
      <c r="B28" s="12" t="str">
        <f>IF(IF(SelectedScope="All India",TRUE,'RAW_AR_CONTENT'!$B27=SelectedScope),'RAW_AR_CONTENT'!B27,"")</f>
        <v>Andhra Pradesh</v>
      </c>
      <c r="C28" s="12" t="str">
        <f>IF(IF(SelectedScope="All India",TRUE,'RAW_AR_CONTENT'!$B27=SelectedScope),'RAW_AR_CONTENT'!C27,"")</f>
        <v>Biology</v>
      </c>
      <c r="D28" s="12" t="str">
        <f>IF(IF(SelectedScope="All India",TRUE,'RAW_AR_CONTENT'!$B27=SelectedScope),'RAW_AR_CONTENT'!D27,"")</f>
        <v>Class 11</v>
      </c>
      <c r="E28" s="12" t="str">
        <f>IF(IF(SelectedScope="All India",TRUE,'RAW_AR_CONTENT'!$B27=SelectedScope),'RAW_AR_CONTENT'!E27,"")</f>
        <v>Human Anatomy AR</v>
      </c>
      <c r="F28" s="12" t="str">
        <f>IF(IF(SelectedScope="All India",TRUE,'RAW_AR_CONTENT'!$B27=SelectedScope),'RAW_AR_CONTENT'!F27,"")</f>
        <v>Fully Immersive</v>
      </c>
      <c r="G28" s="12" t="str">
        <f>IF(IF(SelectedScope="All India",TRUE,'RAW_AR_CONTENT'!$B27=SelectedScope),'RAW_AR_CONTENT'!G27,"")</f>
        <v>Active</v>
      </c>
      <c r="H28" s="12">
        <f>IF(IF(SelectedScope="All India",TRUE,'RAW_AR_CONTENT'!$B27=SelectedScope),'RAW_AR_CONTENT'!H27,"")</f>
        <v>0</v>
      </c>
      <c r="I28" s="12">
        <f>IF(IF(SelectedScope="All India",TRUE,'RAW_AR_CONTENT'!$B27=SelectedScope),'RAW_AR_CONTENT'!I27,"")</f>
        <v>0</v>
      </c>
      <c r="J28" s="12">
        <f>IF(IF(SelectedScope="All India",TRUE,'RAW_AR_CONTENT'!$B27=SelectedScope),'RAW_AR_CONTENT'!J27,"")</f>
        <v>0</v>
      </c>
      <c r="K28" s="12">
        <f>IF(IF(SelectedScope="All India",TRUE,'RAW_AR_CONTENT'!$B27=SelectedScope),'RAW_AR_CONTENT'!K27,"")</f>
        <v>0</v>
      </c>
      <c r="L28" s="12">
        <f>IF(IF(SelectedScope="All India",TRUE,'RAW_AR_CONTENT'!$B27=SelectedScope),'RAW_AR_CONTENT'!L27,"")</f>
        <v>0</v>
      </c>
      <c r="M28" s="12">
        <f>IF(IF(SelectedScope="All India",TRUE,'RAW_AR_CONTENT'!$B27=SelectedScope),'RAW_AR_CONTENT'!M27,"")</f>
        <v>0</v>
      </c>
      <c r="N28" s="12">
        <f>IF(IF(SelectedScope="All India",TRUE,'RAW_AR_CONTENT'!$B27=SelectedScope),'RAW_AR_CONTENT'!N27,"")</f>
        <v>0</v>
      </c>
      <c r="O28" s="12">
        <f>IF(IF(SelectedScope="All India",TRUE,'RAW_AR_CONTENT'!$B27=SelectedScope),'RAW_AR_CONTENT'!O27,"")</f>
        <v>0</v>
      </c>
      <c r="P28" s="12">
        <f>IF(IF(SelectedScope="All India",TRUE,'RAW_AR_CONTENT'!$B27=SelectedScope),'RAW_AR_CONTENT'!P27,"")</f>
        <v>0</v>
      </c>
      <c r="Q28" s="12">
        <f>IF(IF(SelectedScope="All India",TRUE,'RAW_AR_CONTENT'!$B27=SelectedScope),'RAW_AR_CONTENT'!Q27,"")</f>
        <v>0</v>
      </c>
      <c r="R28" s="12">
        <f>IF(IF(SelectedScope="All India",TRUE,'RAW_AR_CONTENT'!$B27=SelectedScope),'RAW_AR_CONTENT'!R27,"")</f>
        <v>0</v>
      </c>
    </row>
    <row r="29" spans="1:18" ht="15" customHeight="1" x14ac:dyDescent="0.3">
      <c r="A29" s="9">
        <f>IF(IF(SelectedScope="All India",TRUE,'RAW_AR_CONTENT'!$B28=SelectedScope),'RAW_AR_CONTENT'!A28,"")</f>
        <v>25</v>
      </c>
      <c r="B29" s="9" t="str">
        <f>IF(IF(SelectedScope="All India",TRUE,'RAW_AR_CONTENT'!$B28=SelectedScope),'RAW_AR_CONTENT'!B28,"")</f>
        <v>Andhra Pradesh</v>
      </c>
      <c r="C29" s="9" t="str">
        <f>IF(IF(SelectedScope="All India",TRUE,'RAW_AR_CONTENT'!$B28=SelectedScope),'RAW_AR_CONTENT'!C28,"")</f>
        <v>Physics</v>
      </c>
      <c r="D29" s="9" t="str">
        <f>IF(IF(SelectedScope="All India",TRUE,'RAW_AR_CONTENT'!$B28=SelectedScope),'RAW_AR_CONTENT'!D28,"")</f>
        <v>Class 9</v>
      </c>
      <c r="E29" s="9" t="str">
        <f>IF(IF(SelectedScope="All India",TRUE,'RAW_AR_CONTENT'!$B28=SelectedScope),'RAW_AR_CONTENT'!E28,"")</f>
        <v>Laws of Motion</v>
      </c>
      <c r="F29" s="9" t="str">
        <f>IF(IF(SelectedScope="All India",TRUE,'RAW_AR_CONTENT'!$B28=SelectedScope),'RAW_AR_CONTENT'!F28,"")</f>
        <v>Interactive</v>
      </c>
      <c r="G29" s="9" t="str">
        <f>IF(IF(SelectedScope="All India",TRUE,'RAW_AR_CONTENT'!$B28=SelectedScope),'RAW_AR_CONTENT'!G28,"")</f>
        <v>Active</v>
      </c>
      <c r="H29" s="9">
        <f>IF(IF(SelectedScope="All India",TRUE,'RAW_AR_CONTENT'!$B28=SelectedScope),'RAW_AR_CONTENT'!H28,"")</f>
        <v>0</v>
      </c>
      <c r="I29" s="9">
        <f>IF(IF(SelectedScope="All India",TRUE,'RAW_AR_CONTENT'!$B28=SelectedScope),'RAW_AR_CONTENT'!I28,"")</f>
        <v>0</v>
      </c>
      <c r="J29" s="9">
        <f>IF(IF(SelectedScope="All India",TRUE,'RAW_AR_CONTENT'!$B28=SelectedScope),'RAW_AR_CONTENT'!J28,"")</f>
        <v>0</v>
      </c>
      <c r="K29" s="9">
        <f>IF(IF(SelectedScope="All India",TRUE,'RAW_AR_CONTENT'!$B28=SelectedScope),'RAW_AR_CONTENT'!K28,"")</f>
        <v>0</v>
      </c>
      <c r="L29" s="9">
        <f>IF(IF(SelectedScope="All India",TRUE,'RAW_AR_CONTENT'!$B28=SelectedScope),'RAW_AR_CONTENT'!L28,"")</f>
        <v>0</v>
      </c>
      <c r="M29" s="9">
        <f>IF(IF(SelectedScope="All India",TRUE,'RAW_AR_CONTENT'!$B28=SelectedScope),'RAW_AR_CONTENT'!M28,"")</f>
        <v>0</v>
      </c>
      <c r="N29" s="9">
        <f>IF(IF(SelectedScope="All India",TRUE,'RAW_AR_CONTENT'!$B28=SelectedScope),'RAW_AR_CONTENT'!N28,"")</f>
        <v>0</v>
      </c>
      <c r="O29" s="9">
        <f>IF(IF(SelectedScope="All India",TRUE,'RAW_AR_CONTENT'!$B28=SelectedScope),'RAW_AR_CONTENT'!O28,"")</f>
        <v>0</v>
      </c>
      <c r="P29" s="9">
        <f>IF(IF(SelectedScope="All India",TRUE,'RAW_AR_CONTENT'!$B28=SelectedScope),'RAW_AR_CONTENT'!P28,"")</f>
        <v>0</v>
      </c>
      <c r="Q29" s="9">
        <f>IF(IF(SelectedScope="All India",TRUE,'RAW_AR_CONTENT'!$B28=SelectedScope),'RAW_AR_CONTENT'!Q28,"")</f>
        <v>0</v>
      </c>
      <c r="R29" s="9">
        <f>IF(IF(SelectedScope="All India",TRUE,'RAW_AR_CONTENT'!$B28=SelectedScope),'RAW_AR_CONTENT'!R28,"")</f>
        <v>0</v>
      </c>
    </row>
    <row r="30" spans="1:18" ht="15" customHeight="1" x14ac:dyDescent="0.3">
      <c r="A30" s="12">
        <f>IF(IF(SelectedScope="All India",TRUE,'RAW_AR_CONTENT'!$B29=SelectedScope),'RAW_AR_CONTENT'!A29,"")</f>
        <v>26</v>
      </c>
      <c r="B30" s="12" t="str">
        <f>IF(IF(SelectedScope="All India",TRUE,'RAW_AR_CONTENT'!$B29=SelectedScope),'RAW_AR_CONTENT'!B29,"")</f>
        <v>Andhra Pradesh</v>
      </c>
      <c r="C30" s="12" t="str">
        <f>IF(IF(SelectedScope="All India",TRUE,'RAW_AR_CONTENT'!$B29=SelectedScope),'RAW_AR_CONTENT'!C29,"")</f>
        <v>Chemistry</v>
      </c>
      <c r="D30" s="12" t="str">
        <f>IF(IF(SelectedScope="All India",TRUE,'RAW_AR_CONTENT'!$B29=SelectedScope),'RAW_AR_CONTENT'!D29,"")</f>
        <v>Class 11</v>
      </c>
      <c r="E30" s="12" t="str">
        <f>IF(IF(SelectedScope="All India",TRUE,'RAW_AR_CONTENT'!$B29=SelectedScope),'RAW_AR_CONTENT'!E29,"")</f>
        <v>Periodic Table 3D</v>
      </c>
      <c r="F30" s="12" t="str">
        <f>IF(IF(SelectedScope="All India",TRUE,'RAW_AR_CONTENT'!$B29=SelectedScope),'RAW_AR_CONTENT'!F29,"")</f>
        <v>Interactive</v>
      </c>
      <c r="G30" s="12" t="str">
        <f>IF(IF(SelectedScope="All India",TRUE,'RAW_AR_CONTENT'!$B29=SelectedScope),'RAW_AR_CONTENT'!G29,"")</f>
        <v>Active</v>
      </c>
      <c r="H30" s="12">
        <f>IF(IF(SelectedScope="All India",TRUE,'RAW_AR_CONTENT'!$B29=SelectedScope),'RAW_AR_CONTENT'!H29,"")</f>
        <v>0</v>
      </c>
      <c r="I30" s="12">
        <f>IF(IF(SelectedScope="All India",TRUE,'RAW_AR_CONTENT'!$B29=SelectedScope),'RAW_AR_CONTENT'!I29,"")</f>
        <v>0</v>
      </c>
      <c r="J30" s="12">
        <f>IF(IF(SelectedScope="All India",TRUE,'RAW_AR_CONTENT'!$B29=SelectedScope),'RAW_AR_CONTENT'!J29,"")</f>
        <v>0</v>
      </c>
      <c r="K30" s="12">
        <f>IF(IF(SelectedScope="All India",TRUE,'RAW_AR_CONTENT'!$B29=SelectedScope),'RAW_AR_CONTENT'!K29,"")</f>
        <v>0</v>
      </c>
      <c r="L30" s="12">
        <f>IF(IF(SelectedScope="All India",TRUE,'RAW_AR_CONTENT'!$B29=SelectedScope),'RAW_AR_CONTENT'!L29,"")</f>
        <v>0</v>
      </c>
      <c r="M30" s="12">
        <f>IF(IF(SelectedScope="All India",TRUE,'RAW_AR_CONTENT'!$B29=SelectedScope),'RAW_AR_CONTENT'!M29,"")</f>
        <v>0</v>
      </c>
      <c r="N30" s="12">
        <f>IF(IF(SelectedScope="All India",TRUE,'RAW_AR_CONTENT'!$B29=SelectedScope),'RAW_AR_CONTENT'!N29,"")</f>
        <v>0</v>
      </c>
      <c r="O30" s="12">
        <f>IF(IF(SelectedScope="All India",TRUE,'RAW_AR_CONTENT'!$B29=SelectedScope),'RAW_AR_CONTENT'!O29,"")</f>
        <v>0</v>
      </c>
      <c r="P30" s="12">
        <f>IF(IF(SelectedScope="All India",TRUE,'RAW_AR_CONTENT'!$B29=SelectedScope),'RAW_AR_CONTENT'!P29,"")</f>
        <v>0</v>
      </c>
      <c r="Q30" s="12">
        <f>IF(IF(SelectedScope="All India",TRUE,'RAW_AR_CONTENT'!$B29=SelectedScope),'RAW_AR_CONTENT'!Q29,"")</f>
        <v>0</v>
      </c>
      <c r="R30" s="12">
        <f>IF(IF(SelectedScope="All India",TRUE,'RAW_AR_CONTENT'!$B29=SelectedScope),'RAW_AR_CONTENT'!R29,"")</f>
        <v>0</v>
      </c>
    </row>
    <row r="31" spans="1:18" ht="15" customHeight="1" x14ac:dyDescent="0.3">
      <c r="A31" s="9">
        <f>IF(IF(SelectedScope="All India",TRUE,'RAW_AR_CONTENT'!$B30=SelectedScope),'RAW_AR_CONTENT'!A30,"")</f>
        <v>27</v>
      </c>
      <c r="B31" s="9" t="str">
        <f>IF(IF(SelectedScope="All India",TRUE,'RAW_AR_CONTENT'!$B30=SelectedScope),'RAW_AR_CONTENT'!B30,"")</f>
        <v>Andhra Pradesh</v>
      </c>
      <c r="C31" s="9" t="str">
        <f>IF(IF(SelectedScope="All India",TRUE,'RAW_AR_CONTENT'!$B30=SelectedScope),'RAW_AR_CONTENT'!C30,"")</f>
        <v>Physics</v>
      </c>
      <c r="D31" s="9" t="str">
        <f>IF(IF(SelectedScope="All India",TRUE,'RAW_AR_CONTENT'!$B30=SelectedScope),'RAW_AR_CONTENT'!D30,"")</f>
        <v>Class 10</v>
      </c>
      <c r="E31" s="9" t="str">
        <f>IF(IF(SelectedScope="All India",TRUE,'RAW_AR_CONTENT'!$B30=SelectedScope),'RAW_AR_CONTENT'!E30,"")</f>
        <v>Electricity Circuits</v>
      </c>
      <c r="F31" s="9" t="str">
        <f>IF(IF(SelectedScope="All India",TRUE,'RAW_AR_CONTENT'!$B30=SelectedScope),'RAW_AR_CONTENT'!F30,"")</f>
        <v>Interactive</v>
      </c>
      <c r="G31" s="9" t="str">
        <f>IF(IF(SelectedScope="All India",TRUE,'RAW_AR_CONTENT'!$B30=SelectedScope),'RAW_AR_CONTENT'!G30,"")</f>
        <v>Active</v>
      </c>
      <c r="H31" s="9">
        <f>IF(IF(SelectedScope="All India",TRUE,'RAW_AR_CONTENT'!$B30=SelectedScope),'RAW_AR_CONTENT'!H30,"")</f>
        <v>0</v>
      </c>
      <c r="I31" s="9">
        <f>IF(IF(SelectedScope="All India",TRUE,'RAW_AR_CONTENT'!$B30=SelectedScope),'RAW_AR_CONTENT'!I30,"")</f>
        <v>0</v>
      </c>
      <c r="J31" s="9">
        <f>IF(IF(SelectedScope="All India",TRUE,'RAW_AR_CONTENT'!$B30=SelectedScope),'RAW_AR_CONTENT'!J30,"")</f>
        <v>0</v>
      </c>
      <c r="K31" s="9">
        <f>IF(IF(SelectedScope="All India",TRUE,'RAW_AR_CONTENT'!$B30=SelectedScope),'RAW_AR_CONTENT'!K30,"")</f>
        <v>0</v>
      </c>
      <c r="L31" s="9">
        <f>IF(IF(SelectedScope="All India",TRUE,'RAW_AR_CONTENT'!$B30=SelectedScope),'RAW_AR_CONTENT'!L30,"")</f>
        <v>0</v>
      </c>
      <c r="M31" s="9">
        <f>IF(IF(SelectedScope="All India",TRUE,'RAW_AR_CONTENT'!$B30=SelectedScope),'RAW_AR_CONTENT'!M30,"")</f>
        <v>0</v>
      </c>
      <c r="N31" s="9">
        <f>IF(IF(SelectedScope="All India",TRUE,'RAW_AR_CONTENT'!$B30=SelectedScope),'RAW_AR_CONTENT'!N30,"")</f>
        <v>0</v>
      </c>
      <c r="O31" s="9">
        <f>IF(IF(SelectedScope="All India",TRUE,'RAW_AR_CONTENT'!$B30=SelectedScope),'RAW_AR_CONTENT'!O30,"")</f>
        <v>0</v>
      </c>
      <c r="P31" s="9">
        <f>IF(IF(SelectedScope="All India",TRUE,'RAW_AR_CONTENT'!$B30=SelectedScope),'RAW_AR_CONTENT'!P30,"")</f>
        <v>0</v>
      </c>
      <c r="Q31" s="9">
        <f>IF(IF(SelectedScope="All India",TRUE,'RAW_AR_CONTENT'!$B30=SelectedScope),'RAW_AR_CONTENT'!Q30,"")</f>
        <v>0</v>
      </c>
      <c r="R31" s="9">
        <f>IF(IF(SelectedScope="All India",TRUE,'RAW_AR_CONTENT'!$B30=SelectedScope),'RAW_AR_CONTENT'!R30,"")</f>
        <v>0</v>
      </c>
    </row>
    <row r="32" spans="1:18" ht="15" customHeight="1" x14ac:dyDescent="0.3">
      <c r="A32" s="12">
        <f>IF(IF(SelectedScope="All India",TRUE,'RAW_AR_CONTENT'!$B31=SelectedScope),'RAW_AR_CONTENT'!A31,"")</f>
        <v>28</v>
      </c>
      <c r="B32" s="12" t="str">
        <f>IF(IF(SelectedScope="All India",TRUE,'RAW_AR_CONTENT'!$B31=SelectedScope),'RAW_AR_CONTENT'!B31,"")</f>
        <v>Andhra Pradesh</v>
      </c>
      <c r="C32" s="12" t="str">
        <f>IF(IF(SelectedScope="All India",TRUE,'RAW_AR_CONTENT'!$B31=SelectedScope),'RAW_AR_CONTENT'!C31,"")</f>
        <v>Civics</v>
      </c>
      <c r="D32" s="12" t="str">
        <f>IF(IF(SelectedScope="All India",TRUE,'RAW_AR_CONTENT'!$B31=SelectedScope),'RAW_AR_CONTENT'!D31,"")</f>
        <v>Class 9</v>
      </c>
      <c r="E32" s="12" t="str">
        <f>IF(IF(SelectedScope="All India",TRUE,'RAW_AR_CONTENT'!$B31=SelectedScope),'RAW_AR_CONTENT'!E31,"")</f>
        <v>Indian Constitution</v>
      </c>
      <c r="F32" s="12" t="str">
        <f>IF(IF(SelectedScope="All India",TRUE,'RAW_AR_CONTENT'!$B31=SelectedScope),'RAW_AR_CONTENT'!F31,"")</f>
        <v>Basic 3D</v>
      </c>
      <c r="G32" s="12" t="str">
        <f>IF(IF(SelectedScope="All India",TRUE,'RAW_AR_CONTENT'!$B31=SelectedScope),'RAW_AR_CONTENT'!G31,"")</f>
        <v>Active</v>
      </c>
      <c r="H32" s="12">
        <f>IF(IF(SelectedScope="All India",TRUE,'RAW_AR_CONTENT'!$B31=SelectedScope),'RAW_AR_CONTENT'!H31,"")</f>
        <v>0</v>
      </c>
      <c r="I32" s="12">
        <f>IF(IF(SelectedScope="All India",TRUE,'RAW_AR_CONTENT'!$B31=SelectedScope),'RAW_AR_CONTENT'!I31,"")</f>
        <v>0</v>
      </c>
      <c r="J32" s="12">
        <f>IF(IF(SelectedScope="All India",TRUE,'RAW_AR_CONTENT'!$B31=SelectedScope),'RAW_AR_CONTENT'!J31,"")</f>
        <v>0</v>
      </c>
      <c r="K32" s="12">
        <f>IF(IF(SelectedScope="All India",TRUE,'RAW_AR_CONTENT'!$B31=SelectedScope),'RAW_AR_CONTENT'!K31,"")</f>
        <v>0</v>
      </c>
      <c r="L32" s="12">
        <f>IF(IF(SelectedScope="All India",TRUE,'RAW_AR_CONTENT'!$B31=SelectedScope),'RAW_AR_CONTENT'!L31,"")</f>
        <v>0</v>
      </c>
      <c r="M32" s="12">
        <f>IF(IF(SelectedScope="All India",TRUE,'RAW_AR_CONTENT'!$B31=SelectedScope),'RAW_AR_CONTENT'!M31,"")</f>
        <v>0</v>
      </c>
      <c r="N32" s="12">
        <f>IF(IF(SelectedScope="All India",TRUE,'RAW_AR_CONTENT'!$B31=SelectedScope),'RAW_AR_CONTENT'!N31,"")</f>
        <v>0</v>
      </c>
      <c r="O32" s="12">
        <f>IF(IF(SelectedScope="All India",TRUE,'RAW_AR_CONTENT'!$B31=SelectedScope),'RAW_AR_CONTENT'!O31,"")</f>
        <v>0</v>
      </c>
      <c r="P32" s="12">
        <f>IF(IF(SelectedScope="All India",TRUE,'RAW_AR_CONTENT'!$B31=SelectedScope),'RAW_AR_CONTENT'!P31,"")</f>
        <v>0</v>
      </c>
      <c r="Q32" s="12">
        <f>IF(IF(SelectedScope="All India",TRUE,'RAW_AR_CONTENT'!$B31=SelectedScope),'RAW_AR_CONTENT'!Q31,"")</f>
        <v>0</v>
      </c>
      <c r="R32" s="12">
        <f>IF(IF(SelectedScope="All India",TRUE,'RAW_AR_CONTENT'!$B31=SelectedScope),'RAW_AR_CONTENT'!R31,"")</f>
        <v>0</v>
      </c>
    </row>
    <row r="33" spans="1:18" ht="15" customHeight="1" x14ac:dyDescent="0.3">
      <c r="A33" s="9">
        <f>IF(IF(SelectedScope="All India",TRUE,'RAW_AR_CONTENT'!$B32=SelectedScope),'RAW_AR_CONTENT'!A32,"")</f>
        <v>29</v>
      </c>
      <c r="B33" s="9" t="str">
        <f>IF(IF(SelectedScope="All India",TRUE,'RAW_AR_CONTENT'!$B32=SelectedScope),'RAW_AR_CONTENT'!B32,"")</f>
        <v>Andhra Pradesh</v>
      </c>
      <c r="C33" s="9" t="str">
        <f>IF(IF(SelectedScope="All India",TRUE,'RAW_AR_CONTENT'!$B32=SelectedScope),'RAW_AR_CONTENT'!C32,"")</f>
        <v>Environmental Science</v>
      </c>
      <c r="D33" s="9" t="str">
        <f>IF(IF(SelectedScope="All India",TRUE,'RAW_AR_CONTENT'!$B32=SelectedScope),'RAW_AR_CONTENT'!D32,"")</f>
        <v>Class 6</v>
      </c>
      <c r="E33" s="9" t="str">
        <f>IF(IF(SelectedScope="All India",TRUE,'RAW_AR_CONTENT'!$B32=SelectedScope),'RAW_AR_CONTENT'!E32,"")</f>
        <v>Food Chain</v>
      </c>
      <c r="F33" s="9" t="str">
        <f>IF(IF(SelectedScope="All India",TRUE,'RAW_AR_CONTENT'!$B32=SelectedScope),'RAW_AR_CONTENT'!F32,"")</f>
        <v>Animated</v>
      </c>
      <c r="G33" s="9" t="str">
        <f>IF(IF(SelectedScope="All India",TRUE,'RAW_AR_CONTENT'!$B32=SelectedScope),'RAW_AR_CONTENT'!G32,"")</f>
        <v>Active</v>
      </c>
      <c r="H33" s="9">
        <f>IF(IF(SelectedScope="All India",TRUE,'RAW_AR_CONTENT'!$B32=SelectedScope),'RAW_AR_CONTENT'!H32,"")</f>
        <v>0</v>
      </c>
      <c r="I33" s="9">
        <f>IF(IF(SelectedScope="All India",TRUE,'RAW_AR_CONTENT'!$B32=SelectedScope),'RAW_AR_CONTENT'!I32,"")</f>
        <v>0</v>
      </c>
      <c r="J33" s="9">
        <f>IF(IF(SelectedScope="All India",TRUE,'RAW_AR_CONTENT'!$B32=SelectedScope),'RAW_AR_CONTENT'!J32,"")</f>
        <v>0</v>
      </c>
      <c r="K33" s="9">
        <f>IF(IF(SelectedScope="All India",TRUE,'RAW_AR_CONTENT'!$B32=SelectedScope),'RAW_AR_CONTENT'!K32,"")</f>
        <v>0</v>
      </c>
      <c r="L33" s="9">
        <f>IF(IF(SelectedScope="All India",TRUE,'RAW_AR_CONTENT'!$B32=SelectedScope),'RAW_AR_CONTENT'!L32,"")</f>
        <v>0</v>
      </c>
      <c r="M33" s="9">
        <f>IF(IF(SelectedScope="All India",TRUE,'RAW_AR_CONTENT'!$B32=SelectedScope),'RAW_AR_CONTENT'!M32,"")</f>
        <v>0</v>
      </c>
      <c r="N33" s="9">
        <f>IF(IF(SelectedScope="All India",TRUE,'RAW_AR_CONTENT'!$B32=SelectedScope),'RAW_AR_CONTENT'!N32,"")</f>
        <v>0</v>
      </c>
      <c r="O33" s="9">
        <f>IF(IF(SelectedScope="All India",TRUE,'RAW_AR_CONTENT'!$B32=SelectedScope),'RAW_AR_CONTENT'!O32,"")</f>
        <v>0</v>
      </c>
      <c r="P33" s="9">
        <f>IF(IF(SelectedScope="All India",TRUE,'RAW_AR_CONTENT'!$B32=SelectedScope),'RAW_AR_CONTENT'!P32,"")</f>
        <v>0</v>
      </c>
      <c r="Q33" s="9">
        <f>IF(IF(SelectedScope="All India",TRUE,'RAW_AR_CONTENT'!$B32=SelectedScope),'RAW_AR_CONTENT'!Q32,"")</f>
        <v>0</v>
      </c>
      <c r="R33" s="9">
        <f>IF(IF(SelectedScope="All India",TRUE,'RAW_AR_CONTENT'!$B32=SelectedScope),'RAW_AR_CONTENT'!R32,"")</f>
        <v>0</v>
      </c>
    </row>
    <row r="34" spans="1:18" ht="15" customHeight="1" x14ac:dyDescent="0.3">
      <c r="A34" s="12">
        <f>IF(IF(SelectedScope="All India",TRUE,'RAW_AR_CONTENT'!$B33=SelectedScope),'RAW_AR_CONTENT'!A33,"")</f>
        <v>30</v>
      </c>
      <c r="B34" s="12" t="str">
        <f>IF(IF(SelectedScope="All India",TRUE,'RAW_AR_CONTENT'!$B33=SelectedScope),'RAW_AR_CONTENT'!B33,"")</f>
        <v>Andhra Pradesh</v>
      </c>
      <c r="C34" s="12" t="str">
        <f>IF(IF(SelectedScope="All India",TRUE,'RAW_AR_CONTENT'!$B33=SelectedScope),'RAW_AR_CONTENT'!C33,"")</f>
        <v>Mathematics</v>
      </c>
      <c r="D34" s="12" t="str">
        <f>IF(IF(SelectedScope="All India",TRUE,'RAW_AR_CONTENT'!$B33=SelectedScope),'RAW_AR_CONTENT'!D33,"")</f>
        <v>Class 10</v>
      </c>
      <c r="E34" s="12" t="str">
        <f>IF(IF(SelectedScope="All India",TRUE,'RAW_AR_CONTENT'!$B33=SelectedScope),'RAW_AR_CONTENT'!E33,"")</f>
        <v>Quadratic Equations</v>
      </c>
      <c r="F34" s="12" t="str">
        <f>IF(IF(SelectedScope="All India",TRUE,'RAW_AR_CONTENT'!$B33=SelectedScope),'RAW_AR_CONTENT'!F33,"")</f>
        <v>Animated</v>
      </c>
      <c r="G34" s="12" t="str">
        <f>IF(IF(SelectedScope="All India",TRUE,'RAW_AR_CONTENT'!$B33=SelectedScope),'RAW_AR_CONTENT'!G33,"")</f>
        <v>Active</v>
      </c>
      <c r="H34" s="12">
        <f>IF(IF(SelectedScope="All India",TRUE,'RAW_AR_CONTENT'!$B33=SelectedScope),'RAW_AR_CONTENT'!H33,"")</f>
        <v>0</v>
      </c>
      <c r="I34" s="12">
        <f>IF(IF(SelectedScope="All India",TRUE,'RAW_AR_CONTENT'!$B33=SelectedScope),'RAW_AR_CONTENT'!I33,"")</f>
        <v>0</v>
      </c>
      <c r="J34" s="12">
        <f>IF(IF(SelectedScope="All India",TRUE,'RAW_AR_CONTENT'!$B33=SelectedScope),'RAW_AR_CONTENT'!J33,"")</f>
        <v>0</v>
      </c>
      <c r="K34" s="12">
        <f>IF(IF(SelectedScope="All India",TRUE,'RAW_AR_CONTENT'!$B33=SelectedScope),'RAW_AR_CONTENT'!K33,"")</f>
        <v>0</v>
      </c>
      <c r="L34" s="12">
        <f>IF(IF(SelectedScope="All India",TRUE,'RAW_AR_CONTENT'!$B33=SelectedScope),'RAW_AR_CONTENT'!L33,"")</f>
        <v>0</v>
      </c>
      <c r="M34" s="12">
        <f>IF(IF(SelectedScope="All India",TRUE,'RAW_AR_CONTENT'!$B33=SelectedScope),'RAW_AR_CONTENT'!M33,"")</f>
        <v>0</v>
      </c>
      <c r="N34" s="12">
        <f>IF(IF(SelectedScope="All India",TRUE,'RAW_AR_CONTENT'!$B33=SelectedScope),'RAW_AR_CONTENT'!N33,"")</f>
        <v>0</v>
      </c>
      <c r="O34" s="12">
        <f>IF(IF(SelectedScope="All India",TRUE,'RAW_AR_CONTENT'!$B33=SelectedScope),'RAW_AR_CONTENT'!O33,"")</f>
        <v>0</v>
      </c>
      <c r="P34" s="12">
        <f>IF(IF(SelectedScope="All India",TRUE,'RAW_AR_CONTENT'!$B33=SelectedScope),'RAW_AR_CONTENT'!P33,"")</f>
        <v>0</v>
      </c>
      <c r="Q34" s="12">
        <f>IF(IF(SelectedScope="All India",TRUE,'RAW_AR_CONTENT'!$B33=SelectedScope),'RAW_AR_CONTENT'!Q33,"")</f>
        <v>0</v>
      </c>
      <c r="R34" s="12">
        <f>IF(IF(SelectedScope="All India",TRUE,'RAW_AR_CONTENT'!$B33=SelectedScope),'RAW_AR_CONTENT'!R33,"")</f>
        <v>0</v>
      </c>
    </row>
    <row r="35" spans="1:18" ht="15" customHeight="1" x14ac:dyDescent="0.3">
      <c r="A35" s="9">
        <f>IF(IF(SelectedScope="All India",TRUE,'RAW_AR_CONTENT'!$B34=SelectedScope),'RAW_AR_CONTENT'!A34,"")</f>
        <v>31</v>
      </c>
      <c r="B35" s="9" t="str">
        <f>IF(IF(SelectedScope="All India",TRUE,'RAW_AR_CONTENT'!$B34=SelectedScope),'RAW_AR_CONTENT'!B34,"")</f>
        <v>Arunachal Pradesh</v>
      </c>
      <c r="C35" s="9" t="str">
        <f>IF(IF(SelectedScope="All India",TRUE,'RAW_AR_CONTENT'!$B34=SelectedScope),'RAW_AR_CONTENT'!C34,"")</f>
        <v>Science</v>
      </c>
      <c r="D35" s="9" t="str">
        <f>IF(IF(SelectedScope="All India",TRUE,'RAW_AR_CONTENT'!$B34=SelectedScope),'RAW_AR_CONTENT'!D34,"")</f>
        <v>Class 8</v>
      </c>
      <c r="E35" s="9" t="str">
        <f>IF(IF(SelectedScope="All India",TRUE,'RAW_AR_CONTENT'!$B34=SelectedScope),'RAW_AR_CONTENT'!E34,"")</f>
        <v>Solar System 3D</v>
      </c>
      <c r="F35" s="9" t="str">
        <f>IF(IF(SelectedScope="All India",TRUE,'RAW_AR_CONTENT'!$B34=SelectedScope),'RAW_AR_CONTENT'!F34,"")</f>
        <v>Animated</v>
      </c>
      <c r="G35" s="9" t="str">
        <f>IF(IF(SelectedScope="All India",TRUE,'RAW_AR_CONTENT'!$B34=SelectedScope),'RAW_AR_CONTENT'!G34,"")</f>
        <v>Active</v>
      </c>
      <c r="H35" s="9">
        <f>IF(IF(SelectedScope="All India",TRUE,'RAW_AR_CONTENT'!$B34=SelectedScope),'RAW_AR_CONTENT'!H34,"")</f>
        <v>0</v>
      </c>
      <c r="I35" s="9">
        <f>IF(IF(SelectedScope="All India",TRUE,'RAW_AR_CONTENT'!$B34=SelectedScope),'RAW_AR_CONTENT'!I34,"")</f>
        <v>0</v>
      </c>
      <c r="J35" s="9">
        <f>IF(IF(SelectedScope="All India",TRUE,'RAW_AR_CONTENT'!$B34=SelectedScope),'RAW_AR_CONTENT'!J34,"")</f>
        <v>0</v>
      </c>
      <c r="K35" s="9">
        <f>IF(IF(SelectedScope="All India",TRUE,'RAW_AR_CONTENT'!$B34=SelectedScope),'RAW_AR_CONTENT'!K34,"")</f>
        <v>0</v>
      </c>
      <c r="L35" s="9">
        <f>IF(IF(SelectedScope="All India",TRUE,'RAW_AR_CONTENT'!$B34=SelectedScope),'RAW_AR_CONTENT'!L34,"")</f>
        <v>0</v>
      </c>
      <c r="M35" s="9">
        <f>IF(IF(SelectedScope="All India",TRUE,'RAW_AR_CONTENT'!$B34=SelectedScope),'RAW_AR_CONTENT'!M34,"")</f>
        <v>0</v>
      </c>
      <c r="N35" s="9">
        <f>IF(IF(SelectedScope="All India",TRUE,'RAW_AR_CONTENT'!$B34=SelectedScope),'RAW_AR_CONTENT'!N34,"")</f>
        <v>0</v>
      </c>
      <c r="O35" s="9">
        <f>IF(IF(SelectedScope="All India",TRUE,'RAW_AR_CONTENT'!$B34=SelectedScope),'RAW_AR_CONTENT'!O34,"")</f>
        <v>0</v>
      </c>
      <c r="P35" s="9">
        <f>IF(IF(SelectedScope="All India",TRUE,'RAW_AR_CONTENT'!$B34=SelectedScope),'RAW_AR_CONTENT'!P34,"")</f>
        <v>0</v>
      </c>
      <c r="Q35" s="9">
        <f>IF(IF(SelectedScope="All India",TRUE,'RAW_AR_CONTENT'!$B34=SelectedScope),'RAW_AR_CONTENT'!Q34,"")</f>
        <v>0</v>
      </c>
      <c r="R35" s="9">
        <f>IF(IF(SelectedScope="All India",TRUE,'RAW_AR_CONTENT'!$B34=SelectedScope),'RAW_AR_CONTENT'!R34,"")</f>
        <v>0</v>
      </c>
    </row>
    <row r="36" spans="1:18" ht="15" customHeight="1" x14ac:dyDescent="0.3">
      <c r="A36" s="12">
        <f>IF(IF(SelectedScope="All India",TRUE,'RAW_AR_CONTENT'!$B35=SelectedScope),'RAW_AR_CONTENT'!A35,"")</f>
        <v>32</v>
      </c>
      <c r="B36" s="12" t="str">
        <f>IF(IF(SelectedScope="All India",TRUE,'RAW_AR_CONTENT'!$B35=SelectedScope),'RAW_AR_CONTENT'!B35,"")</f>
        <v>Arunachal Pradesh</v>
      </c>
      <c r="C36" s="12" t="str">
        <f>IF(IF(SelectedScope="All India",TRUE,'RAW_AR_CONTENT'!$B35=SelectedScope),'RAW_AR_CONTENT'!C35,"")</f>
        <v>Biology</v>
      </c>
      <c r="D36" s="12" t="str">
        <f>IF(IF(SelectedScope="All India",TRUE,'RAW_AR_CONTENT'!$B35=SelectedScope),'RAW_AR_CONTENT'!D35,"")</f>
        <v>Class 9</v>
      </c>
      <c r="E36" s="12" t="str">
        <f>IF(IF(SelectedScope="All India",TRUE,'RAW_AR_CONTENT'!$B35=SelectedScope),'RAW_AR_CONTENT'!E35,"")</f>
        <v>Cell Division</v>
      </c>
      <c r="F36" s="12" t="str">
        <f>IF(IF(SelectedScope="All India",TRUE,'RAW_AR_CONTENT'!$B35=SelectedScope),'RAW_AR_CONTENT'!F35,"")</f>
        <v>Interactive</v>
      </c>
      <c r="G36" s="12" t="str">
        <f>IF(IF(SelectedScope="All India",TRUE,'RAW_AR_CONTENT'!$B35=SelectedScope),'RAW_AR_CONTENT'!G35,"")</f>
        <v>Active</v>
      </c>
      <c r="H36" s="12">
        <f>IF(IF(SelectedScope="All India",TRUE,'RAW_AR_CONTENT'!$B35=SelectedScope),'RAW_AR_CONTENT'!H35,"")</f>
        <v>0</v>
      </c>
      <c r="I36" s="12">
        <f>IF(IF(SelectedScope="All India",TRUE,'RAW_AR_CONTENT'!$B35=SelectedScope),'RAW_AR_CONTENT'!I35,"")</f>
        <v>0</v>
      </c>
      <c r="J36" s="12">
        <f>IF(IF(SelectedScope="All India",TRUE,'RAW_AR_CONTENT'!$B35=SelectedScope),'RAW_AR_CONTENT'!J35,"")</f>
        <v>0</v>
      </c>
      <c r="K36" s="12">
        <f>IF(IF(SelectedScope="All India",TRUE,'RAW_AR_CONTENT'!$B35=SelectedScope),'RAW_AR_CONTENT'!K35,"")</f>
        <v>0</v>
      </c>
      <c r="L36" s="12">
        <f>IF(IF(SelectedScope="All India",TRUE,'RAW_AR_CONTENT'!$B35=SelectedScope),'RAW_AR_CONTENT'!L35,"")</f>
        <v>0</v>
      </c>
      <c r="M36" s="12">
        <f>IF(IF(SelectedScope="All India",TRUE,'RAW_AR_CONTENT'!$B35=SelectedScope),'RAW_AR_CONTENT'!M35,"")</f>
        <v>0</v>
      </c>
      <c r="N36" s="12">
        <f>IF(IF(SelectedScope="All India",TRUE,'RAW_AR_CONTENT'!$B35=SelectedScope),'RAW_AR_CONTENT'!N35,"")</f>
        <v>0</v>
      </c>
      <c r="O36" s="12">
        <f>IF(IF(SelectedScope="All India",TRUE,'RAW_AR_CONTENT'!$B35=SelectedScope),'RAW_AR_CONTENT'!O35,"")</f>
        <v>0</v>
      </c>
      <c r="P36" s="12">
        <f>IF(IF(SelectedScope="All India",TRUE,'RAW_AR_CONTENT'!$B35=SelectedScope),'RAW_AR_CONTENT'!P35,"")</f>
        <v>0</v>
      </c>
      <c r="Q36" s="12">
        <f>IF(IF(SelectedScope="All India",TRUE,'RAW_AR_CONTENT'!$B35=SelectedScope),'RAW_AR_CONTENT'!Q35,"")</f>
        <v>0</v>
      </c>
      <c r="R36" s="12">
        <f>IF(IF(SelectedScope="All India",TRUE,'RAW_AR_CONTENT'!$B35=SelectedScope),'RAW_AR_CONTENT'!R35,"")</f>
        <v>0</v>
      </c>
    </row>
    <row r="37" spans="1:18" ht="15" customHeight="1" x14ac:dyDescent="0.3">
      <c r="A37" s="9">
        <f>IF(IF(SelectedScope="All India",TRUE,'RAW_AR_CONTENT'!$B36=SelectedScope),'RAW_AR_CONTENT'!A36,"")</f>
        <v>33</v>
      </c>
      <c r="B37" s="9" t="str">
        <f>IF(IF(SelectedScope="All India",TRUE,'RAW_AR_CONTENT'!$B36=SelectedScope),'RAW_AR_CONTENT'!B36,"")</f>
        <v>Arunachal Pradesh</v>
      </c>
      <c r="C37" s="9" t="str">
        <f>IF(IF(SelectedScope="All India",TRUE,'RAW_AR_CONTENT'!$B36=SelectedScope),'RAW_AR_CONTENT'!C36,"")</f>
        <v>Chemistry</v>
      </c>
      <c r="D37" s="9" t="str">
        <f>IF(IF(SelectedScope="All India",TRUE,'RAW_AR_CONTENT'!$B36=SelectedScope),'RAW_AR_CONTENT'!D36,"")</f>
        <v>Class 9</v>
      </c>
      <c r="E37" s="9" t="str">
        <f>IF(IF(SelectedScope="All India",TRUE,'RAW_AR_CONTENT'!$B36=SelectedScope),'RAW_AR_CONTENT'!E36,"")</f>
        <v>Atoms and Molecules</v>
      </c>
      <c r="F37" s="9" t="str">
        <f>IF(IF(SelectedScope="All India",TRUE,'RAW_AR_CONTENT'!$B36=SelectedScope),'RAW_AR_CONTENT'!F36,"")</f>
        <v>Animated</v>
      </c>
      <c r="G37" s="9" t="str">
        <f>IF(IF(SelectedScope="All India",TRUE,'RAW_AR_CONTENT'!$B36=SelectedScope),'RAW_AR_CONTENT'!G36,"")</f>
        <v>Active</v>
      </c>
      <c r="H37" s="9">
        <f>IF(IF(SelectedScope="All India",TRUE,'RAW_AR_CONTENT'!$B36=SelectedScope),'RAW_AR_CONTENT'!H36,"")</f>
        <v>0</v>
      </c>
      <c r="I37" s="9">
        <f>IF(IF(SelectedScope="All India",TRUE,'RAW_AR_CONTENT'!$B36=SelectedScope),'RAW_AR_CONTENT'!I36,"")</f>
        <v>0</v>
      </c>
      <c r="J37" s="9">
        <f>IF(IF(SelectedScope="All India",TRUE,'RAW_AR_CONTENT'!$B36=SelectedScope),'RAW_AR_CONTENT'!J36,"")</f>
        <v>0</v>
      </c>
      <c r="K37" s="9">
        <f>IF(IF(SelectedScope="All India",TRUE,'RAW_AR_CONTENT'!$B36=SelectedScope),'RAW_AR_CONTENT'!K36,"")</f>
        <v>0</v>
      </c>
      <c r="L37" s="9">
        <f>IF(IF(SelectedScope="All India",TRUE,'RAW_AR_CONTENT'!$B36=SelectedScope),'RAW_AR_CONTENT'!L36,"")</f>
        <v>0</v>
      </c>
      <c r="M37" s="9">
        <f>IF(IF(SelectedScope="All India",TRUE,'RAW_AR_CONTENT'!$B36=SelectedScope),'RAW_AR_CONTENT'!M36,"")</f>
        <v>0</v>
      </c>
      <c r="N37" s="9">
        <f>IF(IF(SelectedScope="All India",TRUE,'RAW_AR_CONTENT'!$B36=SelectedScope),'RAW_AR_CONTENT'!N36,"")</f>
        <v>0</v>
      </c>
      <c r="O37" s="9">
        <f>IF(IF(SelectedScope="All India",TRUE,'RAW_AR_CONTENT'!$B36=SelectedScope),'RAW_AR_CONTENT'!O36,"")</f>
        <v>0</v>
      </c>
      <c r="P37" s="9">
        <f>IF(IF(SelectedScope="All India",TRUE,'RAW_AR_CONTENT'!$B36=SelectedScope),'RAW_AR_CONTENT'!P36,"")</f>
        <v>0</v>
      </c>
      <c r="Q37" s="9">
        <f>IF(IF(SelectedScope="All India",TRUE,'RAW_AR_CONTENT'!$B36=SelectedScope),'RAW_AR_CONTENT'!Q36,"")</f>
        <v>0</v>
      </c>
      <c r="R37" s="9">
        <f>IF(IF(SelectedScope="All India",TRUE,'RAW_AR_CONTENT'!$B36=SelectedScope),'RAW_AR_CONTENT'!R36,"")</f>
        <v>0</v>
      </c>
    </row>
    <row r="38" spans="1:18" ht="15" customHeight="1" x14ac:dyDescent="0.3">
      <c r="A38" s="12">
        <f>IF(IF(SelectedScope="All India",TRUE,'RAW_AR_CONTENT'!$B37=SelectedScope),'RAW_AR_CONTENT'!A37,"")</f>
        <v>34</v>
      </c>
      <c r="B38" s="12" t="str">
        <f>IF(IF(SelectedScope="All India",TRUE,'RAW_AR_CONTENT'!$B37=SelectedScope),'RAW_AR_CONTENT'!B37,"")</f>
        <v>Arunachal Pradesh</v>
      </c>
      <c r="C38" s="12" t="str">
        <f>IF(IF(SelectedScope="All India",TRUE,'RAW_AR_CONTENT'!$B37=SelectedScope),'RAW_AR_CONTENT'!C37,"")</f>
        <v>Biology</v>
      </c>
      <c r="D38" s="12" t="str">
        <f>IF(IF(SelectedScope="All India",TRUE,'RAW_AR_CONTENT'!$B37=SelectedScope),'RAW_AR_CONTENT'!D37,"")</f>
        <v>Class 7</v>
      </c>
      <c r="E38" s="12" t="str">
        <f>IF(IF(SelectedScope="All India",TRUE,'RAW_AR_CONTENT'!$B37=SelectedScope),'RAW_AR_CONTENT'!E37,"")</f>
        <v>Photosynthesis</v>
      </c>
      <c r="F38" s="12" t="str">
        <f>IF(IF(SelectedScope="All India",TRUE,'RAW_AR_CONTENT'!$B37=SelectedScope),'RAW_AR_CONTENT'!F37,"")</f>
        <v>Basic 3D</v>
      </c>
      <c r="G38" s="12" t="str">
        <f>IF(IF(SelectedScope="All India",TRUE,'RAW_AR_CONTENT'!$B37=SelectedScope),'RAW_AR_CONTENT'!G37,"")</f>
        <v>Active</v>
      </c>
      <c r="H38" s="12">
        <f>IF(IF(SelectedScope="All India",TRUE,'RAW_AR_CONTENT'!$B37=SelectedScope),'RAW_AR_CONTENT'!H37,"")</f>
        <v>0</v>
      </c>
      <c r="I38" s="12">
        <f>IF(IF(SelectedScope="All India",TRUE,'RAW_AR_CONTENT'!$B37=SelectedScope),'RAW_AR_CONTENT'!I37,"")</f>
        <v>0</v>
      </c>
      <c r="J38" s="12">
        <f>IF(IF(SelectedScope="All India",TRUE,'RAW_AR_CONTENT'!$B37=SelectedScope),'RAW_AR_CONTENT'!J37,"")</f>
        <v>0</v>
      </c>
      <c r="K38" s="12">
        <f>IF(IF(SelectedScope="All India",TRUE,'RAW_AR_CONTENT'!$B37=SelectedScope),'RAW_AR_CONTENT'!K37,"")</f>
        <v>0</v>
      </c>
      <c r="L38" s="12">
        <f>IF(IF(SelectedScope="All India",TRUE,'RAW_AR_CONTENT'!$B37=SelectedScope),'RAW_AR_CONTENT'!L37,"")</f>
        <v>0</v>
      </c>
      <c r="M38" s="12">
        <f>IF(IF(SelectedScope="All India",TRUE,'RAW_AR_CONTENT'!$B37=SelectedScope),'RAW_AR_CONTENT'!M37,"")</f>
        <v>0</v>
      </c>
      <c r="N38" s="12">
        <f>IF(IF(SelectedScope="All India",TRUE,'RAW_AR_CONTENT'!$B37=SelectedScope),'RAW_AR_CONTENT'!N37,"")</f>
        <v>0</v>
      </c>
      <c r="O38" s="12">
        <f>IF(IF(SelectedScope="All India",TRUE,'RAW_AR_CONTENT'!$B37=SelectedScope),'RAW_AR_CONTENT'!O37,"")</f>
        <v>0</v>
      </c>
      <c r="P38" s="12">
        <f>IF(IF(SelectedScope="All India",TRUE,'RAW_AR_CONTENT'!$B37=SelectedScope),'RAW_AR_CONTENT'!P37,"")</f>
        <v>0</v>
      </c>
      <c r="Q38" s="12">
        <f>IF(IF(SelectedScope="All India",TRUE,'RAW_AR_CONTENT'!$B37=SelectedScope),'RAW_AR_CONTENT'!Q37,"")</f>
        <v>0</v>
      </c>
      <c r="R38" s="12">
        <f>IF(IF(SelectedScope="All India",TRUE,'RAW_AR_CONTENT'!$B37=SelectedScope),'RAW_AR_CONTENT'!R37,"")</f>
        <v>0</v>
      </c>
    </row>
    <row r="39" spans="1:18" ht="15" customHeight="1" x14ac:dyDescent="0.3">
      <c r="A39" s="9">
        <f>IF(IF(SelectedScope="All India",TRUE,'RAW_AR_CONTENT'!$B38=SelectedScope),'RAW_AR_CONTENT'!A38,"")</f>
        <v>35</v>
      </c>
      <c r="B39" s="9" t="str">
        <f>IF(IF(SelectedScope="All India",TRUE,'RAW_AR_CONTENT'!$B38=SelectedScope),'RAW_AR_CONTENT'!B38,"")</f>
        <v>Arunachal Pradesh</v>
      </c>
      <c r="C39" s="9" t="str">
        <f>IF(IF(SelectedScope="All India",TRUE,'RAW_AR_CONTENT'!$B38=SelectedScope),'RAW_AR_CONTENT'!C38,"")</f>
        <v>Mathematics</v>
      </c>
      <c r="D39" s="9" t="str">
        <f>IF(IF(SelectedScope="All India",TRUE,'RAW_AR_CONTENT'!$B38=SelectedScope),'RAW_AR_CONTENT'!D38,"")</f>
        <v>Class 7</v>
      </c>
      <c r="E39" s="9" t="str">
        <f>IF(IF(SelectedScope="All India",TRUE,'RAW_AR_CONTENT'!$B38=SelectedScope),'RAW_AR_CONTENT'!E38,"")</f>
        <v>Fractions 3D Model</v>
      </c>
      <c r="F39" s="9" t="str">
        <f>IF(IF(SelectedScope="All India",TRUE,'RAW_AR_CONTENT'!$B38=SelectedScope),'RAW_AR_CONTENT'!F38,"")</f>
        <v>Interactive</v>
      </c>
      <c r="G39" s="9" t="str">
        <f>IF(IF(SelectedScope="All India",TRUE,'RAW_AR_CONTENT'!$B38=SelectedScope),'RAW_AR_CONTENT'!G38,"")</f>
        <v>Active</v>
      </c>
      <c r="H39" s="9">
        <f>IF(IF(SelectedScope="All India",TRUE,'RAW_AR_CONTENT'!$B38=SelectedScope),'RAW_AR_CONTENT'!H38,"")</f>
        <v>0</v>
      </c>
      <c r="I39" s="9">
        <f>IF(IF(SelectedScope="All India",TRUE,'RAW_AR_CONTENT'!$B38=SelectedScope),'RAW_AR_CONTENT'!I38,"")</f>
        <v>0</v>
      </c>
      <c r="J39" s="9">
        <f>IF(IF(SelectedScope="All India",TRUE,'RAW_AR_CONTENT'!$B38=SelectedScope),'RAW_AR_CONTENT'!J38,"")</f>
        <v>0</v>
      </c>
      <c r="K39" s="9">
        <f>IF(IF(SelectedScope="All India",TRUE,'RAW_AR_CONTENT'!$B38=SelectedScope),'RAW_AR_CONTENT'!K38,"")</f>
        <v>0</v>
      </c>
      <c r="L39" s="9">
        <f>IF(IF(SelectedScope="All India",TRUE,'RAW_AR_CONTENT'!$B38=SelectedScope),'RAW_AR_CONTENT'!L38,"")</f>
        <v>0</v>
      </c>
      <c r="M39" s="9">
        <f>IF(IF(SelectedScope="All India",TRUE,'RAW_AR_CONTENT'!$B38=SelectedScope),'RAW_AR_CONTENT'!M38,"")</f>
        <v>0</v>
      </c>
      <c r="N39" s="9">
        <f>IF(IF(SelectedScope="All India",TRUE,'RAW_AR_CONTENT'!$B38=SelectedScope),'RAW_AR_CONTENT'!N38,"")</f>
        <v>0</v>
      </c>
      <c r="O39" s="9">
        <f>IF(IF(SelectedScope="All India",TRUE,'RAW_AR_CONTENT'!$B38=SelectedScope),'RAW_AR_CONTENT'!O38,"")</f>
        <v>0</v>
      </c>
      <c r="P39" s="9">
        <f>IF(IF(SelectedScope="All India",TRUE,'RAW_AR_CONTENT'!$B38=SelectedScope),'RAW_AR_CONTENT'!P38,"")</f>
        <v>0</v>
      </c>
      <c r="Q39" s="9">
        <f>IF(IF(SelectedScope="All India",TRUE,'RAW_AR_CONTENT'!$B38=SelectedScope),'RAW_AR_CONTENT'!Q38,"")</f>
        <v>0</v>
      </c>
      <c r="R39" s="9">
        <f>IF(IF(SelectedScope="All India",TRUE,'RAW_AR_CONTENT'!$B38=SelectedScope),'RAW_AR_CONTENT'!R38,"")</f>
        <v>0</v>
      </c>
    </row>
    <row r="40" spans="1:18" ht="15" customHeight="1" x14ac:dyDescent="0.3">
      <c r="A40" s="12">
        <f>IF(IF(SelectedScope="All India",TRUE,'RAW_AR_CONTENT'!$B39=SelectedScope),'RAW_AR_CONTENT'!A39,"")</f>
        <v>36</v>
      </c>
      <c r="B40" s="12" t="str">
        <f>IF(IF(SelectedScope="All India",TRUE,'RAW_AR_CONTENT'!$B39=SelectedScope),'RAW_AR_CONTENT'!B39,"")</f>
        <v>Arunachal Pradesh</v>
      </c>
      <c r="C40" s="12" t="str">
        <f>IF(IF(SelectedScope="All India",TRUE,'RAW_AR_CONTENT'!$B39=SelectedScope),'RAW_AR_CONTENT'!C39,"")</f>
        <v>Mathematics</v>
      </c>
      <c r="D40" s="12" t="str">
        <f>IF(IF(SelectedScope="All India",TRUE,'RAW_AR_CONTENT'!$B39=SelectedScope),'RAW_AR_CONTENT'!D39,"")</f>
        <v>Class 10</v>
      </c>
      <c r="E40" s="12" t="str">
        <f>IF(IF(SelectedScope="All India",TRUE,'RAW_AR_CONTENT'!$B39=SelectedScope),'RAW_AR_CONTENT'!E39,"")</f>
        <v>Trigonometry 3D</v>
      </c>
      <c r="F40" s="12" t="str">
        <f>IF(IF(SelectedScope="All India",TRUE,'RAW_AR_CONTENT'!$B39=SelectedScope),'RAW_AR_CONTENT'!F39,"")</f>
        <v>Animated</v>
      </c>
      <c r="G40" s="12" t="str">
        <f>IF(IF(SelectedScope="All India",TRUE,'RAW_AR_CONTENT'!$B39=SelectedScope),'RAW_AR_CONTENT'!G39,"")</f>
        <v>Active</v>
      </c>
      <c r="H40" s="12">
        <f>IF(IF(SelectedScope="All India",TRUE,'RAW_AR_CONTENT'!$B39=SelectedScope),'RAW_AR_CONTENT'!H39,"")</f>
        <v>0</v>
      </c>
      <c r="I40" s="12">
        <f>IF(IF(SelectedScope="All India",TRUE,'RAW_AR_CONTENT'!$B39=SelectedScope),'RAW_AR_CONTENT'!I39,"")</f>
        <v>0</v>
      </c>
      <c r="J40" s="12">
        <f>IF(IF(SelectedScope="All India",TRUE,'RAW_AR_CONTENT'!$B39=SelectedScope),'RAW_AR_CONTENT'!J39,"")</f>
        <v>0</v>
      </c>
      <c r="K40" s="12">
        <f>IF(IF(SelectedScope="All India",TRUE,'RAW_AR_CONTENT'!$B39=SelectedScope),'RAW_AR_CONTENT'!K39,"")</f>
        <v>0</v>
      </c>
      <c r="L40" s="12">
        <f>IF(IF(SelectedScope="All India",TRUE,'RAW_AR_CONTENT'!$B39=SelectedScope),'RAW_AR_CONTENT'!L39,"")</f>
        <v>0</v>
      </c>
      <c r="M40" s="12">
        <f>IF(IF(SelectedScope="All India",TRUE,'RAW_AR_CONTENT'!$B39=SelectedScope),'RAW_AR_CONTENT'!M39,"")</f>
        <v>0</v>
      </c>
      <c r="N40" s="12">
        <f>IF(IF(SelectedScope="All India",TRUE,'RAW_AR_CONTENT'!$B39=SelectedScope),'RAW_AR_CONTENT'!N39,"")</f>
        <v>0</v>
      </c>
      <c r="O40" s="12">
        <f>IF(IF(SelectedScope="All India",TRUE,'RAW_AR_CONTENT'!$B39=SelectedScope),'RAW_AR_CONTENT'!O39,"")</f>
        <v>0</v>
      </c>
      <c r="P40" s="12">
        <f>IF(IF(SelectedScope="All India",TRUE,'RAW_AR_CONTENT'!$B39=SelectedScope),'RAW_AR_CONTENT'!P39,"")</f>
        <v>0</v>
      </c>
      <c r="Q40" s="12">
        <f>IF(IF(SelectedScope="All India",TRUE,'RAW_AR_CONTENT'!$B39=SelectedScope),'RAW_AR_CONTENT'!Q39,"")</f>
        <v>0</v>
      </c>
      <c r="R40" s="12">
        <f>IF(IF(SelectedScope="All India",TRUE,'RAW_AR_CONTENT'!$B39=SelectedScope),'RAW_AR_CONTENT'!R39,"")</f>
        <v>0</v>
      </c>
    </row>
    <row r="41" spans="1:18" ht="15" customHeight="1" x14ac:dyDescent="0.3">
      <c r="A41" s="9">
        <f>IF(IF(SelectedScope="All India",TRUE,'RAW_AR_CONTENT'!$B40=SelectedScope),'RAW_AR_CONTENT'!A40,"")</f>
        <v>37</v>
      </c>
      <c r="B41" s="9" t="str">
        <f>IF(IF(SelectedScope="All India",TRUE,'RAW_AR_CONTENT'!$B40=SelectedScope),'RAW_AR_CONTENT'!B40,"")</f>
        <v>Arunachal Pradesh</v>
      </c>
      <c r="C41" s="9" t="str">
        <f>IF(IF(SelectedScope="All India",TRUE,'RAW_AR_CONTENT'!$B40=SelectedScope),'RAW_AR_CONTENT'!C40,"")</f>
        <v>History</v>
      </c>
      <c r="D41" s="9" t="str">
        <f>IF(IF(SelectedScope="All India",TRUE,'RAW_AR_CONTENT'!$B40=SelectedScope),'RAW_AR_CONTENT'!D40,"")</f>
        <v>Class 10</v>
      </c>
      <c r="E41" s="9" t="str">
        <f>IF(IF(SelectedScope="All India",TRUE,'RAW_AR_CONTENT'!$B40=SelectedScope),'RAW_AR_CONTENT'!E40,"")</f>
        <v>Mughal Empire AR</v>
      </c>
      <c r="F41" s="9" t="str">
        <f>IF(IF(SelectedScope="All India",TRUE,'RAW_AR_CONTENT'!$B40=SelectedScope),'RAW_AR_CONTENT'!F40,"")</f>
        <v>Basic 3D</v>
      </c>
      <c r="G41" s="9" t="str">
        <f>IF(IF(SelectedScope="All India",TRUE,'RAW_AR_CONTENT'!$B40=SelectedScope),'RAW_AR_CONTENT'!G40,"")</f>
        <v>Active</v>
      </c>
      <c r="H41" s="9">
        <f>IF(IF(SelectedScope="All India",TRUE,'RAW_AR_CONTENT'!$B40=SelectedScope),'RAW_AR_CONTENT'!H40,"")</f>
        <v>0</v>
      </c>
      <c r="I41" s="9">
        <f>IF(IF(SelectedScope="All India",TRUE,'RAW_AR_CONTENT'!$B40=SelectedScope),'RAW_AR_CONTENT'!I40,"")</f>
        <v>0</v>
      </c>
      <c r="J41" s="9">
        <f>IF(IF(SelectedScope="All India",TRUE,'RAW_AR_CONTENT'!$B40=SelectedScope),'RAW_AR_CONTENT'!J40,"")</f>
        <v>0</v>
      </c>
      <c r="K41" s="9">
        <f>IF(IF(SelectedScope="All India",TRUE,'RAW_AR_CONTENT'!$B40=SelectedScope),'RAW_AR_CONTENT'!K40,"")</f>
        <v>0</v>
      </c>
      <c r="L41" s="9">
        <f>IF(IF(SelectedScope="All India",TRUE,'RAW_AR_CONTENT'!$B40=SelectedScope),'RAW_AR_CONTENT'!L40,"")</f>
        <v>0</v>
      </c>
      <c r="M41" s="9">
        <f>IF(IF(SelectedScope="All India",TRUE,'RAW_AR_CONTENT'!$B40=SelectedScope),'RAW_AR_CONTENT'!M40,"")</f>
        <v>0</v>
      </c>
      <c r="N41" s="9">
        <f>IF(IF(SelectedScope="All India",TRUE,'RAW_AR_CONTENT'!$B40=SelectedScope),'RAW_AR_CONTENT'!N40,"")</f>
        <v>0</v>
      </c>
      <c r="O41" s="9">
        <f>IF(IF(SelectedScope="All India",TRUE,'RAW_AR_CONTENT'!$B40=SelectedScope),'RAW_AR_CONTENT'!O40,"")</f>
        <v>0</v>
      </c>
      <c r="P41" s="9">
        <f>IF(IF(SelectedScope="All India",TRUE,'RAW_AR_CONTENT'!$B40=SelectedScope),'RAW_AR_CONTENT'!P40,"")</f>
        <v>0</v>
      </c>
      <c r="Q41" s="9">
        <f>IF(IF(SelectedScope="All India",TRUE,'RAW_AR_CONTENT'!$B40=SelectedScope),'RAW_AR_CONTENT'!Q40,"")</f>
        <v>0</v>
      </c>
      <c r="R41" s="9">
        <f>IF(IF(SelectedScope="All India",TRUE,'RAW_AR_CONTENT'!$B40=SelectedScope),'RAW_AR_CONTENT'!R40,"")</f>
        <v>0</v>
      </c>
    </row>
    <row r="42" spans="1:18" ht="15" customHeight="1" x14ac:dyDescent="0.3">
      <c r="A42" s="12">
        <f>IF(IF(SelectedScope="All India",TRUE,'RAW_AR_CONTENT'!$B41=SelectedScope),'RAW_AR_CONTENT'!A41,"")</f>
        <v>38</v>
      </c>
      <c r="B42" s="12" t="str">
        <f>IF(IF(SelectedScope="All India",TRUE,'RAW_AR_CONTENT'!$B41=SelectedScope),'RAW_AR_CONTENT'!B41,"")</f>
        <v>Arunachal Pradesh</v>
      </c>
      <c r="C42" s="12" t="str">
        <f>IF(IF(SelectedScope="All India",TRUE,'RAW_AR_CONTENT'!$B41=SelectedScope),'RAW_AR_CONTENT'!C41,"")</f>
        <v>Geography</v>
      </c>
      <c r="D42" s="12" t="str">
        <f>IF(IF(SelectedScope="All India",TRUE,'RAW_AR_CONTENT'!$B41=SelectedScope),'RAW_AR_CONTENT'!D41,"")</f>
        <v>Class 6</v>
      </c>
      <c r="E42" s="12" t="str">
        <f>IF(IF(SelectedScope="All India",TRUE,'RAW_AR_CONTENT'!$B41=SelectedScope),'RAW_AR_CONTENT'!E41,"")</f>
        <v>Water Cycle Simulation</v>
      </c>
      <c r="F42" s="12" t="str">
        <f>IF(IF(SelectedScope="All India",TRUE,'RAW_AR_CONTENT'!$B41=SelectedScope),'RAW_AR_CONTENT'!F41,"")</f>
        <v>Animated</v>
      </c>
      <c r="G42" s="12" t="str">
        <f>IF(IF(SelectedScope="All India",TRUE,'RAW_AR_CONTENT'!$B41=SelectedScope),'RAW_AR_CONTENT'!G41,"")</f>
        <v>Active</v>
      </c>
      <c r="H42" s="12">
        <f>IF(IF(SelectedScope="All India",TRUE,'RAW_AR_CONTENT'!$B41=SelectedScope),'RAW_AR_CONTENT'!H41,"")</f>
        <v>0</v>
      </c>
      <c r="I42" s="12">
        <f>IF(IF(SelectedScope="All India",TRUE,'RAW_AR_CONTENT'!$B41=SelectedScope),'RAW_AR_CONTENT'!I41,"")</f>
        <v>0</v>
      </c>
      <c r="J42" s="12">
        <f>IF(IF(SelectedScope="All India",TRUE,'RAW_AR_CONTENT'!$B41=SelectedScope),'RAW_AR_CONTENT'!J41,"")</f>
        <v>0</v>
      </c>
      <c r="K42" s="12">
        <f>IF(IF(SelectedScope="All India",TRUE,'RAW_AR_CONTENT'!$B41=SelectedScope),'RAW_AR_CONTENT'!K41,"")</f>
        <v>0</v>
      </c>
      <c r="L42" s="12">
        <f>IF(IF(SelectedScope="All India",TRUE,'RAW_AR_CONTENT'!$B41=SelectedScope),'RAW_AR_CONTENT'!L41,"")</f>
        <v>0</v>
      </c>
      <c r="M42" s="12">
        <f>IF(IF(SelectedScope="All India",TRUE,'RAW_AR_CONTENT'!$B41=SelectedScope),'RAW_AR_CONTENT'!M41,"")</f>
        <v>0</v>
      </c>
      <c r="N42" s="12">
        <f>IF(IF(SelectedScope="All India",TRUE,'RAW_AR_CONTENT'!$B41=SelectedScope),'RAW_AR_CONTENT'!N41,"")</f>
        <v>0</v>
      </c>
      <c r="O42" s="12">
        <f>IF(IF(SelectedScope="All India",TRUE,'RAW_AR_CONTENT'!$B41=SelectedScope),'RAW_AR_CONTENT'!O41,"")</f>
        <v>0</v>
      </c>
      <c r="P42" s="12">
        <f>IF(IF(SelectedScope="All India",TRUE,'RAW_AR_CONTENT'!$B41=SelectedScope),'RAW_AR_CONTENT'!P41,"")</f>
        <v>0</v>
      </c>
      <c r="Q42" s="12">
        <f>IF(IF(SelectedScope="All India",TRUE,'RAW_AR_CONTENT'!$B41=SelectedScope),'RAW_AR_CONTENT'!Q41,"")</f>
        <v>0</v>
      </c>
      <c r="R42" s="12">
        <f>IF(IF(SelectedScope="All India",TRUE,'RAW_AR_CONTENT'!$B41=SelectedScope),'RAW_AR_CONTENT'!R41,"")</f>
        <v>0</v>
      </c>
    </row>
    <row r="43" spans="1:18" ht="15" customHeight="1" x14ac:dyDescent="0.3">
      <c r="A43" s="9">
        <f>IF(IF(SelectedScope="All India",TRUE,'RAW_AR_CONTENT'!$B42=SelectedScope),'RAW_AR_CONTENT'!A42,"")</f>
        <v>39</v>
      </c>
      <c r="B43" s="9" t="str">
        <f>IF(IF(SelectedScope="All India",TRUE,'RAW_AR_CONTENT'!$B42=SelectedScope),'RAW_AR_CONTENT'!B42,"")</f>
        <v>Arunachal Pradesh</v>
      </c>
      <c r="C43" s="9" t="str">
        <f>IF(IF(SelectedScope="All India",TRUE,'RAW_AR_CONTENT'!$B42=SelectedScope),'RAW_AR_CONTENT'!C42,"")</f>
        <v>Biology</v>
      </c>
      <c r="D43" s="9" t="str">
        <f>IF(IF(SelectedScope="All India",TRUE,'RAW_AR_CONTENT'!$B42=SelectedScope),'RAW_AR_CONTENT'!D42,"")</f>
        <v>Class 11</v>
      </c>
      <c r="E43" s="9" t="str">
        <f>IF(IF(SelectedScope="All India",TRUE,'RAW_AR_CONTENT'!$B42=SelectedScope),'RAW_AR_CONTENT'!E42,"")</f>
        <v>Human Anatomy AR</v>
      </c>
      <c r="F43" s="9" t="str">
        <f>IF(IF(SelectedScope="All India",TRUE,'RAW_AR_CONTENT'!$B42=SelectedScope),'RAW_AR_CONTENT'!F42,"")</f>
        <v>Fully Immersive</v>
      </c>
      <c r="G43" s="9" t="str">
        <f>IF(IF(SelectedScope="All India",TRUE,'RAW_AR_CONTENT'!$B42=SelectedScope),'RAW_AR_CONTENT'!G42,"")</f>
        <v>Active</v>
      </c>
      <c r="H43" s="9">
        <f>IF(IF(SelectedScope="All India",TRUE,'RAW_AR_CONTENT'!$B42=SelectedScope),'RAW_AR_CONTENT'!H42,"")</f>
        <v>0</v>
      </c>
      <c r="I43" s="9">
        <f>IF(IF(SelectedScope="All India",TRUE,'RAW_AR_CONTENT'!$B42=SelectedScope),'RAW_AR_CONTENT'!I42,"")</f>
        <v>0</v>
      </c>
      <c r="J43" s="9">
        <f>IF(IF(SelectedScope="All India",TRUE,'RAW_AR_CONTENT'!$B42=SelectedScope),'RAW_AR_CONTENT'!J42,"")</f>
        <v>0</v>
      </c>
      <c r="K43" s="9">
        <f>IF(IF(SelectedScope="All India",TRUE,'RAW_AR_CONTENT'!$B42=SelectedScope),'RAW_AR_CONTENT'!K42,"")</f>
        <v>0</v>
      </c>
      <c r="L43" s="9">
        <f>IF(IF(SelectedScope="All India",TRUE,'RAW_AR_CONTENT'!$B42=SelectedScope),'RAW_AR_CONTENT'!L42,"")</f>
        <v>0</v>
      </c>
      <c r="M43" s="9">
        <f>IF(IF(SelectedScope="All India",TRUE,'RAW_AR_CONTENT'!$B42=SelectedScope),'RAW_AR_CONTENT'!M42,"")</f>
        <v>0</v>
      </c>
      <c r="N43" s="9">
        <f>IF(IF(SelectedScope="All India",TRUE,'RAW_AR_CONTENT'!$B42=SelectedScope),'RAW_AR_CONTENT'!N42,"")</f>
        <v>0</v>
      </c>
      <c r="O43" s="9">
        <f>IF(IF(SelectedScope="All India",TRUE,'RAW_AR_CONTENT'!$B42=SelectedScope),'RAW_AR_CONTENT'!O42,"")</f>
        <v>0</v>
      </c>
      <c r="P43" s="9">
        <f>IF(IF(SelectedScope="All India",TRUE,'RAW_AR_CONTENT'!$B42=SelectedScope),'RAW_AR_CONTENT'!P42,"")</f>
        <v>0</v>
      </c>
      <c r="Q43" s="9">
        <f>IF(IF(SelectedScope="All India",TRUE,'RAW_AR_CONTENT'!$B42=SelectedScope),'RAW_AR_CONTENT'!Q42,"")</f>
        <v>0</v>
      </c>
      <c r="R43" s="9">
        <f>IF(IF(SelectedScope="All India",TRUE,'RAW_AR_CONTENT'!$B42=SelectedScope),'RAW_AR_CONTENT'!R42,"")</f>
        <v>0</v>
      </c>
    </row>
    <row r="44" spans="1:18" ht="15" customHeight="1" x14ac:dyDescent="0.3">
      <c r="A44" s="12">
        <f>IF(IF(SelectedScope="All India",TRUE,'RAW_AR_CONTENT'!$B43=SelectedScope),'RAW_AR_CONTENT'!A43,"")</f>
        <v>40</v>
      </c>
      <c r="B44" s="12" t="str">
        <f>IF(IF(SelectedScope="All India",TRUE,'RAW_AR_CONTENT'!$B43=SelectedScope),'RAW_AR_CONTENT'!B43,"")</f>
        <v>Arunachal Pradesh</v>
      </c>
      <c r="C44" s="12" t="str">
        <f>IF(IF(SelectedScope="All India",TRUE,'RAW_AR_CONTENT'!$B43=SelectedScope),'RAW_AR_CONTENT'!C43,"")</f>
        <v>Physics</v>
      </c>
      <c r="D44" s="12" t="str">
        <f>IF(IF(SelectedScope="All India",TRUE,'RAW_AR_CONTENT'!$B43=SelectedScope),'RAW_AR_CONTENT'!D43,"")</f>
        <v>Class 9</v>
      </c>
      <c r="E44" s="12" t="str">
        <f>IF(IF(SelectedScope="All India",TRUE,'RAW_AR_CONTENT'!$B43=SelectedScope),'RAW_AR_CONTENT'!E43,"")</f>
        <v>Laws of Motion</v>
      </c>
      <c r="F44" s="12" t="str">
        <f>IF(IF(SelectedScope="All India",TRUE,'RAW_AR_CONTENT'!$B43=SelectedScope),'RAW_AR_CONTENT'!F43,"")</f>
        <v>Interactive</v>
      </c>
      <c r="G44" s="12" t="str">
        <f>IF(IF(SelectedScope="All India",TRUE,'RAW_AR_CONTENT'!$B43=SelectedScope),'RAW_AR_CONTENT'!G43,"")</f>
        <v>Active</v>
      </c>
      <c r="H44" s="12">
        <f>IF(IF(SelectedScope="All India",TRUE,'RAW_AR_CONTENT'!$B43=SelectedScope),'RAW_AR_CONTENT'!H43,"")</f>
        <v>0</v>
      </c>
      <c r="I44" s="12">
        <f>IF(IF(SelectedScope="All India",TRUE,'RAW_AR_CONTENT'!$B43=SelectedScope),'RAW_AR_CONTENT'!I43,"")</f>
        <v>0</v>
      </c>
      <c r="J44" s="12">
        <f>IF(IF(SelectedScope="All India",TRUE,'RAW_AR_CONTENT'!$B43=SelectedScope),'RAW_AR_CONTENT'!J43,"")</f>
        <v>0</v>
      </c>
      <c r="K44" s="12">
        <f>IF(IF(SelectedScope="All India",TRUE,'RAW_AR_CONTENT'!$B43=SelectedScope),'RAW_AR_CONTENT'!K43,"")</f>
        <v>0</v>
      </c>
      <c r="L44" s="12">
        <f>IF(IF(SelectedScope="All India",TRUE,'RAW_AR_CONTENT'!$B43=SelectedScope),'RAW_AR_CONTENT'!L43,"")</f>
        <v>0</v>
      </c>
      <c r="M44" s="12">
        <f>IF(IF(SelectedScope="All India",TRUE,'RAW_AR_CONTENT'!$B43=SelectedScope),'RAW_AR_CONTENT'!M43,"")</f>
        <v>0</v>
      </c>
      <c r="N44" s="12">
        <f>IF(IF(SelectedScope="All India",TRUE,'RAW_AR_CONTENT'!$B43=SelectedScope),'RAW_AR_CONTENT'!N43,"")</f>
        <v>0</v>
      </c>
      <c r="O44" s="12">
        <f>IF(IF(SelectedScope="All India",TRUE,'RAW_AR_CONTENT'!$B43=SelectedScope),'RAW_AR_CONTENT'!O43,"")</f>
        <v>0</v>
      </c>
      <c r="P44" s="12">
        <f>IF(IF(SelectedScope="All India",TRUE,'RAW_AR_CONTENT'!$B43=SelectedScope),'RAW_AR_CONTENT'!P43,"")</f>
        <v>0</v>
      </c>
      <c r="Q44" s="12">
        <f>IF(IF(SelectedScope="All India",TRUE,'RAW_AR_CONTENT'!$B43=SelectedScope),'RAW_AR_CONTENT'!Q43,"")</f>
        <v>0</v>
      </c>
      <c r="R44" s="12">
        <f>IF(IF(SelectedScope="All India",TRUE,'RAW_AR_CONTENT'!$B43=SelectedScope),'RAW_AR_CONTENT'!R43,"")</f>
        <v>0</v>
      </c>
    </row>
    <row r="45" spans="1:18" ht="15" customHeight="1" x14ac:dyDescent="0.3">
      <c r="A45" s="9">
        <f>IF(IF(SelectedScope="All India",TRUE,'RAW_AR_CONTENT'!$B44=SelectedScope),'RAW_AR_CONTENT'!A44,"")</f>
        <v>41</v>
      </c>
      <c r="B45" s="9" t="str">
        <f>IF(IF(SelectedScope="All India",TRUE,'RAW_AR_CONTENT'!$B44=SelectedScope),'RAW_AR_CONTENT'!B44,"")</f>
        <v>Arunachal Pradesh</v>
      </c>
      <c r="C45" s="9" t="str">
        <f>IF(IF(SelectedScope="All India",TRUE,'RAW_AR_CONTENT'!$B44=SelectedScope),'RAW_AR_CONTENT'!C44,"")</f>
        <v>Chemistry</v>
      </c>
      <c r="D45" s="9" t="str">
        <f>IF(IF(SelectedScope="All India",TRUE,'RAW_AR_CONTENT'!$B44=SelectedScope),'RAW_AR_CONTENT'!D44,"")</f>
        <v>Class 11</v>
      </c>
      <c r="E45" s="9" t="str">
        <f>IF(IF(SelectedScope="All India",TRUE,'RAW_AR_CONTENT'!$B44=SelectedScope),'RAW_AR_CONTENT'!E44,"")</f>
        <v>Periodic Table 3D</v>
      </c>
      <c r="F45" s="9" t="str">
        <f>IF(IF(SelectedScope="All India",TRUE,'RAW_AR_CONTENT'!$B44=SelectedScope),'RAW_AR_CONTENT'!F44,"")</f>
        <v>Interactive</v>
      </c>
      <c r="G45" s="9" t="str">
        <f>IF(IF(SelectedScope="All India",TRUE,'RAW_AR_CONTENT'!$B44=SelectedScope),'RAW_AR_CONTENT'!G44,"")</f>
        <v>Active</v>
      </c>
      <c r="H45" s="9">
        <f>IF(IF(SelectedScope="All India",TRUE,'RAW_AR_CONTENT'!$B44=SelectedScope),'RAW_AR_CONTENT'!H44,"")</f>
        <v>0</v>
      </c>
      <c r="I45" s="9">
        <f>IF(IF(SelectedScope="All India",TRUE,'RAW_AR_CONTENT'!$B44=SelectedScope),'RAW_AR_CONTENT'!I44,"")</f>
        <v>0</v>
      </c>
      <c r="J45" s="9">
        <f>IF(IF(SelectedScope="All India",TRUE,'RAW_AR_CONTENT'!$B44=SelectedScope),'RAW_AR_CONTENT'!J44,"")</f>
        <v>0</v>
      </c>
      <c r="K45" s="9">
        <f>IF(IF(SelectedScope="All India",TRUE,'RAW_AR_CONTENT'!$B44=SelectedScope),'RAW_AR_CONTENT'!K44,"")</f>
        <v>0</v>
      </c>
      <c r="L45" s="9">
        <f>IF(IF(SelectedScope="All India",TRUE,'RAW_AR_CONTENT'!$B44=SelectedScope),'RAW_AR_CONTENT'!L44,"")</f>
        <v>0</v>
      </c>
      <c r="M45" s="9">
        <f>IF(IF(SelectedScope="All India",TRUE,'RAW_AR_CONTENT'!$B44=SelectedScope),'RAW_AR_CONTENT'!M44,"")</f>
        <v>0</v>
      </c>
      <c r="N45" s="9">
        <f>IF(IF(SelectedScope="All India",TRUE,'RAW_AR_CONTENT'!$B44=SelectedScope),'RAW_AR_CONTENT'!N44,"")</f>
        <v>0</v>
      </c>
      <c r="O45" s="9">
        <f>IF(IF(SelectedScope="All India",TRUE,'RAW_AR_CONTENT'!$B44=SelectedScope),'RAW_AR_CONTENT'!O44,"")</f>
        <v>0</v>
      </c>
      <c r="P45" s="9">
        <f>IF(IF(SelectedScope="All India",TRUE,'RAW_AR_CONTENT'!$B44=SelectedScope),'RAW_AR_CONTENT'!P44,"")</f>
        <v>0</v>
      </c>
      <c r="Q45" s="9">
        <f>IF(IF(SelectedScope="All India",TRUE,'RAW_AR_CONTENT'!$B44=SelectedScope),'RAW_AR_CONTENT'!Q44,"")</f>
        <v>0</v>
      </c>
      <c r="R45" s="9">
        <f>IF(IF(SelectedScope="All India",TRUE,'RAW_AR_CONTENT'!$B44=SelectedScope),'RAW_AR_CONTENT'!R44,"")</f>
        <v>0</v>
      </c>
    </row>
    <row r="46" spans="1:18" ht="15" customHeight="1" x14ac:dyDescent="0.3">
      <c r="A46" s="12">
        <f>IF(IF(SelectedScope="All India",TRUE,'RAW_AR_CONTENT'!$B45=SelectedScope),'RAW_AR_CONTENT'!A45,"")</f>
        <v>42</v>
      </c>
      <c r="B46" s="12" t="str">
        <f>IF(IF(SelectedScope="All India",TRUE,'RAW_AR_CONTENT'!$B45=SelectedScope),'RAW_AR_CONTENT'!B45,"")</f>
        <v>Arunachal Pradesh</v>
      </c>
      <c r="C46" s="12" t="str">
        <f>IF(IF(SelectedScope="All India",TRUE,'RAW_AR_CONTENT'!$B45=SelectedScope),'RAW_AR_CONTENT'!C45,"")</f>
        <v>Physics</v>
      </c>
      <c r="D46" s="12" t="str">
        <f>IF(IF(SelectedScope="All India",TRUE,'RAW_AR_CONTENT'!$B45=SelectedScope),'RAW_AR_CONTENT'!D45,"")</f>
        <v>Class 10</v>
      </c>
      <c r="E46" s="12" t="str">
        <f>IF(IF(SelectedScope="All India",TRUE,'RAW_AR_CONTENT'!$B45=SelectedScope),'RAW_AR_CONTENT'!E45,"")</f>
        <v>Electricity Circuits</v>
      </c>
      <c r="F46" s="12" t="str">
        <f>IF(IF(SelectedScope="All India",TRUE,'RAW_AR_CONTENT'!$B45=SelectedScope),'RAW_AR_CONTENT'!F45,"")</f>
        <v>Interactive</v>
      </c>
      <c r="G46" s="12" t="str">
        <f>IF(IF(SelectedScope="All India",TRUE,'RAW_AR_CONTENT'!$B45=SelectedScope),'RAW_AR_CONTENT'!G45,"")</f>
        <v>Active</v>
      </c>
      <c r="H46" s="12">
        <f>IF(IF(SelectedScope="All India",TRUE,'RAW_AR_CONTENT'!$B45=SelectedScope),'RAW_AR_CONTENT'!H45,"")</f>
        <v>0</v>
      </c>
      <c r="I46" s="12">
        <f>IF(IF(SelectedScope="All India",TRUE,'RAW_AR_CONTENT'!$B45=SelectedScope),'RAW_AR_CONTENT'!I45,"")</f>
        <v>0</v>
      </c>
      <c r="J46" s="12">
        <f>IF(IF(SelectedScope="All India",TRUE,'RAW_AR_CONTENT'!$B45=SelectedScope),'RAW_AR_CONTENT'!J45,"")</f>
        <v>0</v>
      </c>
      <c r="K46" s="12">
        <f>IF(IF(SelectedScope="All India",TRUE,'RAW_AR_CONTENT'!$B45=SelectedScope),'RAW_AR_CONTENT'!K45,"")</f>
        <v>0</v>
      </c>
      <c r="L46" s="12">
        <f>IF(IF(SelectedScope="All India",TRUE,'RAW_AR_CONTENT'!$B45=SelectedScope),'RAW_AR_CONTENT'!L45,"")</f>
        <v>0</v>
      </c>
      <c r="M46" s="12">
        <f>IF(IF(SelectedScope="All India",TRUE,'RAW_AR_CONTENT'!$B45=SelectedScope),'RAW_AR_CONTENT'!M45,"")</f>
        <v>0</v>
      </c>
      <c r="N46" s="12">
        <f>IF(IF(SelectedScope="All India",TRUE,'RAW_AR_CONTENT'!$B45=SelectedScope),'RAW_AR_CONTENT'!N45,"")</f>
        <v>0</v>
      </c>
      <c r="O46" s="12">
        <f>IF(IF(SelectedScope="All India",TRUE,'RAW_AR_CONTENT'!$B45=SelectedScope),'RAW_AR_CONTENT'!O45,"")</f>
        <v>0</v>
      </c>
      <c r="P46" s="12">
        <f>IF(IF(SelectedScope="All India",TRUE,'RAW_AR_CONTENT'!$B45=SelectedScope),'RAW_AR_CONTENT'!P45,"")</f>
        <v>0</v>
      </c>
      <c r="Q46" s="12">
        <f>IF(IF(SelectedScope="All India",TRUE,'RAW_AR_CONTENT'!$B45=SelectedScope),'RAW_AR_CONTENT'!Q45,"")</f>
        <v>0</v>
      </c>
      <c r="R46" s="12">
        <f>IF(IF(SelectedScope="All India",TRUE,'RAW_AR_CONTENT'!$B45=SelectedScope),'RAW_AR_CONTENT'!R45,"")</f>
        <v>0</v>
      </c>
    </row>
    <row r="47" spans="1:18" ht="15" customHeight="1" x14ac:dyDescent="0.3">
      <c r="A47" s="9">
        <f>IF(IF(SelectedScope="All India",TRUE,'RAW_AR_CONTENT'!$B46=SelectedScope),'RAW_AR_CONTENT'!A46,"")</f>
        <v>43</v>
      </c>
      <c r="B47" s="9" t="str">
        <f>IF(IF(SelectedScope="All India",TRUE,'RAW_AR_CONTENT'!$B46=SelectedScope),'RAW_AR_CONTENT'!B46,"")</f>
        <v>Arunachal Pradesh</v>
      </c>
      <c r="C47" s="9" t="str">
        <f>IF(IF(SelectedScope="All India",TRUE,'RAW_AR_CONTENT'!$B46=SelectedScope),'RAW_AR_CONTENT'!C46,"")</f>
        <v>Civics</v>
      </c>
      <c r="D47" s="9" t="str">
        <f>IF(IF(SelectedScope="All India",TRUE,'RAW_AR_CONTENT'!$B46=SelectedScope),'RAW_AR_CONTENT'!D46,"")</f>
        <v>Class 9</v>
      </c>
      <c r="E47" s="9" t="str">
        <f>IF(IF(SelectedScope="All India",TRUE,'RAW_AR_CONTENT'!$B46=SelectedScope),'RAW_AR_CONTENT'!E46,"")</f>
        <v>Indian Constitution</v>
      </c>
      <c r="F47" s="9" t="str">
        <f>IF(IF(SelectedScope="All India",TRUE,'RAW_AR_CONTENT'!$B46=SelectedScope),'RAW_AR_CONTENT'!F46,"")</f>
        <v>Basic 3D</v>
      </c>
      <c r="G47" s="9" t="str">
        <f>IF(IF(SelectedScope="All India",TRUE,'RAW_AR_CONTENT'!$B46=SelectedScope),'RAW_AR_CONTENT'!G46,"")</f>
        <v>Active</v>
      </c>
      <c r="H47" s="9">
        <f>IF(IF(SelectedScope="All India",TRUE,'RAW_AR_CONTENT'!$B46=SelectedScope),'RAW_AR_CONTENT'!H46,"")</f>
        <v>0</v>
      </c>
      <c r="I47" s="9">
        <f>IF(IF(SelectedScope="All India",TRUE,'RAW_AR_CONTENT'!$B46=SelectedScope),'RAW_AR_CONTENT'!I46,"")</f>
        <v>0</v>
      </c>
      <c r="J47" s="9">
        <f>IF(IF(SelectedScope="All India",TRUE,'RAW_AR_CONTENT'!$B46=SelectedScope),'RAW_AR_CONTENT'!J46,"")</f>
        <v>0</v>
      </c>
      <c r="K47" s="9">
        <f>IF(IF(SelectedScope="All India",TRUE,'RAW_AR_CONTENT'!$B46=SelectedScope),'RAW_AR_CONTENT'!K46,"")</f>
        <v>0</v>
      </c>
      <c r="L47" s="9">
        <f>IF(IF(SelectedScope="All India",TRUE,'RAW_AR_CONTENT'!$B46=SelectedScope),'RAW_AR_CONTENT'!L46,"")</f>
        <v>0</v>
      </c>
      <c r="M47" s="9">
        <f>IF(IF(SelectedScope="All India",TRUE,'RAW_AR_CONTENT'!$B46=SelectedScope),'RAW_AR_CONTENT'!M46,"")</f>
        <v>0</v>
      </c>
      <c r="N47" s="9">
        <f>IF(IF(SelectedScope="All India",TRUE,'RAW_AR_CONTENT'!$B46=SelectedScope),'RAW_AR_CONTENT'!N46,"")</f>
        <v>0</v>
      </c>
      <c r="O47" s="9">
        <f>IF(IF(SelectedScope="All India",TRUE,'RAW_AR_CONTENT'!$B46=SelectedScope),'RAW_AR_CONTENT'!O46,"")</f>
        <v>0</v>
      </c>
      <c r="P47" s="9">
        <f>IF(IF(SelectedScope="All India",TRUE,'RAW_AR_CONTENT'!$B46=SelectedScope),'RAW_AR_CONTENT'!P46,"")</f>
        <v>0</v>
      </c>
      <c r="Q47" s="9">
        <f>IF(IF(SelectedScope="All India",TRUE,'RAW_AR_CONTENT'!$B46=SelectedScope),'RAW_AR_CONTENT'!Q46,"")</f>
        <v>0</v>
      </c>
      <c r="R47" s="9">
        <f>IF(IF(SelectedScope="All India",TRUE,'RAW_AR_CONTENT'!$B46=SelectedScope),'RAW_AR_CONTENT'!R46,"")</f>
        <v>0</v>
      </c>
    </row>
    <row r="48" spans="1:18" ht="15" customHeight="1" x14ac:dyDescent="0.3">
      <c r="A48" s="12">
        <f>IF(IF(SelectedScope="All India",TRUE,'RAW_AR_CONTENT'!$B47=SelectedScope),'RAW_AR_CONTENT'!A47,"")</f>
        <v>44</v>
      </c>
      <c r="B48" s="12" t="str">
        <f>IF(IF(SelectedScope="All India",TRUE,'RAW_AR_CONTENT'!$B47=SelectedScope),'RAW_AR_CONTENT'!B47,"")</f>
        <v>Arunachal Pradesh</v>
      </c>
      <c r="C48" s="12" t="str">
        <f>IF(IF(SelectedScope="All India",TRUE,'RAW_AR_CONTENT'!$B47=SelectedScope),'RAW_AR_CONTENT'!C47,"")</f>
        <v>Environmental Science</v>
      </c>
      <c r="D48" s="12" t="str">
        <f>IF(IF(SelectedScope="All India",TRUE,'RAW_AR_CONTENT'!$B47=SelectedScope),'RAW_AR_CONTENT'!D47,"")</f>
        <v>Class 6</v>
      </c>
      <c r="E48" s="12" t="str">
        <f>IF(IF(SelectedScope="All India",TRUE,'RAW_AR_CONTENT'!$B47=SelectedScope),'RAW_AR_CONTENT'!E47,"")</f>
        <v>Food Chain</v>
      </c>
      <c r="F48" s="12" t="str">
        <f>IF(IF(SelectedScope="All India",TRUE,'RAW_AR_CONTENT'!$B47=SelectedScope),'RAW_AR_CONTENT'!F47,"")</f>
        <v>Animated</v>
      </c>
      <c r="G48" s="12" t="str">
        <f>IF(IF(SelectedScope="All India",TRUE,'RAW_AR_CONTENT'!$B47=SelectedScope),'RAW_AR_CONTENT'!G47,"")</f>
        <v>Active</v>
      </c>
      <c r="H48" s="12">
        <f>IF(IF(SelectedScope="All India",TRUE,'RAW_AR_CONTENT'!$B47=SelectedScope),'RAW_AR_CONTENT'!H47,"")</f>
        <v>0</v>
      </c>
      <c r="I48" s="12">
        <f>IF(IF(SelectedScope="All India",TRUE,'RAW_AR_CONTENT'!$B47=SelectedScope),'RAW_AR_CONTENT'!I47,"")</f>
        <v>0</v>
      </c>
      <c r="J48" s="12">
        <f>IF(IF(SelectedScope="All India",TRUE,'RAW_AR_CONTENT'!$B47=SelectedScope),'RAW_AR_CONTENT'!J47,"")</f>
        <v>0</v>
      </c>
      <c r="K48" s="12">
        <f>IF(IF(SelectedScope="All India",TRUE,'RAW_AR_CONTENT'!$B47=SelectedScope),'RAW_AR_CONTENT'!K47,"")</f>
        <v>0</v>
      </c>
      <c r="L48" s="12">
        <f>IF(IF(SelectedScope="All India",TRUE,'RAW_AR_CONTENT'!$B47=SelectedScope),'RAW_AR_CONTENT'!L47,"")</f>
        <v>0</v>
      </c>
      <c r="M48" s="12">
        <f>IF(IF(SelectedScope="All India",TRUE,'RAW_AR_CONTENT'!$B47=SelectedScope),'RAW_AR_CONTENT'!M47,"")</f>
        <v>0</v>
      </c>
      <c r="N48" s="12">
        <f>IF(IF(SelectedScope="All India",TRUE,'RAW_AR_CONTENT'!$B47=SelectedScope),'RAW_AR_CONTENT'!N47,"")</f>
        <v>0</v>
      </c>
      <c r="O48" s="12">
        <f>IF(IF(SelectedScope="All India",TRUE,'RAW_AR_CONTENT'!$B47=SelectedScope),'RAW_AR_CONTENT'!O47,"")</f>
        <v>0</v>
      </c>
      <c r="P48" s="12">
        <f>IF(IF(SelectedScope="All India",TRUE,'RAW_AR_CONTENT'!$B47=SelectedScope),'RAW_AR_CONTENT'!P47,"")</f>
        <v>0</v>
      </c>
      <c r="Q48" s="12">
        <f>IF(IF(SelectedScope="All India",TRUE,'RAW_AR_CONTENT'!$B47=SelectedScope),'RAW_AR_CONTENT'!Q47,"")</f>
        <v>0</v>
      </c>
      <c r="R48" s="12">
        <f>IF(IF(SelectedScope="All India",TRUE,'RAW_AR_CONTENT'!$B47=SelectedScope),'RAW_AR_CONTENT'!R47,"")</f>
        <v>0</v>
      </c>
    </row>
    <row r="49" spans="1:18" ht="15" customHeight="1" x14ac:dyDescent="0.3">
      <c r="A49" s="9">
        <f>IF(IF(SelectedScope="All India",TRUE,'RAW_AR_CONTENT'!$B48=SelectedScope),'RAW_AR_CONTENT'!A48,"")</f>
        <v>45</v>
      </c>
      <c r="B49" s="9" t="str">
        <f>IF(IF(SelectedScope="All India",TRUE,'RAW_AR_CONTENT'!$B48=SelectedScope),'RAW_AR_CONTENT'!B48,"")</f>
        <v>Arunachal Pradesh</v>
      </c>
      <c r="C49" s="9" t="str">
        <f>IF(IF(SelectedScope="All India",TRUE,'RAW_AR_CONTENT'!$B48=SelectedScope),'RAW_AR_CONTENT'!C48,"")</f>
        <v>Mathematics</v>
      </c>
      <c r="D49" s="9" t="str">
        <f>IF(IF(SelectedScope="All India",TRUE,'RAW_AR_CONTENT'!$B48=SelectedScope),'RAW_AR_CONTENT'!D48,"")</f>
        <v>Class 10</v>
      </c>
      <c r="E49" s="9" t="str">
        <f>IF(IF(SelectedScope="All India",TRUE,'RAW_AR_CONTENT'!$B48=SelectedScope),'RAW_AR_CONTENT'!E48,"")</f>
        <v>Quadratic Equations</v>
      </c>
      <c r="F49" s="9" t="str">
        <f>IF(IF(SelectedScope="All India",TRUE,'RAW_AR_CONTENT'!$B48=SelectedScope),'RAW_AR_CONTENT'!F48,"")</f>
        <v>Animated</v>
      </c>
      <c r="G49" s="9" t="str">
        <f>IF(IF(SelectedScope="All India",TRUE,'RAW_AR_CONTENT'!$B48=SelectedScope),'RAW_AR_CONTENT'!G48,"")</f>
        <v>Active</v>
      </c>
      <c r="H49" s="9">
        <f>IF(IF(SelectedScope="All India",TRUE,'RAW_AR_CONTENT'!$B48=SelectedScope),'RAW_AR_CONTENT'!H48,"")</f>
        <v>0</v>
      </c>
      <c r="I49" s="9">
        <f>IF(IF(SelectedScope="All India",TRUE,'RAW_AR_CONTENT'!$B48=SelectedScope),'RAW_AR_CONTENT'!I48,"")</f>
        <v>0</v>
      </c>
      <c r="J49" s="9">
        <f>IF(IF(SelectedScope="All India",TRUE,'RAW_AR_CONTENT'!$B48=SelectedScope),'RAW_AR_CONTENT'!J48,"")</f>
        <v>0</v>
      </c>
      <c r="K49" s="9">
        <f>IF(IF(SelectedScope="All India",TRUE,'RAW_AR_CONTENT'!$B48=SelectedScope),'RAW_AR_CONTENT'!K48,"")</f>
        <v>0</v>
      </c>
      <c r="L49" s="9">
        <f>IF(IF(SelectedScope="All India",TRUE,'RAW_AR_CONTENT'!$B48=SelectedScope),'RAW_AR_CONTENT'!L48,"")</f>
        <v>0</v>
      </c>
      <c r="M49" s="9">
        <f>IF(IF(SelectedScope="All India",TRUE,'RAW_AR_CONTENT'!$B48=SelectedScope),'RAW_AR_CONTENT'!M48,"")</f>
        <v>0</v>
      </c>
      <c r="N49" s="9">
        <f>IF(IF(SelectedScope="All India",TRUE,'RAW_AR_CONTENT'!$B48=SelectedScope),'RAW_AR_CONTENT'!N48,"")</f>
        <v>0</v>
      </c>
      <c r="O49" s="9">
        <f>IF(IF(SelectedScope="All India",TRUE,'RAW_AR_CONTENT'!$B48=SelectedScope),'RAW_AR_CONTENT'!O48,"")</f>
        <v>0</v>
      </c>
      <c r="P49" s="9">
        <f>IF(IF(SelectedScope="All India",TRUE,'RAW_AR_CONTENT'!$B48=SelectedScope),'RAW_AR_CONTENT'!P48,"")</f>
        <v>0</v>
      </c>
      <c r="Q49" s="9">
        <f>IF(IF(SelectedScope="All India",TRUE,'RAW_AR_CONTENT'!$B48=SelectedScope),'RAW_AR_CONTENT'!Q48,"")</f>
        <v>0</v>
      </c>
      <c r="R49" s="9">
        <f>IF(IF(SelectedScope="All India",TRUE,'RAW_AR_CONTENT'!$B48=SelectedScope),'RAW_AR_CONTENT'!R48,"")</f>
        <v>0</v>
      </c>
    </row>
    <row r="50" spans="1:18" ht="15" customHeight="1" x14ac:dyDescent="0.3">
      <c r="A50" s="12">
        <f>IF(IF(SelectedScope="All India",TRUE,'RAW_AR_CONTENT'!$B49=SelectedScope),'RAW_AR_CONTENT'!A49,"")</f>
        <v>46</v>
      </c>
      <c r="B50" s="12" t="str">
        <f>IF(IF(SelectedScope="All India",TRUE,'RAW_AR_CONTENT'!$B49=SelectedScope),'RAW_AR_CONTENT'!B49,"")</f>
        <v>Assam</v>
      </c>
      <c r="C50" s="12" t="str">
        <f>IF(IF(SelectedScope="All India",TRUE,'RAW_AR_CONTENT'!$B49=SelectedScope),'RAW_AR_CONTENT'!C49,"")</f>
        <v>Science</v>
      </c>
      <c r="D50" s="12" t="str">
        <f>IF(IF(SelectedScope="All India",TRUE,'RAW_AR_CONTENT'!$B49=SelectedScope),'RAW_AR_CONTENT'!D49,"")</f>
        <v>Class 8</v>
      </c>
      <c r="E50" s="12" t="str">
        <f>IF(IF(SelectedScope="All India",TRUE,'RAW_AR_CONTENT'!$B49=SelectedScope),'RAW_AR_CONTENT'!E49,"")</f>
        <v>Solar System 3D</v>
      </c>
      <c r="F50" s="12" t="str">
        <f>IF(IF(SelectedScope="All India",TRUE,'RAW_AR_CONTENT'!$B49=SelectedScope),'RAW_AR_CONTENT'!F49,"")</f>
        <v>Animated</v>
      </c>
      <c r="G50" s="12" t="str">
        <f>IF(IF(SelectedScope="All India",TRUE,'RAW_AR_CONTENT'!$B49=SelectedScope),'RAW_AR_CONTENT'!G49,"")</f>
        <v>Active</v>
      </c>
      <c r="H50" s="12">
        <f>IF(IF(SelectedScope="All India",TRUE,'RAW_AR_CONTENT'!$B49=SelectedScope),'RAW_AR_CONTENT'!H49,"")</f>
        <v>0</v>
      </c>
      <c r="I50" s="12">
        <f>IF(IF(SelectedScope="All India",TRUE,'RAW_AR_CONTENT'!$B49=SelectedScope),'RAW_AR_CONTENT'!I49,"")</f>
        <v>0</v>
      </c>
      <c r="J50" s="12">
        <f>IF(IF(SelectedScope="All India",TRUE,'RAW_AR_CONTENT'!$B49=SelectedScope),'RAW_AR_CONTENT'!J49,"")</f>
        <v>0</v>
      </c>
      <c r="K50" s="12">
        <f>IF(IF(SelectedScope="All India",TRUE,'RAW_AR_CONTENT'!$B49=SelectedScope),'RAW_AR_CONTENT'!K49,"")</f>
        <v>0</v>
      </c>
      <c r="L50" s="12">
        <f>IF(IF(SelectedScope="All India",TRUE,'RAW_AR_CONTENT'!$B49=SelectedScope),'RAW_AR_CONTENT'!L49,"")</f>
        <v>0</v>
      </c>
      <c r="M50" s="12">
        <f>IF(IF(SelectedScope="All India",TRUE,'RAW_AR_CONTENT'!$B49=SelectedScope),'RAW_AR_CONTENT'!M49,"")</f>
        <v>0</v>
      </c>
      <c r="N50" s="12">
        <f>IF(IF(SelectedScope="All India",TRUE,'RAW_AR_CONTENT'!$B49=SelectedScope),'RAW_AR_CONTENT'!N49,"")</f>
        <v>0</v>
      </c>
      <c r="O50" s="12">
        <f>IF(IF(SelectedScope="All India",TRUE,'RAW_AR_CONTENT'!$B49=SelectedScope),'RAW_AR_CONTENT'!O49,"")</f>
        <v>0</v>
      </c>
      <c r="P50" s="12">
        <f>IF(IF(SelectedScope="All India",TRUE,'RAW_AR_CONTENT'!$B49=SelectedScope),'RAW_AR_CONTENT'!P49,"")</f>
        <v>0</v>
      </c>
      <c r="Q50" s="12">
        <f>IF(IF(SelectedScope="All India",TRUE,'RAW_AR_CONTENT'!$B49=SelectedScope),'RAW_AR_CONTENT'!Q49,"")</f>
        <v>0</v>
      </c>
      <c r="R50" s="12">
        <f>IF(IF(SelectedScope="All India",TRUE,'RAW_AR_CONTENT'!$B49=SelectedScope),'RAW_AR_CONTENT'!R49,"")</f>
        <v>0</v>
      </c>
    </row>
    <row r="51" spans="1:18" ht="15" customHeight="1" x14ac:dyDescent="0.3">
      <c r="A51" s="9">
        <f>IF(IF(SelectedScope="All India",TRUE,'RAW_AR_CONTENT'!$B50=SelectedScope),'RAW_AR_CONTENT'!A50,"")</f>
        <v>47</v>
      </c>
      <c r="B51" s="9" t="str">
        <f>IF(IF(SelectedScope="All India",TRUE,'RAW_AR_CONTENT'!$B50=SelectedScope),'RAW_AR_CONTENT'!B50,"")</f>
        <v>Assam</v>
      </c>
      <c r="C51" s="9" t="str">
        <f>IF(IF(SelectedScope="All India",TRUE,'RAW_AR_CONTENT'!$B50=SelectedScope),'RAW_AR_CONTENT'!C50,"")</f>
        <v>Biology</v>
      </c>
      <c r="D51" s="9" t="str">
        <f>IF(IF(SelectedScope="All India",TRUE,'RAW_AR_CONTENT'!$B50=SelectedScope),'RAW_AR_CONTENT'!D50,"")</f>
        <v>Class 9</v>
      </c>
      <c r="E51" s="9" t="str">
        <f>IF(IF(SelectedScope="All India",TRUE,'RAW_AR_CONTENT'!$B50=SelectedScope),'RAW_AR_CONTENT'!E50,"")</f>
        <v>Cell Division</v>
      </c>
      <c r="F51" s="9" t="str">
        <f>IF(IF(SelectedScope="All India",TRUE,'RAW_AR_CONTENT'!$B50=SelectedScope),'RAW_AR_CONTENT'!F50,"")</f>
        <v>Interactive</v>
      </c>
      <c r="G51" s="9" t="str">
        <f>IF(IF(SelectedScope="All India",TRUE,'RAW_AR_CONTENT'!$B50=SelectedScope),'RAW_AR_CONTENT'!G50,"")</f>
        <v>Active</v>
      </c>
      <c r="H51" s="9">
        <f>IF(IF(SelectedScope="All India",TRUE,'RAW_AR_CONTENT'!$B50=SelectedScope),'RAW_AR_CONTENT'!H50,"")</f>
        <v>0</v>
      </c>
      <c r="I51" s="9">
        <f>IF(IF(SelectedScope="All India",TRUE,'RAW_AR_CONTENT'!$B50=SelectedScope),'RAW_AR_CONTENT'!I50,"")</f>
        <v>0</v>
      </c>
      <c r="J51" s="9">
        <f>IF(IF(SelectedScope="All India",TRUE,'RAW_AR_CONTENT'!$B50=SelectedScope),'RAW_AR_CONTENT'!J50,"")</f>
        <v>0</v>
      </c>
      <c r="K51" s="9">
        <f>IF(IF(SelectedScope="All India",TRUE,'RAW_AR_CONTENT'!$B50=SelectedScope),'RAW_AR_CONTENT'!K50,"")</f>
        <v>0</v>
      </c>
      <c r="L51" s="9">
        <f>IF(IF(SelectedScope="All India",TRUE,'RAW_AR_CONTENT'!$B50=SelectedScope),'RAW_AR_CONTENT'!L50,"")</f>
        <v>0</v>
      </c>
      <c r="M51" s="9">
        <f>IF(IF(SelectedScope="All India",TRUE,'RAW_AR_CONTENT'!$B50=SelectedScope),'RAW_AR_CONTENT'!M50,"")</f>
        <v>0</v>
      </c>
      <c r="N51" s="9">
        <f>IF(IF(SelectedScope="All India",TRUE,'RAW_AR_CONTENT'!$B50=SelectedScope),'RAW_AR_CONTENT'!N50,"")</f>
        <v>0</v>
      </c>
      <c r="O51" s="9">
        <f>IF(IF(SelectedScope="All India",TRUE,'RAW_AR_CONTENT'!$B50=SelectedScope),'RAW_AR_CONTENT'!O50,"")</f>
        <v>0</v>
      </c>
      <c r="P51" s="9">
        <f>IF(IF(SelectedScope="All India",TRUE,'RAW_AR_CONTENT'!$B50=SelectedScope),'RAW_AR_CONTENT'!P50,"")</f>
        <v>0</v>
      </c>
      <c r="Q51" s="9">
        <f>IF(IF(SelectedScope="All India",TRUE,'RAW_AR_CONTENT'!$B50=SelectedScope),'RAW_AR_CONTENT'!Q50,"")</f>
        <v>0</v>
      </c>
      <c r="R51" s="9">
        <f>IF(IF(SelectedScope="All India",TRUE,'RAW_AR_CONTENT'!$B50=SelectedScope),'RAW_AR_CONTENT'!R50,"")</f>
        <v>0</v>
      </c>
    </row>
    <row r="52" spans="1:18" ht="15" customHeight="1" x14ac:dyDescent="0.3">
      <c r="A52" s="12">
        <f>IF(IF(SelectedScope="All India",TRUE,'RAW_AR_CONTENT'!$B51=SelectedScope),'RAW_AR_CONTENT'!A51,"")</f>
        <v>48</v>
      </c>
      <c r="B52" s="12" t="str">
        <f>IF(IF(SelectedScope="All India",TRUE,'RAW_AR_CONTENT'!$B51=SelectedScope),'RAW_AR_CONTENT'!B51,"")</f>
        <v>Assam</v>
      </c>
      <c r="C52" s="12" t="str">
        <f>IF(IF(SelectedScope="All India",TRUE,'RAW_AR_CONTENT'!$B51=SelectedScope),'RAW_AR_CONTENT'!C51,"")</f>
        <v>Chemistry</v>
      </c>
      <c r="D52" s="12" t="str">
        <f>IF(IF(SelectedScope="All India",TRUE,'RAW_AR_CONTENT'!$B51=SelectedScope),'RAW_AR_CONTENT'!D51,"")</f>
        <v>Class 9</v>
      </c>
      <c r="E52" s="12" t="str">
        <f>IF(IF(SelectedScope="All India",TRUE,'RAW_AR_CONTENT'!$B51=SelectedScope),'RAW_AR_CONTENT'!E51,"")</f>
        <v>Atoms and Molecules</v>
      </c>
      <c r="F52" s="12" t="str">
        <f>IF(IF(SelectedScope="All India",TRUE,'RAW_AR_CONTENT'!$B51=SelectedScope),'RAW_AR_CONTENT'!F51,"")</f>
        <v>Animated</v>
      </c>
      <c r="G52" s="12" t="str">
        <f>IF(IF(SelectedScope="All India",TRUE,'RAW_AR_CONTENT'!$B51=SelectedScope),'RAW_AR_CONTENT'!G51,"")</f>
        <v>Active</v>
      </c>
      <c r="H52" s="12">
        <f>IF(IF(SelectedScope="All India",TRUE,'RAW_AR_CONTENT'!$B51=SelectedScope),'RAW_AR_CONTENT'!H51,"")</f>
        <v>0</v>
      </c>
      <c r="I52" s="12">
        <f>IF(IF(SelectedScope="All India",TRUE,'RAW_AR_CONTENT'!$B51=SelectedScope),'RAW_AR_CONTENT'!I51,"")</f>
        <v>0</v>
      </c>
      <c r="J52" s="12">
        <f>IF(IF(SelectedScope="All India",TRUE,'RAW_AR_CONTENT'!$B51=SelectedScope),'RAW_AR_CONTENT'!J51,"")</f>
        <v>0</v>
      </c>
      <c r="K52" s="12">
        <f>IF(IF(SelectedScope="All India",TRUE,'RAW_AR_CONTENT'!$B51=SelectedScope),'RAW_AR_CONTENT'!K51,"")</f>
        <v>0</v>
      </c>
      <c r="L52" s="12">
        <f>IF(IF(SelectedScope="All India",TRUE,'RAW_AR_CONTENT'!$B51=SelectedScope),'RAW_AR_CONTENT'!L51,"")</f>
        <v>0</v>
      </c>
      <c r="M52" s="12">
        <f>IF(IF(SelectedScope="All India",TRUE,'RAW_AR_CONTENT'!$B51=SelectedScope),'RAW_AR_CONTENT'!M51,"")</f>
        <v>0</v>
      </c>
      <c r="N52" s="12">
        <f>IF(IF(SelectedScope="All India",TRUE,'RAW_AR_CONTENT'!$B51=SelectedScope),'RAW_AR_CONTENT'!N51,"")</f>
        <v>0</v>
      </c>
      <c r="O52" s="12">
        <f>IF(IF(SelectedScope="All India",TRUE,'RAW_AR_CONTENT'!$B51=SelectedScope),'RAW_AR_CONTENT'!O51,"")</f>
        <v>0</v>
      </c>
      <c r="P52" s="12">
        <f>IF(IF(SelectedScope="All India",TRUE,'RAW_AR_CONTENT'!$B51=SelectedScope),'RAW_AR_CONTENT'!P51,"")</f>
        <v>0</v>
      </c>
      <c r="Q52" s="12">
        <f>IF(IF(SelectedScope="All India",TRUE,'RAW_AR_CONTENT'!$B51=SelectedScope),'RAW_AR_CONTENT'!Q51,"")</f>
        <v>0</v>
      </c>
      <c r="R52" s="12">
        <f>IF(IF(SelectedScope="All India",TRUE,'RAW_AR_CONTENT'!$B51=SelectedScope),'RAW_AR_CONTENT'!R51,"")</f>
        <v>0</v>
      </c>
    </row>
    <row r="53" spans="1:18" ht="15" customHeight="1" x14ac:dyDescent="0.3">
      <c r="A53" s="9">
        <f>IF(IF(SelectedScope="All India",TRUE,'RAW_AR_CONTENT'!$B52=SelectedScope),'RAW_AR_CONTENT'!A52,"")</f>
        <v>49</v>
      </c>
      <c r="B53" s="9" t="str">
        <f>IF(IF(SelectedScope="All India",TRUE,'RAW_AR_CONTENT'!$B52=SelectedScope),'RAW_AR_CONTENT'!B52,"")</f>
        <v>Assam</v>
      </c>
      <c r="C53" s="9" t="str">
        <f>IF(IF(SelectedScope="All India",TRUE,'RAW_AR_CONTENT'!$B52=SelectedScope),'RAW_AR_CONTENT'!C52,"")</f>
        <v>Biology</v>
      </c>
      <c r="D53" s="9" t="str">
        <f>IF(IF(SelectedScope="All India",TRUE,'RAW_AR_CONTENT'!$B52=SelectedScope),'RAW_AR_CONTENT'!D52,"")</f>
        <v>Class 7</v>
      </c>
      <c r="E53" s="9" t="str">
        <f>IF(IF(SelectedScope="All India",TRUE,'RAW_AR_CONTENT'!$B52=SelectedScope),'RAW_AR_CONTENT'!E52,"")</f>
        <v>Photosynthesis</v>
      </c>
      <c r="F53" s="9" t="str">
        <f>IF(IF(SelectedScope="All India",TRUE,'RAW_AR_CONTENT'!$B52=SelectedScope),'RAW_AR_CONTENT'!F52,"")</f>
        <v>Basic 3D</v>
      </c>
      <c r="G53" s="9" t="str">
        <f>IF(IF(SelectedScope="All India",TRUE,'RAW_AR_CONTENT'!$B52=SelectedScope),'RAW_AR_CONTENT'!G52,"")</f>
        <v>Active</v>
      </c>
      <c r="H53" s="9">
        <f>IF(IF(SelectedScope="All India",TRUE,'RAW_AR_CONTENT'!$B52=SelectedScope),'RAW_AR_CONTENT'!H52,"")</f>
        <v>0</v>
      </c>
      <c r="I53" s="9">
        <f>IF(IF(SelectedScope="All India",TRUE,'RAW_AR_CONTENT'!$B52=SelectedScope),'RAW_AR_CONTENT'!I52,"")</f>
        <v>0</v>
      </c>
      <c r="J53" s="9">
        <f>IF(IF(SelectedScope="All India",TRUE,'RAW_AR_CONTENT'!$B52=SelectedScope),'RAW_AR_CONTENT'!J52,"")</f>
        <v>0</v>
      </c>
      <c r="K53" s="9">
        <f>IF(IF(SelectedScope="All India",TRUE,'RAW_AR_CONTENT'!$B52=SelectedScope),'RAW_AR_CONTENT'!K52,"")</f>
        <v>0</v>
      </c>
      <c r="L53" s="9">
        <f>IF(IF(SelectedScope="All India",TRUE,'RAW_AR_CONTENT'!$B52=SelectedScope),'RAW_AR_CONTENT'!L52,"")</f>
        <v>0</v>
      </c>
      <c r="M53" s="9">
        <f>IF(IF(SelectedScope="All India",TRUE,'RAW_AR_CONTENT'!$B52=SelectedScope),'RAW_AR_CONTENT'!M52,"")</f>
        <v>0</v>
      </c>
      <c r="N53" s="9">
        <f>IF(IF(SelectedScope="All India",TRUE,'RAW_AR_CONTENT'!$B52=SelectedScope),'RAW_AR_CONTENT'!N52,"")</f>
        <v>0</v>
      </c>
      <c r="O53" s="9">
        <f>IF(IF(SelectedScope="All India",TRUE,'RAW_AR_CONTENT'!$B52=SelectedScope),'RAW_AR_CONTENT'!O52,"")</f>
        <v>0</v>
      </c>
      <c r="P53" s="9">
        <f>IF(IF(SelectedScope="All India",TRUE,'RAW_AR_CONTENT'!$B52=SelectedScope),'RAW_AR_CONTENT'!P52,"")</f>
        <v>0</v>
      </c>
      <c r="Q53" s="9">
        <f>IF(IF(SelectedScope="All India",TRUE,'RAW_AR_CONTENT'!$B52=SelectedScope),'RAW_AR_CONTENT'!Q52,"")</f>
        <v>0</v>
      </c>
      <c r="R53" s="9">
        <f>IF(IF(SelectedScope="All India",TRUE,'RAW_AR_CONTENT'!$B52=SelectedScope),'RAW_AR_CONTENT'!R52,"")</f>
        <v>0</v>
      </c>
    </row>
    <row r="54" spans="1:18" ht="15" customHeight="1" x14ac:dyDescent="0.3">
      <c r="A54" s="12">
        <f>IF(IF(SelectedScope="All India",TRUE,'RAW_AR_CONTENT'!$B53=SelectedScope),'RAW_AR_CONTENT'!A53,"")</f>
        <v>50</v>
      </c>
      <c r="B54" s="12" t="str">
        <f>IF(IF(SelectedScope="All India",TRUE,'RAW_AR_CONTENT'!$B53=SelectedScope),'RAW_AR_CONTENT'!B53,"")</f>
        <v>Assam</v>
      </c>
      <c r="C54" s="12" t="str">
        <f>IF(IF(SelectedScope="All India",TRUE,'RAW_AR_CONTENT'!$B53=SelectedScope),'RAW_AR_CONTENT'!C53,"")</f>
        <v>Mathematics</v>
      </c>
      <c r="D54" s="12" t="str">
        <f>IF(IF(SelectedScope="All India",TRUE,'RAW_AR_CONTENT'!$B53=SelectedScope),'RAW_AR_CONTENT'!D53,"")</f>
        <v>Class 7</v>
      </c>
      <c r="E54" s="12" t="str">
        <f>IF(IF(SelectedScope="All India",TRUE,'RAW_AR_CONTENT'!$B53=SelectedScope),'RAW_AR_CONTENT'!E53,"")</f>
        <v>Fractions 3D Model</v>
      </c>
      <c r="F54" s="12" t="str">
        <f>IF(IF(SelectedScope="All India",TRUE,'RAW_AR_CONTENT'!$B53=SelectedScope),'RAW_AR_CONTENT'!F53,"")</f>
        <v>Interactive</v>
      </c>
      <c r="G54" s="12" t="str">
        <f>IF(IF(SelectedScope="All India",TRUE,'RAW_AR_CONTENT'!$B53=SelectedScope),'RAW_AR_CONTENT'!G53,"")</f>
        <v>Active</v>
      </c>
      <c r="H54" s="12">
        <f>IF(IF(SelectedScope="All India",TRUE,'RAW_AR_CONTENT'!$B53=SelectedScope),'RAW_AR_CONTENT'!H53,"")</f>
        <v>0</v>
      </c>
      <c r="I54" s="12">
        <f>IF(IF(SelectedScope="All India",TRUE,'RAW_AR_CONTENT'!$B53=SelectedScope),'RAW_AR_CONTENT'!I53,"")</f>
        <v>0</v>
      </c>
      <c r="J54" s="12">
        <f>IF(IF(SelectedScope="All India",TRUE,'RAW_AR_CONTENT'!$B53=SelectedScope),'RAW_AR_CONTENT'!J53,"")</f>
        <v>0</v>
      </c>
      <c r="K54" s="12">
        <f>IF(IF(SelectedScope="All India",TRUE,'RAW_AR_CONTENT'!$B53=SelectedScope),'RAW_AR_CONTENT'!K53,"")</f>
        <v>0</v>
      </c>
      <c r="L54" s="12">
        <f>IF(IF(SelectedScope="All India",TRUE,'RAW_AR_CONTENT'!$B53=SelectedScope),'RAW_AR_CONTENT'!L53,"")</f>
        <v>0</v>
      </c>
      <c r="M54" s="12">
        <f>IF(IF(SelectedScope="All India",TRUE,'RAW_AR_CONTENT'!$B53=SelectedScope),'RAW_AR_CONTENT'!M53,"")</f>
        <v>0</v>
      </c>
      <c r="N54" s="12">
        <f>IF(IF(SelectedScope="All India",TRUE,'RAW_AR_CONTENT'!$B53=SelectedScope),'RAW_AR_CONTENT'!N53,"")</f>
        <v>0</v>
      </c>
      <c r="O54" s="12">
        <f>IF(IF(SelectedScope="All India",TRUE,'RAW_AR_CONTENT'!$B53=SelectedScope),'RAW_AR_CONTENT'!O53,"")</f>
        <v>0</v>
      </c>
      <c r="P54" s="12">
        <f>IF(IF(SelectedScope="All India",TRUE,'RAW_AR_CONTENT'!$B53=SelectedScope),'RAW_AR_CONTENT'!P53,"")</f>
        <v>0</v>
      </c>
      <c r="Q54" s="12">
        <f>IF(IF(SelectedScope="All India",TRUE,'RAW_AR_CONTENT'!$B53=SelectedScope),'RAW_AR_CONTENT'!Q53,"")</f>
        <v>0</v>
      </c>
      <c r="R54" s="12">
        <f>IF(IF(SelectedScope="All India",TRUE,'RAW_AR_CONTENT'!$B53=SelectedScope),'RAW_AR_CONTENT'!R53,"")</f>
        <v>0</v>
      </c>
    </row>
    <row r="55" spans="1:18" ht="15" customHeight="1" x14ac:dyDescent="0.3">
      <c r="A55" s="9">
        <f>IF(IF(SelectedScope="All India",TRUE,'RAW_AR_CONTENT'!$B54=SelectedScope),'RAW_AR_CONTENT'!A54,"")</f>
        <v>51</v>
      </c>
      <c r="B55" s="9" t="str">
        <f>IF(IF(SelectedScope="All India",TRUE,'RAW_AR_CONTENT'!$B54=SelectedScope),'RAW_AR_CONTENT'!B54,"")</f>
        <v>Assam</v>
      </c>
      <c r="C55" s="9" t="str">
        <f>IF(IF(SelectedScope="All India",TRUE,'RAW_AR_CONTENT'!$B54=SelectedScope),'RAW_AR_CONTENT'!C54,"")</f>
        <v>Mathematics</v>
      </c>
      <c r="D55" s="9" t="str">
        <f>IF(IF(SelectedScope="All India",TRUE,'RAW_AR_CONTENT'!$B54=SelectedScope),'RAW_AR_CONTENT'!D54,"")</f>
        <v>Class 10</v>
      </c>
      <c r="E55" s="9" t="str">
        <f>IF(IF(SelectedScope="All India",TRUE,'RAW_AR_CONTENT'!$B54=SelectedScope),'RAW_AR_CONTENT'!E54,"")</f>
        <v>Trigonometry 3D</v>
      </c>
      <c r="F55" s="9" t="str">
        <f>IF(IF(SelectedScope="All India",TRUE,'RAW_AR_CONTENT'!$B54=SelectedScope),'RAW_AR_CONTENT'!F54,"")</f>
        <v>Animated</v>
      </c>
      <c r="G55" s="9" t="str">
        <f>IF(IF(SelectedScope="All India",TRUE,'RAW_AR_CONTENT'!$B54=SelectedScope),'RAW_AR_CONTENT'!G54,"")</f>
        <v>Active</v>
      </c>
      <c r="H55" s="9">
        <f>IF(IF(SelectedScope="All India",TRUE,'RAW_AR_CONTENT'!$B54=SelectedScope),'RAW_AR_CONTENT'!H54,"")</f>
        <v>0</v>
      </c>
      <c r="I55" s="9">
        <f>IF(IF(SelectedScope="All India",TRUE,'RAW_AR_CONTENT'!$B54=SelectedScope),'RAW_AR_CONTENT'!I54,"")</f>
        <v>0</v>
      </c>
      <c r="J55" s="9">
        <f>IF(IF(SelectedScope="All India",TRUE,'RAW_AR_CONTENT'!$B54=SelectedScope),'RAW_AR_CONTENT'!J54,"")</f>
        <v>0</v>
      </c>
      <c r="K55" s="9">
        <f>IF(IF(SelectedScope="All India",TRUE,'RAW_AR_CONTENT'!$B54=SelectedScope),'RAW_AR_CONTENT'!K54,"")</f>
        <v>0</v>
      </c>
      <c r="L55" s="9">
        <f>IF(IF(SelectedScope="All India",TRUE,'RAW_AR_CONTENT'!$B54=SelectedScope),'RAW_AR_CONTENT'!L54,"")</f>
        <v>0</v>
      </c>
      <c r="M55" s="9">
        <f>IF(IF(SelectedScope="All India",TRUE,'RAW_AR_CONTENT'!$B54=SelectedScope),'RAW_AR_CONTENT'!M54,"")</f>
        <v>0</v>
      </c>
      <c r="N55" s="9">
        <f>IF(IF(SelectedScope="All India",TRUE,'RAW_AR_CONTENT'!$B54=SelectedScope),'RAW_AR_CONTENT'!N54,"")</f>
        <v>0</v>
      </c>
      <c r="O55" s="9">
        <f>IF(IF(SelectedScope="All India",TRUE,'RAW_AR_CONTENT'!$B54=SelectedScope),'RAW_AR_CONTENT'!O54,"")</f>
        <v>0</v>
      </c>
      <c r="P55" s="9">
        <f>IF(IF(SelectedScope="All India",TRUE,'RAW_AR_CONTENT'!$B54=SelectedScope),'RAW_AR_CONTENT'!P54,"")</f>
        <v>0</v>
      </c>
      <c r="Q55" s="9">
        <f>IF(IF(SelectedScope="All India",TRUE,'RAW_AR_CONTENT'!$B54=SelectedScope),'RAW_AR_CONTENT'!Q54,"")</f>
        <v>0</v>
      </c>
      <c r="R55" s="9">
        <f>IF(IF(SelectedScope="All India",TRUE,'RAW_AR_CONTENT'!$B54=SelectedScope),'RAW_AR_CONTENT'!R54,"")</f>
        <v>0</v>
      </c>
    </row>
    <row r="56" spans="1:18" ht="15" customHeight="1" x14ac:dyDescent="0.3">
      <c r="A56" s="12">
        <f>IF(IF(SelectedScope="All India",TRUE,'RAW_AR_CONTENT'!$B55=SelectedScope),'RAW_AR_CONTENT'!A55,"")</f>
        <v>52</v>
      </c>
      <c r="B56" s="12" t="str">
        <f>IF(IF(SelectedScope="All India",TRUE,'RAW_AR_CONTENT'!$B55=SelectedScope),'RAW_AR_CONTENT'!B55,"")</f>
        <v>Assam</v>
      </c>
      <c r="C56" s="12" t="str">
        <f>IF(IF(SelectedScope="All India",TRUE,'RAW_AR_CONTENT'!$B55=SelectedScope),'RAW_AR_CONTENT'!C55,"")</f>
        <v>History</v>
      </c>
      <c r="D56" s="12" t="str">
        <f>IF(IF(SelectedScope="All India",TRUE,'RAW_AR_CONTENT'!$B55=SelectedScope),'RAW_AR_CONTENT'!D55,"")</f>
        <v>Class 10</v>
      </c>
      <c r="E56" s="12" t="str">
        <f>IF(IF(SelectedScope="All India",TRUE,'RAW_AR_CONTENT'!$B55=SelectedScope),'RAW_AR_CONTENT'!E55,"")</f>
        <v>Mughal Empire AR</v>
      </c>
      <c r="F56" s="12" t="str">
        <f>IF(IF(SelectedScope="All India",TRUE,'RAW_AR_CONTENT'!$B55=SelectedScope),'RAW_AR_CONTENT'!F55,"")</f>
        <v>Basic 3D</v>
      </c>
      <c r="G56" s="12" t="str">
        <f>IF(IF(SelectedScope="All India",TRUE,'RAW_AR_CONTENT'!$B55=SelectedScope),'RAW_AR_CONTENT'!G55,"")</f>
        <v>Active</v>
      </c>
      <c r="H56" s="12">
        <f>IF(IF(SelectedScope="All India",TRUE,'RAW_AR_CONTENT'!$B55=SelectedScope),'RAW_AR_CONTENT'!H55,"")</f>
        <v>0</v>
      </c>
      <c r="I56" s="12">
        <f>IF(IF(SelectedScope="All India",TRUE,'RAW_AR_CONTENT'!$B55=SelectedScope),'RAW_AR_CONTENT'!I55,"")</f>
        <v>0</v>
      </c>
      <c r="J56" s="12">
        <f>IF(IF(SelectedScope="All India",TRUE,'RAW_AR_CONTENT'!$B55=SelectedScope),'RAW_AR_CONTENT'!J55,"")</f>
        <v>0</v>
      </c>
      <c r="K56" s="12">
        <f>IF(IF(SelectedScope="All India",TRUE,'RAW_AR_CONTENT'!$B55=SelectedScope),'RAW_AR_CONTENT'!K55,"")</f>
        <v>0</v>
      </c>
      <c r="L56" s="12">
        <f>IF(IF(SelectedScope="All India",TRUE,'RAW_AR_CONTENT'!$B55=SelectedScope),'RAW_AR_CONTENT'!L55,"")</f>
        <v>0</v>
      </c>
      <c r="M56" s="12">
        <f>IF(IF(SelectedScope="All India",TRUE,'RAW_AR_CONTENT'!$B55=SelectedScope),'RAW_AR_CONTENT'!M55,"")</f>
        <v>0</v>
      </c>
      <c r="N56" s="12">
        <f>IF(IF(SelectedScope="All India",TRUE,'RAW_AR_CONTENT'!$B55=SelectedScope),'RAW_AR_CONTENT'!N55,"")</f>
        <v>0</v>
      </c>
      <c r="O56" s="12">
        <f>IF(IF(SelectedScope="All India",TRUE,'RAW_AR_CONTENT'!$B55=SelectedScope),'RAW_AR_CONTENT'!O55,"")</f>
        <v>0</v>
      </c>
      <c r="P56" s="12">
        <f>IF(IF(SelectedScope="All India",TRUE,'RAW_AR_CONTENT'!$B55=SelectedScope),'RAW_AR_CONTENT'!P55,"")</f>
        <v>0</v>
      </c>
      <c r="Q56" s="12">
        <f>IF(IF(SelectedScope="All India",TRUE,'RAW_AR_CONTENT'!$B55=SelectedScope),'RAW_AR_CONTENT'!Q55,"")</f>
        <v>0</v>
      </c>
      <c r="R56" s="12">
        <f>IF(IF(SelectedScope="All India",TRUE,'RAW_AR_CONTENT'!$B55=SelectedScope),'RAW_AR_CONTENT'!R55,"")</f>
        <v>0</v>
      </c>
    </row>
    <row r="57" spans="1:18" ht="15" customHeight="1" x14ac:dyDescent="0.3">
      <c r="A57" s="9">
        <f>IF(IF(SelectedScope="All India",TRUE,'RAW_AR_CONTENT'!$B56=SelectedScope),'RAW_AR_CONTENT'!A56,"")</f>
        <v>53</v>
      </c>
      <c r="B57" s="9" t="str">
        <f>IF(IF(SelectedScope="All India",TRUE,'RAW_AR_CONTENT'!$B56=SelectedScope),'RAW_AR_CONTENT'!B56,"")</f>
        <v>Assam</v>
      </c>
      <c r="C57" s="9" t="str">
        <f>IF(IF(SelectedScope="All India",TRUE,'RAW_AR_CONTENT'!$B56=SelectedScope),'RAW_AR_CONTENT'!C56,"")</f>
        <v>Geography</v>
      </c>
      <c r="D57" s="9" t="str">
        <f>IF(IF(SelectedScope="All India",TRUE,'RAW_AR_CONTENT'!$B56=SelectedScope),'RAW_AR_CONTENT'!D56,"")</f>
        <v>Class 6</v>
      </c>
      <c r="E57" s="9" t="str">
        <f>IF(IF(SelectedScope="All India",TRUE,'RAW_AR_CONTENT'!$B56=SelectedScope),'RAW_AR_CONTENT'!E56,"")</f>
        <v>Water Cycle Simulation</v>
      </c>
      <c r="F57" s="9" t="str">
        <f>IF(IF(SelectedScope="All India",TRUE,'RAW_AR_CONTENT'!$B56=SelectedScope),'RAW_AR_CONTENT'!F56,"")</f>
        <v>Animated</v>
      </c>
      <c r="G57" s="9" t="str">
        <f>IF(IF(SelectedScope="All India",TRUE,'RAW_AR_CONTENT'!$B56=SelectedScope),'RAW_AR_CONTENT'!G56,"")</f>
        <v>Active</v>
      </c>
      <c r="H57" s="9">
        <f>IF(IF(SelectedScope="All India",TRUE,'RAW_AR_CONTENT'!$B56=SelectedScope),'RAW_AR_CONTENT'!H56,"")</f>
        <v>0</v>
      </c>
      <c r="I57" s="9">
        <f>IF(IF(SelectedScope="All India",TRUE,'RAW_AR_CONTENT'!$B56=SelectedScope),'RAW_AR_CONTENT'!I56,"")</f>
        <v>0</v>
      </c>
      <c r="J57" s="9">
        <f>IF(IF(SelectedScope="All India",TRUE,'RAW_AR_CONTENT'!$B56=SelectedScope),'RAW_AR_CONTENT'!J56,"")</f>
        <v>0</v>
      </c>
      <c r="K57" s="9">
        <f>IF(IF(SelectedScope="All India",TRUE,'RAW_AR_CONTENT'!$B56=SelectedScope),'RAW_AR_CONTENT'!K56,"")</f>
        <v>0</v>
      </c>
      <c r="L57" s="9">
        <f>IF(IF(SelectedScope="All India",TRUE,'RAW_AR_CONTENT'!$B56=SelectedScope),'RAW_AR_CONTENT'!L56,"")</f>
        <v>0</v>
      </c>
      <c r="M57" s="9">
        <f>IF(IF(SelectedScope="All India",TRUE,'RAW_AR_CONTENT'!$B56=SelectedScope),'RAW_AR_CONTENT'!M56,"")</f>
        <v>0</v>
      </c>
      <c r="N57" s="9">
        <f>IF(IF(SelectedScope="All India",TRUE,'RAW_AR_CONTENT'!$B56=SelectedScope),'RAW_AR_CONTENT'!N56,"")</f>
        <v>0</v>
      </c>
      <c r="O57" s="9">
        <f>IF(IF(SelectedScope="All India",TRUE,'RAW_AR_CONTENT'!$B56=SelectedScope),'RAW_AR_CONTENT'!O56,"")</f>
        <v>0</v>
      </c>
      <c r="P57" s="9">
        <f>IF(IF(SelectedScope="All India",TRUE,'RAW_AR_CONTENT'!$B56=SelectedScope),'RAW_AR_CONTENT'!P56,"")</f>
        <v>0</v>
      </c>
      <c r="Q57" s="9">
        <f>IF(IF(SelectedScope="All India",TRUE,'RAW_AR_CONTENT'!$B56=SelectedScope),'RAW_AR_CONTENT'!Q56,"")</f>
        <v>0</v>
      </c>
      <c r="R57" s="9">
        <f>IF(IF(SelectedScope="All India",TRUE,'RAW_AR_CONTENT'!$B56=SelectedScope),'RAW_AR_CONTENT'!R56,"")</f>
        <v>0</v>
      </c>
    </row>
    <row r="58" spans="1:18" ht="15" customHeight="1" x14ac:dyDescent="0.3">
      <c r="A58" s="12">
        <f>IF(IF(SelectedScope="All India",TRUE,'RAW_AR_CONTENT'!$B57=SelectedScope),'RAW_AR_CONTENT'!A57,"")</f>
        <v>54</v>
      </c>
      <c r="B58" s="12" t="str">
        <f>IF(IF(SelectedScope="All India",TRUE,'RAW_AR_CONTENT'!$B57=SelectedScope),'RAW_AR_CONTENT'!B57,"")</f>
        <v>Assam</v>
      </c>
      <c r="C58" s="12" t="str">
        <f>IF(IF(SelectedScope="All India",TRUE,'RAW_AR_CONTENT'!$B57=SelectedScope),'RAW_AR_CONTENT'!C57,"")</f>
        <v>Biology</v>
      </c>
      <c r="D58" s="12" t="str">
        <f>IF(IF(SelectedScope="All India",TRUE,'RAW_AR_CONTENT'!$B57=SelectedScope),'RAW_AR_CONTENT'!D57,"")</f>
        <v>Class 11</v>
      </c>
      <c r="E58" s="12" t="str">
        <f>IF(IF(SelectedScope="All India",TRUE,'RAW_AR_CONTENT'!$B57=SelectedScope),'RAW_AR_CONTENT'!E57,"")</f>
        <v>Human Anatomy AR</v>
      </c>
      <c r="F58" s="12" t="str">
        <f>IF(IF(SelectedScope="All India",TRUE,'RAW_AR_CONTENT'!$B57=SelectedScope),'RAW_AR_CONTENT'!F57,"")</f>
        <v>Fully Immersive</v>
      </c>
      <c r="G58" s="12" t="str">
        <f>IF(IF(SelectedScope="All India",TRUE,'RAW_AR_CONTENT'!$B57=SelectedScope),'RAW_AR_CONTENT'!G57,"")</f>
        <v>Active</v>
      </c>
      <c r="H58" s="12">
        <f>IF(IF(SelectedScope="All India",TRUE,'RAW_AR_CONTENT'!$B57=SelectedScope),'RAW_AR_CONTENT'!H57,"")</f>
        <v>0</v>
      </c>
      <c r="I58" s="12">
        <f>IF(IF(SelectedScope="All India",TRUE,'RAW_AR_CONTENT'!$B57=SelectedScope),'RAW_AR_CONTENT'!I57,"")</f>
        <v>0</v>
      </c>
      <c r="J58" s="12">
        <f>IF(IF(SelectedScope="All India",TRUE,'RAW_AR_CONTENT'!$B57=SelectedScope),'RAW_AR_CONTENT'!J57,"")</f>
        <v>0</v>
      </c>
      <c r="K58" s="12">
        <f>IF(IF(SelectedScope="All India",TRUE,'RAW_AR_CONTENT'!$B57=SelectedScope),'RAW_AR_CONTENT'!K57,"")</f>
        <v>0</v>
      </c>
      <c r="L58" s="12">
        <f>IF(IF(SelectedScope="All India",TRUE,'RAW_AR_CONTENT'!$B57=SelectedScope),'RAW_AR_CONTENT'!L57,"")</f>
        <v>0</v>
      </c>
      <c r="M58" s="12">
        <f>IF(IF(SelectedScope="All India",TRUE,'RAW_AR_CONTENT'!$B57=SelectedScope),'RAW_AR_CONTENT'!M57,"")</f>
        <v>0</v>
      </c>
      <c r="N58" s="12">
        <f>IF(IF(SelectedScope="All India",TRUE,'RAW_AR_CONTENT'!$B57=SelectedScope),'RAW_AR_CONTENT'!N57,"")</f>
        <v>0</v>
      </c>
      <c r="O58" s="12">
        <f>IF(IF(SelectedScope="All India",TRUE,'RAW_AR_CONTENT'!$B57=SelectedScope),'RAW_AR_CONTENT'!O57,"")</f>
        <v>0</v>
      </c>
      <c r="P58" s="12">
        <f>IF(IF(SelectedScope="All India",TRUE,'RAW_AR_CONTENT'!$B57=SelectedScope),'RAW_AR_CONTENT'!P57,"")</f>
        <v>0</v>
      </c>
      <c r="Q58" s="12">
        <f>IF(IF(SelectedScope="All India",TRUE,'RAW_AR_CONTENT'!$B57=SelectedScope),'RAW_AR_CONTENT'!Q57,"")</f>
        <v>0</v>
      </c>
      <c r="R58" s="12">
        <f>IF(IF(SelectedScope="All India",TRUE,'RAW_AR_CONTENT'!$B57=SelectedScope),'RAW_AR_CONTENT'!R57,"")</f>
        <v>0</v>
      </c>
    </row>
    <row r="59" spans="1:18" ht="15" customHeight="1" x14ac:dyDescent="0.3">
      <c r="A59" s="9">
        <f>IF(IF(SelectedScope="All India",TRUE,'RAW_AR_CONTENT'!$B58=SelectedScope),'RAW_AR_CONTENT'!A58,"")</f>
        <v>55</v>
      </c>
      <c r="B59" s="9" t="str">
        <f>IF(IF(SelectedScope="All India",TRUE,'RAW_AR_CONTENT'!$B58=SelectedScope),'RAW_AR_CONTENT'!B58,"")</f>
        <v>Assam</v>
      </c>
      <c r="C59" s="9" t="str">
        <f>IF(IF(SelectedScope="All India",TRUE,'RAW_AR_CONTENT'!$B58=SelectedScope),'RAW_AR_CONTENT'!C58,"")</f>
        <v>Physics</v>
      </c>
      <c r="D59" s="9" t="str">
        <f>IF(IF(SelectedScope="All India",TRUE,'RAW_AR_CONTENT'!$B58=SelectedScope),'RAW_AR_CONTENT'!D58,"")</f>
        <v>Class 9</v>
      </c>
      <c r="E59" s="9" t="str">
        <f>IF(IF(SelectedScope="All India",TRUE,'RAW_AR_CONTENT'!$B58=SelectedScope),'RAW_AR_CONTENT'!E58,"")</f>
        <v>Laws of Motion</v>
      </c>
      <c r="F59" s="9" t="str">
        <f>IF(IF(SelectedScope="All India",TRUE,'RAW_AR_CONTENT'!$B58=SelectedScope),'RAW_AR_CONTENT'!F58,"")</f>
        <v>Interactive</v>
      </c>
      <c r="G59" s="9" t="str">
        <f>IF(IF(SelectedScope="All India",TRUE,'RAW_AR_CONTENT'!$B58=SelectedScope),'RAW_AR_CONTENT'!G58,"")</f>
        <v>Active</v>
      </c>
      <c r="H59" s="9">
        <f>IF(IF(SelectedScope="All India",TRUE,'RAW_AR_CONTENT'!$B58=SelectedScope),'RAW_AR_CONTENT'!H58,"")</f>
        <v>0</v>
      </c>
      <c r="I59" s="9">
        <f>IF(IF(SelectedScope="All India",TRUE,'RAW_AR_CONTENT'!$B58=SelectedScope),'RAW_AR_CONTENT'!I58,"")</f>
        <v>0</v>
      </c>
      <c r="J59" s="9">
        <f>IF(IF(SelectedScope="All India",TRUE,'RAW_AR_CONTENT'!$B58=SelectedScope),'RAW_AR_CONTENT'!J58,"")</f>
        <v>0</v>
      </c>
      <c r="K59" s="9">
        <f>IF(IF(SelectedScope="All India",TRUE,'RAW_AR_CONTENT'!$B58=SelectedScope),'RAW_AR_CONTENT'!K58,"")</f>
        <v>0</v>
      </c>
      <c r="L59" s="9">
        <f>IF(IF(SelectedScope="All India",TRUE,'RAW_AR_CONTENT'!$B58=SelectedScope),'RAW_AR_CONTENT'!L58,"")</f>
        <v>0</v>
      </c>
      <c r="M59" s="9">
        <f>IF(IF(SelectedScope="All India",TRUE,'RAW_AR_CONTENT'!$B58=SelectedScope),'RAW_AR_CONTENT'!M58,"")</f>
        <v>0</v>
      </c>
      <c r="N59" s="9">
        <f>IF(IF(SelectedScope="All India",TRUE,'RAW_AR_CONTENT'!$B58=SelectedScope),'RAW_AR_CONTENT'!N58,"")</f>
        <v>0</v>
      </c>
      <c r="O59" s="9">
        <f>IF(IF(SelectedScope="All India",TRUE,'RAW_AR_CONTENT'!$B58=SelectedScope),'RAW_AR_CONTENT'!O58,"")</f>
        <v>0</v>
      </c>
      <c r="P59" s="9">
        <f>IF(IF(SelectedScope="All India",TRUE,'RAW_AR_CONTENT'!$B58=SelectedScope),'RAW_AR_CONTENT'!P58,"")</f>
        <v>0</v>
      </c>
      <c r="Q59" s="9">
        <f>IF(IF(SelectedScope="All India",TRUE,'RAW_AR_CONTENT'!$B58=SelectedScope),'RAW_AR_CONTENT'!Q58,"")</f>
        <v>0</v>
      </c>
      <c r="R59" s="9">
        <f>IF(IF(SelectedScope="All India",TRUE,'RAW_AR_CONTENT'!$B58=SelectedScope),'RAW_AR_CONTENT'!R58,"")</f>
        <v>0</v>
      </c>
    </row>
    <row r="60" spans="1:18" ht="15" customHeight="1" x14ac:dyDescent="0.3">
      <c r="A60" s="12">
        <f>IF(IF(SelectedScope="All India",TRUE,'RAW_AR_CONTENT'!$B59=SelectedScope),'RAW_AR_CONTENT'!A59,"")</f>
        <v>56</v>
      </c>
      <c r="B60" s="12" t="str">
        <f>IF(IF(SelectedScope="All India",TRUE,'RAW_AR_CONTENT'!$B59=SelectedScope),'RAW_AR_CONTENT'!B59,"")</f>
        <v>Assam</v>
      </c>
      <c r="C60" s="12" t="str">
        <f>IF(IF(SelectedScope="All India",TRUE,'RAW_AR_CONTENT'!$B59=SelectedScope),'RAW_AR_CONTENT'!C59,"")</f>
        <v>Chemistry</v>
      </c>
      <c r="D60" s="12" t="str">
        <f>IF(IF(SelectedScope="All India",TRUE,'RAW_AR_CONTENT'!$B59=SelectedScope),'RAW_AR_CONTENT'!D59,"")</f>
        <v>Class 11</v>
      </c>
      <c r="E60" s="12" t="str">
        <f>IF(IF(SelectedScope="All India",TRUE,'RAW_AR_CONTENT'!$B59=SelectedScope),'RAW_AR_CONTENT'!E59,"")</f>
        <v>Periodic Table 3D</v>
      </c>
      <c r="F60" s="12" t="str">
        <f>IF(IF(SelectedScope="All India",TRUE,'RAW_AR_CONTENT'!$B59=SelectedScope),'RAW_AR_CONTENT'!F59,"")</f>
        <v>Interactive</v>
      </c>
      <c r="G60" s="12" t="str">
        <f>IF(IF(SelectedScope="All India",TRUE,'RAW_AR_CONTENT'!$B59=SelectedScope),'RAW_AR_CONTENT'!G59,"")</f>
        <v>Active</v>
      </c>
      <c r="H60" s="12">
        <f>IF(IF(SelectedScope="All India",TRUE,'RAW_AR_CONTENT'!$B59=SelectedScope),'RAW_AR_CONTENT'!H59,"")</f>
        <v>0</v>
      </c>
      <c r="I60" s="12">
        <f>IF(IF(SelectedScope="All India",TRUE,'RAW_AR_CONTENT'!$B59=SelectedScope),'RAW_AR_CONTENT'!I59,"")</f>
        <v>0</v>
      </c>
      <c r="J60" s="12">
        <f>IF(IF(SelectedScope="All India",TRUE,'RAW_AR_CONTENT'!$B59=SelectedScope),'RAW_AR_CONTENT'!J59,"")</f>
        <v>0</v>
      </c>
      <c r="K60" s="12">
        <f>IF(IF(SelectedScope="All India",TRUE,'RAW_AR_CONTENT'!$B59=SelectedScope),'RAW_AR_CONTENT'!K59,"")</f>
        <v>0</v>
      </c>
      <c r="L60" s="12">
        <f>IF(IF(SelectedScope="All India",TRUE,'RAW_AR_CONTENT'!$B59=SelectedScope),'RAW_AR_CONTENT'!L59,"")</f>
        <v>0</v>
      </c>
      <c r="M60" s="12">
        <f>IF(IF(SelectedScope="All India",TRUE,'RAW_AR_CONTENT'!$B59=SelectedScope),'RAW_AR_CONTENT'!M59,"")</f>
        <v>0</v>
      </c>
      <c r="N60" s="12">
        <f>IF(IF(SelectedScope="All India",TRUE,'RAW_AR_CONTENT'!$B59=SelectedScope),'RAW_AR_CONTENT'!N59,"")</f>
        <v>0</v>
      </c>
      <c r="O60" s="12">
        <f>IF(IF(SelectedScope="All India",TRUE,'RAW_AR_CONTENT'!$B59=SelectedScope),'RAW_AR_CONTENT'!O59,"")</f>
        <v>0</v>
      </c>
      <c r="P60" s="12">
        <f>IF(IF(SelectedScope="All India",TRUE,'RAW_AR_CONTENT'!$B59=SelectedScope),'RAW_AR_CONTENT'!P59,"")</f>
        <v>0</v>
      </c>
      <c r="Q60" s="12">
        <f>IF(IF(SelectedScope="All India",TRUE,'RAW_AR_CONTENT'!$B59=SelectedScope),'RAW_AR_CONTENT'!Q59,"")</f>
        <v>0</v>
      </c>
      <c r="R60" s="12">
        <f>IF(IF(SelectedScope="All India",TRUE,'RAW_AR_CONTENT'!$B59=SelectedScope),'RAW_AR_CONTENT'!R59,"")</f>
        <v>0</v>
      </c>
    </row>
    <row r="61" spans="1:18" ht="15" customHeight="1" x14ac:dyDescent="0.3">
      <c r="A61" s="9">
        <f>IF(IF(SelectedScope="All India",TRUE,'RAW_AR_CONTENT'!$B60=SelectedScope),'RAW_AR_CONTENT'!A60,"")</f>
        <v>57</v>
      </c>
      <c r="B61" s="9" t="str">
        <f>IF(IF(SelectedScope="All India",TRUE,'RAW_AR_CONTENT'!$B60=SelectedScope),'RAW_AR_CONTENT'!B60,"")</f>
        <v>Assam</v>
      </c>
      <c r="C61" s="9" t="str">
        <f>IF(IF(SelectedScope="All India",TRUE,'RAW_AR_CONTENT'!$B60=SelectedScope),'RAW_AR_CONTENT'!C60,"")</f>
        <v>Physics</v>
      </c>
      <c r="D61" s="9" t="str">
        <f>IF(IF(SelectedScope="All India",TRUE,'RAW_AR_CONTENT'!$B60=SelectedScope),'RAW_AR_CONTENT'!D60,"")</f>
        <v>Class 10</v>
      </c>
      <c r="E61" s="9" t="str">
        <f>IF(IF(SelectedScope="All India",TRUE,'RAW_AR_CONTENT'!$B60=SelectedScope),'RAW_AR_CONTENT'!E60,"")</f>
        <v>Electricity Circuits</v>
      </c>
      <c r="F61" s="9" t="str">
        <f>IF(IF(SelectedScope="All India",TRUE,'RAW_AR_CONTENT'!$B60=SelectedScope),'RAW_AR_CONTENT'!F60,"")</f>
        <v>Interactive</v>
      </c>
      <c r="G61" s="9" t="str">
        <f>IF(IF(SelectedScope="All India",TRUE,'RAW_AR_CONTENT'!$B60=SelectedScope),'RAW_AR_CONTENT'!G60,"")</f>
        <v>Active</v>
      </c>
      <c r="H61" s="9">
        <f>IF(IF(SelectedScope="All India",TRUE,'RAW_AR_CONTENT'!$B60=SelectedScope),'RAW_AR_CONTENT'!H60,"")</f>
        <v>0</v>
      </c>
      <c r="I61" s="9">
        <f>IF(IF(SelectedScope="All India",TRUE,'RAW_AR_CONTENT'!$B60=SelectedScope),'RAW_AR_CONTENT'!I60,"")</f>
        <v>0</v>
      </c>
      <c r="J61" s="9">
        <f>IF(IF(SelectedScope="All India",TRUE,'RAW_AR_CONTENT'!$B60=SelectedScope),'RAW_AR_CONTENT'!J60,"")</f>
        <v>0</v>
      </c>
      <c r="K61" s="9">
        <f>IF(IF(SelectedScope="All India",TRUE,'RAW_AR_CONTENT'!$B60=SelectedScope),'RAW_AR_CONTENT'!K60,"")</f>
        <v>0</v>
      </c>
      <c r="L61" s="9">
        <f>IF(IF(SelectedScope="All India",TRUE,'RAW_AR_CONTENT'!$B60=SelectedScope),'RAW_AR_CONTENT'!L60,"")</f>
        <v>0</v>
      </c>
      <c r="M61" s="9">
        <f>IF(IF(SelectedScope="All India",TRUE,'RAW_AR_CONTENT'!$B60=SelectedScope),'RAW_AR_CONTENT'!M60,"")</f>
        <v>0</v>
      </c>
      <c r="N61" s="9">
        <f>IF(IF(SelectedScope="All India",TRUE,'RAW_AR_CONTENT'!$B60=SelectedScope),'RAW_AR_CONTENT'!N60,"")</f>
        <v>0</v>
      </c>
      <c r="O61" s="9">
        <f>IF(IF(SelectedScope="All India",TRUE,'RAW_AR_CONTENT'!$B60=SelectedScope),'RAW_AR_CONTENT'!O60,"")</f>
        <v>0</v>
      </c>
      <c r="P61" s="9">
        <f>IF(IF(SelectedScope="All India",TRUE,'RAW_AR_CONTENT'!$B60=SelectedScope),'RAW_AR_CONTENT'!P60,"")</f>
        <v>0</v>
      </c>
      <c r="Q61" s="9">
        <f>IF(IF(SelectedScope="All India",TRUE,'RAW_AR_CONTENT'!$B60=SelectedScope),'RAW_AR_CONTENT'!Q60,"")</f>
        <v>0</v>
      </c>
      <c r="R61" s="9">
        <f>IF(IF(SelectedScope="All India",TRUE,'RAW_AR_CONTENT'!$B60=SelectedScope),'RAW_AR_CONTENT'!R60,"")</f>
        <v>0</v>
      </c>
    </row>
    <row r="62" spans="1:18" ht="15" customHeight="1" x14ac:dyDescent="0.3">
      <c r="A62" s="12">
        <f>IF(IF(SelectedScope="All India",TRUE,'RAW_AR_CONTENT'!$B61=SelectedScope),'RAW_AR_CONTENT'!A61,"")</f>
        <v>58</v>
      </c>
      <c r="B62" s="12" t="str">
        <f>IF(IF(SelectedScope="All India",TRUE,'RAW_AR_CONTENT'!$B61=SelectedScope),'RAW_AR_CONTENT'!B61,"")</f>
        <v>Assam</v>
      </c>
      <c r="C62" s="12" t="str">
        <f>IF(IF(SelectedScope="All India",TRUE,'RAW_AR_CONTENT'!$B61=SelectedScope),'RAW_AR_CONTENT'!C61,"")</f>
        <v>Civics</v>
      </c>
      <c r="D62" s="12" t="str">
        <f>IF(IF(SelectedScope="All India",TRUE,'RAW_AR_CONTENT'!$B61=SelectedScope),'RAW_AR_CONTENT'!D61,"")</f>
        <v>Class 9</v>
      </c>
      <c r="E62" s="12" t="str">
        <f>IF(IF(SelectedScope="All India",TRUE,'RAW_AR_CONTENT'!$B61=SelectedScope),'RAW_AR_CONTENT'!E61,"")</f>
        <v>Indian Constitution</v>
      </c>
      <c r="F62" s="12" t="str">
        <f>IF(IF(SelectedScope="All India",TRUE,'RAW_AR_CONTENT'!$B61=SelectedScope),'RAW_AR_CONTENT'!F61,"")</f>
        <v>Basic 3D</v>
      </c>
      <c r="G62" s="12" t="str">
        <f>IF(IF(SelectedScope="All India",TRUE,'RAW_AR_CONTENT'!$B61=SelectedScope),'RAW_AR_CONTENT'!G61,"")</f>
        <v>Active</v>
      </c>
      <c r="H62" s="12">
        <f>IF(IF(SelectedScope="All India",TRUE,'RAW_AR_CONTENT'!$B61=SelectedScope),'RAW_AR_CONTENT'!H61,"")</f>
        <v>0</v>
      </c>
      <c r="I62" s="12">
        <f>IF(IF(SelectedScope="All India",TRUE,'RAW_AR_CONTENT'!$B61=SelectedScope),'RAW_AR_CONTENT'!I61,"")</f>
        <v>0</v>
      </c>
      <c r="J62" s="12">
        <f>IF(IF(SelectedScope="All India",TRUE,'RAW_AR_CONTENT'!$B61=SelectedScope),'RAW_AR_CONTENT'!J61,"")</f>
        <v>0</v>
      </c>
      <c r="K62" s="12">
        <f>IF(IF(SelectedScope="All India",TRUE,'RAW_AR_CONTENT'!$B61=SelectedScope),'RAW_AR_CONTENT'!K61,"")</f>
        <v>0</v>
      </c>
      <c r="L62" s="12">
        <f>IF(IF(SelectedScope="All India",TRUE,'RAW_AR_CONTENT'!$B61=SelectedScope),'RAW_AR_CONTENT'!L61,"")</f>
        <v>0</v>
      </c>
      <c r="M62" s="12">
        <f>IF(IF(SelectedScope="All India",TRUE,'RAW_AR_CONTENT'!$B61=SelectedScope),'RAW_AR_CONTENT'!M61,"")</f>
        <v>0</v>
      </c>
      <c r="N62" s="12">
        <f>IF(IF(SelectedScope="All India",TRUE,'RAW_AR_CONTENT'!$B61=SelectedScope),'RAW_AR_CONTENT'!N61,"")</f>
        <v>0</v>
      </c>
      <c r="O62" s="12">
        <f>IF(IF(SelectedScope="All India",TRUE,'RAW_AR_CONTENT'!$B61=SelectedScope),'RAW_AR_CONTENT'!O61,"")</f>
        <v>0</v>
      </c>
      <c r="P62" s="12">
        <f>IF(IF(SelectedScope="All India",TRUE,'RAW_AR_CONTENT'!$B61=SelectedScope),'RAW_AR_CONTENT'!P61,"")</f>
        <v>0</v>
      </c>
      <c r="Q62" s="12">
        <f>IF(IF(SelectedScope="All India",TRUE,'RAW_AR_CONTENT'!$B61=SelectedScope),'RAW_AR_CONTENT'!Q61,"")</f>
        <v>0</v>
      </c>
      <c r="R62" s="12">
        <f>IF(IF(SelectedScope="All India",TRUE,'RAW_AR_CONTENT'!$B61=SelectedScope),'RAW_AR_CONTENT'!R61,"")</f>
        <v>0</v>
      </c>
    </row>
    <row r="63" spans="1:18" ht="15" customHeight="1" x14ac:dyDescent="0.3">
      <c r="A63" s="9">
        <f>IF(IF(SelectedScope="All India",TRUE,'RAW_AR_CONTENT'!$B62=SelectedScope),'RAW_AR_CONTENT'!A62,"")</f>
        <v>59</v>
      </c>
      <c r="B63" s="9" t="str">
        <f>IF(IF(SelectedScope="All India",TRUE,'RAW_AR_CONTENT'!$B62=SelectedScope),'RAW_AR_CONTENT'!B62,"")</f>
        <v>Assam</v>
      </c>
      <c r="C63" s="9" t="str">
        <f>IF(IF(SelectedScope="All India",TRUE,'RAW_AR_CONTENT'!$B62=SelectedScope),'RAW_AR_CONTENT'!C62,"")</f>
        <v>Environmental Science</v>
      </c>
      <c r="D63" s="9" t="str">
        <f>IF(IF(SelectedScope="All India",TRUE,'RAW_AR_CONTENT'!$B62=SelectedScope),'RAW_AR_CONTENT'!D62,"")</f>
        <v>Class 6</v>
      </c>
      <c r="E63" s="9" t="str">
        <f>IF(IF(SelectedScope="All India",TRUE,'RAW_AR_CONTENT'!$B62=SelectedScope),'RAW_AR_CONTENT'!E62,"")</f>
        <v>Food Chain</v>
      </c>
      <c r="F63" s="9" t="str">
        <f>IF(IF(SelectedScope="All India",TRUE,'RAW_AR_CONTENT'!$B62=SelectedScope),'RAW_AR_CONTENT'!F62,"")</f>
        <v>Animated</v>
      </c>
      <c r="G63" s="9" t="str">
        <f>IF(IF(SelectedScope="All India",TRUE,'RAW_AR_CONTENT'!$B62=SelectedScope),'RAW_AR_CONTENT'!G62,"")</f>
        <v>Active</v>
      </c>
      <c r="H63" s="9">
        <f>IF(IF(SelectedScope="All India",TRUE,'RAW_AR_CONTENT'!$B62=SelectedScope),'RAW_AR_CONTENT'!H62,"")</f>
        <v>0</v>
      </c>
      <c r="I63" s="9">
        <f>IF(IF(SelectedScope="All India",TRUE,'RAW_AR_CONTENT'!$B62=SelectedScope),'RAW_AR_CONTENT'!I62,"")</f>
        <v>0</v>
      </c>
      <c r="J63" s="9">
        <f>IF(IF(SelectedScope="All India",TRUE,'RAW_AR_CONTENT'!$B62=SelectedScope),'RAW_AR_CONTENT'!J62,"")</f>
        <v>0</v>
      </c>
      <c r="K63" s="9">
        <f>IF(IF(SelectedScope="All India",TRUE,'RAW_AR_CONTENT'!$B62=SelectedScope),'RAW_AR_CONTENT'!K62,"")</f>
        <v>0</v>
      </c>
      <c r="L63" s="9">
        <f>IF(IF(SelectedScope="All India",TRUE,'RAW_AR_CONTENT'!$B62=SelectedScope),'RAW_AR_CONTENT'!L62,"")</f>
        <v>0</v>
      </c>
      <c r="M63" s="9">
        <f>IF(IF(SelectedScope="All India",TRUE,'RAW_AR_CONTENT'!$B62=SelectedScope),'RAW_AR_CONTENT'!M62,"")</f>
        <v>0</v>
      </c>
      <c r="N63" s="9">
        <f>IF(IF(SelectedScope="All India",TRUE,'RAW_AR_CONTENT'!$B62=SelectedScope),'RAW_AR_CONTENT'!N62,"")</f>
        <v>0</v>
      </c>
      <c r="O63" s="9">
        <f>IF(IF(SelectedScope="All India",TRUE,'RAW_AR_CONTENT'!$B62=SelectedScope),'RAW_AR_CONTENT'!O62,"")</f>
        <v>0</v>
      </c>
      <c r="P63" s="9">
        <f>IF(IF(SelectedScope="All India",TRUE,'RAW_AR_CONTENT'!$B62=SelectedScope),'RAW_AR_CONTENT'!P62,"")</f>
        <v>0</v>
      </c>
      <c r="Q63" s="9">
        <f>IF(IF(SelectedScope="All India",TRUE,'RAW_AR_CONTENT'!$B62=SelectedScope),'RAW_AR_CONTENT'!Q62,"")</f>
        <v>0</v>
      </c>
      <c r="R63" s="9">
        <f>IF(IF(SelectedScope="All India",TRUE,'RAW_AR_CONTENT'!$B62=SelectedScope),'RAW_AR_CONTENT'!R62,"")</f>
        <v>0</v>
      </c>
    </row>
    <row r="64" spans="1:18" ht="15" customHeight="1" x14ac:dyDescent="0.3">
      <c r="A64" s="12">
        <f>IF(IF(SelectedScope="All India",TRUE,'RAW_AR_CONTENT'!$B63=SelectedScope),'RAW_AR_CONTENT'!A63,"")</f>
        <v>60</v>
      </c>
      <c r="B64" s="12" t="str">
        <f>IF(IF(SelectedScope="All India",TRUE,'RAW_AR_CONTENT'!$B63=SelectedScope),'RAW_AR_CONTENT'!B63,"")</f>
        <v>Assam</v>
      </c>
      <c r="C64" s="12" t="str">
        <f>IF(IF(SelectedScope="All India",TRUE,'RAW_AR_CONTENT'!$B63=SelectedScope),'RAW_AR_CONTENT'!C63,"")</f>
        <v>Mathematics</v>
      </c>
      <c r="D64" s="12" t="str">
        <f>IF(IF(SelectedScope="All India",TRUE,'RAW_AR_CONTENT'!$B63=SelectedScope),'RAW_AR_CONTENT'!D63,"")</f>
        <v>Class 10</v>
      </c>
      <c r="E64" s="12" t="str">
        <f>IF(IF(SelectedScope="All India",TRUE,'RAW_AR_CONTENT'!$B63=SelectedScope),'RAW_AR_CONTENT'!E63,"")</f>
        <v>Quadratic Equations</v>
      </c>
      <c r="F64" s="12" t="str">
        <f>IF(IF(SelectedScope="All India",TRUE,'RAW_AR_CONTENT'!$B63=SelectedScope),'RAW_AR_CONTENT'!F63,"")</f>
        <v>Animated</v>
      </c>
      <c r="G64" s="12" t="str">
        <f>IF(IF(SelectedScope="All India",TRUE,'RAW_AR_CONTENT'!$B63=SelectedScope),'RAW_AR_CONTENT'!G63,"")</f>
        <v>Active</v>
      </c>
      <c r="H64" s="12">
        <f>IF(IF(SelectedScope="All India",TRUE,'RAW_AR_CONTENT'!$B63=SelectedScope),'RAW_AR_CONTENT'!H63,"")</f>
        <v>0</v>
      </c>
      <c r="I64" s="12">
        <f>IF(IF(SelectedScope="All India",TRUE,'RAW_AR_CONTENT'!$B63=SelectedScope),'RAW_AR_CONTENT'!I63,"")</f>
        <v>0</v>
      </c>
      <c r="J64" s="12">
        <f>IF(IF(SelectedScope="All India",TRUE,'RAW_AR_CONTENT'!$B63=SelectedScope),'RAW_AR_CONTENT'!J63,"")</f>
        <v>0</v>
      </c>
      <c r="K64" s="12">
        <f>IF(IF(SelectedScope="All India",TRUE,'RAW_AR_CONTENT'!$B63=SelectedScope),'RAW_AR_CONTENT'!K63,"")</f>
        <v>0</v>
      </c>
      <c r="L64" s="12">
        <f>IF(IF(SelectedScope="All India",TRUE,'RAW_AR_CONTENT'!$B63=SelectedScope),'RAW_AR_CONTENT'!L63,"")</f>
        <v>0</v>
      </c>
      <c r="M64" s="12">
        <f>IF(IF(SelectedScope="All India",TRUE,'RAW_AR_CONTENT'!$B63=SelectedScope),'RAW_AR_CONTENT'!M63,"")</f>
        <v>0</v>
      </c>
      <c r="N64" s="12">
        <f>IF(IF(SelectedScope="All India",TRUE,'RAW_AR_CONTENT'!$B63=SelectedScope),'RAW_AR_CONTENT'!N63,"")</f>
        <v>0</v>
      </c>
      <c r="O64" s="12">
        <f>IF(IF(SelectedScope="All India",TRUE,'RAW_AR_CONTENT'!$B63=SelectedScope),'RAW_AR_CONTENT'!O63,"")</f>
        <v>0</v>
      </c>
      <c r="P64" s="12">
        <f>IF(IF(SelectedScope="All India",TRUE,'RAW_AR_CONTENT'!$B63=SelectedScope),'RAW_AR_CONTENT'!P63,"")</f>
        <v>0</v>
      </c>
      <c r="Q64" s="12">
        <f>IF(IF(SelectedScope="All India",TRUE,'RAW_AR_CONTENT'!$B63=SelectedScope),'RAW_AR_CONTENT'!Q63,"")</f>
        <v>0</v>
      </c>
      <c r="R64" s="12">
        <f>IF(IF(SelectedScope="All India",TRUE,'RAW_AR_CONTENT'!$B63=SelectedScope),'RAW_AR_CONTENT'!R63,"")</f>
        <v>0</v>
      </c>
    </row>
    <row r="65" spans="1:18" ht="15" customHeight="1" x14ac:dyDescent="0.3">
      <c r="A65" s="9">
        <f>IF(IF(SelectedScope="All India",TRUE,'RAW_AR_CONTENT'!$B64=SelectedScope),'RAW_AR_CONTENT'!A64,"")</f>
        <v>61</v>
      </c>
      <c r="B65" s="9" t="str">
        <f>IF(IF(SelectedScope="All India",TRUE,'RAW_AR_CONTENT'!$B64=SelectedScope),'RAW_AR_CONTENT'!B64,"")</f>
        <v>Bihar</v>
      </c>
      <c r="C65" s="9" t="str">
        <f>IF(IF(SelectedScope="All India",TRUE,'RAW_AR_CONTENT'!$B64=SelectedScope),'RAW_AR_CONTENT'!C64,"")</f>
        <v>Science</v>
      </c>
      <c r="D65" s="9" t="str">
        <f>IF(IF(SelectedScope="All India",TRUE,'RAW_AR_CONTENT'!$B64=SelectedScope),'RAW_AR_CONTENT'!D64,"")</f>
        <v>Class 8</v>
      </c>
      <c r="E65" s="9" t="str">
        <f>IF(IF(SelectedScope="All India",TRUE,'RAW_AR_CONTENT'!$B64=SelectedScope),'RAW_AR_CONTENT'!E64,"")</f>
        <v>Solar System 3D</v>
      </c>
      <c r="F65" s="9" t="str">
        <f>IF(IF(SelectedScope="All India",TRUE,'RAW_AR_CONTENT'!$B64=SelectedScope),'RAW_AR_CONTENT'!F64,"")</f>
        <v>Animated</v>
      </c>
      <c r="G65" s="9" t="str">
        <f>IF(IF(SelectedScope="All India",TRUE,'RAW_AR_CONTENT'!$B64=SelectedScope),'RAW_AR_CONTENT'!G64,"")</f>
        <v>Active</v>
      </c>
      <c r="H65" s="9">
        <f>IF(IF(SelectedScope="All India",TRUE,'RAW_AR_CONTENT'!$B64=SelectedScope),'RAW_AR_CONTENT'!H64,"")</f>
        <v>0</v>
      </c>
      <c r="I65" s="9">
        <f>IF(IF(SelectedScope="All India",TRUE,'RAW_AR_CONTENT'!$B64=SelectedScope),'RAW_AR_CONTENT'!I64,"")</f>
        <v>0</v>
      </c>
      <c r="J65" s="9">
        <f>IF(IF(SelectedScope="All India",TRUE,'RAW_AR_CONTENT'!$B64=SelectedScope),'RAW_AR_CONTENT'!J64,"")</f>
        <v>0</v>
      </c>
      <c r="K65" s="9">
        <f>IF(IF(SelectedScope="All India",TRUE,'RAW_AR_CONTENT'!$B64=SelectedScope),'RAW_AR_CONTENT'!K64,"")</f>
        <v>0</v>
      </c>
      <c r="L65" s="9">
        <f>IF(IF(SelectedScope="All India",TRUE,'RAW_AR_CONTENT'!$B64=SelectedScope),'RAW_AR_CONTENT'!L64,"")</f>
        <v>0</v>
      </c>
      <c r="M65" s="9">
        <f>IF(IF(SelectedScope="All India",TRUE,'RAW_AR_CONTENT'!$B64=SelectedScope),'RAW_AR_CONTENT'!M64,"")</f>
        <v>0</v>
      </c>
      <c r="N65" s="9">
        <f>IF(IF(SelectedScope="All India",TRUE,'RAW_AR_CONTENT'!$B64=SelectedScope),'RAW_AR_CONTENT'!N64,"")</f>
        <v>0</v>
      </c>
      <c r="O65" s="9">
        <f>IF(IF(SelectedScope="All India",TRUE,'RAW_AR_CONTENT'!$B64=SelectedScope),'RAW_AR_CONTENT'!O64,"")</f>
        <v>0</v>
      </c>
      <c r="P65" s="9">
        <f>IF(IF(SelectedScope="All India",TRUE,'RAW_AR_CONTENT'!$B64=SelectedScope),'RAW_AR_CONTENT'!P64,"")</f>
        <v>0</v>
      </c>
      <c r="Q65" s="9">
        <f>IF(IF(SelectedScope="All India",TRUE,'RAW_AR_CONTENT'!$B64=SelectedScope),'RAW_AR_CONTENT'!Q64,"")</f>
        <v>0</v>
      </c>
      <c r="R65" s="9">
        <f>IF(IF(SelectedScope="All India",TRUE,'RAW_AR_CONTENT'!$B64=SelectedScope),'RAW_AR_CONTENT'!R64,"")</f>
        <v>0</v>
      </c>
    </row>
    <row r="66" spans="1:18" ht="15" customHeight="1" x14ac:dyDescent="0.3">
      <c r="A66" s="12">
        <f>IF(IF(SelectedScope="All India",TRUE,'RAW_AR_CONTENT'!$B65=SelectedScope),'RAW_AR_CONTENT'!A65,"")</f>
        <v>62</v>
      </c>
      <c r="B66" s="12" t="str">
        <f>IF(IF(SelectedScope="All India",TRUE,'RAW_AR_CONTENT'!$B65=SelectedScope),'RAW_AR_CONTENT'!B65,"")</f>
        <v>Bihar</v>
      </c>
      <c r="C66" s="12" t="str">
        <f>IF(IF(SelectedScope="All India",TRUE,'RAW_AR_CONTENT'!$B65=SelectedScope),'RAW_AR_CONTENT'!C65,"")</f>
        <v>Biology</v>
      </c>
      <c r="D66" s="12" t="str">
        <f>IF(IF(SelectedScope="All India",TRUE,'RAW_AR_CONTENT'!$B65=SelectedScope),'RAW_AR_CONTENT'!D65,"")</f>
        <v>Class 9</v>
      </c>
      <c r="E66" s="12" t="str">
        <f>IF(IF(SelectedScope="All India",TRUE,'RAW_AR_CONTENT'!$B65=SelectedScope),'RAW_AR_CONTENT'!E65,"")</f>
        <v>Cell Division</v>
      </c>
      <c r="F66" s="12" t="str">
        <f>IF(IF(SelectedScope="All India",TRUE,'RAW_AR_CONTENT'!$B65=SelectedScope),'RAW_AR_CONTENT'!F65,"")</f>
        <v>Interactive</v>
      </c>
      <c r="G66" s="12" t="str">
        <f>IF(IF(SelectedScope="All India",TRUE,'RAW_AR_CONTENT'!$B65=SelectedScope),'RAW_AR_CONTENT'!G65,"")</f>
        <v>Active</v>
      </c>
      <c r="H66" s="12">
        <f>IF(IF(SelectedScope="All India",TRUE,'RAW_AR_CONTENT'!$B65=SelectedScope),'RAW_AR_CONTENT'!H65,"")</f>
        <v>0</v>
      </c>
      <c r="I66" s="12">
        <f>IF(IF(SelectedScope="All India",TRUE,'RAW_AR_CONTENT'!$B65=SelectedScope),'RAW_AR_CONTENT'!I65,"")</f>
        <v>0</v>
      </c>
      <c r="J66" s="12">
        <f>IF(IF(SelectedScope="All India",TRUE,'RAW_AR_CONTENT'!$B65=SelectedScope),'RAW_AR_CONTENT'!J65,"")</f>
        <v>0</v>
      </c>
      <c r="K66" s="12">
        <f>IF(IF(SelectedScope="All India",TRUE,'RAW_AR_CONTENT'!$B65=SelectedScope),'RAW_AR_CONTENT'!K65,"")</f>
        <v>0</v>
      </c>
      <c r="L66" s="12">
        <f>IF(IF(SelectedScope="All India",TRUE,'RAW_AR_CONTENT'!$B65=SelectedScope),'RAW_AR_CONTENT'!L65,"")</f>
        <v>0</v>
      </c>
      <c r="M66" s="12">
        <f>IF(IF(SelectedScope="All India",TRUE,'RAW_AR_CONTENT'!$B65=SelectedScope),'RAW_AR_CONTENT'!M65,"")</f>
        <v>0</v>
      </c>
      <c r="N66" s="12">
        <f>IF(IF(SelectedScope="All India",TRUE,'RAW_AR_CONTENT'!$B65=SelectedScope),'RAW_AR_CONTENT'!N65,"")</f>
        <v>0</v>
      </c>
      <c r="O66" s="12">
        <f>IF(IF(SelectedScope="All India",TRUE,'RAW_AR_CONTENT'!$B65=SelectedScope),'RAW_AR_CONTENT'!O65,"")</f>
        <v>0</v>
      </c>
      <c r="P66" s="12">
        <f>IF(IF(SelectedScope="All India",TRUE,'RAW_AR_CONTENT'!$B65=SelectedScope),'RAW_AR_CONTENT'!P65,"")</f>
        <v>0</v>
      </c>
      <c r="Q66" s="12">
        <f>IF(IF(SelectedScope="All India",TRUE,'RAW_AR_CONTENT'!$B65=SelectedScope),'RAW_AR_CONTENT'!Q65,"")</f>
        <v>0</v>
      </c>
      <c r="R66" s="12">
        <f>IF(IF(SelectedScope="All India",TRUE,'RAW_AR_CONTENT'!$B65=SelectedScope),'RAW_AR_CONTENT'!R65,"")</f>
        <v>0</v>
      </c>
    </row>
    <row r="67" spans="1:18" ht="15" customHeight="1" x14ac:dyDescent="0.3">
      <c r="A67" s="9">
        <f>IF(IF(SelectedScope="All India",TRUE,'RAW_AR_CONTENT'!$B66=SelectedScope),'RAW_AR_CONTENT'!A66,"")</f>
        <v>63</v>
      </c>
      <c r="B67" s="9" t="str">
        <f>IF(IF(SelectedScope="All India",TRUE,'RAW_AR_CONTENT'!$B66=SelectedScope),'RAW_AR_CONTENT'!B66,"")</f>
        <v>Bihar</v>
      </c>
      <c r="C67" s="9" t="str">
        <f>IF(IF(SelectedScope="All India",TRUE,'RAW_AR_CONTENT'!$B66=SelectedScope),'RAW_AR_CONTENT'!C66,"")</f>
        <v>Chemistry</v>
      </c>
      <c r="D67" s="9" t="str">
        <f>IF(IF(SelectedScope="All India",TRUE,'RAW_AR_CONTENT'!$B66=SelectedScope),'RAW_AR_CONTENT'!D66,"")</f>
        <v>Class 9</v>
      </c>
      <c r="E67" s="9" t="str">
        <f>IF(IF(SelectedScope="All India",TRUE,'RAW_AR_CONTENT'!$B66=SelectedScope),'RAW_AR_CONTENT'!E66,"")</f>
        <v>Atoms and Molecules</v>
      </c>
      <c r="F67" s="9" t="str">
        <f>IF(IF(SelectedScope="All India",TRUE,'RAW_AR_CONTENT'!$B66=SelectedScope),'RAW_AR_CONTENT'!F66,"")</f>
        <v>Animated</v>
      </c>
      <c r="G67" s="9" t="str">
        <f>IF(IF(SelectedScope="All India",TRUE,'RAW_AR_CONTENT'!$B66=SelectedScope),'RAW_AR_CONTENT'!G66,"")</f>
        <v>Active</v>
      </c>
      <c r="H67" s="9">
        <f>IF(IF(SelectedScope="All India",TRUE,'RAW_AR_CONTENT'!$B66=SelectedScope),'RAW_AR_CONTENT'!H66,"")</f>
        <v>0</v>
      </c>
      <c r="I67" s="9">
        <f>IF(IF(SelectedScope="All India",TRUE,'RAW_AR_CONTENT'!$B66=SelectedScope),'RAW_AR_CONTENT'!I66,"")</f>
        <v>0</v>
      </c>
      <c r="J67" s="9">
        <f>IF(IF(SelectedScope="All India",TRUE,'RAW_AR_CONTENT'!$B66=SelectedScope),'RAW_AR_CONTENT'!J66,"")</f>
        <v>0</v>
      </c>
      <c r="K67" s="9">
        <f>IF(IF(SelectedScope="All India",TRUE,'RAW_AR_CONTENT'!$B66=SelectedScope),'RAW_AR_CONTENT'!K66,"")</f>
        <v>0</v>
      </c>
      <c r="L67" s="9">
        <f>IF(IF(SelectedScope="All India",TRUE,'RAW_AR_CONTENT'!$B66=SelectedScope),'RAW_AR_CONTENT'!L66,"")</f>
        <v>0</v>
      </c>
      <c r="M67" s="9">
        <f>IF(IF(SelectedScope="All India",TRUE,'RAW_AR_CONTENT'!$B66=SelectedScope),'RAW_AR_CONTENT'!M66,"")</f>
        <v>0</v>
      </c>
      <c r="N67" s="9">
        <f>IF(IF(SelectedScope="All India",TRUE,'RAW_AR_CONTENT'!$B66=SelectedScope),'RAW_AR_CONTENT'!N66,"")</f>
        <v>0</v>
      </c>
      <c r="O67" s="9">
        <f>IF(IF(SelectedScope="All India",TRUE,'RAW_AR_CONTENT'!$B66=SelectedScope),'RAW_AR_CONTENT'!O66,"")</f>
        <v>0</v>
      </c>
      <c r="P67" s="9">
        <f>IF(IF(SelectedScope="All India",TRUE,'RAW_AR_CONTENT'!$B66=SelectedScope),'RAW_AR_CONTENT'!P66,"")</f>
        <v>0</v>
      </c>
      <c r="Q67" s="9">
        <f>IF(IF(SelectedScope="All India",TRUE,'RAW_AR_CONTENT'!$B66=SelectedScope),'RAW_AR_CONTENT'!Q66,"")</f>
        <v>0</v>
      </c>
      <c r="R67" s="9">
        <f>IF(IF(SelectedScope="All India",TRUE,'RAW_AR_CONTENT'!$B66=SelectedScope),'RAW_AR_CONTENT'!R66,"")</f>
        <v>0</v>
      </c>
    </row>
    <row r="68" spans="1:18" ht="15" customHeight="1" x14ac:dyDescent="0.3">
      <c r="A68" s="12">
        <f>IF(IF(SelectedScope="All India",TRUE,'RAW_AR_CONTENT'!$B67=SelectedScope),'RAW_AR_CONTENT'!A67,"")</f>
        <v>64</v>
      </c>
      <c r="B68" s="12" t="str">
        <f>IF(IF(SelectedScope="All India",TRUE,'RAW_AR_CONTENT'!$B67=SelectedScope),'RAW_AR_CONTENT'!B67,"")</f>
        <v>Bihar</v>
      </c>
      <c r="C68" s="12" t="str">
        <f>IF(IF(SelectedScope="All India",TRUE,'RAW_AR_CONTENT'!$B67=SelectedScope),'RAW_AR_CONTENT'!C67,"")</f>
        <v>Biology</v>
      </c>
      <c r="D68" s="12" t="str">
        <f>IF(IF(SelectedScope="All India",TRUE,'RAW_AR_CONTENT'!$B67=SelectedScope),'RAW_AR_CONTENT'!D67,"")</f>
        <v>Class 7</v>
      </c>
      <c r="E68" s="12" t="str">
        <f>IF(IF(SelectedScope="All India",TRUE,'RAW_AR_CONTENT'!$B67=SelectedScope),'RAW_AR_CONTENT'!E67,"")</f>
        <v>Photosynthesis</v>
      </c>
      <c r="F68" s="12" t="str">
        <f>IF(IF(SelectedScope="All India",TRUE,'RAW_AR_CONTENT'!$B67=SelectedScope),'RAW_AR_CONTENT'!F67,"")</f>
        <v>Basic 3D</v>
      </c>
      <c r="G68" s="12" t="str">
        <f>IF(IF(SelectedScope="All India",TRUE,'RAW_AR_CONTENT'!$B67=SelectedScope),'RAW_AR_CONTENT'!G67,"")</f>
        <v>Active</v>
      </c>
      <c r="H68" s="12">
        <f>IF(IF(SelectedScope="All India",TRUE,'RAW_AR_CONTENT'!$B67=SelectedScope),'RAW_AR_CONTENT'!H67,"")</f>
        <v>0</v>
      </c>
      <c r="I68" s="12">
        <f>IF(IF(SelectedScope="All India",TRUE,'RAW_AR_CONTENT'!$B67=SelectedScope),'RAW_AR_CONTENT'!I67,"")</f>
        <v>0</v>
      </c>
      <c r="J68" s="12">
        <f>IF(IF(SelectedScope="All India",TRUE,'RAW_AR_CONTENT'!$B67=SelectedScope),'RAW_AR_CONTENT'!J67,"")</f>
        <v>0</v>
      </c>
      <c r="K68" s="12">
        <f>IF(IF(SelectedScope="All India",TRUE,'RAW_AR_CONTENT'!$B67=SelectedScope),'RAW_AR_CONTENT'!K67,"")</f>
        <v>0</v>
      </c>
      <c r="L68" s="12">
        <f>IF(IF(SelectedScope="All India",TRUE,'RAW_AR_CONTENT'!$B67=SelectedScope),'RAW_AR_CONTENT'!L67,"")</f>
        <v>0</v>
      </c>
      <c r="M68" s="12">
        <f>IF(IF(SelectedScope="All India",TRUE,'RAW_AR_CONTENT'!$B67=SelectedScope),'RAW_AR_CONTENT'!M67,"")</f>
        <v>0</v>
      </c>
      <c r="N68" s="12">
        <f>IF(IF(SelectedScope="All India",TRUE,'RAW_AR_CONTENT'!$B67=SelectedScope),'RAW_AR_CONTENT'!N67,"")</f>
        <v>0</v>
      </c>
      <c r="O68" s="12">
        <f>IF(IF(SelectedScope="All India",TRUE,'RAW_AR_CONTENT'!$B67=SelectedScope),'RAW_AR_CONTENT'!O67,"")</f>
        <v>0</v>
      </c>
      <c r="P68" s="12">
        <f>IF(IF(SelectedScope="All India",TRUE,'RAW_AR_CONTENT'!$B67=SelectedScope),'RAW_AR_CONTENT'!P67,"")</f>
        <v>0</v>
      </c>
      <c r="Q68" s="12">
        <f>IF(IF(SelectedScope="All India",TRUE,'RAW_AR_CONTENT'!$B67=SelectedScope),'RAW_AR_CONTENT'!Q67,"")</f>
        <v>0</v>
      </c>
      <c r="R68" s="12">
        <f>IF(IF(SelectedScope="All India",TRUE,'RAW_AR_CONTENT'!$B67=SelectedScope),'RAW_AR_CONTENT'!R67,"")</f>
        <v>0</v>
      </c>
    </row>
    <row r="69" spans="1:18" ht="15" customHeight="1" x14ac:dyDescent="0.3">
      <c r="A69" s="9">
        <f>IF(IF(SelectedScope="All India",TRUE,'RAW_AR_CONTENT'!$B68=SelectedScope),'RAW_AR_CONTENT'!A68,"")</f>
        <v>65</v>
      </c>
      <c r="B69" s="9" t="str">
        <f>IF(IF(SelectedScope="All India",TRUE,'RAW_AR_CONTENT'!$B68=SelectedScope),'RAW_AR_CONTENT'!B68,"")</f>
        <v>Bihar</v>
      </c>
      <c r="C69" s="9" t="str">
        <f>IF(IF(SelectedScope="All India",TRUE,'RAW_AR_CONTENT'!$B68=SelectedScope),'RAW_AR_CONTENT'!C68,"")</f>
        <v>Mathematics</v>
      </c>
      <c r="D69" s="9" t="str">
        <f>IF(IF(SelectedScope="All India",TRUE,'RAW_AR_CONTENT'!$B68=SelectedScope),'RAW_AR_CONTENT'!D68,"")</f>
        <v>Class 7</v>
      </c>
      <c r="E69" s="9" t="str">
        <f>IF(IF(SelectedScope="All India",TRUE,'RAW_AR_CONTENT'!$B68=SelectedScope),'RAW_AR_CONTENT'!E68,"")</f>
        <v>Fractions 3D Model</v>
      </c>
      <c r="F69" s="9" t="str">
        <f>IF(IF(SelectedScope="All India",TRUE,'RAW_AR_CONTENT'!$B68=SelectedScope),'RAW_AR_CONTENT'!F68,"")</f>
        <v>Interactive</v>
      </c>
      <c r="G69" s="9" t="str">
        <f>IF(IF(SelectedScope="All India",TRUE,'RAW_AR_CONTENT'!$B68=SelectedScope),'RAW_AR_CONTENT'!G68,"")</f>
        <v>Active</v>
      </c>
      <c r="H69" s="9">
        <f>IF(IF(SelectedScope="All India",TRUE,'RAW_AR_CONTENT'!$B68=SelectedScope),'RAW_AR_CONTENT'!H68,"")</f>
        <v>0</v>
      </c>
      <c r="I69" s="9">
        <f>IF(IF(SelectedScope="All India",TRUE,'RAW_AR_CONTENT'!$B68=SelectedScope),'RAW_AR_CONTENT'!I68,"")</f>
        <v>0</v>
      </c>
      <c r="J69" s="9">
        <f>IF(IF(SelectedScope="All India",TRUE,'RAW_AR_CONTENT'!$B68=SelectedScope),'RAW_AR_CONTENT'!J68,"")</f>
        <v>0</v>
      </c>
      <c r="K69" s="9">
        <f>IF(IF(SelectedScope="All India",TRUE,'RAW_AR_CONTENT'!$B68=SelectedScope),'RAW_AR_CONTENT'!K68,"")</f>
        <v>0</v>
      </c>
      <c r="L69" s="9">
        <f>IF(IF(SelectedScope="All India",TRUE,'RAW_AR_CONTENT'!$B68=SelectedScope),'RAW_AR_CONTENT'!L68,"")</f>
        <v>0</v>
      </c>
      <c r="M69" s="9">
        <f>IF(IF(SelectedScope="All India",TRUE,'RAW_AR_CONTENT'!$B68=SelectedScope),'RAW_AR_CONTENT'!M68,"")</f>
        <v>0</v>
      </c>
      <c r="N69" s="9">
        <f>IF(IF(SelectedScope="All India",TRUE,'RAW_AR_CONTENT'!$B68=SelectedScope),'RAW_AR_CONTENT'!N68,"")</f>
        <v>0</v>
      </c>
      <c r="O69" s="9">
        <f>IF(IF(SelectedScope="All India",TRUE,'RAW_AR_CONTENT'!$B68=SelectedScope),'RAW_AR_CONTENT'!O68,"")</f>
        <v>0</v>
      </c>
      <c r="P69" s="9">
        <f>IF(IF(SelectedScope="All India",TRUE,'RAW_AR_CONTENT'!$B68=SelectedScope),'RAW_AR_CONTENT'!P68,"")</f>
        <v>0</v>
      </c>
      <c r="Q69" s="9">
        <f>IF(IF(SelectedScope="All India",TRUE,'RAW_AR_CONTENT'!$B68=SelectedScope),'RAW_AR_CONTENT'!Q68,"")</f>
        <v>0</v>
      </c>
      <c r="R69" s="9">
        <f>IF(IF(SelectedScope="All India",TRUE,'RAW_AR_CONTENT'!$B68=SelectedScope),'RAW_AR_CONTENT'!R68,"")</f>
        <v>0</v>
      </c>
    </row>
    <row r="70" spans="1:18" ht="15" customHeight="1" x14ac:dyDescent="0.3">
      <c r="A70" s="12">
        <f>IF(IF(SelectedScope="All India",TRUE,'RAW_AR_CONTENT'!$B69=SelectedScope),'RAW_AR_CONTENT'!A69,"")</f>
        <v>66</v>
      </c>
      <c r="B70" s="12" t="str">
        <f>IF(IF(SelectedScope="All India",TRUE,'RAW_AR_CONTENT'!$B69=SelectedScope),'RAW_AR_CONTENT'!B69,"")</f>
        <v>Bihar</v>
      </c>
      <c r="C70" s="12" t="str">
        <f>IF(IF(SelectedScope="All India",TRUE,'RAW_AR_CONTENT'!$B69=SelectedScope),'RAW_AR_CONTENT'!C69,"")</f>
        <v>Mathematics</v>
      </c>
      <c r="D70" s="12" t="str">
        <f>IF(IF(SelectedScope="All India",TRUE,'RAW_AR_CONTENT'!$B69=SelectedScope),'RAW_AR_CONTENT'!D69,"")</f>
        <v>Class 10</v>
      </c>
      <c r="E70" s="12" t="str">
        <f>IF(IF(SelectedScope="All India",TRUE,'RAW_AR_CONTENT'!$B69=SelectedScope),'RAW_AR_CONTENT'!E69,"")</f>
        <v>Trigonometry 3D</v>
      </c>
      <c r="F70" s="12" t="str">
        <f>IF(IF(SelectedScope="All India",TRUE,'RAW_AR_CONTENT'!$B69=SelectedScope),'RAW_AR_CONTENT'!F69,"")</f>
        <v>Animated</v>
      </c>
      <c r="G70" s="12" t="str">
        <f>IF(IF(SelectedScope="All India",TRUE,'RAW_AR_CONTENT'!$B69=SelectedScope),'RAW_AR_CONTENT'!G69,"")</f>
        <v>Active</v>
      </c>
      <c r="H70" s="12">
        <f>IF(IF(SelectedScope="All India",TRUE,'RAW_AR_CONTENT'!$B69=SelectedScope),'RAW_AR_CONTENT'!H69,"")</f>
        <v>0</v>
      </c>
      <c r="I70" s="12">
        <f>IF(IF(SelectedScope="All India",TRUE,'RAW_AR_CONTENT'!$B69=SelectedScope),'RAW_AR_CONTENT'!I69,"")</f>
        <v>0</v>
      </c>
      <c r="J70" s="12">
        <f>IF(IF(SelectedScope="All India",TRUE,'RAW_AR_CONTENT'!$B69=SelectedScope),'RAW_AR_CONTENT'!J69,"")</f>
        <v>0</v>
      </c>
      <c r="K70" s="12">
        <f>IF(IF(SelectedScope="All India",TRUE,'RAW_AR_CONTENT'!$B69=SelectedScope),'RAW_AR_CONTENT'!K69,"")</f>
        <v>0</v>
      </c>
      <c r="L70" s="12">
        <f>IF(IF(SelectedScope="All India",TRUE,'RAW_AR_CONTENT'!$B69=SelectedScope),'RAW_AR_CONTENT'!L69,"")</f>
        <v>0</v>
      </c>
      <c r="M70" s="12">
        <f>IF(IF(SelectedScope="All India",TRUE,'RAW_AR_CONTENT'!$B69=SelectedScope),'RAW_AR_CONTENT'!M69,"")</f>
        <v>0</v>
      </c>
      <c r="N70" s="12">
        <f>IF(IF(SelectedScope="All India",TRUE,'RAW_AR_CONTENT'!$B69=SelectedScope),'RAW_AR_CONTENT'!N69,"")</f>
        <v>0</v>
      </c>
      <c r="O70" s="12">
        <f>IF(IF(SelectedScope="All India",TRUE,'RAW_AR_CONTENT'!$B69=SelectedScope),'RAW_AR_CONTENT'!O69,"")</f>
        <v>0</v>
      </c>
      <c r="P70" s="12">
        <f>IF(IF(SelectedScope="All India",TRUE,'RAW_AR_CONTENT'!$B69=SelectedScope),'RAW_AR_CONTENT'!P69,"")</f>
        <v>0</v>
      </c>
      <c r="Q70" s="12">
        <f>IF(IF(SelectedScope="All India",TRUE,'RAW_AR_CONTENT'!$B69=SelectedScope),'RAW_AR_CONTENT'!Q69,"")</f>
        <v>0</v>
      </c>
      <c r="R70" s="12">
        <f>IF(IF(SelectedScope="All India",TRUE,'RAW_AR_CONTENT'!$B69=SelectedScope),'RAW_AR_CONTENT'!R69,"")</f>
        <v>0</v>
      </c>
    </row>
    <row r="71" spans="1:18" ht="15" customHeight="1" x14ac:dyDescent="0.3">
      <c r="A71" s="9">
        <f>IF(IF(SelectedScope="All India",TRUE,'RAW_AR_CONTENT'!$B70=SelectedScope),'RAW_AR_CONTENT'!A70,"")</f>
        <v>67</v>
      </c>
      <c r="B71" s="9" t="str">
        <f>IF(IF(SelectedScope="All India",TRUE,'RAW_AR_CONTENT'!$B70=SelectedScope),'RAW_AR_CONTENT'!B70,"")</f>
        <v>Bihar</v>
      </c>
      <c r="C71" s="9" t="str">
        <f>IF(IF(SelectedScope="All India",TRUE,'RAW_AR_CONTENT'!$B70=SelectedScope),'RAW_AR_CONTENT'!C70,"")</f>
        <v>History</v>
      </c>
      <c r="D71" s="9" t="str">
        <f>IF(IF(SelectedScope="All India",TRUE,'RAW_AR_CONTENT'!$B70=SelectedScope),'RAW_AR_CONTENT'!D70,"")</f>
        <v>Class 10</v>
      </c>
      <c r="E71" s="9" t="str">
        <f>IF(IF(SelectedScope="All India",TRUE,'RAW_AR_CONTENT'!$B70=SelectedScope),'RAW_AR_CONTENT'!E70,"")</f>
        <v>Mughal Empire AR</v>
      </c>
      <c r="F71" s="9" t="str">
        <f>IF(IF(SelectedScope="All India",TRUE,'RAW_AR_CONTENT'!$B70=SelectedScope),'RAW_AR_CONTENT'!F70,"")</f>
        <v>Basic 3D</v>
      </c>
      <c r="G71" s="9" t="str">
        <f>IF(IF(SelectedScope="All India",TRUE,'RAW_AR_CONTENT'!$B70=SelectedScope),'RAW_AR_CONTENT'!G70,"")</f>
        <v>Active</v>
      </c>
      <c r="H71" s="9">
        <f>IF(IF(SelectedScope="All India",TRUE,'RAW_AR_CONTENT'!$B70=SelectedScope),'RAW_AR_CONTENT'!H70,"")</f>
        <v>0</v>
      </c>
      <c r="I71" s="9">
        <f>IF(IF(SelectedScope="All India",TRUE,'RAW_AR_CONTENT'!$B70=SelectedScope),'RAW_AR_CONTENT'!I70,"")</f>
        <v>0</v>
      </c>
      <c r="J71" s="9">
        <f>IF(IF(SelectedScope="All India",TRUE,'RAW_AR_CONTENT'!$B70=SelectedScope),'RAW_AR_CONTENT'!J70,"")</f>
        <v>0</v>
      </c>
      <c r="K71" s="9">
        <f>IF(IF(SelectedScope="All India",TRUE,'RAW_AR_CONTENT'!$B70=SelectedScope),'RAW_AR_CONTENT'!K70,"")</f>
        <v>0</v>
      </c>
      <c r="L71" s="9">
        <f>IF(IF(SelectedScope="All India",TRUE,'RAW_AR_CONTENT'!$B70=SelectedScope),'RAW_AR_CONTENT'!L70,"")</f>
        <v>0</v>
      </c>
      <c r="M71" s="9">
        <f>IF(IF(SelectedScope="All India",TRUE,'RAW_AR_CONTENT'!$B70=SelectedScope),'RAW_AR_CONTENT'!M70,"")</f>
        <v>0</v>
      </c>
      <c r="N71" s="9">
        <f>IF(IF(SelectedScope="All India",TRUE,'RAW_AR_CONTENT'!$B70=SelectedScope),'RAW_AR_CONTENT'!N70,"")</f>
        <v>0</v>
      </c>
      <c r="O71" s="9">
        <f>IF(IF(SelectedScope="All India",TRUE,'RAW_AR_CONTENT'!$B70=SelectedScope),'RAW_AR_CONTENT'!O70,"")</f>
        <v>0</v>
      </c>
      <c r="P71" s="9">
        <f>IF(IF(SelectedScope="All India",TRUE,'RAW_AR_CONTENT'!$B70=SelectedScope),'RAW_AR_CONTENT'!P70,"")</f>
        <v>0</v>
      </c>
      <c r="Q71" s="9">
        <f>IF(IF(SelectedScope="All India",TRUE,'RAW_AR_CONTENT'!$B70=SelectedScope),'RAW_AR_CONTENT'!Q70,"")</f>
        <v>0</v>
      </c>
      <c r="R71" s="9">
        <f>IF(IF(SelectedScope="All India",TRUE,'RAW_AR_CONTENT'!$B70=SelectedScope),'RAW_AR_CONTENT'!R70,"")</f>
        <v>0</v>
      </c>
    </row>
    <row r="72" spans="1:18" ht="15" customHeight="1" x14ac:dyDescent="0.3">
      <c r="A72" s="12">
        <f>IF(IF(SelectedScope="All India",TRUE,'RAW_AR_CONTENT'!$B71=SelectedScope),'RAW_AR_CONTENT'!A71,"")</f>
        <v>68</v>
      </c>
      <c r="B72" s="12" t="str">
        <f>IF(IF(SelectedScope="All India",TRUE,'RAW_AR_CONTENT'!$B71=SelectedScope),'RAW_AR_CONTENT'!B71,"")</f>
        <v>Bihar</v>
      </c>
      <c r="C72" s="12" t="str">
        <f>IF(IF(SelectedScope="All India",TRUE,'RAW_AR_CONTENT'!$B71=SelectedScope),'RAW_AR_CONTENT'!C71,"")</f>
        <v>Geography</v>
      </c>
      <c r="D72" s="12" t="str">
        <f>IF(IF(SelectedScope="All India",TRUE,'RAW_AR_CONTENT'!$B71=SelectedScope),'RAW_AR_CONTENT'!D71,"")</f>
        <v>Class 6</v>
      </c>
      <c r="E72" s="12" t="str">
        <f>IF(IF(SelectedScope="All India",TRUE,'RAW_AR_CONTENT'!$B71=SelectedScope),'RAW_AR_CONTENT'!E71,"")</f>
        <v>Water Cycle Simulation</v>
      </c>
      <c r="F72" s="12" t="str">
        <f>IF(IF(SelectedScope="All India",TRUE,'RAW_AR_CONTENT'!$B71=SelectedScope),'RAW_AR_CONTENT'!F71,"")</f>
        <v>Animated</v>
      </c>
      <c r="G72" s="12" t="str">
        <f>IF(IF(SelectedScope="All India",TRUE,'RAW_AR_CONTENT'!$B71=SelectedScope),'RAW_AR_CONTENT'!G71,"")</f>
        <v>Active</v>
      </c>
      <c r="H72" s="12">
        <f>IF(IF(SelectedScope="All India",TRUE,'RAW_AR_CONTENT'!$B71=SelectedScope),'RAW_AR_CONTENT'!H71,"")</f>
        <v>0</v>
      </c>
      <c r="I72" s="12">
        <f>IF(IF(SelectedScope="All India",TRUE,'RAW_AR_CONTENT'!$B71=SelectedScope),'RAW_AR_CONTENT'!I71,"")</f>
        <v>0</v>
      </c>
      <c r="J72" s="12">
        <f>IF(IF(SelectedScope="All India",TRUE,'RAW_AR_CONTENT'!$B71=SelectedScope),'RAW_AR_CONTENT'!J71,"")</f>
        <v>0</v>
      </c>
      <c r="K72" s="12">
        <f>IF(IF(SelectedScope="All India",TRUE,'RAW_AR_CONTENT'!$B71=SelectedScope),'RAW_AR_CONTENT'!K71,"")</f>
        <v>0</v>
      </c>
      <c r="L72" s="12">
        <f>IF(IF(SelectedScope="All India",TRUE,'RAW_AR_CONTENT'!$B71=SelectedScope),'RAW_AR_CONTENT'!L71,"")</f>
        <v>0</v>
      </c>
      <c r="M72" s="12">
        <f>IF(IF(SelectedScope="All India",TRUE,'RAW_AR_CONTENT'!$B71=SelectedScope),'RAW_AR_CONTENT'!M71,"")</f>
        <v>0</v>
      </c>
      <c r="N72" s="12">
        <f>IF(IF(SelectedScope="All India",TRUE,'RAW_AR_CONTENT'!$B71=SelectedScope),'RAW_AR_CONTENT'!N71,"")</f>
        <v>0</v>
      </c>
      <c r="O72" s="12">
        <f>IF(IF(SelectedScope="All India",TRUE,'RAW_AR_CONTENT'!$B71=SelectedScope),'RAW_AR_CONTENT'!O71,"")</f>
        <v>0</v>
      </c>
      <c r="P72" s="12">
        <f>IF(IF(SelectedScope="All India",TRUE,'RAW_AR_CONTENT'!$B71=SelectedScope),'RAW_AR_CONTENT'!P71,"")</f>
        <v>0</v>
      </c>
      <c r="Q72" s="12">
        <f>IF(IF(SelectedScope="All India",TRUE,'RAW_AR_CONTENT'!$B71=SelectedScope),'RAW_AR_CONTENT'!Q71,"")</f>
        <v>0</v>
      </c>
      <c r="R72" s="12">
        <f>IF(IF(SelectedScope="All India",TRUE,'RAW_AR_CONTENT'!$B71=SelectedScope),'RAW_AR_CONTENT'!R71,"")</f>
        <v>0</v>
      </c>
    </row>
    <row r="73" spans="1:18" ht="15" customHeight="1" x14ac:dyDescent="0.3">
      <c r="A73" s="9">
        <f>IF(IF(SelectedScope="All India",TRUE,'RAW_AR_CONTENT'!$B72=SelectedScope),'RAW_AR_CONTENT'!A72,"")</f>
        <v>69</v>
      </c>
      <c r="B73" s="9" t="str">
        <f>IF(IF(SelectedScope="All India",TRUE,'RAW_AR_CONTENT'!$B72=SelectedScope),'RAW_AR_CONTENT'!B72,"")</f>
        <v>Bihar</v>
      </c>
      <c r="C73" s="9" t="str">
        <f>IF(IF(SelectedScope="All India",TRUE,'RAW_AR_CONTENT'!$B72=SelectedScope),'RAW_AR_CONTENT'!C72,"")</f>
        <v>Biology</v>
      </c>
      <c r="D73" s="9" t="str">
        <f>IF(IF(SelectedScope="All India",TRUE,'RAW_AR_CONTENT'!$B72=SelectedScope),'RAW_AR_CONTENT'!D72,"")</f>
        <v>Class 11</v>
      </c>
      <c r="E73" s="9" t="str">
        <f>IF(IF(SelectedScope="All India",TRUE,'RAW_AR_CONTENT'!$B72=SelectedScope),'RAW_AR_CONTENT'!E72,"")</f>
        <v>Human Anatomy AR</v>
      </c>
      <c r="F73" s="9" t="str">
        <f>IF(IF(SelectedScope="All India",TRUE,'RAW_AR_CONTENT'!$B72=SelectedScope),'RAW_AR_CONTENT'!F72,"")</f>
        <v>Fully Immersive</v>
      </c>
      <c r="G73" s="9" t="str">
        <f>IF(IF(SelectedScope="All India",TRUE,'RAW_AR_CONTENT'!$B72=SelectedScope),'RAW_AR_CONTENT'!G72,"")</f>
        <v>Active</v>
      </c>
      <c r="H73" s="9">
        <f>IF(IF(SelectedScope="All India",TRUE,'RAW_AR_CONTENT'!$B72=SelectedScope),'RAW_AR_CONTENT'!H72,"")</f>
        <v>0</v>
      </c>
      <c r="I73" s="9">
        <f>IF(IF(SelectedScope="All India",TRUE,'RAW_AR_CONTENT'!$B72=SelectedScope),'RAW_AR_CONTENT'!I72,"")</f>
        <v>0</v>
      </c>
      <c r="J73" s="9">
        <f>IF(IF(SelectedScope="All India",TRUE,'RAW_AR_CONTENT'!$B72=SelectedScope),'RAW_AR_CONTENT'!J72,"")</f>
        <v>0</v>
      </c>
      <c r="K73" s="9">
        <f>IF(IF(SelectedScope="All India",TRUE,'RAW_AR_CONTENT'!$B72=SelectedScope),'RAW_AR_CONTENT'!K72,"")</f>
        <v>0</v>
      </c>
      <c r="L73" s="9">
        <f>IF(IF(SelectedScope="All India",TRUE,'RAW_AR_CONTENT'!$B72=SelectedScope),'RAW_AR_CONTENT'!L72,"")</f>
        <v>0</v>
      </c>
      <c r="M73" s="9">
        <f>IF(IF(SelectedScope="All India",TRUE,'RAW_AR_CONTENT'!$B72=SelectedScope),'RAW_AR_CONTENT'!M72,"")</f>
        <v>0</v>
      </c>
      <c r="N73" s="9">
        <f>IF(IF(SelectedScope="All India",TRUE,'RAW_AR_CONTENT'!$B72=SelectedScope),'RAW_AR_CONTENT'!N72,"")</f>
        <v>0</v>
      </c>
      <c r="O73" s="9">
        <f>IF(IF(SelectedScope="All India",TRUE,'RAW_AR_CONTENT'!$B72=SelectedScope),'RAW_AR_CONTENT'!O72,"")</f>
        <v>0</v>
      </c>
      <c r="P73" s="9">
        <f>IF(IF(SelectedScope="All India",TRUE,'RAW_AR_CONTENT'!$B72=SelectedScope),'RAW_AR_CONTENT'!P72,"")</f>
        <v>0</v>
      </c>
      <c r="Q73" s="9">
        <f>IF(IF(SelectedScope="All India",TRUE,'RAW_AR_CONTENT'!$B72=SelectedScope),'RAW_AR_CONTENT'!Q72,"")</f>
        <v>0</v>
      </c>
      <c r="R73" s="9">
        <f>IF(IF(SelectedScope="All India",TRUE,'RAW_AR_CONTENT'!$B72=SelectedScope),'RAW_AR_CONTENT'!R72,"")</f>
        <v>0</v>
      </c>
    </row>
    <row r="74" spans="1:18" ht="15" customHeight="1" x14ac:dyDescent="0.3">
      <c r="A74" s="12">
        <f>IF(IF(SelectedScope="All India",TRUE,'RAW_AR_CONTENT'!$B73=SelectedScope),'RAW_AR_CONTENT'!A73,"")</f>
        <v>70</v>
      </c>
      <c r="B74" s="12" t="str">
        <f>IF(IF(SelectedScope="All India",TRUE,'RAW_AR_CONTENT'!$B73=SelectedScope),'RAW_AR_CONTENT'!B73,"")</f>
        <v>Bihar</v>
      </c>
      <c r="C74" s="12" t="str">
        <f>IF(IF(SelectedScope="All India",TRUE,'RAW_AR_CONTENT'!$B73=SelectedScope),'RAW_AR_CONTENT'!C73,"")</f>
        <v>Physics</v>
      </c>
      <c r="D74" s="12" t="str">
        <f>IF(IF(SelectedScope="All India",TRUE,'RAW_AR_CONTENT'!$B73=SelectedScope),'RAW_AR_CONTENT'!D73,"")</f>
        <v>Class 9</v>
      </c>
      <c r="E74" s="12" t="str">
        <f>IF(IF(SelectedScope="All India",TRUE,'RAW_AR_CONTENT'!$B73=SelectedScope),'RAW_AR_CONTENT'!E73,"")</f>
        <v>Laws of Motion</v>
      </c>
      <c r="F74" s="12" t="str">
        <f>IF(IF(SelectedScope="All India",TRUE,'RAW_AR_CONTENT'!$B73=SelectedScope),'RAW_AR_CONTENT'!F73,"")</f>
        <v>Interactive</v>
      </c>
      <c r="G74" s="12" t="str">
        <f>IF(IF(SelectedScope="All India",TRUE,'RAW_AR_CONTENT'!$B73=SelectedScope),'RAW_AR_CONTENT'!G73,"")</f>
        <v>Active</v>
      </c>
      <c r="H74" s="12">
        <f>IF(IF(SelectedScope="All India",TRUE,'RAW_AR_CONTENT'!$B73=SelectedScope),'RAW_AR_CONTENT'!H73,"")</f>
        <v>0</v>
      </c>
      <c r="I74" s="12">
        <f>IF(IF(SelectedScope="All India",TRUE,'RAW_AR_CONTENT'!$B73=SelectedScope),'RAW_AR_CONTENT'!I73,"")</f>
        <v>0</v>
      </c>
      <c r="J74" s="12">
        <f>IF(IF(SelectedScope="All India",TRUE,'RAW_AR_CONTENT'!$B73=SelectedScope),'RAW_AR_CONTENT'!J73,"")</f>
        <v>0</v>
      </c>
      <c r="K74" s="12">
        <f>IF(IF(SelectedScope="All India",TRUE,'RAW_AR_CONTENT'!$B73=SelectedScope),'RAW_AR_CONTENT'!K73,"")</f>
        <v>0</v>
      </c>
      <c r="L74" s="12">
        <f>IF(IF(SelectedScope="All India",TRUE,'RAW_AR_CONTENT'!$B73=SelectedScope),'RAW_AR_CONTENT'!L73,"")</f>
        <v>0</v>
      </c>
      <c r="M74" s="12">
        <f>IF(IF(SelectedScope="All India",TRUE,'RAW_AR_CONTENT'!$B73=SelectedScope),'RAW_AR_CONTENT'!M73,"")</f>
        <v>0</v>
      </c>
      <c r="N74" s="12">
        <f>IF(IF(SelectedScope="All India",TRUE,'RAW_AR_CONTENT'!$B73=SelectedScope),'RAW_AR_CONTENT'!N73,"")</f>
        <v>0</v>
      </c>
      <c r="O74" s="12">
        <f>IF(IF(SelectedScope="All India",TRUE,'RAW_AR_CONTENT'!$B73=SelectedScope),'RAW_AR_CONTENT'!O73,"")</f>
        <v>0</v>
      </c>
      <c r="P74" s="12">
        <f>IF(IF(SelectedScope="All India",TRUE,'RAW_AR_CONTENT'!$B73=SelectedScope),'RAW_AR_CONTENT'!P73,"")</f>
        <v>0</v>
      </c>
      <c r="Q74" s="12">
        <f>IF(IF(SelectedScope="All India",TRUE,'RAW_AR_CONTENT'!$B73=SelectedScope),'RAW_AR_CONTENT'!Q73,"")</f>
        <v>0</v>
      </c>
      <c r="R74" s="12">
        <f>IF(IF(SelectedScope="All India",TRUE,'RAW_AR_CONTENT'!$B73=SelectedScope),'RAW_AR_CONTENT'!R73,"")</f>
        <v>0</v>
      </c>
    </row>
    <row r="75" spans="1:18" ht="15" customHeight="1" x14ac:dyDescent="0.3">
      <c r="A75" s="9">
        <f>IF(IF(SelectedScope="All India",TRUE,'RAW_AR_CONTENT'!$B74=SelectedScope),'RAW_AR_CONTENT'!A74,"")</f>
        <v>71</v>
      </c>
      <c r="B75" s="9" t="str">
        <f>IF(IF(SelectedScope="All India",TRUE,'RAW_AR_CONTENT'!$B74=SelectedScope),'RAW_AR_CONTENT'!B74,"")</f>
        <v>Bihar</v>
      </c>
      <c r="C75" s="9" t="str">
        <f>IF(IF(SelectedScope="All India",TRUE,'RAW_AR_CONTENT'!$B74=SelectedScope),'RAW_AR_CONTENT'!C74,"")</f>
        <v>Chemistry</v>
      </c>
      <c r="D75" s="9" t="str">
        <f>IF(IF(SelectedScope="All India",TRUE,'RAW_AR_CONTENT'!$B74=SelectedScope),'RAW_AR_CONTENT'!D74,"")</f>
        <v>Class 11</v>
      </c>
      <c r="E75" s="9" t="str">
        <f>IF(IF(SelectedScope="All India",TRUE,'RAW_AR_CONTENT'!$B74=SelectedScope),'RAW_AR_CONTENT'!E74,"")</f>
        <v>Periodic Table 3D</v>
      </c>
      <c r="F75" s="9" t="str">
        <f>IF(IF(SelectedScope="All India",TRUE,'RAW_AR_CONTENT'!$B74=SelectedScope),'RAW_AR_CONTENT'!F74,"")</f>
        <v>Interactive</v>
      </c>
      <c r="G75" s="9" t="str">
        <f>IF(IF(SelectedScope="All India",TRUE,'RAW_AR_CONTENT'!$B74=SelectedScope),'RAW_AR_CONTENT'!G74,"")</f>
        <v>Active</v>
      </c>
      <c r="H75" s="9">
        <f>IF(IF(SelectedScope="All India",TRUE,'RAW_AR_CONTENT'!$B74=SelectedScope),'RAW_AR_CONTENT'!H74,"")</f>
        <v>0</v>
      </c>
      <c r="I75" s="9">
        <f>IF(IF(SelectedScope="All India",TRUE,'RAW_AR_CONTENT'!$B74=SelectedScope),'RAW_AR_CONTENT'!I74,"")</f>
        <v>0</v>
      </c>
      <c r="J75" s="9">
        <f>IF(IF(SelectedScope="All India",TRUE,'RAW_AR_CONTENT'!$B74=SelectedScope),'RAW_AR_CONTENT'!J74,"")</f>
        <v>0</v>
      </c>
      <c r="K75" s="9">
        <f>IF(IF(SelectedScope="All India",TRUE,'RAW_AR_CONTENT'!$B74=SelectedScope),'RAW_AR_CONTENT'!K74,"")</f>
        <v>0</v>
      </c>
      <c r="L75" s="9">
        <f>IF(IF(SelectedScope="All India",TRUE,'RAW_AR_CONTENT'!$B74=SelectedScope),'RAW_AR_CONTENT'!L74,"")</f>
        <v>0</v>
      </c>
      <c r="M75" s="9">
        <f>IF(IF(SelectedScope="All India",TRUE,'RAW_AR_CONTENT'!$B74=SelectedScope),'RAW_AR_CONTENT'!M74,"")</f>
        <v>0</v>
      </c>
      <c r="N75" s="9">
        <f>IF(IF(SelectedScope="All India",TRUE,'RAW_AR_CONTENT'!$B74=SelectedScope),'RAW_AR_CONTENT'!N74,"")</f>
        <v>0</v>
      </c>
      <c r="O75" s="9">
        <f>IF(IF(SelectedScope="All India",TRUE,'RAW_AR_CONTENT'!$B74=SelectedScope),'RAW_AR_CONTENT'!O74,"")</f>
        <v>0</v>
      </c>
      <c r="P75" s="9">
        <f>IF(IF(SelectedScope="All India",TRUE,'RAW_AR_CONTENT'!$B74=SelectedScope),'RAW_AR_CONTENT'!P74,"")</f>
        <v>0</v>
      </c>
      <c r="Q75" s="9">
        <f>IF(IF(SelectedScope="All India",TRUE,'RAW_AR_CONTENT'!$B74=SelectedScope),'RAW_AR_CONTENT'!Q74,"")</f>
        <v>0</v>
      </c>
      <c r="R75" s="9">
        <f>IF(IF(SelectedScope="All India",TRUE,'RAW_AR_CONTENT'!$B74=SelectedScope),'RAW_AR_CONTENT'!R74,"")</f>
        <v>0</v>
      </c>
    </row>
    <row r="76" spans="1:18" ht="15" customHeight="1" x14ac:dyDescent="0.3">
      <c r="A76" s="12">
        <f>IF(IF(SelectedScope="All India",TRUE,'RAW_AR_CONTENT'!$B75=SelectedScope),'RAW_AR_CONTENT'!A75,"")</f>
        <v>72</v>
      </c>
      <c r="B76" s="12" t="str">
        <f>IF(IF(SelectedScope="All India",TRUE,'RAW_AR_CONTENT'!$B75=SelectedScope),'RAW_AR_CONTENT'!B75,"")</f>
        <v>Bihar</v>
      </c>
      <c r="C76" s="12" t="str">
        <f>IF(IF(SelectedScope="All India",TRUE,'RAW_AR_CONTENT'!$B75=SelectedScope),'RAW_AR_CONTENT'!C75,"")</f>
        <v>Physics</v>
      </c>
      <c r="D76" s="12" t="str">
        <f>IF(IF(SelectedScope="All India",TRUE,'RAW_AR_CONTENT'!$B75=SelectedScope),'RAW_AR_CONTENT'!D75,"")</f>
        <v>Class 10</v>
      </c>
      <c r="E76" s="12" t="str">
        <f>IF(IF(SelectedScope="All India",TRUE,'RAW_AR_CONTENT'!$B75=SelectedScope),'RAW_AR_CONTENT'!E75,"")</f>
        <v>Electricity Circuits</v>
      </c>
      <c r="F76" s="12" t="str">
        <f>IF(IF(SelectedScope="All India",TRUE,'RAW_AR_CONTENT'!$B75=SelectedScope),'RAW_AR_CONTENT'!F75,"")</f>
        <v>Interactive</v>
      </c>
      <c r="G76" s="12" t="str">
        <f>IF(IF(SelectedScope="All India",TRUE,'RAW_AR_CONTENT'!$B75=SelectedScope),'RAW_AR_CONTENT'!G75,"")</f>
        <v>Active</v>
      </c>
      <c r="H76" s="12">
        <f>IF(IF(SelectedScope="All India",TRUE,'RAW_AR_CONTENT'!$B75=SelectedScope),'RAW_AR_CONTENT'!H75,"")</f>
        <v>0</v>
      </c>
      <c r="I76" s="12">
        <f>IF(IF(SelectedScope="All India",TRUE,'RAW_AR_CONTENT'!$B75=SelectedScope),'RAW_AR_CONTENT'!I75,"")</f>
        <v>0</v>
      </c>
      <c r="J76" s="12">
        <f>IF(IF(SelectedScope="All India",TRUE,'RAW_AR_CONTENT'!$B75=SelectedScope),'RAW_AR_CONTENT'!J75,"")</f>
        <v>0</v>
      </c>
      <c r="K76" s="12">
        <f>IF(IF(SelectedScope="All India",TRUE,'RAW_AR_CONTENT'!$B75=SelectedScope),'RAW_AR_CONTENT'!K75,"")</f>
        <v>0</v>
      </c>
      <c r="L76" s="12">
        <f>IF(IF(SelectedScope="All India",TRUE,'RAW_AR_CONTENT'!$B75=SelectedScope),'RAW_AR_CONTENT'!L75,"")</f>
        <v>0</v>
      </c>
      <c r="M76" s="12">
        <f>IF(IF(SelectedScope="All India",TRUE,'RAW_AR_CONTENT'!$B75=SelectedScope),'RAW_AR_CONTENT'!M75,"")</f>
        <v>0</v>
      </c>
      <c r="N76" s="12">
        <f>IF(IF(SelectedScope="All India",TRUE,'RAW_AR_CONTENT'!$B75=SelectedScope),'RAW_AR_CONTENT'!N75,"")</f>
        <v>0</v>
      </c>
      <c r="O76" s="12">
        <f>IF(IF(SelectedScope="All India",TRUE,'RAW_AR_CONTENT'!$B75=SelectedScope),'RAW_AR_CONTENT'!O75,"")</f>
        <v>0</v>
      </c>
      <c r="P76" s="12">
        <f>IF(IF(SelectedScope="All India",TRUE,'RAW_AR_CONTENT'!$B75=SelectedScope),'RAW_AR_CONTENT'!P75,"")</f>
        <v>0</v>
      </c>
      <c r="Q76" s="12">
        <f>IF(IF(SelectedScope="All India",TRUE,'RAW_AR_CONTENT'!$B75=SelectedScope),'RAW_AR_CONTENT'!Q75,"")</f>
        <v>0</v>
      </c>
      <c r="R76" s="12">
        <f>IF(IF(SelectedScope="All India",TRUE,'RAW_AR_CONTENT'!$B75=SelectedScope),'RAW_AR_CONTENT'!R75,"")</f>
        <v>0</v>
      </c>
    </row>
    <row r="77" spans="1:18" ht="15" customHeight="1" x14ac:dyDescent="0.3">
      <c r="A77" s="9">
        <f>IF(IF(SelectedScope="All India",TRUE,'RAW_AR_CONTENT'!$B76=SelectedScope),'RAW_AR_CONTENT'!A76,"")</f>
        <v>73</v>
      </c>
      <c r="B77" s="9" t="str">
        <f>IF(IF(SelectedScope="All India",TRUE,'RAW_AR_CONTENT'!$B76=SelectedScope),'RAW_AR_CONTENT'!B76,"")</f>
        <v>Bihar</v>
      </c>
      <c r="C77" s="9" t="str">
        <f>IF(IF(SelectedScope="All India",TRUE,'RAW_AR_CONTENT'!$B76=SelectedScope),'RAW_AR_CONTENT'!C76,"")</f>
        <v>Civics</v>
      </c>
      <c r="D77" s="9" t="str">
        <f>IF(IF(SelectedScope="All India",TRUE,'RAW_AR_CONTENT'!$B76=SelectedScope),'RAW_AR_CONTENT'!D76,"")</f>
        <v>Class 9</v>
      </c>
      <c r="E77" s="9" t="str">
        <f>IF(IF(SelectedScope="All India",TRUE,'RAW_AR_CONTENT'!$B76=SelectedScope),'RAW_AR_CONTENT'!E76,"")</f>
        <v>Indian Constitution</v>
      </c>
      <c r="F77" s="9" t="str">
        <f>IF(IF(SelectedScope="All India",TRUE,'RAW_AR_CONTENT'!$B76=SelectedScope),'RAW_AR_CONTENT'!F76,"")</f>
        <v>Basic 3D</v>
      </c>
      <c r="G77" s="9" t="str">
        <f>IF(IF(SelectedScope="All India",TRUE,'RAW_AR_CONTENT'!$B76=SelectedScope),'RAW_AR_CONTENT'!G76,"")</f>
        <v>Active</v>
      </c>
      <c r="H77" s="9">
        <f>IF(IF(SelectedScope="All India",TRUE,'RAW_AR_CONTENT'!$B76=SelectedScope),'RAW_AR_CONTENT'!H76,"")</f>
        <v>0</v>
      </c>
      <c r="I77" s="9">
        <f>IF(IF(SelectedScope="All India",TRUE,'RAW_AR_CONTENT'!$B76=SelectedScope),'RAW_AR_CONTENT'!I76,"")</f>
        <v>0</v>
      </c>
      <c r="J77" s="9">
        <f>IF(IF(SelectedScope="All India",TRUE,'RAW_AR_CONTENT'!$B76=SelectedScope),'RAW_AR_CONTENT'!J76,"")</f>
        <v>0</v>
      </c>
      <c r="K77" s="9">
        <f>IF(IF(SelectedScope="All India",TRUE,'RAW_AR_CONTENT'!$B76=SelectedScope),'RAW_AR_CONTENT'!K76,"")</f>
        <v>0</v>
      </c>
      <c r="L77" s="9">
        <f>IF(IF(SelectedScope="All India",TRUE,'RAW_AR_CONTENT'!$B76=SelectedScope),'RAW_AR_CONTENT'!L76,"")</f>
        <v>0</v>
      </c>
      <c r="M77" s="9">
        <f>IF(IF(SelectedScope="All India",TRUE,'RAW_AR_CONTENT'!$B76=SelectedScope),'RAW_AR_CONTENT'!M76,"")</f>
        <v>0</v>
      </c>
      <c r="N77" s="9">
        <f>IF(IF(SelectedScope="All India",TRUE,'RAW_AR_CONTENT'!$B76=SelectedScope),'RAW_AR_CONTENT'!N76,"")</f>
        <v>0</v>
      </c>
      <c r="O77" s="9">
        <f>IF(IF(SelectedScope="All India",TRUE,'RAW_AR_CONTENT'!$B76=SelectedScope),'RAW_AR_CONTENT'!O76,"")</f>
        <v>0</v>
      </c>
      <c r="P77" s="9">
        <f>IF(IF(SelectedScope="All India",TRUE,'RAW_AR_CONTENT'!$B76=SelectedScope),'RAW_AR_CONTENT'!P76,"")</f>
        <v>0</v>
      </c>
      <c r="Q77" s="9">
        <f>IF(IF(SelectedScope="All India",TRUE,'RAW_AR_CONTENT'!$B76=SelectedScope),'RAW_AR_CONTENT'!Q76,"")</f>
        <v>0</v>
      </c>
      <c r="R77" s="9">
        <f>IF(IF(SelectedScope="All India",TRUE,'RAW_AR_CONTENT'!$B76=SelectedScope),'RAW_AR_CONTENT'!R76,"")</f>
        <v>0</v>
      </c>
    </row>
    <row r="78" spans="1:18" ht="15" customHeight="1" x14ac:dyDescent="0.3">
      <c r="A78" s="12">
        <f>IF(IF(SelectedScope="All India",TRUE,'RAW_AR_CONTENT'!$B77=SelectedScope),'RAW_AR_CONTENT'!A77,"")</f>
        <v>74</v>
      </c>
      <c r="B78" s="12" t="str">
        <f>IF(IF(SelectedScope="All India",TRUE,'RAW_AR_CONTENT'!$B77=SelectedScope),'RAW_AR_CONTENT'!B77,"")</f>
        <v>Bihar</v>
      </c>
      <c r="C78" s="12" t="str">
        <f>IF(IF(SelectedScope="All India",TRUE,'RAW_AR_CONTENT'!$B77=SelectedScope),'RAW_AR_CONTENT'!C77,"")</f>
        <v>Environmental Science</v>
      </c>
      <c r="D78" s="12" t="str">
        <f>IF(IF(SelectedScope="All India",TRUE,'RAW_AR_CONTENT'!$B77=SelectedScope),'RAW_AR_CONTENT'!D77,"")</f>
        <v>Class 6</v>
      </c>
      <c r="E78" s="12" t="str">
        <f>IF(IF(SelectedScope="All India",TRUE,'RAW_AR_CONTENT'!$B77=SelectedScope),'RAW_AR_CONTENT'!E77,"")</f>
        <v>Food Chain</v>
      </c>
      <c r="F78" s="12" t="str">
        <f>IF(IF(SelectedScope="All India",TRUE,'RAW_AR_CONTENT'!$B77=SelectedScope),'RAW_AR_CONTENT'!F77,"")</f>
        <v>Animated</v>
      </c>
      <c r="G78" s="12" t="str">
        <f>IF(IF(SelectedScope="All India",TRUE,'RAW_AR_CONTENT'!$B77=SelectedScope),'RAW_AR_CONTENT'!G77,"")</f>
        <v>Active</v>
      </c>
      <c r="H78" s="12">
        <f>IF(IF(SelectedScope="All India",TRUE,'RAW_AR_CONTENT'!$B77=SelectedScope),'RAW_AR_CONTENT'!H77,"")</f>
        <v>0</v>
      </c>
      <c r="I78" s="12">
        <f>IF(IF(SelectedScope="All India",TRUE,'RAW_AR_CONTENT'!$B77=SelectedScope),'RAW_AR_CONTENT'!I77,"")</f>
        <v>0</v>
      </c>
      <c r="J78" s="12">
        <f>IF(IF(SelectedScope="All India",TRUE,'RAW_AR_CONTENT'!$B77=SelectedScope),'RAW_AR_CONTENT'!J77,"")</f>
        <v>0</v>
      </c>
      <c r="K78" s="12">
        <f>IF(IF(SelectedScope="All India",TRUE,'RAW_AR_CONTENT'!$B77=SelectedScope),'RAW_AR_CONTENT'!K77,"")</f>
        <v>0</v>
      </c>
      <c r="L78" s="12">
        <f>IF(IF(SelectedScope="All India",TRUE,'RAW_AR_CONTENT'!$B77=SelectedScope),'RAW_AR_CONTENT'!L77,"")</f>
        <v>0</v>
      </c>
      <c r="M78" s="12">
        <f>IF(IF(SelectedScope="All India",TRUE,'RAW_AR_CONTENT'!$B77=SelectedScope),'RAW_AR_CONTENT'!M77,"")</f>
        <v>0</v>
      </c>
      <c r="N78" s="12">
        <f>IF(IF(SelectedScope="All India",TRUE,'RAW_AR_CONTENT'!$B77=SelectedScope),'RAW_AR_CONTENT'!N77,"")</f>
        <v>0</v>
      </c>
      <c r="O78" s="12">
        <f>IF(IF(SelectedScope="All India",TRUE,'RAW_AR_CONTENT'!$B77=SelectedScope),'RAW_AR_CONTENT'!O77,"")</f>
        <v>0</v>
      </c>
      <c r="P78" s="12">
        <f>IF(IF(SelectedScope="All India",TRUE,'RAW_AR_CONTENT'!$B77=SelectedScope),'RAW_AR_CONTENT'!P77,"")</f>
        <v>0</v>
      </c>
      <c r="Q78" s="12">
        <f>IF(IF(SelectedScope="All India",TRUE,'RAW_AR_CONTENT'!$B77=SelectedScope),'RAW_AR_CONTENT'!Q77,"")</f>
        <v>0</v>
      </c>
      <c r="R78" s="12">
        <f>IF(IF(SelectedScope="All India",TRUE,'RAW_AR_CONTENT'!$B77=SelectedScope),'RAW_AR_CONTENT'!R77,"")</f>
        <v>0</v>
      </c>
    </row>
    <row r="79" spans="1:18" ht="15" customHeight="1" x14ac:dyDescent="0.3">
      <c r="A79" s="9">
        <f>IF(IF(SelectedScope="All India",TRUE,'RAW_AR_CONTENT'!$B78=SelectedScope),'RAW_AR_CONTENT'!A78,"")</f>
        <v>75</v>
      </c>
      <c r="B79" s="9" t="str">
        <f>IF(IF(SelectedScope="All India",TRUE,'RAW_AR_CONTENT'!$B78=SelectedScope),'RAW_AR_CONTENT'!B78,"")</f>
        <v>Bihar</v>
      </c>
      <c r="C79" s="9" t="str">
        <f>IF(IF(SelectedScope="All India",TRUE,'RAW_AR_CONTENT'!$B78=SelectedScope),'RAW_AR_CONTENT'!C78,"")</f>
        <v>Mathematics</v>
      </c>
      <c r="D79" s="9" t="str">
        <f>IF(IF(SelectedScope="All India",TRUE,'RAW_AR_CONTENT'!$B78=SelectedScope),'RAW_AR_CONTENT'!D78,"")</f>
        <v>Class 10</v>
      </c>
      <c r="E79" s="9" t="str">
        <f>IF(IF(SelectedScope="All India",TRUE,'RAW_AR_CONTENT'!$B78=SelectedScope),'RAW_AR_CONTENT'!E78,"")</f>
        <v>Quadratic Equations</v>
      </c>
      <c r="F79" s="9" t="str">
        <f>IF(IF(SelectedScope="All India",TRUE,'RAW_AR_CONTENT'!$B78=SelectedScope),'RAW_AR_CONTENT'!F78,"")</f>
        <v>Animated</v>
      </c>
      <c r="G79" s="9" t="str">
        <f>IF(IF(SelectedScope="All India",TRUE,'RAW_AR_CONTENT'!$B78=SelectedScope),'RAW_AR_CONTENT'!G78,"")</f>
        <v>Active</v>
      </c>
      <c r="H79" s="9">
        <f>IF(IF(SelectedScope="All India",TRUE,'RAW_AR_CONTENT'!$B78=SelectedScope),'RAW_AR_CONTENT'!H78,"")</f>
        <v>0</v>
      </c>
      <c r="I79" s="9">
        <f>IF(IF(SelectedScope="All India",TRUE,'RAW_AR_CONTENT'!$B78=SelectedScope),'RAW_AR_CONTENT'!I78,"")</f>
        <v>0</v>
      </c>
      <c r="J79" s="9">
        <f>IF(IF(SelectedScope="All India",TRUE,'RAW_AR_CONTENT'!$B78=SelectedScope),'RAW_AR_CONTENT'!J78,"")</f>
        <v>0</v>
      </c>
      <c r="K79" s="9">
        <f>IF(IF(SelectedScope="All India",TRUE,'RAW_AR_CONTENT'!$B78=SelectedScope),'RAW_AR_CONTENT'!K78,"")</f>
        <v>0</v>
      </c>
      <c r="L79" s="9">
        <f>IF(IF(SelectedScope="All India",TRUE,'RAW_AR_CONTENT'!$B78=SelectedScope),'RAW_AR_CONTENT'!L78,"")</f>
        <v>0</v>
      </c>
      <c r="M79" s="9">
        <f>IF(IF(SelectedScope="All India",TRUE,'RAW_AR_CONTENT'!$B78=SelectedScope),'RAW_AR_CONTENT'!M78,"")</f>
        <v>0</v>
      </c>
      <c r="N79" s="9">
        <f>IF(IF(SelectedScope="All India",TRUE,'RAW_AR_CONTENT'!$B78=SelectedScope),'RAW_AR_CONTENT'!N78,"")</f>
        <v>0</v>
      </c>
      <c r="O79" s="9">
        <f>IF(IF(SelectedScope="All India",TRUE,'RAW_AR_CONTENT'!$B78=SelectedScope),'RAW_AR_CONTENT'!O78,"")</f>
        <v>0</v>
      </c>
      <c r="P79" s="9">
        <f>IF(IF(SelectedScope="All India",TRUE,'RAW_AR_CONTENT'!$B78=SelectedScope),'RAW_AR_CONTENT'!P78,"")</f>
        <v>0</v>
      </c>
      <c r="Q79" s="9">
        <f>IF(IF(SelectedScope="All India",TRUE,'RAW_AR_CONTENT'!$B78=SelectedScope),'RAW_AR_CONTENT'!Q78,"")</f>
        <v>0</v>
      </c>
      <c r="R79" s="9">
        <f>IF(IF(SelectedScope="All India",TRUE,'RAW_AR_CONTENT'!$B78=SelectedScope),'RAW_AR_CONTENT'!R78,"")</f>
        <v>0</v>
      </c>
    </row>
    <row r="80" spans="1:18" ht="15" customHeight="1" x14ac:dyDescent="0.3">
      <c r="A80" s="12">
        <f>IF(IF(SelectedScope="All India",TRUE,'RAW_AR_CONTENT'!$B79=SelectedScope),'RAW_AR_CONTENT'!A79,"")</f>
        <v>76</v>
      </c>
      <c r="B80" s="12" t="str">
        <f>IF(IF(SelectedScope="All India",TRUE,'RAW_AR_CONTENT'!$B79=SelectedScope),'RAW_AR_CONTENT'!B79,"")</f>
        <v>Chandigarh</v>
      </c>
      <c r="C80" s="12" t="str">
        <f>IF(IF(SelectedScope="All India",TRUE,'RAW_AR_CONTENT'!$B79=SelectedScope),'RAW_AR_CONTENT'!C79,"")</f>
        <v>Science</v>
      </c>
      <c r="D80" s="12" t="str">
        <f>IF(IF(SelectedScope="All India",TRUE,'RAW_AR_CONTENT'!$B79=SelectedScope),'RAW_AR_CONTENT'!D79,"")</f>
        <v>Class 8</v>
      </c>
      <c r="E80" s="12" t="str">
        <f>IF(IF(SelectedScope="All India",TRUE,'RAW_AR_CONTENT'!$B79=SelectedScope),'RAW_AR_CONTENT'!E79,"")</f>
        <v>Solar System 3D</v>
      </c>
      <c r="F80" s="12" t="str">
        <f>IF(IF(SelectedScope="All India",TRUE,'RAW_AR_CONTENT'!$B79=SelectedScope),'RAW_AR_CONTENT'!F79,"")</f>
        <v>Animated</v>
      </c>
      <c r="G80" s="12" t="str">
        <f>IF(IF(SelectedScope="All India",TRUE,'RAW_AR_CONTENT'!$B79=SelectedScope),'RAW_AR_CONTENT'!G79,"")</f>
        <v>Active</v>
      </c>
      <c r="H80" s="12">
        <f>IF(IF(SelectedScope="All India",TRUE,'RAW_AR_CONTENT'!$B79=SelectedScope),'RAW_AR_CONTENT'!H79,"")</f>
        <v>0</v>
      </c>
      <c r="I80" s="12">
        <f>IF(IF(SelectedScope="All India",TRUE,'RAW_AR_CONTENT'!$B79=SelectedScope),'RAW_AR_CONTENT'!I79,"")</f>
        <v>0</v>
      </c>
      <c r="J80" s="12">
        <f>IF(IF(SelectedScope="All India",TRUE,'RAW_AR_CONTENT'!$B79=SelectedScope),'RAW_AR_CONTENT'!J79,"")</f>
        <v>0</v>
      </c>
      <c r="K80" s="12">
        <f>IF(IF(SelectedScope="All India",TRUE,'RAW_AR_CONTENT'!$B79=SelectedScope),'RAW_AR_CONTENT'!K79,"")</f>
        <v>0</v>
      </c>
      <c r="L80" s="12">
        <f>IF(IF(SelectedScope="All India",TRUE,'RAW_AR_CONTENT'!$B79=SelectedScope),'RAW_AR_CONTENT'!L79,"")</f>
        <v>0</v>
      </c>
      <c r="M80" s="12">
        <f>IF(IF(SelectedScope="All India",TRUE,'RAW_AR_CONTENT'!$B79=SelectedScope),'RAW_AR_CONTENT'!M79,"")</f>
        <v>0</v>
      </c>
      <c r="N80" s="12">
        <f>IF(IF(SelectedScope="All India",TRUE,'RAW_AR_CONTENT'!$B79=SelectedScope),'RAW_AR_CONTENT'!N79,"")</f>
        <v>0</v>
      </c>
      <c r="O80" s="12">
        <f>IF(IF(SelectedScope="All India",TRUE,'RAW_AR_CONTENT'!$B79=SelectedScope),'RAW_AR_CONTENT'!O79,"")</f>
        <v>0</v>
      </c>
      <c r="P80" s="12">
        <f>IF(IF(SelectedScope="All India",TRUE,'RAW_AR_CONTENT'!$B79=SelectedScope),'RAW_AR_CONTENT'!P79,"")</f>
        <v>0</v>
      </c>
      <c r="Q80" s="12">
        <f>IF(IF(SelectedScope="All India",TRUE,'RAW_AR_CONTENT'!$B79=SelectedScope),'RAW_AR_CONTENT'!Q79,"")</f>
        <v>0</v>
      </c>
      <c r="R80" s="12">
        <f>IF(IF(SelectedScope="All India",TRUE,'RAW_AR_CONTENT'!$B79=SelectedScope),'RAW_AR_CONTENT'!R79,"")</f>
        <v>0</v>
      </c>
    </row>
    <row r="81" spans="1:18" ht="15" customHeight="1" x14ac:dyDescent="0.3">
      <c r="A81" s="9">
        <f>IF(IF(SelectedScope="All India",TRUE,'RAW_AR_CONTENT'!$B80=SelectedScope),'RAW_AR_CONTENT'!A80,"")</f>
        <v>77</v>
      </c>
      <c r="B81" s="9" t="str">
        <f>IF(IF(SelectedScope="All India",TRUE,'RAW_AR_CONTENT'!$B80=SelectedScope),'RAW_AR_CONTENT'!B80,"")</f>
        <v>Chandigarh</v>
      </c>
      <c r="C81" s="9" t="str">
        <f>IF(IF(SelectedScope="All India",TRUE,'RAW_AR_CONTENT'!$B80=SelectedScope),'RAW_AR_CONTENT'!C80,"")</f>
        <v>Biology</v>
      </c>
      <c r="D81" s="9" t="str">
        <f>IF(IF(SelectedScope="All India",TRUE,'RAW_AR_CONTENT'!$B80=SelectedScope),'RAW_AR_CONTENT'!D80,"")</f>
        <v>Class 9</v>
      </c>
      <c r="E81" s="9" t="str">
        <f>IF(IF(SelectedScope="All India",TRUE,'RAW_AR_CONTENT'!$B80=SelectedScope),'RAW_AR_CONTENT'!E80,"")</f>
        <v>Cell Division</v>
      </c>
      <c r="F81" s="9" t="str">
        <f>IF(IF(SelectedScope="All India",TRUE,'RAW_AR_CONTENT'!$B80=SelectedScope),'RAW_AR_CONTENT'!F80,"")</f>
        <v>Interactive</v>
      </c>
      <c r="G81" s="9" t="str">
        <f>IF(IF(SelectedScope="All India",TRUE,'RAW_AR_CONTENT'!$B80=SelectedScope),'RAW_AR_CONTENT'!G80,"")</f>
        <v>Active</v>
      </c>
      <c r="H81" s="9">
        <f>IF(IF(SelectedScope="All India",TRUE,'RAW_AR_CONTENT'!$B80=SelectedScope),'RAW_AR_CONTENT'!H80,"")</f>
        <v>0</v>
      </c>
      <c r="I81" s="9">
        <f>IF(IF(SelectedScope="All India",TRUE,'RAW_AR_CONTENT'!$B80=SelectedScope),'RAW_AR_CONTENT'!I80,"")</f>
        <v>0</v>
      </c>
      <c r="J81" s="9">
        <f>IF(IF(SelectedScope="All India",TRUE,'RAW_AR_CONTENT'!$B80=SelectedScope),'RAW_AR_CONTENT'!J80,"")</f>
        <v>0</v>
      </c>
      <c r="K81" s="9">
        <f>IF(IF(SelectedScope="All India",TRUE,'RAW_AR_CONTENT'!$B80=SelectedScope),'RAW_AR_CONTENT'!K80,"")</f>
        <v>0</v>
      </c>
      <c r="L81" s="9">
        <f>IF(IF(SelectedScope="All India",TRUE,'RAW_AR_CONTENT'!$B80=SelectedScope),'RAW_AR_CONTENT'!L80,"")</f>
        <v>0</v>
      </c>
      <c r="M81" s="9">
        <f>IF(IF(SelectedScope="All India",TRUE,'RAW_AR_CONTENT'!$B80=SelectedScope),'RAW_AR_CONTENT'!M80,"")</f>
        <v>0</v>
      </c>
      <c r="N81" s="9">
        <f>IF(IF(SelectedScope="All India",TRUE,'RAW_AR_CONTENT'!$B80=SelectedScope),'RAW_AR_CONTENT'!N80,"")</f>
        <v>0</v>
      </c>
      <c r="O81" s="9">
        <f>IF(IF(SelectedScope="All India",TRUE,'RAW_AR_CONTENT'!$B80=SelectedScope),'RAW_AR_CONTENT'!O80,"")</f>
        <v>0</v>
      </c>
      <c r="P81" s="9">
        <f>IF(IF(SelectedScope="All India",TRUE,'RAW_AR_CONTENT'!$B80=SelectedScope),'RAW_AR_CONTENT'!P80,"")</f>
        <v>0</v>
      </c>
      <c r="Q81" s="9">
        <f>IF(IF(SelectedScope="All India",TRUE,'RAW_AR_CONTENT'!$B80=SelectedScope),'RAW_AR_CONTENT'!Q80,"")</f>
        <v>0</v>
      </c>
      <c r="R81" s="9">
        <f>IF(IF(SelectedScope="All India",TRUE,'RAW_AR_CONTENT'!$B80=SelectedScope),'RAW_AR_CONTENT'!R80,"")</f>
        <v>0</v>
      </c>
    </row>
    <row r="82" spans="1:18" ht="15" customHeight="1" x14ac:dyDescent="0.3">
      <c r="A82" s="12">
        <f>IF(IF(SelectedScope="All India",TRUE,'RAW_AR_CONTENT'!$B81=SelectedScope),'RAW_AR_CONTENT'!A81,"")</f>
        <v>78</v>
      </c>
      <c r="B82" s="12" t="str">
        <f>IF(IF(SelectedScope="All India",TRUE,'RAW_AR_CONTENT'!$B81=SelectedScope),'RAW_AR_CONTENT'!B81,"")</f>
        <v>Chandigarh</v>
      </c>
      <c r="C82" s="12" t="str">
        <f>IF(IF(SelectedScope="All India",TRUE,'RAW_AR_CONTENT'!$B81=SelectedScope),'RAW_AR_CONTENT'!C81,"")</f>
        <v>Chemistry</v>
      </c>
      <c r="D82" s="12" t="str">
        <f>IF(IF(SelectedScope="All India",TRUE,'RAW_AR_CONTENT'!$B81=SelectedScope),'RAW_AR_CONTENT'!D81,"")</f>
        <v>Class 9</v>
      </c>
      <c r="E82" s="12" t="str">
        <f>IF(IF(SelectedScope="All India",TRUE,'RAW_AR_CONTENT'!$B81=SelectedScope),'RAW_AR_CONTENT'!E81,"")</f>
        <v>Atoms and Molecules</v>
      </c>
      <c r="F82" s="12" t="str">
        <f>IF(IF(SelectedScope="All India",TRUE,'RAW_AR_CONTENT'!$B81=SelectedScope),'RAW_AR_CONTENT'!F81,"")</f>
        <v>Animated</v>
      </c>
      <c r="G82" s="12" t="str">
        <f>IF(IF(SelectedScope="All India",TRUE,'RAW_AR_CONTENT'!$B81=SelectedScope),'RAW_AR_CONTENT'!G81,"")</f>
        <v>Active</v>
      </c>
      <c r="H82" s="12">
        <f>IF(IF(SelectedScope="All India",TRUE,'RAW_AR_CONTENT'!$B81=SelectedScope),'RAW_AR_CONTENT'!H81,"")</f>
        <v>0</v>
      </c>
      <c r="I82" s="12">
        <f>IF(IF(SelectedScope="All India",TRUE,'RAW_AR_CONTENT'!$B81=SelectedScope),'RAW_AR_CONTENT'!I81,"")</f>
        <v>0</v>
      </c>
      <c r="J82" s="12">
        <f>IF(IF(SelectedScope="All India",TRUE,'RAW_AR_CONTENT'!$B81=SelectedScope),'RAW_AR_CONTENT'!J81,"")</f>
        <v>0</v>
      </c>
      <c r="K82" s="12">
        <f>IF(IF(SelectedScope="All India",TRUE,'RAW_AR_CONTENT'!$B81=SelectedScope),'RAW_AR_CONTENT'!K81,"")</f>
        <v>0</v>
      </c>
      <c r="L82" s="12">
        <f>IF(IF(SelectedScope="All India",TRUE,'RAW_AR_CONTENT'!$B81=SelectedScope),'RAW_AR_CONTENT'!L81,"")</f>
        <v>0</v>
      </c>
      <c r="M82" s="12">
        <f>IF(IF(SelectedScope="All India",TRUE,'RAW_AR_CONTENT'!$B81=SelectedScope),'RAW_AR_CONTENT'!M81,"")</f>
        <v>0</v>
      </c>
      <c r="N82" s="12">
        <f>IF(IF(SelectedScope="All India",TRUE,'RAW_AR_CONTENT'!$B81=SelectedScope),'RAW_AR_CONTENT'!N81,"")</f>
        <v>0</v>
      </c>
      <c r="O82" s="12">
        <f>IF(IF(SelectedScope="All India",TRUE,'RAW_AR_CONTENT'!$B81=SelectedScope),'RAW_AR_CONTENT'!O81,"")</f>
        <v>0</v>
      </c>
      <c r="P82" s="12">
        <f>IF(IF(SelectedScope="All India",TRUE,'RAW_AR_CONTENT'!$B81=SelectedScope),'RAW_AR_CONTENT'!P81,"")</f>
        <v>0</v>
      </c>
      <c r="Q82" s="12">
        <f>IF(IF(SelectedScope="All India",TRUE,'RAW_AR_CONTENT'!$B81=SelectedScope),'RAW_AR_CONTENT'!Q81,"")</f>
        <v>0</v>
      </c>
      <c r="R82" s="12">
        <f>IF(IF(SelectedScope="All India",TRUE,'RAW_AR_CONTENT'!$B81=SelectedScope),'RAW_AR_CONTENT'!R81,"")</f>
        <v>0</v>
      </c>
    </row>
    <row r="83" spans="1:18" ht="15" customHeight="1" x14ac:dyDescent="0.3">
      <c r="A83" s="9">
        <f>IF(IF(SelectedScope="All India",TRUE,'RAW_AR_CONTENT'!$B82=SelectedScope),'RAW_AR_CONTENT'!A82,"")</f>
        <v>79</v>
      </c>
      <c r="B83" s="9" t="str">
        <f>IF(IF(SelectedScope="All India",TRUE,'RAW_AR_CONTENT'!$B82=SelectedScope),'RAW_AR_CONTENT'!B82,"")</f>
        <v>Chandigarh</v>
      </c>
      <c r="C83" s="9" t="str">
        <f>IF(IF(SelectedScope="All India",TRUE,'RAW_AR_CONTENT'!$B82=SelectedScope),'RAW_AR_CONTENT'!C82,"")</f>
        <v>Biology</v>
      </c>
      <c r="D83" s="9" t="str">
        <f>IF(IF(SelectedScope="All India",TRUE,'RAW_AR_CONTENT'!$B82=SelectedScope),'RAW_AR_CONTENT'!D82,"")</f>
        <v>Class 7</v>
      </c>
      <c r="E83" s="9" t="str">
        <f>IF(IF(SelectedScope="All India",TRUE,'RAW_AR_CONTENT'!$B82=SelectedScope),'RAW_AR_CONTENT'!E82,"")</f>
        <v>Photosynthesis</v>
      </c>
      <c r="F83" s="9" t="str">
        <f>IF(IF(SelectedScope="All India",TRUE,'RAW_AR_CONTENT'!$B82=SelectedScope),'RAW_AR_CONTENT'!F82,"")</f>
        <v>Basic 3D</v>
      </c>
      <c r="G83" s="9" t="str">
        <f>IF(IF(SelectedScope="All India",TRUE,'RAW_AR_CONTENT'!$B82=SelectedScope),'RAW_AR_CONTENT'!G82,"")</f>
        <v>Active</v>
      </c>
      <c r="H83" s="9">
        <f>IF(IF(SelectedScope="All India",TRUE,'RAW_AR_CONTENT'!$B82=SelectedScope),'RAW_AR_CONTENT'!H82,"")</f>
        <v>0</v>
      </c>
      <c r="I83" s="9">
        <f>IF(IF(SelectedScope="All India",TRUE,'RAW_AR_CONTENT'!$B82=SelectedScope),'RAW_AR_CONTENT'!I82,"")</f>
        <v>0</v>
      </c>
      <c r="J83" s="9">
        <f>IF(IF(SelectedScope="All India",TRUE,'RAW_AR_CONTENT'!$B82=SelectedScope),'RAW_AR_CONTENT'!J82,"")</f>
        <v>0</v>
      </c>
      <c r="K83" s="9">
        <f>IF(IF(SelectedScope="All India",TRUE,'RAW_AR_CONTENT'!$B82=SelectedScope),'RAW_AR_CONTENT'!K82,"")</f>
        <v>0</v>
      </c>
      <c r="L83" s="9">
        <f>IF(IF(SelectedScope="All India",TRUE,'RAW_AR_CONTENT'!$B82=SelectedScope),'RAW_AR_CONTENT'!L82,"")</f>
        <v>0</v>
      </c>
      <c r="M83" s="9">
        <f>IF(IF(SelectedScope="All India",TRUE,'RAW_AR_CONTENT'!$B82=SelectedScope),'RAW_AR_CONTENT'!M82,"")</f>
        <v>0</v>
      </c>
      <c r="N83" s="9">
        <f>IF(IF(SelectedScope="All India",TRUE,'RAW_AR_CONTENT'!$B82=SelectedScope),'RAW_AR_CONTENT'!N82,"")</f>
        <v>0</v>
      </c>
      <c r="O83" s="9">
        <f>IF(IF(SelectedScope="All India",TRUE,'RAW_AR_CONTENT'!$B82=SelectedScope),'RAW_AR_CONTENT'!O82,"")</f>
        <v>0</v>
      </c>
      <c r="P83" s="9">
        <f>IF(IF(SelectedScope="All India",TRUE,'RAW_AR_CONTENT'!$B82=SelectedScope),'RAW_AR_CONTENT'!P82,"")</f>
        <v>0</v>
      </c>
      <c r="Q83" s="9">
        <f>IF(IF(SelectedScope="All India",TRUE,'RAW_AR_CONTENT'!$B82=SelectedScope),'RAW_AR_CONTENT'!Q82,"")</f>
        <v>0</v>
      </c>
      <c r="R83" s="9">
        <f>IF(IF(SelectedScope="All India",TRUE,'RAW_AR_CONTENT'!$B82=SelectedScope),'RAW_AR_CONTENT'!R82,"")</f>
        <v>0</v>
      </c>
    </row>
    <row r="84" spans="1:18" ht="15" customHeight="1" x14ac:dyDescent="0.3">
      <c r="A84" s="12">
        <f>IF(IF(SelectedScope="All India",TRUE,'RAW_AR_CONTENT'!$B83=SelectedScope),'RAW_AR_CONTENT'!A83,"")</f>
        <v>80</v>
      </c>
      <c r="B84" s="12" t="str">
        <f>IF(IF(SelectedScope="All India",TRUE,'RAW_AR_CONTENT'!$B83=SelectedScope),'RAW_AR_CONTENT'!B83,"")</f>
        <v>Chandigarh</v>
      </c>
      <c r="C84" s="12" t="str">
        <f>IF(IF(SelectedScope="All India",TRUE,'RAW_AR_CONTENT'!$B83=SelectedScope),'RAW_AR_CONTENT'!C83,"")</f>
        <v>Mathematics</v>
      </c>
      <c r="D84" s="12" t="str">
        <f>IF(IF(SelectedScope="All India",TRUE,'RAW_AR_CONTENT'!$B83=SelectedScope),'RAW_AR_CONTENT'!D83,"")</f>
        <v>Class 7</v>
      </c>
      <c r="E84" s="12" t="str">
        <f>IF(IF(SelectedScope="All India",TRUE,'RAW_AR_CONTENT'!$B83=SelectedScope),'RAW_AR_CONTENT'!E83,"")</f>
        <v>Fractions 3D Model</v>
      </c>
      <c r="F84" s="12" t="str">
        <f>IF(IF(SelectedScope="All India",TRUE,'RAW_AR_CONTENT'!$B83=SelectedScope),'RAW_AR_CONTENT'!F83,"")</f>
        <v>Interactive</v>
      </c>
      <c r="G84" s="12" t="str">
        <f>IF(IF(SelectedScope="All India",TRUE,'RAW_AR_CONTENT'!$B83=SelectedScope),'RAW_AR_CONTENT'!G83,"")</f>
        <v>Active</v>
      </c>
      <c r="H84" s="12">
        <f>IF(IF(SelectedScope="All India",TRUE,'RAW_AR_CONTENT'!$B83=SelectedScope),'RAW_AR_CONTENT'!H83,"")</f>
        <v>0</v>
      </c>
      <c r="I84" s="12">
        <f>IF(IF(SelectedScope="All India",TRUE,'RAW_AR_CONTENT'!$B83=SelectedScope),'RAW_AR_CONTENT'!I83,"")</f>
        <v>0</v>
      </c>
      <c r="J84" s="12">
        <f>IF(IF(SelectedScope="All India",TRUE,'RAW_AR_CONTENT'!$B83=SelectedScope),'RAW_AR_CONTENT'!J83,"")</f>
        <v>0</v>
      </c>
      <c r="K84" s="12">
        <f>IF(IF(SelectedScope="All India",TRUE,'RAW_AR_CONTENT'!$B83=SelectedScope),'RAW_AR_CONTENT'!K83,"")</f>
        <v>0</v>
      </c>
      <c r="L84" s="12">
        <f>IF(IF(SelectedScope="All India",TRUE,'RAW_AR_CONTENT'!$B83=SelectedScope),'RAW_AR_CONTENT'!L83,"")</f>
        <v>0</v>
      </c>
      <c r="M84" s="12">
        <f>IF(IF(SelectedScope="All India",TRUE,'RAW_AR_CONTENT'!$B83=SelectedScope),'RAW_AR_CONTENT'!M83,"")</f>
        <v>0</v>
      </c>
      <c r="N84" s="12">
        <f>IF(IF(SelectedScope="All India",TRUE,'RAW_AR_CONTENT'!$B83=SelectedScope),'RAW_AR_CONTENT'!N83,"")</f>
        <v>0</v>
      </c>
      <c r="O84" s="12">
        <f>IF(IF(SelectedScope="All India",TRUE,'RAW_AR_CONTENT'!$B83=SelectedScope),'RAW_AR_CONTENT'!O83,"")</f>
        <v>0</v>
      </c>
      <c r="P84" s="12">
        <f>IF(IF(SelectedScope="All India",TRUE,'RAW_AR_CONTENT'!$B83=SelectedScope),'RAW_AR_CONTENT'!P83,"")</f>
        <v>0</v>
      </c>
      <c r="Q84" s="12">
        <f>IF(IF(SelectedScope="All India",TRUE,'RAW_AR_CONTENT'!$B83=SelectedScope),'RAW_AR_CONTENT'!Q83,"")</f>
        <v>0</v>
      </c>
      <c r="R84" s="12">
        <f>IF(IF(SelectedScope="All India",TRUE,'RAW_AR_CONTENT'!$B83=SelectedScope),'RAW_AR_CONTENT'!R83,"")</f>
        <v>0</v>
      </c>
    </row>
    <row r="85" spans="1:18" ht="15" customHeight="1" x14ac:dyDescent="0.3">
      <c r="A85" s="9">
        <f>IF(IF(SelectedScope="All India",TRUE,'RAW_AR_CONTENT'!$B84=SelectedScope),'RAW_AR_CONTENT'!A84,"")</f>
        <v>81</v>
      </c>
      <c r="B85" s="9" t="str">
        <f>IF(IF(SelectedScope="All India",TRUE,'RAW_AR_CONTENT'!$B84=SelectedScope),'RAW_AR_CONTENT'!B84,"")</f>
        <v>Chandigarh</v>
      </c>
      <c r="C85" s="9" t="str">
        <f>IF(IF(SelectedScope="All India",TRUE,'RAW_AR_CONTENT'!$B84=SelectedScope),'RAW_AR_CONTENT'!C84,"")</f>
        <v>Mathematics</v>
      </c>
      <c r="D85" s="9" t="str">
        <f>IF(IF(SelectedScope="All India",TRUE,'RAW_AR_CONTENT'!$B84=SelectedScope),'RAW_AR_CONTENT'!D84,"")</f>
        <v>Class 10</v>
      </c>
      <c r="E85" s="9" t="str">
        <f>IF(IF(SelectedScope="All India",TRUE,'RAW_AR_CONTENT'!$B84=SelectedScope),'RAW_AR_CONTENT'!E84,"")</f>
        <v>Trigonometry 3D</v>
      </c>
      <c r="F85" s="9" t="str">
        <f>IF(IF(SelectedScope="All India",TRUE,'RAW_AR_CONTENT'!$B84=SelectedScope),'RAW_AR_CONTENT'!F84,"")</f>
        <v>Animated</v>
      </c>
      <c r="G85" s="9" t="str">
        <f>IF(IF(SelectedScope="All India",TRUE,'RAW_AR_CONTENT'!$B84=SelectedScope),'RAW_AR_CONTENT'!G84,"")</f>
        <v>Active</v>
      </c>
      <c r="H85" s="9">
        <f>IF(IF(SelectedScope="All India",TRUE,'RAW_AR_CONTENT'!$B84=SelectedScope),'RAW_AR_CONTENT'!H84,"")</f>
        <v>0</v>
      </c>
      <c r="I85" s="9">
        <f>IF(IF(SelectedScope="All India",TRUE,'RAW_AR_CONTENT'!$B84=SelectedScope),'RAW_AR_CONTENT'!I84,"")</f>
        <v>0</v>
      </c>
      <c r="J85" s="9">
        <f>IF(IF(SelectedScope="All India",TRUE,'RAW_AR_CONTENT'!$B84=SelectedScope),'RAW_AR_CONTENT'!J84,"")</f>
        <v>0</v>
      </c>
      <c r="K85" s="9">
        <f>IF(IF(SelectedScope="All India",TRUE,'RAW_AR_CONTENT'!$B84=SelectedScope),'RAW_AR_CONTENT'!K84,"")</f>
        <v>0</v>
      </c>
      <c r="L85" s="9">
        <f>IF(IF(SelectedScope="All India",TRUE,'RAW_AR_CONTENT'!$B84=SelectedScope),'RAW_AR_CONTENT'!L84,"")</f>
        <v>0</v>
      </c>
      <c r="M85" s="9">
        <f>IF(IF(SelectedScope="All India",TRUE,'RAW_AR_CONTENT'!$B84=SelectedScope),'RAW_AR_CONTENT'!M84,"")</f>
        <v>0</v>
      </c>
      <c r="N85" s="9">
        <f>IF(IF(SelectedScope="All India",TRUE,'RAW_AR_CONTENT'!$B84=SelectedScope),'RAW_AR_CONTENT'!N84,"")</f>
        <v>0</v>
      </c>
      <c r="O85" s="9">
        <f>IF(IF(SelectedScope="All India",TRUE,'RAW_AR_CONTENT'!$B84=SelectedScope),'RAW_AR_CONTENT'!O84,"")</f>
        <v>0</v>
      </c>
      <c r="P85" s="9">
        <f>IF(IF(SelectedScope="All India",TRUE,'RAW_AR_CONTENT'!$B84=SelectedScope),'RAW_AR_CONTENT'!P84,"")</f>
        <v>0</v>
      </c>
      <c r="Q85" s="9">
        <f>IF(IF(SelectedScope="All India",TRUE,'RAW_AR_CONTENT'!$B84=SelectedScope),'RAW_AR_CONTENT'!Q84,"")</f>
        <v>0</v>
      </c>
      <c r="R85" s="9">
        <f>IF(IF(SelectedScope="All India",TRUE,'RAW_AR_CONTENT'!$B84=SelectedScope),'RAW_AR_CONTENT'!R84,"")</f>
        <v>0</v>
      </c>
    </row>
    <row r="86" spans="1:18" ht="15" customHeight="1" x14ac:dyDescent="0.3">
      <c r="A86" s="12">
        <f>IF(IF(SelectedScope="All India",TRUE,'RAW_AR_CONTENT'!$B85=SelectedScope),'RAW_AR_CONTENT'!A85,"")</f>
        <v>82</v>
      </c>
      <c r="B86" s="12" t="str">
        <f>IF(IF(SelectedScope="All India",TRUE,'RAW_AR_CONTENT'!$B85=SelectedScope),'RAW_AR_CONTENT'!B85,"")</f>
        <v>Chandigarh</v>
      </c>
      <c r="C86" s="12" t="str">
        <f>IF(IF(SelectedScope="All India",TRUE,'RAW_AR_CONTENT'!$B85=SelectedScope),'RAW_AR_CONTENT'!C85,"")</f>
        <v>History</v>
      </c>
      <c r="D86" s="12" t="str">
        <f>IF(IF(SelectedScope="All India",TRUE,'RAW_AR_CONTENT'!$B85=SelectedScope),'RAW_AR_CONTENT'!D85,"")</f>
        <v>Class 10</v>
      </c>
      <c r="E86" s="12" t="str">
        <f>IF(IF(SelectedScope="All India",TRUE,'RAW_AR_CONTENT'!$B85=SelectedScope),'RAW_AR_CONTENT'!E85,"")</f>
        <v>Mughal Empire AR</v>
      </c>
      <c r="F86" s="12" t="str">
        <f>IF(IF(SelectedScope="All India",TRUE,'RAW_AR_CONTENT'!$B85=SelectedScope),'RAW_AR_CONTENT'!F85,"")</f>
        <v>Basic 3D</v>
      </c>
      <c r="G86" s="12" t="str">
        <f>IF(IF(SelectedScope="All India",TRUE,'RAW_AR_CONTENT'!$B85=SelectedScope),'RAW_AR_CONTENT'!G85,"")</f>
        <v>Active</v>
      </c>
      <c r="H86" s="12">
        <f>IF(IF(SelectedScope="All India",TRUE,'RAW_AR_CONTENT'!$B85=SelectedScope),'RAW_AR_CONTENT'!H85,"")</f>
        <v>0</v>
      </c>
      <c r="I86" s="12">
        <f>IF(IF(SelectedScope="All India",TRUE,'RAW_AR_CONTENT'!$B85=SelectedScope),'RAW_AR_CONTENT'!I85,"")</f>
        <v>0</v>
      </c>
      <c r="J86" s="12">
        <f>IF(IF(SelectedScope="All India",TRUE,'RAW_AR_CONTENT'!$B85=SelectedScope),'RAW_AR_CONTENT'!J85,"")</f>
        <v>0</v>
      </c>
      <c r="K86" s="12">
        <f>IF(IF(SelectedScope="All India",TRUE,'RAW_AR_CONTENT'!$B85=SelectedScope),'RAW_AR_CONTENT'!K85,"")</f>
        <v>0</v>
      </c>
      <c r="L86" s="12">
        <f>IF(IF(SelectedScope="All India",TRUE,'RAW_AR_CONTENT'!$B85=SelectedScope),'RAW_AR_CONTENT'!L85,"")</f>
        <v>0</v>
      </c>
      <c r="M86" s="12">
        <f>IF(IF(SelectedScope="All India",TRUE,'RAW_AR_CONTENT'!$B85=SelectedScope),'RAW_AR_CONTENT'!M85,"")</f>
        <v>0</v>
      </c>
      <c r="N86" s="12">
        <f>IF(IF(SelectedScope="All India",TRUE,'RAW_AR_CONTENT'!$B85=SelectedScope),'RAW_AR_CONTENT'!N85,"")</f>
        <v>0</v>
      </c>
      <c r="O86" s="12">
        <f>IF(IF(SelectedScope="All India",TRUE,'RAW_AR_CONTENT'!$B85=SelectedScope),'RAW_AR_CONTENT'!O85,"")</f>
        <v>0</v>
      </c>
      <c r="P86" s="12">
        <f>IF(IF(SelectedScope="All India",TRUE,'RAW_AR_CONTENT'!$B85=SelectedScope),'RAW_AR_CONTENT'!P85,"")</f>
        <v>0</v>
      </c>
      <c r="Q86" s="12">
        <f>IF(IF(SelectedScope="All India",TRUE,'RAW_AR_CONTENT'!$B85=SelectedScope),'RAW_AR_CONTENT'!Q85,"")</f>
        <v>0</v>
      </c>
      <c r="R86" s="12">
        <f>IF(IF(SelectedScope="All India",TRUE,'RAW_AR_CONTENT'!$B85=SelectedScope),'RAW_AR_CONTENT'!R85,"")</f>
        <v>0</v>
      </c>
    </row>
    <row r="87" spans="1:18" ht="15" customHeight="1" x14ac:dyDescent="0.3">
      <c r="A87" s="9">
        <f>IF(IF(SelectedScope="All India",TRUE,'RAW_AR_CONTENT'!$B86=SelectedScope),'RAW_AR_CONTENT'!A86,"")</f>
        <v>83</v>
      </c>
      <c r="B87" s="9" t="str">
        <f>IF(IF(SelectedScope="All India",TRUE,'RAW_AR_CONTENT'!$B86=SelectedScope),'RAW_AR_CONTENT'!B86,"")</f>
        <v>Chandigarh</v>
      </c>
      <c r="C87" s="9" t="str">
        <f>IF(IF(SelectedScope="All India",TRUE,'RAW_AR_CONTENT'!$B86=SelectedScope),'RAW_AR_CONTENT'!C86,"")</f>
        <v>Geography</v>
      </c>
      <c r="D87" s="9" t="str">
        <f>IF(IF(SelectedScope="All India",TRUE,'RAW_AR_CONTENT'!$B86=SelectedScope),'RAW_AR_CONTENT'!D86,"")</f>
        <v>Class 6</v>
      </c>
      <c r="E87" s="9" t="str">
        <f>IF(IF(SelectedScope="All India",TRUE,'RAW_AR_CONTENT'!$B86=SelectedScope),'RAW_AR_CONTENT'!E86,"")</f>
        <v>Water Cycle Simulation</v>
      </c>
      <c r="F87" s="9" t="str">
        <f>IF(IF(SelectedScope="All India",TRUE,'RAW_AR_CONTENT'!$B86=SelectedScope),'RAW_AR_CONTENT'!F86,"")</f>
        <v>Animated</v>
      </c>
      <c r="G87" s="9" t="str">
        <f>IF(IF(SelectedScope="All India",TRUE,'RAW_AR_CONTENT'!$B86=SelectedScope),'RAW_AR_CONTENT'!G86,"")</f>
        <v>Active</v>
      </c>
      <c r="H87" s="9">
        <f>IF(IF(SelectedScope="All India",TRUE,'RAW_AR_CONTENT'!$B86=SelectedScope),'RAW_AR_CONTENT'!H86,"")</f>
        <v>0</v>
      </c>
      <c r="I87" s="9">
        <f>IF(IF(SelectedScope="All India",TRUE,'RAW_AR_CONTENT'!$B86=SelectedScope),'RAW_AR_CONTENT'!I86,"")</f>
        <v>0</v>
      </c>
      <c r="J87" s="9">
        <f>IF(IF(SelectedScope="All India",TRUE,'RAW_AR_CONTENT'!$B86=SelectedScope),'RAW_AR_CONTENT'!J86,"")</f>
        <v>0</v>
      </c>
      <c r="K87" s="9">
        <f>IF(IF(SelectedScope="All India",TRUE,'RAW_AR_CONTENT'!$B86=SelectedScope),'RAW_AR_CONTENT'!K86,"")</f>
        <v>0</v>
      </c>
      <c r="L87" s="9">
        <f>IF(IF(SelectedScope="All India",TRUE,'RAW_AR_CONTENT'!$B86=SelectedScope),'RAW_AR_CONTENT'!L86,"")</f>
        <v>0</v>
      </c>
      <c r="M87" s="9">
        <f>IF(IF(SelectedScope="All India",TRUE,'RAW_AR_CONTENT'!$B86=SelectedScope),'RAW_AR_CONTENT'!M86,"")</f>
        <v>0</v>
      </c>
      <c r="N87" s="9">
        <f>IF(IF(SelectedScope="All India",TRUE,'RAW_AR_CONTENT'!$B86=SelectedScope),'RAW_AR_CONTENT'!N86,"")</f>
        <v>0</v>
      </c>
      <c r="O87" s="9">
        <f>IF(IF(SelectedScope="All India",TRUE,'RAW_AR_CONTENT'!$B86=SelectedScope),'RAW_AR_CONTENT'!O86,"")</f>
        <v>0</v>
      </c>
      <c r="P87" s="9">
        <f>IF(IF(SelectedScope="All India",TRUE,'RAW_AR_CONTENT'!$B86=SelectedScope),'RAW_AR_CONTENT'!P86,"")</f>
        <v>0</v>
      </c>
      <c r="Q87" s="9">
        <f>IF(IF(SelectedScope="All India",TRUE,'RAW_AR_CONTENT'!$B86=SelectedScope),'RAW_AR_CONTENT'!Q86,"")</f>
        <v>0</v>
      </c>
      <c r="R87" s="9">
        <f>IF(IF(SelectedScope="All India",TRUE,'RAW_AR_CONTENT'!$B86=SelectedScope),'RAW_AR_CONTENT'!R86,"")</f>
        <v>0</v>
      </c>
    </row>
    <row r="88" spans="1:18" ht="15" customHeight="1" x14ac:dyDescent="0.3">
      <c r="A88" s="12">
        <f>IF(IF(SelectedScope="All India",TRUE,'RAW_AR_CONTENT'!$B87=SelectedScope),'RAW_AR_CONTENT'!A87,"")</f>
        <v>84</v>
      </c>
      <c r="B88" s="12" t="str">
        <f>IF(IF(SelectedScope="All India",TRUE,'RAW_AR_CONTENT'!$B87=SelectedScope),'RAW_AR_CONTENT'!B87,"")</f>
        <v>Chandigarh</v>
      </c>
      <c r="C88" s="12" t="str">
        <f>IF(IF(SelectedScope="All India",TRUE,'RAW_AR_CONTENT'!$B87=SelectedScope),'RAW_AR_CONTENT'!C87,"")</f>
        <v>Biology</v>
      </c>
      <c r="D88" s="12" t="str">
        <f>IF(IF(SelectedScope="All India",TRUE,'RAW_AR_CONTENT'!$B87=SelectedScope),'RAW_AR_CONTENT'!D87,"")</f>
        <v>Class 11</v>
      </c>
      <c r="E88" s="12" t="str">
        <f>IF(IF(SelectedScope="All India",TRUE,'RAW_AR_CONTENT'!$B87=SelectedScope),'RAW_AR_CONTENT'!E87,"")</f>
        <v>Human Anatomy AR</v>
      </c>
      <c r="F88" s="12" t="str">
        <f>IF(IF(SelectedScope="All India",TRUE,'RAW_AR_CONTENT'!$B87=SelectedScope),'RAW_AR_CONTENT'!F87,"")</f>
        <v>Fully Immersive</v>
      </c>
      <c r="G88" s="12" t="str">
        <f>IF(IF(SelectedScope="All India",TRUE,'RAW_AR_CONTENT'!$B87=SelectedScope),'RAW_AR_CONTENT'!G87,"")</f>
        <v>Active</v>
      </c>
      <c r="H88" s="12">
        <f>IF(IF(SelectedScope="All India",TRUE,'RAW_AR_CONTENT'!$B87=SelectedScope),'RAW_AR_CONTENT'!H87,"")</f>
        <v>0</v>
      </c>
      <c r="I88" s="12">
        <f>IF(IF(SelectedScope="All India",TRUE,'RAW_AR_CONTENT'!$B87=SelectedScope),'RAW_AR_CONTENT'!I87,"")</f>
        <v>0</v>
      </c>
      <c r="J88" s="12">
        <f>IF(IF(SelectedScope="All India",TRUE,'RAW_AR_CONTENT'!$B87=SelectedScope),'RAW_AR_CONTENT'!J87,"")</f>
        <v>0</v>
      </c>
      <c r="K88" s="12">
        <f>IF(IF(SelectedScope="All India",TRUE,'RAW_AR_CONTENT'!$B87=SelectedScope),'RAW_AR_CONTENT'!K87,"")</f>
        <v>0</v>
      </c>
      <c r="L88" s="12">
        <f>IF(IF(SelectedScope="All India",TRUE,'RAW_AR_CONTENT'!$B87=SelectedScope),'RAW_AR_CONTENT'!L87,"")</f>
        <v>0</v>
      </c>
      <c r="M88" s="12">
        <f>IF(IF(SelectedScope="All India",TRUE,'RAW_AR_CONTENT'!$B87=SelectedScope),'RAW_AR_CONTENT'!M87,"")</f>
        <v>0</v>
      </c>
      <c r="N88" s="12">
        <f>IF(IF(SelectedScope="All India",TRUE,'RAW_AR_CONTENT'!$B87=SelectedScope),'RAW_AR_CONTENT'!N87,"")</f>
        <v>0</v>
      </c>
      <c r="O88" s="12">
        <f>IF(IF(SelectedScope="All India",TRUE,'RAW_AR_CONTENT'!$B87=SelectedScope),'RAW_AR_CONTENT'!O87,"")</f>
        <v>0</v>
      </c>
      <c r="P88" s="12">
        <f>IF(IF(SelectedScope="All India",TRUE,'RAW_AR_CONTENT'!$B87=SelectedScope),'RAW_AR_CONTENT'!P87,"")</f>
        <v>0</v>
      </c>
      <c r="Q88" s="12">
        <f>IF(IF(SelectedScope="All India",TRUE,'RAW_AR_CONTENT'!$B87=SelectedScope),'RAW_AR_CONTENT'!Q87,"")</f>
        <v>0</v>
      </c>
      <c r="R88" s="12">
        <f>IF(IF(SelectedScope="All India",TRUE,'RAW_AR_CONTENT'!$B87=SelectedScope),'RAW_AR_CONTENT'!R87,"")</f>
        <v>0</v>
      </c>
    </row>
    <row r="89" spans="1:18" ht="15" customHeight="1" x14ac:dyDescent="0.3">
      <c r="A89" s="9">
        <f>IF(IF(SelectedScope="All India",TRUE,'RAW_AR_CONTENT'!$B88=SelectedScope),'RAW_AR_CONTENT'!A88,"")</f>
        <v>85</v>
      </c>
      <c r="B89" s="9" t="str">
        <f>IF(IF(SelectedScope="All India",TRUE,'RAW_AR_CONTENT'!$B88=SelectedScope),'RAW_AR_CONTENT'!B88,"")</f>
        <v>Chandigarh</v>
      </c>
      <c r="C89" s="9" t="str">
        <f>IF(IF(SelectedScope="All India",TRUE,'RAW_AR_CONTENT'!$B88=SelectedScope),'RAW_AR_CONTENT'!C88,"")</f>
        <v>Physics</v>
      </c>
      <c r="D89" s="9" t="str">
        <f>IF(IF(SelectedScope="All India",TRUE,'RAW_AR_CONTENT'!$B88=SelectedScope),'RAW_AR_CONTENT'!D88,"")</f>
        <v>Class 9</v>
      </c>
      <c r="E89" s="9" t="str">
        <f>IF(IF(SelectedScope="All India",TRUE,'RAW_AR_CONTENT'!$B88=SelectedScope),'RAW_AR_CONTENT'!E88,"")</f>
        <v>Laws of Motion</v>
      </c>
      <c r="F89" s="9" t="str">
        <f>IF(IF(SelectedScope="All India",TRUE,'RAW_AR_CONTENT'!$B88=SelectedScope),'RAW_AR_CONTENT'!F88,"")</f>
        <v>Interactive</v>
      </c>
      <c r="G89" s="9" t="str">
        <f>IF(IF(SelectedScope="All India",TRUE,'RAW_AR_CONTENT'!$B88=SelectedScope),'RAW_AR_CONTENT'!G88,"")</f>
        <v>Active</v>
      </c>
      <c r="H89" s="9">
        <f>IF(IF(SelectedScope="All India",TRUE,'RAW_AR_CONTENT'!$B88=SelectedScope),'RAW_AR_CONTENT'!H88,"")</f>
        <v>0</v>
      </c>
      <c r="I89" s="9">
        <f>IF(IF(SelectedScope="All India",TRUE,'RAW_AR_CONTENT'!$B88=SelectedScope),'RAW_AR_CONTENT'!I88,"")</f>
        <v>0</v>
      </c>
      <c r="J89" s="9">
        <f>IF(IF(SelectedScope="All India",TRUE,'RAW_AR_CONTENT'!$B88=SelectedScope),'RAW_AR_CONTENT'!J88,"")</f>
        <v>0</v>
      </c>
      <c r="K89" s="9">
        <f>IF(IF(SelectedScope="All India",TRUE,'RAW_AR_CONTENT'!$B88=SelectedScope),'RAW_AR_CONTENT'!K88,"")</f>
        <v>0</v>
      </c>
      <c r="L89" s="9">
        <f>IF(IF(SelectedScope="All India",TRUE,'RAW_AR_CONTENT'!$B88=SelectedScope),'RAW_AR_CONTENT'!L88,"")</f>
        <v>0</v>
      </c>
      <c r="M89" s="9">
        <f>IF(IF(SelectedScope="All India",TRUE,'RAW_AR_CONTENT'!$B88=SelectedScope),'RAW_AR_CONTENT'!M88,"")</f>
        <v>0</v>
      </c>
      <c r="N89" s="9">
        <f>IF(IF(SelectedScope="All India",TRUE,'RAW_AR_CONTENT'!$B88=SelectedScope),'RAW_AR_CONTENT'!N88,"")</f>
        <v>0</v>
      </c>
      <c r="O89" s="9">
        <f>IF(IF(SelectedScope="All India",TRUE,'RAW_AR_CONTENT'!$B88=SelectedScope),'RAW_AR_CONTENT'!O88,"")</f>
        <v>0</v>
      </c>
      <c r="P89" s="9">
        <f>IF(IF(SelectedScope="All India",TRUE,'RAW_AR_CONTENT'!$B88=SelectedScope),'RAW_AR_CONTENT'!P88,"")</f>
        <v>0</v>
      </c>
      <c r="Q89" s="9">
        <f>IF(IF(SelectedScope="All India",TRUE,'RAW_AR_CONTENT'!$B88=SelectedScope),'RAW_AR_CONTENT'!Q88,"")</f>
        <v>0</v>
      </c>
      <c r="R89" s="9">
        <f>IF(IF(SelectedScope="All India",TRUE,'RAW_AR_CONTENT'!$B88=SelectedScope),'RAW_AR_CONTENT'!R88,"")</f>
        <v>0</v>
      </c>
    </row>
    <row r="90" spans="1:18" ht="15" customHeight="1" x14ac:dyDescent="0.3">
      <c r="A90" s="12">
        <f>IF(IF(SelectedScope="All India",TRUE,'RAW_AR_CONTENT'!$B89=SelectedScope),'RAW_AR_CONTENT'!A89,"")</f>
        <v>86</v>
      </c>
      <c r="B90" s="12" t="str">
        <f>IF(IF(SelectedScope="All India",TRUE,'RAW_AR_CONTENT'!$B89=SelectedScope),'RAW_AR_CONTENT'!B89,"")</f>
        <v>Chandigarh</v>
      </c>
      <c r="C90" s="12" t="str">
        <f>IF(IF(SelectedScope="All India",TRUE,'RAW_AR_CONTENT'!$B89=SelectedScope),'RAW_AR_CONTENT'!C89,"")</f>
        <v>Chemistry</v>
      </c>
      <c r="D90" s="12" t="str">
        <f>IF(IF(SelectedScope="All India",TRUE,'RAW_AR_CONTENT'!$B89=SelectedScope),'RAW_AR_CONTENT'!D89,"")</f>
        <v>Class 11</v>
      </c>
      <c r="E90" s="12" t="str">
        <f>IF(IF(SelectedScope="All India",TRUE,'RAW_AR_CONTENT'!$B89=SelectedScope),'RAW_AR_CONTENT'!E89,"")</f>
        <v>Periodic Table 3D</v>
      </c>
      <c r="F90" s="12" t="str">
        <f>IF(IF(SelectedScope="All India",TRUE,'RAW_AR_CONTENT'!$B89=SelectedScope),'RAW_AR_CONTENT'!F89,"")</f>
        <v>Interactive</v>
      </c>
      <c r="G90" s="12" t="str">
        <f>IF(IF(SelectedScope="All India",TRUE,'RAW_AR_CONTENT'!$B89=SelectedScope),'RAW_AR_CONTENT'!G89,"")</f>
        <v>Active</v>
      </c>
      <c r="H90" s="12">
        <f>IF(IF(SelectedScope="All India",TRUE,'RAW_AR_CONTENT'!$B89=SelectedScope),'RAW_AR_CONTENT'!H89,"")</f>
        <v>0</v>
      </c>
      <c r="I90" s="12">
        <f>IF(IF(SelectedScope="All India",TRUE,'RAW_AR_CONTENT'!$B89=SelectedScope),'RAW_AR_CONTENT'!I89,"")</f>
        <v>0</v>
      </c>
      <c r="J90" s="12">
        <f>IF(IF(SelectedScope="All India",TRUE,'RAW_AR_CONTENT'!$B89=SelectedScope),'RAW_AR_CONTENT'!J89,"")</f>
        <v>0</v>
      </c>
      <c r="K90" s="12">
        <f>IF(IF(SelectedScope="All India",TRUE,'RAW_AR_CONTENT'!$B89=SelectedScope),'RAW_AR_CONTENT'!K89,"")</f>
        <v>0</v>
      </c>
      <c r="L90" s="12">
        <f>IF(IF(SelectedScope="All India",TRUE,'RAW_AR_CONTENT'!$B89=SelectedScope),'RAW_AR_CONTENT'!L89,"")</f>
        <v>0</v>
      </c>
      <c r="M90" s="12">
        <f>IF(IF(SelectedScope="All India",TRUE,'RAW_AR_CONTENT'!$B89=SelectedScope),'RAW_AR_CONTENT'!M89,"")</f>
        <v>0</v>
      </c>
      <c r="N90" s="12">
        <f>IF(IF(SelectedScope="All India",TRUE,'RAW_AR_CONTENT'!$B89=SelectedScope),'RAW_AR_CONTENT'!N89,"")</f>
        <v>0</v>
      </c>
      <c r="O90" s="12">
        <f>IF(IF(SelectedScope="All India",TRUE,'RAW_AR_CONTENT'!$B89=SelectedScope),'RAW_AR_CONTENT'!O89,"")</f>
        <v>0</v>
      </c>
      <c r="P90" s="12">
        <f>IF(IF(SelectedScope="All India",TRUE,'RAW_AR_CONTENT'!$B89=SelectedScope),'RAW_AR_CONTENT'!P89,"")</f>
        <v>0</v>
      </c>
      <c r="Q90" s="12">
        <f>IF(IF(SelectedScope="All India",TRUE,'RAW_AR_CONTENT'!$B89=SelectedScope),'RAW_AR_CONTENT'!Q89,"")</f>
        <v>0</v>
      </c>
      <c r="R90" s="12">
        <f>IF(IF(SelectedScope="All India",TRUE,'RAW_AR_CONTENT'!$B89=SelectedScope),'RAW_AR_CONTENT'!R89,"")</f>
        <v>0</v>
      </c>
    </row>
    <row r="91" spans="1:18" ht="15" customHeight="1" x14ac:dyDescent="0.3">
      <c r="A91" s="9">
        <f>IF(IF(SelectedScope="All India",TRUE,'RAW_AR_CONTENT'!$B90=SelectedScope),'RAW_AR_CONTENT'!A90,"")</f>
        <v>87</v>
      </c>
      <c r="B91" s="9" t="str">
        <f>IF(IF(SelectedScope="All India",TRUE,'RAW_AR_CONTENT'!$B90=SelectedScope),'RAW_AR_CONTENT'!B90,"")</f>
        <v>Chandigarh</v>
      </c>
      <c r="C91" s="9" t="str">
        <f>IF(IF(SelectedScope="All India",TRUE,'RAW_AR_CONTENT'!$B90=SelectedScope),'RAW_AR_CONTENT'!C90,"")</f>
        <v>Physics</v>
      </c>
      <c r="D91" s="9" t="str">
        <f>IF(IF(SelectedScope="All India",TRUE,'RAW_AR_CONTENT'!$B90=SelectedScope),'RAW_AR_CONTENT'!D90,"")</f>
        <v>Class 10</v>
      </c>
      <c r="E91" s="9" t="str">
        <f>IF(IF(SelectedScope="All India",TRUE,'RAW_AR_CONTENT'!$B90=SelectedScope),'RAW_AR_CONTENT'!E90,"")</f>
        <v>Electricity Circuits</v>
      </c>
      <c r="F91" s="9" t="str">
        <f>IF(IF(SelectedScope="All India",TRUE,'RAW_AR_CONTENT'!$B90=SelectedScope),'RAW_AR_CONTENT'!F90,"")</f>
        <v>Interactive</v>
      </c>
      <c r="G91" s="9" t="str">
        <f>IF(IF(SelectedScope="All India",TRUE,'RAW_AR_CONTENT'!$B90=SelectedScope),'RAW_AR_CONTENT'!G90,"")</f>
        <v>Active</v>
      </c>
      <c r="H91" s="9">
        <f>IF(IF(SelectedScope="All India",TRUE,'RAW_AR_CONTENT'!$B90=SelectedScope),'RAW_AR_CONTENT'!H90,"")</f>
        <v>0</v>
      </c>
      <c r="I91" s="9">
        <f>IF(IF(SelectedScope="All India",TRUE,'RAW_AR_CONTENT'!$B90=SelectedScope),'RAW_AR_CONTENT'!I90,"")</f>
        <v>0</v>
      </c>
      <c r="J91" s="9">
        <f>IF(IF(SelectedScope="All India",TRUE,'RAW_AR_CONTENT'!$B90=SelectedScope),'RAW_AR_CONTENT'!J90,"")</f>
        <v>0</v>
      </c>
      <c r="K91" s="9">
        <f>IF(IF(SelectedScope="All India",TRUE,'RAW_AR_CONTENT'!$B90=SelectedScope),'RAW_AR_CONTENT'!K90,"")</f>
        <v>0</v>
      </c>
      <c r="L91" s="9">
        <f>IF(IF(SelectedScope="All India",TRUE,'RAW_AR_CONTENT'!$B90=SelectedScope),'RAW_AR_CONTENT'!L90,"")</f>
        <v>0</v>
      </c>
      <c r="M91" s="9">
        <f>IF(IF(SelectedScope="All India",TRUE,'RAW_AR_CONTENT'!$B90=SelectedScope),'RAW_AR_CONTENT'!M90,"")</f>
        <v>0</v>
      </c>
      <c r="N91" s="9">
        <f>IF(IF(SelectedScope="All India",TRUE,'RAW_AR_CONTENT'!$B90=SelectedScope),'RAW_AR_CONTENT'!N90,"")</f>
        <v>0</v>
      </c>
      <c r="O91" s="9">
        <f>IF(IF(SelectedScope="All India",TRUE,'RAW_AR_CONTENT'!$B90=SelectedScope),'RAW_AR_CONTENT'!O90,"")</f>
        <v>0</v>
      </c>
      <c r="P91" s="9">
        <f>IF(IF(SelectedScope="All India",TRUE,'RAW_AR_CONTENT'!$B90=SelectedScope),'RAW_AR_CONTENT'!P90,"")</f>
        <v>0</v>
      </c>
      <c r="Q91" s="9">
        <f>IF(IF(SelectedScope="All India",TRUE,'RAW_AR_CONTENT'!$B90=SelectedScope),'RAW_AR_CONTENT'!Q90,"")</f>
        <v>0</v>
      </c>
      <c r="R91" s="9">
        <f>IF(IF(SelectedScope="All India",TRUE,'RAW_AR_CONTENT'!$B90=SelectedScope),'RAW_AR_CONTENT'!R90,"")</f>
        <v>0</v>
      </c>
    </row>
    <row r="92" spans="1:18" ht="15" customHeight="1" x14ac:dyDescent="0.3">
      <c r="A92" s="12">
        <f>IF(IF(SelectedScope="All India",TRUE,'RAW_AR_CONTENT'!$B91=SelectedScope),'RAW_AR_CONTENT'!A91,"")</f>
        <v>88</v>
      </c>
      <c r="B92" s="12" t="str">
        <f>IF(IF(SelectedScope="All India",TRUE,'RAW_AR_CONTENT'!$B91=SelectedScope),'RAW_AR_CONTENT'!B91,"")</f>
        <v>Chandigarh</v>
      </c>
      <c r="C92" s="12" t="str">
        <f>IF(IF(SelectedScope="All India",TRUE,'RAW_AR_CONTENT'!$B91=SelectedScope),'RAW_AR_CONTENT'!C91,"")</f>
        <v>Civics</v>
      </c>
      <c r="D92" s="12" t="str">
        <f>IF(IF(SelectedScope="All India",TRUE,'RAW_AR_CONTENT'!$B91=SelectedScope),'RAW_AR_CONTENT'!D91,"")</f>
        <v>Class 9</v>
      </c>
      <c r="E92" s="12" t="str">
        <f>IF(IF(SelectedScope="All India",TRUE,'RAW_AR_CONTENT'!$B91=SelectedScope),'RAW_AR_CONTENT'!E91,"")</f>
        <v>Indian Constitution</v>
      </c>
      <c r="F92" s="12" t="str">
        <f>IF(IF(SelectedScope="All India",TRUE,'RAW_AR_CONTENT'!$B91=SelectedScope),'RAW_AR_CONTENT'!F91,"")</f>
        <v>Basic 3D</v>
      </c>
      <c r="G92" s="12" t="str">
        <f>IF(IF(SelectedScope="All India",TRUE,'RAW_AR_CONTENT'!$B91=SelectedScope),'RAW_AR_CONTENT'!G91,"")</f>
        <v>Active</v>
      </c>
      <c r="H92" s="12">
        <f>IF(IF(SelectedScope="All India",TRUE,'RAW_AR_CONTENT'!$B91=SelectedScope),'RAW_AR_CONTENT'!H91,"")</f>
        <v>0</v>
      </c>
      <c r="I92" s="12">
        <f>IF(IF(SelectedScope="All India",TRUE,'RAW_AR_CONTENT'!$B91=SelectedScope),'RAW_AR_CONTENT'!I91,"")</f>
        <v>0</v>
      </c>
      <c r="J92" s="12">
        <f>IF(IF(SelectedScope="All India",TRUE,'RAW_AR_CONTENT'!$B91=SelectedScope),'RAW_AR_CONTENT'!J91,"")</f>
        <v>0</v>
      </c>
      <c r="K92" s="12">
        <f>IF(IF(SelectedScope="All India",TRUE,'RAW_AR_CONTENT'!$B91=SelectedScope),'RAW_AR_CONTENT'!K91,"")</f>
        <v>0</v>
      </c>
      <c r="L92" s="12">
        <f>IF(IF(SelectedScope="All India",TRUE,'RAW_AR_CONTENT'!$B91=SelectedScope),'RAW_AR_CONTENT'!L91,"")</f>
        <v>0</v>
      </c>
      <c r="M92" s="12">
        <f>IF(IF(SelectedScope="All India",TRUE,'RAW_AR_CONTENT'!$B91=SelectedScope),'RAW_AR_CONTENT'!M91,"")</f>
        <v>0</v>
      </c>
      <c r="N92" s="12">
        <f>IF(IF(SelectedScope="All India",TRUE,'RAW_AR_CONTENT'!$B91=SelectedScope),'RAW_AR_CONTENT'!N91,"")</f>
        <v>0</v>
      </c>
      <c r="O92" s="12">
        <f>IF(IF(SelectedScope="All India",TRUE,'RAW_AR_CONTENT'!$B91=SelectedScope),'RAW_AR_CONTENT'!O91,"")</f>
        <v>0</v>
      </c>
      <c r="P92" s="12">
        <f>IF(IF(SelectedScope="All India",TRUE,'RAW_AR_CONTENT'!$B91=SelectedScope),'RAW_AR_CONTENT'!P91,"")</f>
        <v>0</v>
      </c>
      <c r="Q92" s="12">
        <f>IF(IF(SelectedScope="All India",TRUE,'RAW_AR_CONTENT'!$B91=SelectedScope),'RAW_AR_CONTENT'!Q91,"")</f>
        <v>0</v>
      </c>
      <c r="R92" s="12">
        <f>IF(IF(SelectedScope="All India",TRUE,'RAW_AR_CONTENT'!$B91=SelectedScope),'RAW_AR_CONTENT'!R91,"")</f>
        <v>0</v>
      </c>
    </row>
    <row r="93" spans="1:18" ht="15" customHeight="1" x14ac:dyDescent="0.3">
      <c r="A93" s="9">
        <f>IF(IF(SelectedScope="All India",TRUE,'RAW_AR_CONTENT'!$B92=SelectedScope),'RAW_AR_CONTENT'!A92,"")</f>
        <v>89</v>
      </c>
      <c r="B93" s="9" t="str">
        <f>IF(IF(SelectedScope="All India",TRUE,'RAW_AR_CONTENT'!$B92=SelectedScope),'RAW_AR_CONTENT'!B92,"")</f>
        <v>Chandigarh</v>
      </c>
      <c r="C93" s="9" t="str">
        <f>IF(IF(SelectedScope="All India",TRUE,'RAW_AR_CONTENT'!$B92=SelectedScope),'RAW_AR_CONTENT'!C92,"")</f>
        <v>Environmental Science</v>
      </c>
      <c r="D93" s="9" t="str">
        <f>IF(IF(SelectedScope="All India",TRUE,'RAW_AR_CONTENT'!$B92=SelectedScope),'RAW_AR_CONTENT'!D92,"")</f>
        <v>Class 6</v>
      </c>
      <c r="E93" s="9" t="str">
        <f>IF(IF(SelectedScope="All India",TRUE,'RAW_AR_CONTENT'!$B92=SelectedScope),'RAW_AR_CONTENT'!E92,"")</f>
        <v>Food Chain</v>
      </c>
      <c r="F93" s="9" t="str">
        <f>IF(IF(SelectedScope="All India",TRUE,'RAW_AR_CONTENT'!$B92=SelectedScope),'RAW_AR_CONTENT'!F92,"")</f>
        <v>Animated</v>
      </c>
      <c r="G93" s="9" t="str">
        <f>IF(IF(SelectedScope="All India",TRUE,'RAW_AR_CONTENT'!$B92=SelectedScope),'RAW_AR_CONTENT'!G92,"")</f>
        <v>Active</v>
      </c>
      <c r="H93" s="9">
        <f>IF(IF(SelectedScope="All India",TRUE,'RAW_AR_CONTENT'!$B92=SelectedScope),'RAW_AR_CONTENT'!H92,"")</f>
        <v>0</v>
      </c>
      <c r="I93" s="9">
        <f>IF(IF(SelectedScope="All India",TRUE,'RAW_AR_CONTENT'!$B92=SelectedScope),'RAW_AR_CONTENT'!I92,"")</f>
        <v>0</v>
      </c>
      <c r="J93" s="9">
        <f>IF(IF(SelectedScope="All India",TRUE,'RAW_AR_CONTENT'!$B92=SelectedScope),'RAW_AR_CONTENT'!J92,"")</f>
        <v>0</v>
      </c>
      <c r="K93" s="9">
        <f>IF(IF(SelectedScope="All India",TRUE,'RAW_AR_CONTENT'!$B92=SelectedScope),'RAW_AR_CONTENT'!K92,"")</f>
        <v>0</v>
      </c>
      <c r="L93" s="9">
        <f>IF(IF(SelectedScope="All India",TRUE,'RAW_AR_CONTENT'!$B92=SelectedScope),'RAW_AR_CONTENT'!L92,"")</f>
        <v>0</v>
      </c>
      <c r="M93" s="9">
        <f>IF(IF(SelectedScope="All India",TRUE,'RAW_AR_CONTENT'!$B92=SelectedScope),'RAW_AR_CONTENT'!M92,"")</f>
        <v>0</v>
      </c>
      <c r="N93" s="9">
        <f>IF(IF(SelectedScope="All India",TRUE,'RAW_AR_CONTENT'!$B92=SelectedScope),'RAW_AR_CONTENT'!N92,"")</f>
        <v>0</v>
      </c>
      <c r="O93" s="9">
        <f>IF(IF(SelectedScope="All India",TRUE,'RAW_AR_CONTENT'!$B92=SelectedScope),'RAW_AR_CONTENT'!O92,"")</f>
        <v>0</v>
      </c>
      <c r="P93" s="9">
        <f>IF(IF(SelectedScope="All India",TRUE,'RAW_AR_CONTENT'!$B92=SelectedScope),'RAW_AR_CONTENT'!P92,"")</f>
        <v>0</v>
      </c>
      <c r="Q93" s="9">
        <f>IF(IF(SelectedScope="All India",TRUE,'RAW_AR_CONTENT'!$B92=SelectedScope),'RAW_AR_CONTENT'!Q92,"")</f>
        <v>0</v>
      </c>
      <c r="R93" s="9">
        <f>IF(IF(SelectedScope="All India",TRUE,'RAW_AR_CONTENT'!$B92=SelectedScope),'RAW_AR_CONTENT'!R92,"")</f>
        <v>0</v>
      </c>
    </row>
    <row r="94" spans="1:18" ht="15" customHeight="1" x14ac:dyDescent="0.3">
      <c r="A94" s="12">
        <f>IF(IF(SelectedScope="All India",TRUE,'RAW_AR_CONTENT'!$B93=SelectedScope),'RAW_AR_CONTENT'!A93,"")</f>
        <v>90</v>
      </c>
      <c r="B94" s="12" t="str">
        <f>IF(IF(SelectedScope="All India",TRUE,'RAW_AR_CONTENT'!$B93=SelectedScope),'RAW_AR_CONTENT'!B93,"")</f>
        <v>Chandigarh</v>
      </c>
      <c r="C94" s="12" t="str">
        <f>IF(IF(SelectedScope="All India",TRUE,'RAW_AR_CONTENT'!$B93=SelectedScope),'RAW_AR_CONTENT'!C93,"")</f>
        <v>Mathematics</v>
      </c>
      <c r="D94" s="12" t="str">
        <f>IF(IF(SelectedScope="All India",TRUE,'RAW_AR_CONTENT'!$B93=SelectedScope),'RAW_AR_CONTENT'!D93,"")</f>
        <v>Class 10</v>
      </c>
      <c r="E94" s="12" t="str">
        <f>IF(IF(SelectedScope="All India",TRUE,'RAW_AR_CONTENT'!$B93=SelectedScope),'RAW_AR_CONTENT'!E93,"")</f>
        <v>Quadratic Equations</v>
      </c>
      <c r="F94" s="12" t="str">
        <f>IF(IF(SelectedScope="All India",TRUE,'RAW_AR_CONTENT'!$B93=SelectedScope),'RAW_AR_CONTENT'!F93,"")</f>
        <v>Animated</v>
      </c>
      <c r="G94" s="12" t="str">
        <f>IF(IF(SelectedScope="All India",TRUE,'RAW_AR_CONTENT'!$B93=SelectedScope),'RAW_AR_CONTENT'!G93,"")</f>
        <v>Active</v>
      </c>
      <c r="H94" s="12">
        <f>IF(IF(SelectedScope="All India",TRUE,'RAW_AR_CONTENT'!$B93=SelectedScope),'RAW_AR_CONTENT'!H93,"")</f>
        <v>0</v>
      </c>
      <c r="I94" s="12">
        <f>IF(IF(SelectedScope="All India",TRUE,'RAW_AR_CONTENT'!$B93=SelectedScope),'RAW_AR_CONTENT'!I93,"")</f>
        <v>0</v>
      </c>
      <c r="J94" s="12">
        <f>IF(IF(SelectedScope="All India",TRUE,'RAW_AR_CONTENT'!$B93=SelectedScope),'RAW_AR_CONTENT'!J93,"")</f>
        <v>0</v>
      </c>
      <c r="K94" s="12">
        <f>IF(IF(SelectedScope="All India",TRUE,'RAW_AR_CONTENT'!$B93=SelectedScope),'RAW_AR_CONTENT'!K93,"")</f>
        <v>0</v>
      </c>
      <c r="L94" s="12">
        <f>IF(IF(SelectedScope="All India",TRUE,'RAW_AR_CONTENT'!$B93=SelectedScope),'RAW_AR_CONTENT'!L93,"")</f>
        <v>0</v>
      </c>
      <c r="M94" s="12">
        <f>IF(IF(SelectedScope="All India",TRUE,'RAW_AR_CONTENT'!$B93=SelectedScope),'RAW_AR_CONTENT'!M93,"")</f>
        <v>0</v>
      </c>
      <c r="N94" s="12">
        <f>IF(IF(SelectedScope="All India",TRUE,'RAW_AR_CONTENT'!$B93=SelectedScope),'RAW_AR_CONTENT'!N93,"")</f>
        <v>0</v>
      </c>
      <c r="O94" s="12">
        <f>IF(IF(SelectedScope="All India",TRUE,'RAW_AR_CONTENT'!$B93=SelectedScope),'RAW_AR_CONTENT'!O93,"")</f>
        <v>0</v>
      </c>
      <c r="P94" s="12">
        <f>IF(IF(SelectedScope="All India",TRUE,'RAW_AR_CONTENT'!$B93=SelectedScope),'RAW_AR_CONTENT'!P93,"")</f>
        <v>0</v>
      </c>
      <c r="Q94" s="12">
        <f>IF(IF(SelectedScope="All India",TRUE,'RAW_AR_CONTENT'!$B93=SelectedScope),'RAW_AR_CONTENT'!Q93,"")</f>
        <v>0</v>
      </c>
      <c r="R94" s="12">
        <f>IF(IF(SelectedScope="All India",TRUE,'RAW_AR_CONTENT'!$B93=SelectedScope),'RAW_AR_CONTENT'!R93,"")</f>
        <v>0</v>
      </c>
    </row>
    <row r="95" spans="1:18" ht="15" customHeight="1" x14ac:dyDescent="0.3">
      <c r="A95" s="9">
        <f>IF(IF(SelectedScope="All India",TRUE,'RAW_AR_CONTENT'!$B94=SelectedScope),'RAW_AR_CONTENT'!A94,"")</f>
        <v>91</v>
      </c>
      <c r="B95" s="9" t="str">
        <f>IF(IF(SelectedScope="All India",TRUE,'RAW_AR_CONTENT'!$B94=SelectedScope),'RAW_AR_CONTENT'!B94,"")</f>
        <v>Chhattisgarh</v>
      </c>
      <c r="C95" s="9" t="str">
        <f>IF(IF(SelectedScope="All India",TRUE,'RAW_AR_CONTENT'!$B94=SelectedScope),'RAW_AR_CONTENT'!C94,"")</f>
        <v>Science</v>
      </c>
      <c r="D95" s="9" t="str">
        <f>IF(IF(SelectedScope="All India",TRUE,'RAW_AR_CONTENT'!$B94=SelectedScope),'RAW_AR_CONTENT'!D94,"")</f>
        <v>Class 8</v>
      </c>
      <c r="E95" s="9" t="str">
        <f>IF(IF(SelectedScope="All India",TRUE,'RAW_AR_CONTENT'!$B94=SelectedScope),'RAW_AR_CONTENT'!E94,"")</f>
        <v>Solar System 3D</v>
      </c>
      <c r="F95" s="9" t="str">
        <f>IF(IF(SelectedScope="All India",TRUE,'RAW_AR_CONTENT'!$B94=SelectedScope),'RAW_AR_CONTENT'!F94,"")</f>
        <v>Animated</v>
      </c>
      <c r="G95" s="9" t="str">
        <f>IF(IF(SelectedScope="All India",TRUE,'RAW_AR_CONTENT'!$B94=SelectedScope),'RAW_AR_CONTENT'!G94,"")</f>
        <v>Active</v>
      </c>
      <c r="H95" s="9">
        <f>IF(IF(SelectedScope="All India",TRUE,'RAW_AR_CONTENT'!$B94=SelectedScope),'RAW_AR_CONTENT'!H94,"")</f>
        <v>0</v>
      </c>
      <c r="I95" s="9">
        <f>IF(IF(SelectedScope="All India",TRUE,'RAW_AR_CONTENT'!$B94=SelectedScope),'RAW_AR_CONTENT'!I94,"")</f>
        <v>0</v>
      </c>
      <c r="J95" s="9">
        <f>IF(IF(SelectedScope="All India",TRUE,'RAW_AR_CONTENT'!$B94=SelectedScope),'RAW_AR_CONTENT'!J94,"")</f>
        <v>0</v>
      </c>
      <c r="K95" s="9">
        <f>IF(IF(SelectedScope="All India",TRUE,'RAW_AR_CONTENT'!$B94=SelectedScope),'RAW_AR_CONTENT'!K94,"")</f>
        <v>0</v>
      </c>
      <c r="L95" s="9">
        <f>IF(IF(SelectedScope="All India",TRUE,'RAW_AR_CONTENT'!$B94=SelectedScope),'RAW_AR_CONTENT'!L94,"")</f>
        <v>0</v>
      </c>
      <c r="M95" s="9">
        <f>IF(IF(SelectedScope="All India",TRUE,'RAW_AR_CONTENT'!$B94=SelectedScope),'RAW_AR_CONTENT'!M94,"")</f>
        <v>0</v>
      </c>
      <c r="N95" s="9">
        <f>IF(IF(SelectedScope="All India",TRUE,'RAW_AR_CONTENT'!$B94=SelectedScope),'RAW_AR_CONTENT'!N94,"")</f>
        <v>0</v>
      </c>
      <c r="O95" s="9">
        <f>IF(IF(SelectedScope="All India",TRUE,'RAW_AR_CONTENT'!$B94=SelectedScope),'RAW_AR_CONTENT'!O94,"")</f>
        <v>0</v>
      </c>
      <c r="P95" s="9">
        <f>IF(IF(SelectedScope="All India",TRUE,'RAW_AR_CONTENT'!$B94=SelectedScope),'RAW_AR_CONTENT'!P94,"")</f>
        <v>0</v>
      </c>
      <c r="Q95" s="9">
        <f>IF(IF(SelectedScope="All India",TRUE,'RAW_AR_CONTENT'!$B94=SelectedScope),'RAW_AR_CONTENT'!Q94,"")</f>
        <v>0</v>
      </c>
      <c r="R95" s="9">
        <f>IF(IF(SelectedScope="All India",TRUE,'RAW_AR_CONTENT'!$B94=SelectedScope),'RAW_AR_CONTENT'!R94,"")</f>
        <v>0</v>
      </c>
    </row>
    <row r="96" spans="1:18" ht="15" customHeight="1" x14ac:dyDescent="0.3">
      <c r="A96" s="12">
        <f>IF(IF(SelectedScope="All India",TRUE,'RAW_AR_CONTENT'!$B95=SelectedScope),'RAW_AR_CONTENT'!A95,"")</f>
        <v>92</v>
      </c>
      <c r="B96" s="12" t="str">
        <f>IF(IF(SelectedScope="All India",TRUE,'RAW_AR_CONTENT'!$B95=SelectedScope),'RAW_AR_CONTENT'!B95,"")</f>
        <v>Chhattisgarh</v>
      </c>
      <c r="C96" s="12" t="str">
        <f>IF(IF(SelectedScope="All India",TRUE,'RAW_AR_CONTENT'!$B95=SelectedScope),'RAW_AR_CONTENT'!C95,"")</f>
        <v>Biology</v>
      </c>
      <c r="D96" s="12" t="str">
        <f>IF(IF(SelectedScope="All India",TRUE,'RAW_AR_CONTENT'!$B95=SelectedScope),'RAW_AR_CONTENT'!D95,"")</f>
        <v>Class 9</v>
      </c>
      <c r="E96" s="12" t="str">
        <f>IF(IF(SelectedScope="All India",TRUE,'RAW_AR_CONTENT'!$B95=SelectedScope),'RAW_AR_CONTENT'!E95,"")</f>
        <v>Cell Division</v>
      </c>
      <c r="F96" s="12" t="str">
        <f>IF(IF(SelectedScope="All India",TRUE,'RAW_AR_CONTENT'!$B95=SelectedScope),'RAW_AR_CONTENT'!F95,"")</f>
        <v>Interactive</v>
      </c>
      <c r="G96" s="12" t="str">
        <f>IF(IF(SelectedScope="All India",TRUE,'RAW_AR_CONTENT'!$B95=SelectedScope),'RAW_AR_CONTENT'!G95,"")</f>
        <v>Active</v>
      </c>
      <c r="H96" s="12">
        <f>IF(IF(SelectedScope="All India",TRUE,'RAW_AR_CONTENT'!$B95=SelectedScope),'RAW_AR_CONTENT'!H95,"")</f>
        <v>0</v>
      </c>
      <c r="I96" s="12">
        <f>IF(IF(SelectedScope="All India",TRUE,'RAW_AR_CONTENT'!$B95=SelectedScope),'RAW_AR_CONTENT'!I95,"")</f>
        <v>0</v>
      </c>
      <c r="J96" s="12">
        <f>IF(IF(SelectedScope="All India",TRUE,'RAW_AR_CONTENT'!$B95=SelectedScope),'RAW_AR_CONTENT'!J95,"")</f>
        <v>0</v>
      </c>
      <c r="K96" s="12">
        <f>IF(IF(SelectedScope="All India",TRUE,'RAW_AR_CONTENT'!$B95=SelectedScope),'RAW_AR_CONTENT'!K95,"")</f>
        <v>0</v>
      </c>
      <c r="L96" s="12">
        <f>IF(IF(SelectedScope="All India",TRUE,'RAW_AR_CONTENT'!$B95=SelectedScope),'RAW_AR_CONTENT'!L95,"")</f>
        <v>0</v>
      </c>
      <c r="M96" s="12">
        <f>IF(IF(SelectedScope="All India",TRUE,'RAW_AR_CONTENT'!$B95=SelectedScope),'RAW_AR_CONTENT'!M95,"")</f>
        <v>0</v>
      </c>
      <c r="N96" s="12">
        <f>IF(IF(SelectedScope="All India",TRUE,'RAW_AR_CONTENT'!$B95=SelectedScope),'RAW_AR_CONTENT'!N95,"")</f>
        <v>0</v>
      </c>
      <c r="O96" s="12">
        <f>IF(IF(SelectedScope="All India",TRUE,'RAW_AR_CONTENT'!$B95=SelectedScope),'RAW_AR_CONTENT'!O95,"")</f>
        <v>0</v>
      </c>
      <c r="P96" s="12">
        <f>IF(IF(SelectedScope="All India",TRUE,'RAW_AR_CONTENT'!$B95=SelectedScope),'RAW_AR_CONTENT'!P95,"")</f>
        <v>0</v>
      </c>
      <c r="Q96" s="12">
        <f>IF(IF(SelectedScope="All India",TRUE,'RAW_AR_CONTENT'!$B95=SelectedScope),'RAW_AR_CONTENT'!Q95,"")</f>
        <v>0</v>
      </c>
      <c r="R96" s="12">
        <f>IF(IF(SelectedScope="All India",TRUE,'RAW_AR_CONTENT'!$B95=SelectedScope),'RAW_AR_CONTENT'!R95,"")</f>
        <v>0</v>
      </c>
    </row>
    <row r="97" spans="1:18" ht="15" customHeight="1" x14ac:dyDescent="0.3">
      <c r="A97" s="9">
        <f>IF(IF(SelectedScope="All India",TRUE,'RAW_AR_CONTENT'!$B96=SelectedScope),'RAW_AR_CONTENT'!A96,"")</f>
        <v>93</v>
      </c>
      <c r="B97" s="9" t="str">
        <f>IF(IF(SelectedScope="All India",TRUE,'RAW_AR_CONTENT'!$B96=SelectedScope),'RAW_AR_CONTENT'!B96,"")</f>
        <v>Chhattisgarh</v>
      </c>
      <c r="C97" s="9" t="str">
        <f>IF(IF(SelectedScope="All India",TRUE,'RAW_AR_CONTENT'!$B96=SelectedScope),'RAW_AR_CONTENT'!C96,"")</f>
        <v>Chemistry</v>
      </c>
      <c r="D97" s="9" t="str">
        <f>IF(IF(SelectedScope="All India",TRUE,'RAW_AR_CONTENT'!$B96=SelectedScope),'RAW_AR_CONTENT'!D96,"")</f>
        <v>Class 9</v>
      </c>
      <c r="E97" s="9" t="str">
        <f>IF(IF(SelectedScope="All India",TRUE,'RAW_AR_CONTENT'!$B96=SelectedScope),'RAW_AR_CONTENT'!E96,"")</f>
        <v>Atoms and Molecules</v>
      </c>
      <c r="F97" s="9" t="str">
        <f>IF(IF(SelectedScope="All India",TRUE,'RAW_AR_CONTENT'!$B96=SelectedScope),'RAW_AR_CONTENT'!F96,"")</f>
        <v>Animated</v>
      </c>
      <c r="G97" s="9" t="str">
        <f>IF(IF(SelectedScope="All India",TRUE,'RAW_AR_CONTENT'!$B96=SelectedScope),'RAW_AR_CONTENT'!G96,"")</f>
        <v>Active</v>
      </c>
      <c r="H97" s="9">
        <f>IF(IF(SelectedScope="All India",TRUE,'RAW_AR_CONTENT'!$B96=SelectedScope),'RAW_AR_CONTENT'!H96,"")</f>
        <v>0</v>
      </c>
      <c r="I97" s="9">
        <f>IF(IF(SelectedScope="All India",TRUE,'RAW_AR_CONTENT'!$B96=SelectedScope),'RAW_AR_CONTENT'!I96,"")</f>
        <v>0</v>
      </c>
      <c r="J97" s="9">
        <f>IF(IF(SelectedScope="All India",TRUE,'RAW_AR_CONTENT'!$B96=SelectedScope),'RAW_AR_CONTENT'!J96,"")</f>
        <v>0</v>
      </c>
      <c r="K97" s="9">
        <f>IF(IF(SelectedScope="All India",TRUE,'RAW_AR_CONTENT'!$B96=SelectedScope),'RAW_AR_CONTENT'!K96,"")</f>
        <v>0</v>
      </c>
      <c r="L97" s="9">
        <f>IF(IF(SelectedScope="All India",TRUE,'RAW_AR_CONTENT'!$B96=SelectedScope),'RAW_AR_CONTENT'!L96,"")</f>
        <v>0</v>
      </c>
      <c r="M97" s="9">
        <f>IF(IF(SelectedScope="All India",TRUE,'RAW_AR_CONTENT'!$B96=SelectedScope),'RAW_AR_CONTENT'!M96,"")</f>
        <v>0</v>
      </c>
      <c r="N97" s="9">
        <f>IF(IF(SelectedScope="All India",TRUE,'RAW_AR_CONTENT'!$B96=SelectedScope),'RAW_AR_CONTENT'!N96,"")</f>
        <v>0</v>
      </c>
      <c r="O97" s="9">
        <f>IF(IF(SelectedScope="All India",TRUE,'RAW_AR_CONTENT'!$B96=SelectedScope),'RAW_AR_CONTENT'!O96,"")</f>
        <v>0</v>
      </c>
      <c r="P97" s="9">
        <f>IF(IF(SelectedScope="All India",TRUE,'RAW_AR_CONTENT'!$B96=SelectedScope),'RAW_AR_CONTENT'!P96,"")</f>
        <v>0</v>
      </c>
      <c r="Q97" s="9">
        <f>IF(IF(SelectedScope="All India",TRUE,'RAW_AR_CONTENT'!$B96=SelectedScope),'RAW_AR_CONTENT'!Q96,"")</f>
        <v>0</v>
      </c>
      <c r="R97" s="9">
        <f>IF(IF(SelectedScope="All India",TRUE,'RAW_AR_CONTENT'!$B96=SelectedScope),'RAW_AR_CONTENT'!R96,"")</f>
        <v>0</v>
      </c>
    </row>
    <row r="98" spans="1:18" ht="15" customHeight="1" x14ac:dyDescent="0.3">
      <c r="A98" s="12">
        <f>IF(IF(SelectedScope="All India",TRUE,'RAW_AR_CONTENT'!$B97=SelectedScope),'RAW_AR_CONTENT'!A97,"")</f>
        <v>94</v>
      </c>
      <c r="B98" s="12" t="str">
        <f>IF(IF(SelectedScope="All India",TRUE,'RAW_AR_CONTENT'!$B97=SelectedScope),'RAW_AR_CONTENT'!B97,"")</f>
        <v>Chhattisgarh</v>
      </c>
      <c r="C98" s="12" t="str">
        <f>IF(IF(SelectedScope="All India",TRUE,'RAW_AR_CONTENT'!$B97=SelectedScope),'RAW_AR_CONTENT'!C97,"")</f>
        <v>Biology</v>
      </c>
      <c r="D98" s="12" t="str">
        <f>IF(IF(SelectedScope="All India",TRUE,'RAW_AR_CONTENT'!$B97=SelectedScope),'RAW_AR_CONTENT'!D97,"")</f>
        <v>Class 7</v>
      </c>
      <c r="E98" s="12" t="str">
        <f>IF(IF(SelectedScope="All India",TRUE,'RAW_AR_CONTENT'!$B97=SelectedScope),'RAW_AR_CONTENT'!E97,"")</f>
        <v>Photosynthesis</v>
      </c>
      <c r="F98" s="12" t="str">
        <f>IF(IF(SelectedScope="All India",TRUE,'RAW_AR_CONTENT'!$B97=SelectedScope),'RAW_AR_CONTENT'!F97,"")</f>
        <v>Basic 3D</v>
      </c>
      <c r="G98" s="12" t="str">
        <f>IF(IF(SelectedScope="All India",TRUE,'RAW_AR_CONTENT'!$B97=SelectedScope),'RAW_AR_CONTENT'!G97,"")</f>
        <v>Active</v>
      </c>
      <c r="H98" s="12">
        <f>IF(IF(SelectedScope="All India",TRUE,'RAW_AR_CONTENT'!$B97=SelectedScope),'RAW_AR_CONTENT'!H97,"")</f>
        <v>0</v>
      </c>
      <c r="I98" s="12">
        <f>IF(IF(SelectedScope="All India",TRUE,'RAW_AR_CONTENT'!$B97=SelectedScope),'RAW_AR_CONTENT'!I97,"")</f>
        <v>0</v>
      </c>
      <c r="J98" s="12">
        <f>IF(IF(SelectedScope="All India",TRUE,'RAW_AR_CONTENT'!$B97=SelectedScope),'RAW_AR_CONTENT'!J97,"")</f>
        <v>0</v>
      </c>
      <c r="K98" s="12">
        <f>IF(IF(SelectedScope="All India",TRUE,'RAW_AR_CONTENT'!$B97=SelectedScope),'RAW_AR_CONTENT'!K97,"")</f>
        <v>0</v>
      </c>
      <c r="L98" s="12">
        <f>IF(IF(SelectedScope="All India",TRUE,'RAW_AR_CONTENT'!$B97=SelectedScope),'RAW_AR_CONTENT'!L97,"")</f>
        <v>0</v>
      </c>
      <c r="M98" s="12">
        <f>IF(IF(SelectedScope="All India",TRUE,'RAW_AR_CONTENT'!$B97=SelectedScope),'RAW_AR_CONTENT'!M97,"")</f>
        <v>0</v>
      </c>
      <c r="N98" s="12">
        <f>IF(IF(SelectedScope="All India",TRUE,'RAW_AR_CONTENT'!$B97=SelectedScope),'RAW_AR_CONTENT'!N97,"")</f>
        <v>0</v>
      </c>
      <c r="O98" s="12">
        <f>IF(IF(SelectedScope="All India",TRUE,'RAW_AR_CONTENT'!$B97=SelectedScope),'RAW_AR_CONTENT'!O97,"")</f>
        <v>0</v>
      </c>
      <c r="P98" s="12">
        <f>IF(IF(SelectedScope="All India",TRUE,'RAW_AR_CONTENT'!$B97=SelectedScope),'RAW_AR_CONTENT'!P97,"")</f>
        <v>0</v>
      </c>
      <c r="Q98" s="12">
        <f>IF(IF(SelectedScope="All India",TRUE,'RAW_AR_CONTENT'!$B97=SelectedScope),'RAW_AR_CONTENT'!Q97,"")</f>
        <v>0</v>
      </c>
      <c r="R98" s="12">
        <f>IF(IF(SelectedScope="All India",TRUE,'RAW_AR_CONTENT'!$B97=SelectedScope),'RAW_AR_CONTENT'!R97,"")</f>
        <v>0</v>
      </c>
    </row>
    <row r="99" spans="1:18" ht="15" customHeight="1" x14ac:dyDescent="0.3">
      <c r="A99" s="9">
        <f>IF(IF(SelectedScope="All India",TRUE,'RAW_AR_CONTENT'!$B98=SelectedScope),'RAW_AR_CONTENT'!A98,"")</f>
        <v>95</v>
      </c>
      <c r="B99" s="9" t="str">
        <f>IF(IF(SelectedScope="All India",TRUE,'RAW_AR_CONTENT'!$B98=SelectedScope),'RAW_AR_CONTENT'!B98,"")</f>
        <v>Chhattisgarh</v>
      </c>
      <c r="C99" s="9" t="str">
        <f>IF(IF(SelectedScope="All India",TRUE,'RAW_AR_CONTENT'!$B98=SelectedScope),'RAW_AR_CONTENT'!C98,"")</f>
        <v>Mathematics</v>
      </c>
      <c r="D99" s="9" t="str">
        <f>IF(IF(SelectedScope="All India",TRUE,'RAW_AR_CONTENT'!$B98=SelectedScope),'RAW_AR_CONTENT'!D98,"")</f>
        <v>Class 7</v>
      </c>
      <c r="E99" s="9" t="str">
        <f>IF(IF(SelectedScope="All India",TRUE,'RAW_AR_CONTENT'!$B98=SelectedScope),'RAW_AR_CONTENT'!E98,"")</f>
        <v>Fractions 3D Model</v>
      </c>
      <c r="F99" s="9" t="str">
        <f>IF(IF(SelectedScope="All India",TRUE,'RAW_AR_CONTENT'!$B98=SelectedScope),'RAW_AR_CONTENT'!F98,"")</f>
        <v>Interactive</v>
      </c>
      <c r="G99" s="9" t="str">
        <f>IF(IF(SelectedScope="All India",TRUE,'RAW_AR_CONTENT'!$B98=SelectedScope),'RAW_AR_CONTENT'!G98,"")</f>
        <v>Active</v>
      </c>
      <c r="H99" s="9">
        <f>IF(IF(SelectedScope="All India",TRUE,'RAW_AR_CONTENT'!$B98=SelectedScope),'RAW_AR_CONTENT'!H98,"")</f>
        <v>0</v>
      </c>
      <c r="I99" s="9">
        <f>IF(IF(SelectedScope="All India",TRUE,'RAW_AR_CONTENT'!$B98=SelectedScope),'RAW_AR_CONTENT'!I98,"")</f>
        <v>0</v>
      </c>
      <c r="J99" s="9">
        <f>IF(IF(SelectedScope="All India",TRUE,'RAW_AR_CONTENT'!$B98=SelectedScope),'RAW_AR_CONTENT'!J98,"")</f>
        <v>0</v>
      </c>
      <c r="K99" s="9">
        <f>IF(IF(SelectedScope="All India",TRUE,'RAW_AR_CONTENT'!$B98=SelectedScope),'RAW_AR_CONTENT'!K98,"")</f>
        <v>0</v>
      </c>
      <c r="L99" s="9">
        <f>IF(IF(SelectedScope="All India",TRUE,'RAW_AR_CONTENT'!$B98=SelectedScope),'RAW_AR_CONTENT'!L98,"")</f>
        <v>0</v>
      </c>
      <c r="M99" s="9">
        <f>IF(IF(SelectedScope="All India",TRUE,'RAW_AR_CONTENT'!$B98=SelectedScope),'RAW_AR_CONTENT'!M98,"")</f>
        <v>0</v>
      </c>
      <c r="N99" s="9">
        <f>IF(IF(SelectedScope="All India",TRUE,'RAW_AR_CONTENT'!$B98=SelectedScope),'RAW_AR_CONTENT'!N98,"")</f>
        <v>0</v>
      </c>
      <c r="O99" s="9">
        <f>IF(IF(SelectedScope="All India",TRUE,'RAW_AR_CONTENT'!$B98=SelectedScope),'RAW_AR_CONTENT'!O98,"")</f>
        <v>0</v>
      </c>
      <c r="P99" s="9">
        <f>IF(IF(SelectedScope="All India",TRUE,'RAW_AR_CONTENT'!$B98=SelectedScope),'RAW_AR_CONTENT'!P98,"")</f>
        <v>0</v>
      </c>
      <c r="Q99" s="9">
        <f>IF(IF(SelectedScope="All India",TRUE,'RAW_AR_CONTENT'!$B98=SelectedScope),'RAW_AR_CONTENT'!Q98,"")</f>
        <v>0</v>
      </c>
      <c r="R99" s="9">
        <f>IF(IF(SelectedScope="All India",TRUE,'RAW_AR_CONTENT'!$B98=SelectedScope),'RAW_AR_CONTENT'!R98,"")</f>
        <v>0</v>
      </c>
    </row>
    <row r="100" spans="1:18" ht="15" customHeight="1" x14ac:dyDescent="0.3">
      <c r="A100" s="12">
        <f>IF(IF(SelectedScope="All India",TRUE,'RAW_AR_CONTENT'!$B99=SelectedScope),'RAW_AR_CONTENT'!A99,"")</f>
        <v>96</v>
      </c>
      <c r="B100" s="12" t="str">
        <f>IF(IF(SelectedScope="All India",TRUE,'RAW_AR_CONTENT'!$B99=SelectedScope),'RAW_AR_CONTENT'!B99,"")</f>
        <v>Chhattisgarh</v>
      </c>
      <c r="C100" s="12" t="str">
        <f>IF(IF(SelectedScope="All India",TRUE,'RAW_AR_CONTENT'!$B99=SelectedScope),'RAW_AR_CONTENT'!C99,"")</f>
        <v>Mathematics</v>
      </c>
      <c r="D100" s="12" t="str">
        <f>IF(IF(SelectedScope="All India",TRUE,'RAW_AR_CONTENT'!$B99=SelectedScope),'RAW_AR_CONTENT'!D99,"")</f>
        <v>Class 10</v>
      </c>
      <c r="E100" s="12" t="str">
        <f>IF(IF(SelectedScope="All India",TRUE,'RAW_AR_CONTENT'!$B99=SelectedScope),'RAW_AR_CONTENT'!E99,"")</f>
        <v>Trigonometry 3D</v>
      </c>
      <c r="F100" s="12" t="str">
        <f>IF(IF(SelectedScope="All India",TRUE,'RAW_AR_CONTENT'!$B99=SelectedScope),'RAW_AR_CONTENT'!F99,"")</f>
        <v>Animated</v>
      </c>
      <c r="G100" s="12" t="str">
        <f>IF(IF(SelectedScope="All India",TRUE,'RAW_AR_CONTENT'!$B99=SelectedScope),'RAW_AR_CONTENT'!G99,"")</f>
        <v>Active</v>
      </c>
      <c r="H100" s="12">
        <f>IF(IF(SelectedScope="All India",TRUE,'RAW_AR_CONTENT'!$B99=SelectedScope),'RAW_AR_CONTENT'!H99,"")</f>
        <v>0</v>
      </c>
      <c r="I100" s="12">
        <f>IF(IF(SelectedScope="All India",TRUE,'RAW_AR_CONTENT'!$B99=SelectedScope),'RAW_AR_CONTENT'!I99,"")</f>
        <v>0</v>
      </c>
      <c r="J100" s="12">
        <f>IF(IF(SelectedScope="All India",TRUE,'RAW_AR_CONTENT'!$B99=SelectedScope),'RAW_AR_CONTENT'!J99,"")</f>
        <v>0</v>
      </c>
      <c r="K100" s="12">
        <f>IF(IF(SelectedScope="All India",TRUE,'RAW_AR_CONTENT'!$B99=SelectedScope),'RAW_AR_CONTENT'!K99,"")</f>
        <v>0</v>
      </c>
      <c r="L100" s="12">
        <f>IF(IF(SelectedScope="All India",TRUE,'RAW_AR_CONTENT'!$B99=SelectedScope),'RAW_AR_CONTENT'!L99,"")</f>
        <v>0</v>
      </c>
      <c r="M100" s="12">
        <f>IF(IF(SelectedScope="All India",TRUE,'RAW_AR_CONTENT'!$B99=SelectedScope),'RAW_AR_CONTENT'!M99,"")</f>
        <v>0</v>
      </c>
      <c r="N100" s="12">
        <f>IF(IF(SelectedScope="All India",TRUE,'RAW_AR_CONTENT'!$B99=SelectedScope),'RAW_AR_CONTENT'!N99,"")</f>
        <v>0</v>
      </c>
      <c r="O100" s="12">
        <f>IF(IF(SelectedScope="All India",TRUE,'RAW_AR_CONTENT'!$B99=SelectedScope),'RAW_AR_CONTENT'!O99,"")</f>
        <v>0</v>
      </c>
      <c r="P100" s="12">
        <f>IF(IF(SelectedScope="All India",TRUE,'RAW_AR_CONTENT'!$B99=SelectedScope),'RAW_AR_CONTENT'!P99,"")</f>
        <v>0</v>
      </c>
      <c r="Q100" s="12">
        <f>IF(IF(SelectedScope="All India",TRUE,'RAW_AR_CONTENT'!$B99=SelectedScope),'RAW_AR_CONTENT'!Q99,"")</f>
        <v>0</v>
      </c>
      <c r="R100" s="12">
        <f>IF(IF(SelectedScope="All India",TRUE,'RAW_AR_CONTENT'!$B99=SelectedScope),'RAW_AR_CONTENT'!R99,"")</f>
        <v>0</v>
      </c>
    </row>
    <row r="101" spans="1:18" ht="15" customHeight="1" x14ac:dyDescent="0.3">
      <c r="A101" s="9">
        <f>IF(IF(SelectedScope="All India",TRUE,'RAW_AR_CONTENT'!$B100=SelectedScope),'RAW_AR_CONTENT'!A100,"")</f>
        <v>97</v>
      </c>
      <c r="B101" s="9" t="str">
        <f>IF(IF(SelectedScope="All India",TRUE,'RAW_AR_CONTENT'!$B100=SelectedScope),'RAW_AR_CONTENT'!B100,"")</f>
        <v>Chhattisgarh</v>
      </c>
      <c r="C101" s="9" t="str">
        <f>IF(IF(SelectedScope="All India",TRUE,'RAW_AR_CONTENT'!$B100=SelectedScope),'RAW_AR_CONTENT'!C100,"")</f>
        <v>History</v>
      </c>
      <c r="D101" s="9" t="str">
        <f>IF(IF(SelectedScope="All India",TRUE,'RAW_AR_CONTENT'!$B100=SelectedScope),'RAW_AR_CONTENT'!D100,"")</f>
        <v>Class 10</v>
      </c>
      <c r="E101" s="9" t="str">
        <f>IF(IF(SelectedScope="All India",TRUE,'RAW_AR_CONTENT'!$B100=SelectedScope),'RAW_AR_CONTENT'!E100,"")</f>
        <v>Mughal Empire AR</v>
      </c>
      <c r="F101" s="9" t="str">
        <f>IF(IF(SelectedScope="All India",TRUE,'RAW_AR_CONTENT'!$B100=SelectedScope),'RAW_AR_CONTENT'!F100,"")</f>
        <v>Basic 3D</v>
      </c>
      <c r="G101" s="9" t="str">
        <f>IF(IF(SelectedScope="All India",TRUE,'RAW_AR_CONTENT'!$B100=SelectedScope),'RAW_AR_CONTENT'!G100,"")</f>
        <v>Active</v>
      </c>
      <c r="H101" s="9">
        <f>IF(IF(SelectedScope="All India",TRUE,'RAW_AR_CONTENT'!$B100=SelectedScope),'RAW_AR_CONTENT'!H100,"")</f>
        <v>0</v>
      </c>
      <c r="I101" s="9">
        <f>IF(IF(SelectedScope="All India",TRUE,'RAW_AR_CONTENT'!$B100=SelectedScope),'RAW_AR_CONTENT'!I100,"")</f>
        <v>0</v>
      </c>
      <c r="J101" s="9">
        <f>IF(IF(SelectedScope="All India",TRUE,'RAW_AR_CONTENT'!$B100=SelectedScope),'RAW_AR_CONTENT'!J100,"")</f>
        <v>0</v>
      </c>
      <c r="K101" s="9">
        <f>IF(IF(SelectedScope="All India",TRUE,'RAW_AR_CONTENT'!$B100=SelectedScope),'RAW_AR_CONTENT'!K100,"")</f>
        <v>0</v>
      </c>
      <c r="L101" s="9">
        <f>IF(IF(SelectedScope="All India",TRUE,'RAW_AR_CONTENT'!$B100=SelectedScope),'RAW_AR_CONTENT'!L100,"")</f>
        <v>0</v>
      </c>
      <c r="M101" s="9">
        <f>IF(IF(SelectedScope="All India",TRUE,'RAW_AR_CONTENT'!$B100=SelectedScope),'RAW_AR_CONTENT'!M100,"")</f>
        <v>0</v>
      </c>
      <c r="N101" s="9">
        <f>IF(IF(SelectedScope="All India",TRUE,'RAW_AR_CONTENT'!$B100=SelectedScope),'RAW_AR_CONTENT'!N100,"")</f>
        <v>0</v>
      </c>
      <c r="O101" s="9">
        <f>IF(IF(SelectedScope="All India",TRUE,'RAW_AR_CONTENT'!$B100=SelectedScope),'RAW_AR_CONTENT'!O100,"")</f>
        <v>0</v>
      </c>
      <c r="P101" s="9">
        <f>IF(IF(SelectedScope="All India",TRUE,'RAW_AR_CONTENT'!$B100=SelectedScope),'RAW_AR_CONTENT'!P100,"")</f>
        <v>0</v>
      </c>
      <c r="Q101" s="9">
        <f>IF(IF(SelectedScope="All India",TRUE,'RAW_AR_CONTENT'!$B100=SelectedScope),'RAW_AR_CONTENT'!Q100,"")</f>
        <v>0</v>
      </c>
      <c r="R101" s="9">
        <f>IF(IF(SelectedScope="All India",TRUE,'RAW_AR_CONTENT'!$B100=SelectedScope),'RAW_AR_CONTENT'!R100,"")</f>
        <v>0</v>
      </c>
    </row>
    <row r="102" spans="1:18" ht="15" customHeight="1" x14ac:dyDescent="0.3">
      <c r="A102" s="12">
        <f>IF(IF(SelectedScope="All India",TRUE,'RAW_AR_CONTENT'!$B101=SelectedScope),'RAW_AR_CONTENT'!A101,"")</f>
        <v>98</v>
      </c>
      <c r="B102" s="12" t="str">
        <f>IF(IF(SelectedScope="All India",TRUE,'RAW_AR_CONTENT'!$B101=SelectedScope),'RAW_AR_CONTENT'!B101,"")</f>
        <v>Chhattisgarh</v>
      </c>
      <c r="C102" s="12" t="str">
        <f>IF(IF(SelectedScope="All India",TRUE,'RAW_AR_CONTENT'!$B101=SelectedScope),'RAW_AR_CONTENT'!C101,"")</f>
        <v>Geography</v>
      </c>
      <c r="D102" s="12" t="str">
        <f>IF(IF(SelectedScope="All India",TRUE,'RAW_AR_CONTENT'!$B101=SelectedScope),'RAW_AR_CONTENT'!D101,"")</f>
        <v>Class 6</v>
      </c>
      <c r="E102" s="12" t="str">
        <f>IF(IF(SelectedScope="All India",TRUE,'RAW_AR_CONTENT'!$B101=SelectedScope),'RAW_AR_CONTENT'!E101,"")</f>
        <v>Water Cycle Simulation</v>
      </c>
      <c r="F102" s="12" t="str">
        <f>IF(IF(SelectedScope="All India",TRUE,'RAW_AR_CONTENT'!$B101=SelectedScope),'RAW_AR_CONTENT'!F101,"")</f>
        <v>Animated</v>
      </c>
      <c r="G102" s="12" t="str">
        <f>IF(IF(SelectedScope="All India",TRUE,'RAW_AR_CONTENT'!$B101=SelectedScope),'RAW_AR_CONTENT'!G101,"")</f>
        <v>Active</v>
      </c>
      <c r="H102" s="12">
        <f>IF(IF(SelectedScope="All India",TRUE,'RAW_AR_CONTENT'!$B101=SelectedScope),'RAW_AR_CONTENT'!H101,"")</f>
        <v>0</v>
      </c>
      <c r="I102" s="12">
        <f>IF(IF(SelectedScope="All India",TRUE,'RAW_AR_CONTENT'!$B101=SelectedScope),'RAW_AR_CONTENT'!I101,"")</f>
        <v>0</v>
      </c>
      <c r="J102" s="12">
        <f>IF(IF(SelectedScope="All India",TRUE,'RAW_AR_CONTENT'!$B101=SelectedScope),'RAW_AR_CONTENT'!J101,"")</f>
        <v>0</v>
      </c>
      <c r="K102" s="12">
        <f>IF(IF(SelectedScope="All India",TRUE,'RAW_AR_CONTENT'!$B101=SelectedScope),'RAW_AR_CONTENT'!K101,"")</f>
        <v>0</v>
      </c>
      <c r="L102" s="12">
        <f>IF(IF(SelectedScope="All India",TRUE,'RAW_AR_CONTENT'!$B101=SelectedScope),'RAW_AR_CONTENT'!L101,"")</f>
        <v>0</v>
      </c>
      <c r="M102" s="12">
        <f>IF(IF(SelectedScope="All India",TRUE,'RAW_AR_CONTENT'!$B101=SelectedScope),'RAW_AR_CONTENT'!M101,"")</f>
        <v>0</v>
      </c>
      <c r="N102" s="12">
        <f>IF(IF(SelectedScope="All India",TRUE,'RAW_AR_CONTENT'!$B101=SelectedScope),'RAW_AR_CONTENT'!N101,"")</f>
        <v>0</v>
      </c>
      <c r="O102" s="12">
        <f>IF(IF(SelectedScope="All India",TRUE,'RAW_AR_CONTENT'!$B101=SelectedScope),'RAW_AR_CONTENT'!O101,"")</f>
        <v>0</v>
      </c>
      <c r="P102" s="12">
        <f>IF(IF(SelectedScope="All India",TRUE,'RAW_AR_CONTENT'!$B101=SelectedScope),'RAW_AR_CONTENT'!P101,"")</f>
        <v>0</v>
      </c>
      <c r="Q102" s="12">
        <f>IF(IF(SelectedScope="All India",TRUE,'RAW_AR_CONTENT'!$B101=SelectedScope),'RAW_AR_CONTENT'!Q101,"")</f>
        <v>0</v>
      </c>
      <c r="R102" s="12">
        <f>IF(IF(SelectedScope="All India",TRUE,'RAW_AR_CONTENT'!$B101=SelectedScope),'RAW_AR_CONTENT'!R101,"")</f>
        <v>0</v>
      </c>
    </row>
    <row r="103" spans="1:18" ht="15" customHeight="1" x14ac:dyDescent="0.3">
      <c r="A103" s="9">
        <f>IF(IF(SelectedScope="All India",TRUE,'RAW_AR_CONTENT'!$B102=SelectedScope),'RAW_AR_CONTENT'!A102,"")</f>
        <v>99</v>
      </c>
      <c r="B103" s="9" t="str">
        <f>IF(IF(SelectedScope="All India",TRUE,'RAW_AR_CONTENT'!$B102=SelectedScope),'RAW_AR_CONTENT'!B102,"")</f>
        <v>Chhattisgarh</v>
      </c>
      <c r="C103" s="9" t="str">
        <f>IF(IF(SelectedScope="All India",TRUE,'RAW_AR_CONTENT'!$B102=SelectedScope),'RAW_AR_CONTENT'!C102,"")</f>
        <v>Biology</v>
      </c>
      <c r="D103" s="9" t="str">
        <f>IF(IF(SelectedScope="All India",TRUE,'RAW_AR_CONTENT'!$B102=SelectedScope),'RAW_AR_CONTENT'!D102,"")</f>
        <v>Class 11</v>
      </c>
      <c r="E103" s="9" t="str">
        <f>IF(IF(SelectedScope="All India",TRUE,'RAW_AR_CONTENT'!$B102=SelectedScope),'RAW_AR_CONTENT'!E102,"")</f>
        <v>Human Anatomy AR</v>
      </c>
      <c r="F103" s="9" t="str">
        <f>IF(IF(SelectedScope="All India",TRUE,'RAW_AR_CONTENT'!$B102=SelectedScope),'RAW_AR_CONTENT'!F102,"")</f>
        <v>Fully Immersive</v>
      </c>
      <c r="G103" s="9" t="str">
        <f>IF(IF(SelectedScope="All India",TRUE,'RAW_AR_CONTENT'!$B102=SelectedScope),'RAW_AR_CONTENT'!G102,"")</f>
        <v>Active</v>
      </c>
      <c r="H103" s="9">
        <f>IF(IF(SelectedScope="All India",TRUE,'RAW_AR_CONTENT'!$B102=SelectedScope),'RAW_AR_CONTENT'!H102,"")</f>
        <v>0</v>
      </c>
      <c r="I103" s="9">
        <f>IF(IF(SelectedScope="All India",TRUE,'RAW_AR_CONTENT'!$B102=SelectedScope),'RAW_AR_CONTENT'!I102,"")</f>
        <v>0</v>
      </c>
      <c r="J103" s="9">
        <f>IF(IF(SelectedScope="All India",TRUE,'RAW_AR_CONTENT'!$B102=SelectedScope),'RAW_AR_CONTENT'!J102,"")</f>
        <v>0</v>
      </c>
      <c r="K103" s="9">
        <f>IF(IF(SelectedScope="All India",TRUE,'RAW_AR_CONTENT'!$B102=SelectedScope),'RAW_AR_CONTENT'!K102,"")</f>
        <v>0</v>
      </c>
      <c r="L103" s="9">
        <f>IF(IF(SelectedScope="All India",TRUE,'RAW_AR_CONTENT'!$B102=SelectedScope),'RAW_AR_CONTENT'!L102,"")</f>
        <v>0</v>
      </c>
      <c r="M103" s="9">
        <f>IF(IF(SelectedScope="All India",TRUE,'RAW_AR_CONTENT'!$B102=SelectedScope),'RAW_AR_CONTENT'!M102,"")</f>
        <v>0</v>
      </c>
      <c r="N103" s="9">
        <f>IF(IF(SelectedScope="All India",TRUE,'RAW_AR_CONTENT'!$B102=SelectedScope),'RAW_AR_CONTENT'!N102,"")</f>
        <v>0</v>
      </c>
      <c r="O103" s="9">
        <f>IF(IF(SelectedScope="All India",TRUE,'RAW_AR_CONTENT'!$B102=SelectedScope),'RAW_AR_CONTENT'!O102,"")</f>
        <v>0</v>
      </c>
      <c r="P103" s="9">
        <f>IF(IF(SelectedScope="All India",TRUE,'RAW_AR_CONTENT'!$B102=SelectedScope),'RAW_AR_CONTENT'!P102,"")</f>
        <v>0</v>
      </c>
      <c r="Q103" s="9">
        <f>IF(IF(SelectedScope="All India",TRUE,'RAW_AR_CONTENT'!$B102=SelectedScope),'RAW_AR_CONTENT'!Q102,"")</f>
        <v>0</v>
      </c>
      <c r="R103" s="9">
        <f>IF(IF(SelectedScope="All India",TRUE,'RAW_AR_CONTENT'!$B102=SelectedScope),'RAW_AR_CONTENT'!R102,"")</f>
        <v>0</v>
      </c>
    </row>
    <row r="104" spans="1:18" ht="15" customHeight="1" x14ac:dyDescent="0.3">
      <c r="A104" s="12">
        <f>IF(IF(SelectedScope="All India",TRUE,'RAW_AR_CONTENT'!$B103=SelectedScope),'RAW_AR_CONTENT'!A103,"")</f>
        <v>100</v>
      </c>
      <c r="B104" s="12" t="str">
        <f>IF(IF(SelectedScope="All India",TRUE,'RAW_AR_CONTENT'!$B103=SelectedScope),'RAW_AR_CONTENT'!B103,"")</f>
        <v>Chhattisgarh</v>
      </c>
      <c r="C104" s="12" t="str">
        <f>IF(IF(SelectedScope="All India",TRUE,'RAW_AR_CONTENT'!$B103=SelectedScope),'RAW_AR_CONTENT'!C103,"")</f>
        <v>Physics</v>
      </c>
      <c r="D104" s="12" t="str">
        <f>IF(IF(SelectedScope="All India",TRUE,'RAW_AR_CONTENT'!$B103=SelectedScope),'RAW_AR_CONTENT'!D103,"")</f>
        <v>Class 9</v>
      </c>
      <c r="E104" s="12" t="str">
        <f>IF(IF(SelectedScope="All India",TRUE,'RAW_AR_CONTENT'!$B103=SelectedScope),'RAW_AR_CONTENT'!E103,"")</f>
        <v>Laws of Motion</v>
      </c>
      <c r="F104" s="12" t="str">
        <f>IF(IF(SelectedScope="All India",TRUE,'RAW_AR_CONTENT'!$B103=SelectedScope),'RAW_AR_CONTENT'!F103,"")</f>
        <v>Interactive</v>
      </c>
      <c r="G104" s="12" t="str">
        <f>IF(IF(SelectedScope="All India",TRUE,'RAW_AR_CONTENT'!$B103=SelectedScope),'RAW_AR_CONTENT'!G103,"")</f>
        <v>Active</v>
      </c>
      <c r="H104" s="12">
        <f>IF(IF(SelectedScope="All India",TRUE,'RAW_AR_CONTENT'!$B103=SelectedScope),'RAW_AR_CONTENT'!H103,"")</f>
        <v>0</v>
      </c>
      <c r="I104" s="12">
        <f>IF(IF(SelectedScope="All India",TRUE,'RAW_AR_CONTENT'!$B103=SelectedScope),'RAW_AR_CONTENT'!I103,"")</f>
        <v>0</v>
      </c>
      <c r="J104" s="12">
        <f>IF(IF(SelectedScope="All India",TRUE,'RAW_AR_CONTENT'!$B103=SelectedScope),'RAW_AR_CONTENT'!J103,"")</f>
        <v>0</v>
      </c>
      <c r="K104" s="12">
        <f>IF(IF(SelectedScope="All India",TRUE,'RAW_AR_CONTENT'!$B103=SelectedScope),'RAW_AR_CONTENT'!K103,"")</f>
        <v>0</v>
      </c>
      <c r="L104" s="12">
        <f>IF(IF(SelectedScope="All India",TRUE,'RAW_AR_CONTENT'!$B103=SelectedScope),'RAW_AR_CONTENT'!L103,"")</f>
        <v>0</v>
      </c>
      <c r="M104" s="12">
        <f>IF(IF(SelectedScope="All India",TRUE,'RAW_AR_CONTENT'!$B103=SelectedScope),'RAW_AR_CONTENT'!M103,"")</f>
        <v>0</v>
      </c>
      <c r="N104" s="12">
        <f>IF(IF(SelectedScope="All India",TRUE,'RAW_AR_CONTENT'!$B103=SelectedScope),'RAW_AR_CONTENT'!N103,"")</f>
        <v>0</v>
      </c>
      <c r="O104" s="12">
        <f>IF(IF(SelectedScope="All India",TRUE,'RAW_AR_CONTENT'!$B103=SelectedScope),'RAW_AR_CONTENT'!O103,"")</f>
        <v>0</v>
      </c>
      <c r="P104" s="12">
        <f>IF(IF(SelectedScope="All India",TRUE,'RAW_AR_CONTENT'!$B103=SelectedScope),'RAW_AR_CONTENT'!P103,"")</f>
        <v>0</v>
      </c>
      <c r="Q104" s="12">
        <f>IF(IF(SelectedScope="All India",TRUE,'RAW_AR_CONTENT'!$B103=SelectedScope),'RAW_AR_CONTENT'!Q103,"")</f>
        <v>0</v>
      </c>
      <c r="R104" s="12">
        <f>IF(IF(SelectedScope="All India",TRUE,'RAW_AR_CONTENT'!$B103=SelectedScope),'RAW_AR_CONTENT'!R103,"")</f>
        <v>0</v>
      </c>
    </row>
    <row r="105" spans="1:18" ht="15" customHeight="1" x14ac:dyDescent="0.3">
      <c r="A105" s="9">
        <f>IF(IF(SelectedScope="All India",TRUE,'RAW_AR_CONTENT'!$B104=SelectedScope),'RAW_AR_CONTENT'!A104,"")</f>
        <v>101</v>
      </c>
      <c r="B105" s="9" t="str">
        <f>IF(IF(SelectedScope="All India",TRUE,'RAW_AR_CONTENT'!$B104=SelectedScope),'RAW_AR_CONTENT'!B104,"")</f>
        <v>Chhattisgarh</v>
      </c>
      <c r="C105" s="9" t="str">
        <f>IF(IF(SelectedScope="All India",TRUE,'RAW_AR_CONTENT'!$B104=SelectedScope),'RAW_AR_CONTENT'!C104,"")</f>
        <v>Chemistry</v>
      </c>
      <c r="D105" s="9" t="str">
        <f>IF(IF(SelectedScope="All India",TRUE,'RAW_AR_CONTENT'!$B104=SelectedScope),'RAW_AR_CONTENT'!D104,"")</f>
        <v>Class 11</v>
      </c>
      <c r="E105" s="9" t="str">
        <f>IF(IF(SelectedScope="All India",TRUE,'RAW_AR_CONTENT'!$B104=SelectedScope),'RAW_AR_CONTENT'!E104,"")</f>
        <v>Periodic Table 3D</v>
      </c>
      <c r="F105" s="9" t="str">
        <f>IF(IF(SelectedScope="All India",TRUE,'RAW_AR_CONTENT'!$B104=SelectedScope),'RAW_AR_CONTENT'!F104,"")</f>
        <v>Interactive</v>
      </c>
      <c r="G105" s="9" t="str">
        <f>IF(IF(SelectedScope="All India",TRUE,'RAW_AR_CONTENT'!$B104=SelectedScope),'RAW_AR_CONTENT'!G104,"")</f>
        <v>Active</v>
      </c>
      <c r="H105" s="9">
        <f>IF(IF(SelectedScope="All India",TRUE,'RAW_AR_CONTENT'!$B104=SelectedScope),'RAW_AR_CONTENT'!H104,"")</f>
        <v>0</v>
      </c>
      <c r="I105" s="9">
        <f>IF(IF(SelectedScope="All India",TRUE,'RAW_AR_CONTENT'!$B104=SelectedScope),'RAW_AR_CONTENT'!I104,"")</f>
        <v>0</v>
      </c>
      <c r="J105" s="9">
        <f>IF(IF(SelectedScope="All India",TRUE,'RAW_AR_CONTENT'!$B104=SelectedScope),'RAW_AR_CONTENT'!J104,"")</f>
        <v>0</v>
      </c>
      <c r="K105" s="9">
        <f>IF(IF(SelectedScope="All India",TRUE,'RAW_AR_CONTENT'!$B104=SelectedScope),'RAW_AR_CONTENT'!K104,"")</f>
        <v>0</v>
      </c>
      <c r="L105" s="9">
        <f>IF(IF(SelectedScope="All India",TRUE,'RAW_AR_CONTENT'!$B104=SelectedScope),'RAW_AR_CONTENT'!L104,"")</f>
        <v>0</v>
      </c>
      <c r="M105" s="9">
        <f>IF(IF(SelectedScope="All India",TRUE,'RAW_AR_CONTENT'!$B104=SelectedScope),'RAW_AR_CONTENT'!M104,"")</f>
        <v>0</v>
      </c>
      <c r="N105" s="9">
        <f>IF(IF(SelectedScope="All India",TRUE,'RAW_AR_CONTENT'!$B104=SelectedScope),'RAW_AR_CONTENT'!N104,"")</f>
        <v>0</v>
      </c>
      <c r="O105" s="9">
        <f>IF(IF(SelectedScope="All India",TRUE,'RAW_AR_CONTENT'!$B104=SelectedScope),'RAW_AR_CONTENT'!O104,"")</f>
        <v>0</v>
      </c>
      <c r="P105" s="9">
        <f>IF(IF(SelectedScope="All India",TRUE,'RAW_AR_CONTENT'!$B104=SelectedScope),'RAW_AR_CONTENT'!P104,"")</f>
        <v>0</v>
      </c>
      <c r="Q105" s="9">
        <f>IF(IF(SelectedScope="All India",TRUE,'RAW_AR_CONTENT'!$B104=SelectedScope),'RAW_AR_CONTENT'!Q104,"")</f>
        <v>0</v>
      </c>
      <c r="R105" s="9">
        <f>IF(IF(SelectedScope="All India",TRUE,'RAW_AR_CONTENT'!$B104=SelectedScope),'RAW_AR_CONTENT'!R104,"")</f>
        <v>0</v>
      </c>
    </row>
    <row r="106" spans="1:18" ht="15" customHeight="1" x14ac:dyDescent="0.3">
      <c r="A106" s="12">
        <f>IF(IF(SelectedScope="All India",TRUE,'RAW_AR_CONTENT'!$B105=SelectedScope),'RAW_AR_CONTENT'!A105,"")</f>
        <v>102</v>
      </c>
      <c r="B106" s="12" t="str">
        <f>IF(IF(SelectedScope="All India",TRUE,'RAW_AR_CONTENT'!$B105=SelectedScope),'RAW_AR_CONTENT'!B105,"")</f>
        <v>Chhattisgarh</v>
      </c>
      <c r="C106" s="12" t="str">
        <f>IF(IF(SelectedScope="All India",TRUE,'RAW_AR_CONTENT'!$B105=SelectedScope),'RAW_AR_CONTENT'!C105,"")</f>
        <v>Physics</v>
      </c>
      <c r="D106" s="12" t="str">
        <f>IF(IF(SelectedScope="All India",TRUE,'RAW_AR_CONTENT'!$B105=SelectedScope),'RAW_AR_CONTENT'!D105,"")</f>
        <v>Class 10</v>
      </c>
      <c r="E106" s="12" t="str">
        <f>IF(IF(SelectedScope="All India",TRUE,'RAW_AR_CONTENT'!$B105=SelectedScope),'RAW_AR_CONTENT'!E105,"")</f>
        <v>Electricity Circuits</v>
      </c>
      <c r="F106" s="12" t="str">
        <f>IF(IF(SelectedScope="All India",TRUE,'RAW_AR_CONTENT'!$B105=SelectedScope),'RAW_AR_CONTENT'!F105,"")</f>
        <v>Interactive</v>
      </c>
      <c r="G106" s="12" t="str">
        <f>IF(IF(SelectedScope="All India",TRUE,'RAW_AR_CONTENT'!$B105=SelectedScope),'RAW_AR_CONTENT'!G105,"")</f>
        <v>Active</v>
      </c>
      <c r="H106" s="12">
        <f>IF(IF(SelectedScope="All India",TRUE,'RAW_AR_CONTENT'!$B105=SelectedScope),'RAW_AR_CONTENT'!H105,"")</f>
        <v>0</v>
      </c>
      <c r="I106" s="12">
        <f>IF(IF(SelectedScope="All India",TRUE,'RAW_AR_CONTENT'!$B105=SelectedScope),'RAW_AR_CONTENT'!I105,"")</f>
        <v>0</v>
      </c>
      <c r="J106" s="12">
        <f>IF(IF(SelectedScope="All India",TRUE,'RAW_AR_CONTENT'!$B105=SelectedScope),'RAW_AR_CONTENT'!J105,"")</f>
        <v>0</v>
      </c>
      <c r="K106" s="12">
        <f>IF(IF(SelectedScope="All India",TRUE,'RAW_AR_CONTENT'!$B105=SelectedScope),'RAW_AR_CONTENT'!K105,"")</f>
        <v>0</v>
      </c>
      <c r="L106" s="12">
        <f>IF(IF(SelectedScope="All India",TRUE,'RAW_AR_CONTENT'!$B105=SelectedScope),'RAW_AR_CONTENT'!L105,"")</f>
        <v>0</v>
      </c>
      <c r="M106" s="12">
        <f>IF(IF(SelectedScope="All India",TRUE,'RAW_AR_CONTENT'!$B105=SelectedScope),'RAW_AR_CONTENT'!M105,"")</f>
        <v>0</v>
      </c>
      <c r="N106" s="12">
        <f>IF(IF(SelectedScope="All India",TRUE,'RAW_AR_CONTENT'!$B105=SelectedScope),'RAW_AR_CONTENT'!N105,"")</f>
        <v>0</v>
      </c>
      <c r="O106" s="12">
        <f>IF(IF(SelectedScope="All India",TRUE,'RAW_AR_CONTENT'!$B105=SelectedScope),'RAW_AR_CONTENT'!O105,"")</f>
        <v>0</v>
      </c>
      <c r="P106" s="12">
        <f>IF(IF(SelectedScope="All India",TRUE,'RAW_AR_CONTENT'!$B105=SelectedScope),'RAW_AR_CONTENT'!P105,"")</f>
        <v>0</v>
      </c>
      <c r="Q106" s="12">
        <f>IF(IF(SelectedScope="All India",TRUE,'RAW_AR_CONTENT'!$B105=SelectedScope),'RAW_AR_CONTENT'!Q105,"")</f>
        <v>0</v>
      </c>
      <c r="R106" s="12">
        <f>IF(IF(SelectedScope="All India",TRUE,'RAW_AR_CONTENT'!$B105=SelectedScope),'RAW_AR_CONTENT'!R105,"")</f>
        <v>0</v>
      </c>
    </row>
    <row r="107" spans="1:18" ht="15" customHeight="1" x14ac:dyDescent="0.3">
      <c r="A107" s="9">
        <f>IF(IF(SelectedScope="All India",TRUE,'RAW_AR_CONTENT'!$B106=SelectedScope),'RAW_AR_CONTENT'!A106,"")</f>
        <v>103</v>
      </c>
      <c r="B107" s="9" t="str">
        <f>IF(IF(SelectedScope="All India",TRUE,'RAW_AR_CONTENT'!$B106=SelectedScope),'RAW_AR_CONTENT'!B106,"")</f>
        <v>Chhattisgarh</v>
      </c>
      <c r="C107" s="9" t="str">
        <f>IF(IF(SelectedScope="All India",TRUE,'RAW_AR_CONTENT'!$B106=SelectedScope),'RAW_AR_CONTENT'!C106,"")</f>
        <v>Civics</v>
      </c>
      <c r="D107" s="9" t="str">
        <f>IF(IF(SelectedScope="All India",TRUE,'RAW_AR_CONTENT'!$B106=SelectedScope),'RAW_AR_CONTENT'!D106,"")</f>
        <v>Class 9</v>
      </c>
      <c r="E107" s="9" t="str">
        <f>IF(IF(SelectedScope="All India",TRUE,'RAW_AR_CONTENT'!$B106=SelectedScope),'RAW_AR_CONTENT'!E106,"")</f>
        <v>Indian Constitution</v>
      </c>
      <c r="F107" s="9" t="str">
        <f>IF(IF(SelectedScope="All India",TRUE,'RAW_AR_CONTENT'!$B106=SelectedScope),'RAW_AR_CONTENT'!F106,"")</f>
        <v>Basic 3D</v>
      </c>
      <c r="G107" s="9" t="str">
        <f>IF(IF(SelectedScope="All India",TRUE,'RAW_AR_CONTENT'!$B106=SelectedScope),'RAW_AR_CONTENT'!G106,"")</f>
        <v>Active</v>
      </c>
      <c r="H107" s="9">
        <f>IF(IF(SelectedScope="All India",TRUE,'RAW_AR_CONTENT'!$B106=SelectedScope),'RAW_AR_CONTENT'!H106,"")</f>
        <v>0</v>
      </c>
      <c r="I107" s="9">
        <f>IF(IF(SelectedScope="All India",TRUE,'RAW_AR_CONTENT'!$B106=SelectedScope),'RAW_AR_CONTENT'!I106,"")</f>
        <v>0</v>
      </c>
      <c r="J107" s="9">
        <f>IF(IF(SelectedScope="All India",TRUE,'RAW_AR_CONTENT'!$B106=SelectedScope),'RAW_AR_CONTENT'!J106,"")</f>
        <v>0</v>
      </c>
      <c r="K107" s="9">
        <f>IF(IF(SelectedScope="All India",TRUE,'RAW_AR_CONTENT'!$B106=SelectedScope),'RAW_AR_CONTENT'!K106,"")</f>
        <v>0</v>
      </c>
      <c r="L107" s="9">
        <f>IF(IF(SelectedScope="All India",TRUE,'RAW_AR_CONTENT'!$B106=SelectedScope),'RAW_AR_CONTENT'!L106,"")</f>
        <v>0</v>
      </c>
      <c r="M107" s="9">
        <f>IF(IF(SelectedScope="All India",TRUE,'RAW_AR_CONTENT'!$B106=SelectedScope),'RAW_AR_CONTENT'!M106,"")</f>
        <v>0</v>
      </c>
      <c r="N107" s="9">
        <f>IF(IF(SelectedScope="All India",TRUE,'RAW_AR_CONTENT'!$B106=SelectedScope),'RAW_AR_CONTENT'!N106,"")</f>
        <v>0</v>
      </c>
      <c r="O107" s="9">
        <f>IF(IF(SelectedScope="All India",TRUE,'RAW_AR_CONTENT'!$B106=SelectedScope),'RAW_AR_CONTENT'!O106,"")</f>
        <v>0</v>
      </c>
      <c r="P107" s="9">
        <f>IF(IF(SelectedScope="All India",TRUE,'RAW_AR_CONTENT'!$B106=SelectedScope),'RAW_AR_CONTENT'!P106,"")</f>
        <v>0</v>
      </c>
      <c r="Q107" s="9">
        <f>IF(IF(SelectedScope="All India",TRUE,'RAW_AR_CONTENT'!$B106=SelectedScope),'RAW_AR_CONTENT'!Q106,"")</f>
        <v>0</v>
      </c>
      <c r="R107" s="9">
        <f>IF(IF(SelectedScope="All India",TRUE,'RAW_AR_CONTENT'!$B106=SelectedScope),'RAW_AR_CONTENT'!R106,"")</f>
        <v>0</v>
      </c>
    </row>
    <row r="108" spans="1:18" ht="15" customHeight="1" x14ac:dyDescent="0.3">
      <c r="A108" s="12">
        <f>IF(IF(SelectedScope="All India",TRUE,'RAW_AR_CONTENT'!$B107=SelectedScope),'RAW_AR_CONTENT'!A107,"")</f>
        <v>104</v>
      </c>
      <c r="B108" s="12" t="str">
        <f>IF(IF(SelectedScope="All India",TRUE,'RAW_AR_CONTENT'!$B107=SelectedScope),'RAW_AR_CONTENT'!B107,"")</f>
        <v>Chhattisgarh</v>
      </c>
      <c r="C108" s="12" t="str">
        <f>IF(IF(SelectedScope="All India",TRUE,'RAW_AR_CONTENT'!$B107=SelectedScope),'RAW_AR_CONTENT'!C107,"")</f>
        <v>Environmental Science</v>
      </c>
      <c r="D108" s="12" t="str">
        <f>IF(IF(SelectedScope="All India",TRUE,'RAW_AR_CONTENT'!$B107=SelectedScope),'RAW_AR_CONTENT'!D107,"")</f>
        <v>Class 6</v>
      </c>
      <c r="E108" s="12" t="str">
        <f>IF(IF(SelectedScope="All India",TRUE,'RAW_AR_CONTENT'!$B107=SelectedScope),'RAW_AR_CONTENT'!E107,"")</f>
        <v>Food Chain</v>
      </c>
      <c r="F108" s="12" t="str">
        <f>IF(IF(SelectedScope="All India",TRUE,'RAW_AR_CONTENT'!$B107=SelectedScope),'RAW_AR_CONTENT'!F107,"")</f>
        <v>Animated</v>
      </c>
      <c r="G108" s="12" t="str">
        <f>IF(IF(SelectedScope="All India",TRUE,'RAW_AR_CONTENT'!$B107=SelectedScope),'RAW_AR_CONTENT'!G107,"")</f>
        <v>Active</v>
      </c>
      <c r="H108" s="12">
        <f>IF(IF(SelectedScope="All India",TRUE,'RAW_AR_CONTENT'!$B107=SelectedScope),'RAW_AR_CONTENT'!H107,"")</f>
        <v>0</v>
      </c>
      <c r="I108" s="12">
        <f>IF(IF(SelectedScope="All India",TRUE,'RAW_AR_CONTENT'!$B107=SelectedScope),'RAW_AR_CONTENT'!I107,"")</f>
        <v>0</v>
      </c>
      <c r="J108" s="12">
        <f>IF(IF(SelectedScope="All India",TRUE,'RAW_AR_CONTENT'!$B107=SelectedScope),'RAW_AR_CONTENT'!J107,"")</f>
        <v>0</v>
      </c>
      <c r="K108" s="12">
        <f>IF(IF(SelectedScope="All India",TRUE,'RAW_AR_CONTENT'!$B107=SelectedScope),'RAW_AR_CONTENT'!K107,"")</f>
        <v>0</v>
      </c>
      <c r="L108" s="12">
        <f>IF(IF(SelectedScope="All India",TRUE,'RAW_AR_CONTENT'!$B107=SelectedScope),'RAW_AR_CONTENT'!L107,"")</f>
        <v>0</v>
      </c>
      <c r="M108" s="12">
        <f>IF(IF(SelectedScope="All India",TRUE,'RAW_AR_CONTENT'!$B107=SelectedScope),'RAW_AR_CONTENT'!M107,"")</f>
        <v>0</v>
      </c>
      <c r="N108" s="12">
        <f>IF(IF(SelectedScope="All India",TRUE,'RAW_AR_CONTENT'!$B107=SelectedScope),'RAW_AR_CONTENT'!N107,"")</f>
        <v>0</v>
      </c>
      <c r="O108" s="12">
        <f>IF(IF(SelectedScope="All India",TRUE,'RAW_AR_CONTENT'!$B107=SelectedScope),'RAW_AR_CONTENT'!O107,"")</f>
        <v>0</v>
      </c>
      <c r="P108" s="12">
        <f>IF(IF(SelectedScope="All India",TRUE,'RAW_AR_CONTENT'!$B107=SelectedScope),'RAW_AR_CONTENT'!P107,"")</f>
        <v>0</v>
      </c>
      <c r="Q108" s="12">
        <f>IF(IF(SelectedScope="All India",TRUE,'RAW_AR_CONTENT'!$B107=SelectedScope),'RAW_AR_CONTENT'!Q107,"")</f>
        <v>0</v>
      </c>
      <c r="R108" s="12">
        <f>IF(IF(SelectedScope="All India",TRUE,'RAW_AR_CONTENT'!$B107=SelectedScope),'RAW_AR_CONTENT'!R107,"")</f>
        <v>0</v>
      </c>
    </row>
    <row r="109" spans="1:18" ht="15" customHeight="1" x14ac:dyDescent="0.3">
      <c r="A109" s="9">
        <f>IF(IF(SelectedScope="All India",TRUE,'RAW_AR_CONTENT'!$B108=SelectedScope),'RAW_AR_CONTENT'!A108,"")</f>
        <v>105</v>
      </c>
      <c r="B109" s="9" t="str">
        <f>IF(IF(SelectedScope="All India",TRUE,'RAW_AR_CONTENT'!$B108=SelectedScope),'RAW_AR_CONTENT'!B108,"")</f>
        <v>Chhattisgarh</v>
      </c>
      <c r="C109" s="9" t="str">
        <f>IF(IF(SelectedScope="All India",TRUE,'RAW_AR_CONTENT'!$B108=SelectedScope),'RAW_AR_CONTENT'!C108,"")</f>
        <v>Mathematics</v>
      </c>
      <c r="D109" s="9" t="str">
        <f>IF(IF(SelectedScope="All India",TRUE,'RAW_AR_CONTENT'!$B108=SelectedScope),'RAW_AR_CONTENT'!D108,"")</f>
        <v>Class 10</v>
      </c>
      <c r="E109" s="9" t="str">
        <f>IF(IF(SelectedScope="All India",TRUE,'RAW_AR_CONTENT'!$B108=SelectedScope),'RAW_AR_CONTENT'!E108,"")</f>
        <v>Quadratic Equations</v>
      </c>
      <c r="F109" s="9" t="str">
        <f>IF(IF(SelectedScope="All India",TRUE,'RAW_AR_CONTENT'!$B108=SelectedScope),'RAW_AR_CONTENT'!F108,"")</f>
        <v>Animated</v>
      </c>
      <c r="G109" s="9" t="str">
        <f>IF(IF(SelectedScope="All India",TRUE,'RAW_AR_CONTENT'!$B108=SelectedScope),'RAW_AR_CONTENT'!G108,"")</f>
        <v>Active</v>
      </c>
      <c r="H109" s="9">
        <f>IF(IF(SelectedScope="All India",TRUE,'RAW_AR_CONTENT'!$B108=SelectedScope),'RAW_AR_CONTENT'!H108,"")</f>
        <v>0</v>
      </c>
      <c r="I109" s="9">
        <f>IF(IF(SelectedScope="All India",TRUE,'RAW_AR_CONTENT'!$B108=SelectedScope),'RAW_AR_CONTENT'!I108,"")</f>
        <v>0</v>
      </c>
      <c r="J109" s="9">
        <f>IF(IF(SelectedScope="All India",TRUE,'RAW_AR_CONTENT'!$B108=SelectedScope),'RAW_AR_CONTENT'!J108,"")</f>
        <v>0</v>
      </c>
      <c r="K109" s="9">
        <f>IF(IF(SelectedScope="All India",TRUE,'RAW_AR_CONTENT'!$B108=SelectedScope),'RAW_AR_CONTENT'!K108,"")</f>
        <v>0</v>
      </c>
      <c r="L109" s="9">
        <f>IF(IF(SelectedScope="All India",TRUE,'RAW_AR_CONTENT'!$B108=SelectedScope),'RAW_AR_CONTENT'!L108,"")</f>
        <v>0</v>
      </c>
      <c r="M109" s="9">
        <f>IF(IF(SelectedScope="All India",TRUE,'RAW_AR_CONTENT'!$B108=SelectedScope),'RAW_AR_CONTENT'!M108,"")</f>
        <v>0</v>
      </c>
      <c r="N109" s="9">
        <f>IF(IF(SelectedScope="All India",TRUE,'RAW_AR_CONTENT'!$B108=SelectedScope),'RAW_AR_CONTENT'!N108,"")</f>
        <v>0</v>
      </c>
      <c r="O109" s="9">
        <f>IF(IF(SelectedScope="All India",TRUE,'RAW_AR_CONTENT'!$B108=SelectedScope),'RAW_AR_CONTENT'!O108,"")</f>
        <v>0</v>
      </c>
      <c r="P109" s="9">
        <f>IF(IF(SelectedScope="All India",TRUE,'RAW_AR_CONTENT'!$B108=SelectedScope),'RAW_AR_CONTENT'!P108,"")</f>
        <v>0</v>
      </c>
      <c r="Q109" s="9">
        <f>IF(IF(SelectedScope="All India",TRUE,'RAW_AR_CONTENT'!$B108=SelectedScope),'RAW_AR_CONTENT'!Q108,"")</f>
        <v>0</v>
      </c>
      <c r="R109" s="9">
        <f>IF(IF(SelectedScope="All India",TRUE,'RAW_AR_CONTENT'!$B108=SelectedScope),'RAW_AR_CONTENT'!R108,"")</f>
        <v>0</v>
      </c>
    </row>
    <row r="110" spans="1:18" ht="15" customHeight="1" x14ac:dyDescent="0.3">
      <c r="A110" s="12">
        <f>IF(IF(SelectedScope="All India",TRUE,'RAW_AR_CONTENT'!$B109=SelectedScope),'RAW_AR_CONTENT'!A109,"")</f>
        <v>106</v>
      </c>
      <c r="B110" s="12" t="str">
        <f>IF(IF(SelectedScope="All India",TRUE,'RAW_AR_CONTENT'!$B109=SelectedScope),'RAW_AR_CONTENT'!B109,"")</f>
        <v>Dadra and Nagar Haveli and Daman and Diu</v>
      </c>
      <c r="C110" s="12" t="str">
        <f>IF(IF(SelectedScope="All India",TRUE,'RAW_AR_CONTENT'!$B109=SelectedScope),'RAW_AR_CONTENT'!C109,"")</f>
        <v>Science</v>
      </c>
      <c r="D110" s="12" t="str">
        <f>IF(IF(SelectedScope="All India",TRUE,'RAW_AR_CONTENT'!$B109=SelectedScope),'RAW_AR_CONTENT'!D109,"")</f>
        <v>Class 8</v>
      </c>
      <c r="E110" s="12" t="str">
        <f>IF(IF(SelectedScope="All India",TRUE,'RAW_AR_CONTENT'!$B109=SelectedScope),'RAW_AR_CONTENT'!E109,"")</f>
        <v>Solar System 3D</v>
      </c>
      <c r="F110" s="12" t="str">
        <f>IF(IF(SelectedScope="All India",TRUE,'RAW_AR_CONTENT'!$B109=SelectedScope),'RAW_AR_CONTENT'!F109,"")</f>
        <v>Animated</v>
      </c>
      <c r="G110" s="12" t="str">
        <f>IF(IF(SelectedScope="All India",TRUE,'RAW_AR_CONTENT'!$B109=SelectedScope),'RAW_AR_CONTENT'!G109,"")</f>
        <v>Active</v>
      </c>
      <c r="H110" s="12">
        <f>IF(IF(SelectedScope="All India",TRUE,'RAW_AR_CONTENT'!$B109=SelectedScope),'RAW_AR_CONTENT'!H109,"")</f>
        <v>0</v>
      </c>
      <c r="I110" s="12">
        <f>IF(IF(SelectedScope="All India",TRUE,'RAW_AR_CONTENT'!$B109=SelectedScope),'RAW_AR_CONTENT'!I109,"")</f>
        <v>0</v>
      </c>
      <c r="J110" s="12">
        <f>IF(IF(SelectedScope="All India",TRUE,'RAW_AR_CONTENT'!$B109=SelectedScope),'RAW_AR_CONTENT'!J109,"")</f>
        <v>0</v>
      </c>
      <c r="K110" s="12">
        <f>IF(IF(SelectedScope="All India",TRUE,'RAW_AR_CONTENT'!$B109=SelectedScope),'RAW_AR_CONTENT'!K109,"")</f>
        <v>0</v>
      </c>
      <c r="L110" s="12">
        <f>IF(IF(SelectedScope="All India",TRUE,'RAW_AR_CONTENT'!$B109=SelectedScope),'RAW_AR_CONTENT'!L109,"")</f>
        <v>0</v>
      </c>
      <c r="M110" s="12">
        <f>IF(IF(SelectedScope="All India",TRUE,'RAW_AR_CONTENT'!$B109=SelectedScope),'RAW_AR_CONTENT'!M109,"")</f>
        <v>0</v>
      </c>
      <c r="N110" s="12">
        <f>IF(IF(SelectedScope="All India",TRUE,'RAW_AR_CONTENT'!$B109=SelectedScope),'RAW_AR_CONTENT'!N109,"")</f>
        <v>0</v>
      </c>
      <c r="O110" s="12">
        <f>IF(IF(SelectedScope="All India",TRUE,'RAW_AR_CONTENT'!$B109=SelectedScope),'RAW_AR_CONTENT'!O109,"")</f>
        <v>0</v>
      </c>
      <c r="P110" s="12">
        <f>IF(IF(SelectedScope="All India",TRUE,'RAW_AR_CONTENT'!$B109=SelectedScope),'RAW_AR_CONTENT'!P109,"")</f>
        <v>0</v>
      </c>
      <c r="Q110" s="12">
        <f>IF(IF(SelectedScope="All India",TRUE,'RAW_AR_CONTENT'!$B109=SelectedScope),'RAW_AR_CONTENT'!Q109,"")</f>
        <v>0</v>
      </c>
      <c r="R110" s="12">
        <f>IF(IF(SelectedScope="All India",TRUE,'RAW_AR_CONTENT'!$B109=SelectedScope),'RAW_AR_CONTENT'!R109,"")</f>
        <v>0</v>
      </c>
    </row>
    <row r="111" spans="1:18" ht="15" customHeight="1" x14ac:dyDescent="0.3">
      <c r="A111" s="9">
        <f>IF(IF(SelectedScope="All India",TRUE,'RAW_AR_CONTENT'!$B110=SelectedScope),'RAW_AR_CONTENT'!A110,"")</f>
        <v>107</v>
      </c>
      <c r="B111" s="9" t="str">
        <f>IF(IF(SelectedScope="All India",TRUE,'RAW_AR_CONTENT'!$B110=SelectedScope),'RAW_AR_CONTENT'!B110,"")</f>
        <v>Dadra and Nagar Haveli and Daman and Diu</v>
      </c>
      <c r="C111" s="9" t="str">
        <f>IF(IF(SelectedScope="All India",TRUE,'RAW_AR_CONTENT'!$B110=SelectedScope),'RAW_AR_CONTENT'!C110,"")</f>
        <v>Biology</v>
      </c>
      <c r="D111" s="9" t="str">
        <f>IF(IF(SelectedScope="All India",TRUE,'RAW_AR_CONTENT'!$B110=SelectedScope),'RAW_AR_CONTENT'!D110,"")</f>
        <v>Class 9</v>
      </c>
      <c r="E111" s="9" t="str">
        <f>IF(IF(SelectedScope="All India",TRUE,'RAW_AR_CONTENT'!$B110=SelectedScope),'RAW_AR_CONTENT'!E110,"")</f>
        <v>Cell Division</v>
      </c>
      <c r="F111" s="9" t="str">
        <f>IF(IF(SelectedScope="All India",TRUE,'RAW_AR_CONTENT'!$B110=SelectedScope),'RAW_AR_CONTENT'!F110,"")</f>
        <v>Interactive</v>
      </c>
      <c r="G111" s="9" t="str">
        <f>IF(IF(SelectedScope="All India",TRUE,'RAW_AR_CONTENT'!$B110=SelectedScope),'RAW_AR_CONTENT'!G110,"")</f>
        <v>Active</v>
      </c>
      <c r="H111" s="9">
        <f>IF(IF(SelectedScope="All India",TRUE,'RAW_AR_CONTENT'!$B110=SelectedScope),'RAW_AR_CONTENT'!H110,"")</f>
        <v>0</v>
      </c>
      <c r="I111" s="9">
        <f>IF(IF(SelectedScope="All India",TRUE,'RAW_AR_CONTENT'!$B110=SelectedScope),'RAW_AR_CONTENT'!I110,"")</f>
        <v>0</v>
      </c>
      <c r="J111" s="9">
        <f>IF(IF(SelectedScope="All India",TRUE,'RAW_AR_CONTENT'!$B110=SelectedScope),'RAW_AR_CONTENT'!J110,"")</f>
        <v>0</v>
      </c>
      <c r="K111" s="9">
        <f>IF(IF(SelectedScope="All India",TRUE,'RAW_AR_CONTENT'!$B110=SelectedScope),'RAW_AR_CONTENT'!K110,"")</f>
        <v>0</v>
      </c>
      <c r="L111" s="9">
        <f>IF(IF(SelectedScope="All India",TRUE,'RAW_AR_CONTENT'!$B110=SelectedScope),'RAW_AR_CONTENT'!L110,"")</f>
        <v>0</v>
      </c>
      <c r="M111" s="9">
        <f>IF(IF(SelectedScope="All India",TRUE,'RAW_AR_CONTENT'!$B110=SelectedScope),'RAW_AR_CONTENT'!M110,"")</f>
        <v>0</v>
      </c>
      <c r="N111" s="9">
        <f>IF(IF(SelectedScope="All India",TRUE,'RAW_AR_CONTENT'!$B110=SelectedScope),'RAW_AR_CONTENT'!N110,"")</f>
        <v>0</v>
      </c>
      <c r="O111" s="9">
        <f>IF(IF(SelectedScope="All India",TRUE,'RAW_AR_CONTENT'!$B110=SelectedScope),'RAW_AR_CONTENT'!O110,"")</f>
        <v>0</v>
      </c>
      <c r="P111" s="9">
        <f>IF(IF(SelectedScope="All India",TRUE,'RAW_AR_CONTENT'!$B110=SelectedScope),'RAW_AR_CONTENT'!P110,"")</f>
        <v>0</v>
      </c>
      <c r="Q111" s="9">
        <f>IF(IF(SelectedScope="All India",TRUE,'RAW_AR_CONTENT'!$B110=SelectedScope),'RAW_AR_CONTENT'!Q110,"")</f>
        <v>0</v>
      </c>
      <c r="R111" s="9">
        <f>IF(IF(SelectedScope="All India",TRUE,'RAW_AR_CONTENT'!$B110=SelectedScope),'RAW_AR_CONTENT'!R110,"")</f>
        <v>0</v>
      </c>
    </row>
    <row r="112" spans="1:18" ht="15" customHeight="1" x14ac:dyDescent="0.3">
      <c r="A112" s="12">
        <f>IF(IF(SelectedScope="All India",TRUE,'RAW_AR_CONTENT'!$B111=SelectedScope),'RAW_AR_CONTENT'!A111,"")</f>
        <v>108</v>
      </c>
      <c r="B112" s="12" t="str">
        <f>IF(IF(SelectedScope="All India",TRUE,'RAW_AR_CONTENT'!$B111=SelectedScope),'RAW_AR_CONTENT'!B111,"")</f>
        <v>Dadra and Nagar Haveli and Daman and Diu</v>
      </c>
      <c r="C112" s="12" t="str">
        <f>IF(IF(SelectedScope="All India",TRUE,'RAW_AR_CONTENT'!$B111=SelectedScope),'RAW_AR_CONTENT'!C111,"")</f>
        <v>Chemistry</v>
      </c>
      <c r="D112" s="12" t="str">
        <f>IF(IF(SelectedScope="All India",TRUE,'RAW_AR_CONTENT'!$B111=SelectedScope),'RAW_AR_CONTENT'!D111,"")</f>
        <v>Class 9</v>
      </c>
      <c r="E112" s="12" t="str">
        <f>IF(IF(SelectedScope="All India",TRUE,'RAW_AR_CONTENT'!$B111=SelectedScope),'RAW_AR_CONTENT'!E111,"")</f>
        <v>Atoms and Molecules</v>
      </c>
      <c r="F112" s="12" t="str">
        <f>IF(IF(SelectedScope="All India",TRUE,'RAW_AR_CONTENT'!$B111=SelectedScope),'RAW_AR_CONTENT'!F111,"")</f>
        <v>Animated</v>
      </c>
      <c r="G112" s="12" t="str">
        <f>IF(IF(SelectedScope="All India",TRUE,'RAW_AR_CONTENT'!$B111=SelectedScope),'RAW_AR_CONTENT'!G111,"")</f>
        <v>Active</v>
      </c>
      <c r="H112" s="12">
        <f>IF(IF(SelectedScope="All India",TRUE,'RAW_AR_CONTENT'!$B111=SelectedScope),'RAW_AR_CONTENT'!H111,"")</f>
        <v>0</v>
      </c>
      <c r="I112" s="12">
        <f>IF(IF(SelectedScope="All India",TRUE,'RAW_AR_CONTENT'!$B111=SelectedScope),'RAW_AR_CONTENT'!I111,"")</f>
        <v>0</v>
      </c>
      <c r="J112" s="12">
        <f>IF(IF(SelectedScope="All India",TRUE,'RAW_AR_CONTENT'!$B111=SelectedScope),'RAW_AR_CONTENT'!J111,"")</f>
        <v>0</v>
      </c>
      <c r="K112" s="12">
        <f>IF(IF(SelectedScope="All India",TRUE,'RAW_AR_CONTENT'!$B111=SelectedScope),'RAW_AR_CONTENT'!K111,"")</f>
        <v>0</v>
      </c>
      <c r="L112" s="12">
        <f>IF(IF(SelectedScope="All India",TRUE,'RAW_AR_CONTENT'!$B111=SelectedScope),'RAW_AR_CONTENT'!L111,"")</f>
        <v>0</v>
      </c>
      <c r="M112" s="12">
        <f>IF(IF(SelectedScope="All India",TRUE,'RAW_AR_CONTENT'!$B111=SelectedScope),'RAW_AR_CONTENT'!M111,"")</f>
        <v>0</v>
      </c>
      <c r="N112" s="12">
        <f>IF(IF(SelectedScope="All India",TRUE,'RAW_AR_CONTENT'!$B111=SelectedScope),'RAW_AR_CONTENT'!N111,"")</f>
        <v>0</v>
      </c>
      <c r="O112" s="12">
        <f>IF(IF(SelectedScope="All India",TRUE,'RAW_AR_CONTENT'!$B111=SelectedScope),'RAW_AR_CONTENT'!O111,"")</f>
        <v>0</v>
      </c>
      <c r="P112" s="12">
        <f>IF(IF(SelectedScope="All India",TRUE,'RAW_AR_CONTENT'!$B111=SelectedScope),'RAW_AR_CONTENT'!P111,"")</f>
        <v>0</v>
      </c>
      <c r="Q112" s="12">
        <f>IF(IF(SelectedScope="All India",TRUE,'RAW_AR_CONTENT'!$B111=SelectedScope),'RAW_AR_CONTENT'!Q111,"")</f>
        <v>0</v>
      </c>
      <c r="R112" s="12">
        <f>IF(IF(SelectedScope="All India",TRUE,'RAW_AR_CONTENT'!$B111=SelectedScope),'RAW_AR_CONTENT'!R111,"")</f>
        <v>0</v>
      </c>
    </row>
    <row r="113" spans="1:18" ht="15" customHeight="1" x14ac:dyDescent="0.3">
      <c r="A113" s="9">
        <f>IF(IF(SelectedScope="All India",TRUE,'RAW_AR_CONTENT'!$B112=SelectedScope),'RAW_AR_CONTENT'!A112,"")</f>
        <v>109</v>
      </c>
      <c r="B113" s="9" t="str">
        <f>IF(IF(SelectedScope="All India",TRUE,'RAW_AR_CONTENT'!$B112=SelectedScope),'RAW_AR_CONTENT'!B112,"")</f>
        <v>Dadra and Nagar Haveli and Daman and Diu</v>
      </c>
      <c r="C113" s="9" t="str">
        <f>IF(IF(SelectedScope="All India",TRUE,'RAW_AR_CONTENT'!$B112=SelectedScope),'RAW_AR_CONTENT'!C112,"")</f>
        <v>Biology</v>
      </c>
      <c r="D113" s="9" t="str">
        <f>IF(IF(SelectedScope="All India",TRUE,'RAW_AR_CONTENT'!$B112=SelectedScope),'RAW_AR_CONTENT'!D112,"")</f>
        <v>Class 7</v>
      </c>
      <c r="E113" s="9" t="str">
        <f>IF(IF(SelectedScope="All India",TRUE,'RAW_AR_CONTENT'!$B112=SelectedScope),'RAW_AR_CONTENT'!E112,"")</f>
        <v>Photosynthesis</v>
      </c>
      <c r="F113" s="9" t="str">
        <f>IF(IF(SelectedScope="All India",TRUE,'RAW_AR_CONTENT'!$B112=SelectedScope),'RAW_AR_CONTENT'!F112,"")</f>
        <v>Basic 3D</v>
      </c>
      <c r="G113" s="9" t="str">
        <f>IF(IF(SelectedScope="All India",TRUE,'RAW_AR_CONTENT'!$B112=SelectedScope),'RAW_AR_CONTENT'!G112,"")</f>
        <v>Active</v>
      </c>
      <c r="H113" s="9">
        <f>IF(IF(SelectedScope="All India",TRUE,'RAW_AR_CONTENT'!$B112=SelectedScope),'RAW_AR_CONTENT'!H112,"")</f>
        <v>0</v>
      </c>
      <c r="I113" s="9">
        <f>IF(IF(SelectedScope="All India",TRUE,'RAW_AR_CONTENT'!$B112=SelectedScope),'RAW_AR_CONTENT'!I112,"")</f>
        <v>0</v>
      </c>
      <c r="J113" s="9">
        <f>IF(IF(SelectedScope="All India",TRUE,'RAW_AR_CONTENT'!$B112=SelectedScope),'RAW_AR_CONTENT'!J112,"")</f>
        <v>0</v>
      </c>
      <c r="K113" s="9">
        <f>IF(IF(SelectedScope="All India",TRUE,'RAW_AR_CONTENT'!$B112=SelectedScope),'RAW_AR_CONTENT'!K112,"")</f>
        <v>0</v>
      </c>
      <c r="L113" s="9">
        <f>IF(IF(SelectedScope="All India",TRUE,'RAW_AR_CONTENT'!$B112=SelectedScope),'RAW_AR_CONTENT'!L112,"")</f>
        <v>0</v>
      </c>
      <c r="M113" s="9">
        <f>IF(IF(SelectedScope="All India",TRUE,'RAW_AR_CONTENT'!$B112=SelectedScope),'RAW_AR_CONTENT'!M112,"")</f>
        <v>0</v>
      </c>
      <c r="N113" s="9">
        <f>IF(IF(SelectedScope="All India",TRUE,'RAW_AR_CONTENT'!$B112=SelectedScope),'RAW_AR_CONTENT'!N112,"")</f>
        <v>0</v>
      </c>
      <c r="O113" s="9">
        <f>IF(IF(SelectedScope="All India",TRUE,'RAW_AR_CONTENT'!$B112=SelectedScope),'RAW_AR_CONTENT'!O112,"")</f>
        <v>0</v>
      </c>
      <c r="P113" s="9">
        <f>IF(IF(SelectedScope="All India",TRUE,'RAW_AR_CONTENT'!$B112=SelectedScope),'RAW_AR_CONTENT'!P112,"")</f>
        <v>0</v>
      </c>
      <c r="Q113" s="9">
        <f>IF(IF(SelectedScope="All India",TRUE,'RAW_AR_CONTENT'!$B112=SelectedScope),'RAW_AR_CONTENT'!Q112,"")</f>
        <v>0</v>
      </c>
      <c r="R113" s="9">
        <f>IF(IF(SelectedScope="All India",TRUE,'RAW_AR_CONTENT'!$B112=SelectedScope),'RAW_AR_CONTENT'!R112,"")</f>
        <v>0</v>
      </c>
    </row>
    <row r="114" spans="1:18" ht="15" customHeight="1" x14ac:dyDescent="0.3">
      <c r="A114" s="12">
        <f>IF(IF(SelectedScope="All India",TRUE,'RAW_AR_CONTENT'!$B113=SelectedScope),'RAW_AR_CONTENT'!A113,"")</f>
        <v>110</v>
      </c>
      <c r="B114" s="12" t="str">
        <f>IF(IF(SelectedScope="All India",TRUE,'RAW_AR_CONTENT'!$B113=SelectedScope),'RAW_AR_CONTENT'!B113,"")</f>
        <v>Dadra and Nagar Haveli and Daman and Diu</v>
      </c>
      <c r="C114" s="12" t="str">
        <f>IF(IF(SelectedScope="All India",TRUE,'RAW_AR_CONTENT'!$B113=SelectedScope),'RAW_AR_CONTENT'!C113,"")</f>
        <v>Mathematics</v>
      </c>
      <c r="D114" s="12" t="str">
        <f>IF(IF(SelectedScope="All India",TRUE,'RAW_AR_CONTENT'!$B113=SelectedScope),'RAW_AR_CONTENT'!D113,"")</f>
        <v>Class 7</v>
      </c>
      <c r="E114" s="12" t="str">
        <f>IF(IF(SelectedScope="All India",TRUE,'RAW_AR_CONTENT'!$B113=SelectedScope),'RAW_AR_CONTENT'!E113,"")</f>
        <v>Fractions 3D Model</v>
      </c>
      <c r="F114" s="12" t="str">
        <f>IF(IF(SelectedScope="All India",TRUE,'RAW_AR_CONTENT'!$B113=SelectedScope),'RAW_AR_CONTENT'!F113,"")</f>
        <v>Interactive</v>
      </c>
      <c r="G114" s="12" t="str">
        <f>IF(IF(SelectedScope="All India",TRUE,'RAW_AR_CONTENT'!$B113=SelectedScope),'RAW_AR_CONTENT'!G113,"")</f>
        <v>Active</v>
      </c>
      <c r="H114" s="12">
        <f>IF(IF(SelectedScope="All India",TRUE,'RAW_AR_CONTENT'!$B113=SelectedScope),'RAW_AR_CONTENT'!H113,"")</f>
        <v>0</v>
      </c>
      <c r="I114" s="12">
        <f>IF(IF(SelectedScope="All India",TRUE,'RAW_AR_CONTENT'!$B113=SelectedScope),'RAW_AR_CONTENT'!I113,"")</f>
        <v>0</v>
      </c>
      <c r="J114" s="12">
        <f>IF(IF(SelectedScope="All India",TRUE,'RAW_AR_CONTENT'!$B113=SelectedScope),'RAW_AR_CONTENT'!J113,"")</f>
        <v>0</v>
      </c>
      <c r="K114" s="12">
        <f>IF(IF(SelectedScope="All India",TRUE,'RAW_AR_CONTENT'!$B113=SelectedScope),'RAW_AR_CONTENT'!K113,"")</f>
        <v>0</v>
      </c>
      <c r="L114" s="12">
        <f>IF(IF(SelectedScope="All India",TRUE,'RAW_AR_CONTENT'!$B113=SelectedScope),'RAW_AR_CONTENT'!L113,"")</f>
        <v>0</v>
      </c>
      <c r="M114" s="12">
        <f>IF(IF(SelectedScope="All India",TRUE,'RAW_AR_CONTENT'!$B113=SelectedScope),'RAW_AR_CONTENT'!M113,"")</f>
        <v>0</v>
      </c>
      <c r="N114" s="12">
        <f>IF(IF(SelectedScope="All India",TRUE,'RAW_AR_CONTENT'!$B113=SelectedScope),'RAW_AR_CONTENT'!N113,"")</f>
        <v>0</v>
      </c>
      <c r="O114" s="12">
        <f>IF(IF(SelectedScope="All India",TRUE,'RAW_AR_CONTENT'!$B113=SelectedScope),'RAW_AR_CONTENT'!O113,"")</f>
        <v>0</v>
      </c>
      <c r="P114" s="12">
        <f>IF(IF(SelectedScope="All India",TRUE,'RAW_AR_CONTENT'!$B113=SelectedScope),'RAW_AR_CONTENT'!P113,"")</f>
        <v>0</v>
      </c>
      <c r="Q114" s="12">
        <f>IF(IF(SelectedScope="All India",TRUE,'RAW_AR_CONTENT'!$B113=SelectedScope),'RAW_AR_CONTENT'!Q113,"")</f>
        <v>0</v>
      </c>
      <c r="R114" s="12">
        <f>IF(IF(SelectedScope="All India",TRUE,'RAW_AR_CONTENT'!$B113=SelectedScope),'RAW_AR_CONTENT'!R113,"")</f>
        <v>0</v>
      </c>
    </row>
    <row r="115" spans="1:18" ht="15" customHeight="1" x14ac:dyDescent="0.3">
      <c r="A115" s="9">
        <f>IF(IF(SelectedScope="All India",TRUE,'RAW_AR_CONTENT'!$B114=SelectedScope),'RAW_AR_CONTENT'!A114,"")</f>
        <v>111</v>
      </c>
      <c r="B115" s="9" t="str">
        <f>IF(IF(SelectedScope="All India",TRUE,'RAW_AR_CONTENT'!$B114=SelectedScope),'RAW_AR_CONTENT'!B114,"")</f>
        <v>Dadra and Nagar Haveli and Daman and Diu</v>
      </c>
      <c r="C115" s="9" t="str">
        <f>IF(IF(SelectedScope="All India",TRUE,'RAW_AR_CONTENT'!$B114=SelectedScope),'RAW_AR_CONTENT'!C114,"")</f>
        <v>Mathematics</v>
      </c>
      <c r="D115" s="9" t="str">
        <f>IF(IF(SelectedScope="All India",TRUE,'RAW_AR_CONTENT'!$B114=SelectedScope),'RAW_AR_CONTENT'!D114,"")</f>
        <v>Class 10</v>
      </c>
      <c r="E115" s="9" t="str">
        <f>IF(IF(SelectedScope="All India",TRUE,'RAW_AR_CONTENT'!$B114=SelectedScope),'RAW_AR_CONTENT'!E114,"")</f>
        <v>Trigonometry 3D</v>
      </c>
      <c r="F115" s="9" t="str">
        <f>IF(IF(SelectedScope="All India",TRUE,'RAW_AR_CONTENT'!$B114=SelectedScope),'RAW_AR_CONTENT'!F114,"")</f>
        <v>Animated</v>
      </c>
      <c r="G115" s="9" t="str">
        <f>IF(IF(SelectedScope="All India",TRUE,'RAW_AR_CONTENT'!$B114=SelectedScope),'RAW_AR_CONTENT'!G114,"")</f>
        <v>Active</v>
      </c>
      <c r="H115" s="9">
        <f>IF(IF(SelectedScope="All India",TRUE,'RAW_AR_CONTENT'!$B114=SelectedScope),'RAW_AR_CONTENT'!H114,"")</f>
        <v>0</v>
      </c>
      <c r="I115" s="9">
        <f>IF(IF(SelectedScope="All India",TRUE,'RAW_AR_CONTENT'!$B114=SelectedScope),'RAW_AR_CONTENT'!I114,"")</f>
        <v>0</v>
      </c>
      <c r="J115" s="9">
        <f>IF(IF(SelectedScope="All India",TRUE,'RAW_AR_CONTENT'!$B114=SelectedScope),'RAW_AR_CONTENT'!J114,"")</f>
        <v>0</v>
      </c>
      <c r="K115" s="9">
        <f>IF(IF(SelectedScope="All India",TRUE,'RAW_AR_CONTENT'!$B114=SelectedScope),'RAW_AR_CONTENT'!K114,"")</f>
        <v>0</v>
      </c>
      <c r="L115" s="9">
        <f>IF(IF(SelectedScope="All India",TRUE,'RAW_AR_CONTENT'!$B114=SelectedScope),'RAW_AR_CONTENT'!L114,"")</f>
        <v>0</v>
      </c>
      <c r="M115" s="9">
        <f>IF(IF(SelectedScope="All India",TRUE,'RAW_AR_CONTENT'!$B114=SelectedScope),'RAW_AR_CONTENT'!M114,"")</f>
        <v>0</v>
      </c>
      <c r="N115" s="9">
        <f>IF(IF(SelectedScope="All India",TRUE,'RAW_AR_CONTENT'!$B114=SelectedScope),'RAW_AR_CONTENT'!N114,"")</f>
        <v>0</v>
      </c>
      <c r="O115" s="9">
        <f>IF(IF(SelectedScope="All India",TRUE,'RAW_AR_CONTENT'!$B114=SelectedScope),'RAW_AR_CONTENT'!O114,"")</f>
        <v>0</v>
      </c>
      <c r="P115" s="9">
        <f>IF(IF(SelectedScope="All India",TRUE,'RAW_AR_CONTENT'!$B114=SelectedScope),'RAW_AR_CONTENT'!P114,"")</f>
        <v>0</v>
      </c>
      <c r="Q115" s="9">
        <f>IF(IF(SelectedScope="All India",TRUE,'RAW_AR_CONTENT'!$B114=SelectedScope),'RAW_AR_CONTENT'!Q114,"")</f>
        <v>0</v>
      </c>
      <c r="R115" s="9">
        <f>IF(IF(SelectedScope="All India",TRUE,'RAW_AR_CONTENT'!$B114=SelectedScope),'RAW_AR_CONTENT'!R114,"")</f>
        <v>0</v>
      </c>
    </row>
    <row r="116" spans="1:18" ht="15" customHeight="1" x14ac:dyDescent="0.3">
      <c r="A116" s="12">
        <f>IF(IF(SelectedScope="All India",TRUE,'RAW_AR_CONTENT'!$B115=SelectedScope),'RAW_AR_CONTENT'!A115,"")</f>
        <v>112</v>
      </c>
      <c r="B116" s="12" t="str">
        <f>IF(IF(SelectedScope="All India",TRUE,'RAW_AR_CONTENT'!$B115=SelectedScope),'RAW_AR_CONTENT'!B115,"")</f>
        <v>Dadra and Nagar Haveli and Daman and Diu</v>
      </c>
      <c r="C116" s="12" t="str">
        <f>IF(IF(SelectedScope="All India",TRUE,'RAW_AR_CONTENT'!$B115=SelectedScope),'RAW_AR_CONTENT'!C115,"")</f>
        <v>History</v>
      </c>
      <c r="D116" s="12" t="str">
        <f>IF(IF(SelectedScope="All India",TRUE,'RAW_AR_CONTENT'!$B115=SelectedScope),'RAW_AR_CONTENT'!D115,"")</f>
        <v>Class 10</v>
      </c>
      <c r="E116" s="12" t="str">
        <f>IF(IF(SelectedScope="All India",TRUE,'RAW_AR_CONTENT'!$B115=SelectedScope),'RAW_AR_CONTENT'!E115,"")</f>
        <v>Mughal Empire AR</v>
      </c>
      <c r="F116" s="12" t="str">
        <f>IF(IF(SelectedScope="All India",TRUE,'RAW_AR_CONTENT'!$B115=SelectedScope),'RAW_AR_CONTENT'!F115,"")</f>
        <v>Basic 3D</v>
      </c>
      <c r="G116" s="12" t="str">
        <f>IF(IF(SelectedScope="All India",TRUE,'RAW_AR_CONTENT'!$B115=SelectedScope),'RAW_AR_CONTENT'!G115,"")</f>
        <v>Active</v>
      </c>
      <c r="H116" s="12">
        <f>IF(IF(SelectedScope="All India",TRUE,'RAW_AR_CONTENT'!$B115=SelectedScope),'RAW_AR_CONTENT'!H115,"")</f>
        <v>0</v>
      </c>
      <c r="I116" s="12">
        <f>IF(IF(SelectedScope="All India",TRUE,'RAW_AR_CONTENT'!$B115=SelectedScope),'RAW_AR_CONTENT'!I115,"")</f>
        <v>0</v>
      </c>
      <c r="J116" s="12">
        <f>IF(IF(SelectedScope="All India",TRUE,'RAW_AR_CONTENT'!$B115=SelectedScope),'RAW_AR_CONTENT'!J115,"")</f>
        <v>0</v>
      </c>
      <c r="K116" s="12">
        <f>IF(IF(SelectedScope="All India",TRUE,'RAW_AR_CONTENT'!$B115=SelectedScope),'RAW_AR_CONTENT'!K115,"")</f>
        <v>0</v>
      </c>
      <c r="L116" s="12">
        <f>IF(IF(SelectedScope="All India",TRUE,'RAW_AR_CONTENT'!$B115=SelectedScope),'RAW_AR_CONTENT'!L115,"")</f>
        <v>0</v>
      </c>
      <c r="M116" s="12">
        <f>IF(IF(SelectedScope="All India",TRUE,'RAW_AR_CONTENT'!$B115=SelectedScope),'RAW_AR_CONTENT'!M115,"")</f>
        <v>0</v>
      </c>
      <c r="N116" s="12">
        <f>IF(IF(SelectedScope="All India",TRUE,'RAW_AR_CONTENT'!$B115=SelectedScope),'RAW_AR_CONTENT'!N115,"")</f>
        <v>0</v>
      </c>
      <c r="O116" s="12">
        <f>IF(IF(SelectedScope="All India",TRUE,'RAW_AR_CONTENT'!$B115=SelectedScope),'RAW_AR_CONTENT'!O115,"")</f>
        <v>0</v>
      </c>
      <c r="P116" s="12">
        <f>IF(IF(SelectedScope="All India",TRUE,'RAW_AR_CONTENT'!$B115=SelectedScope),'RAW_AR_CONTENT'!P115,"")</f>
        <v>0</v>
      </c>
      <c r="Q116" s="12">
        <f>IF(IF(SelectedScope="All India",TRUE,'RAW_AR_CONTENT'!$B115=SelectedScope),'RAW_AR_CONTENT'!Q115,"")</f>
        <v>0</v>
      </c>
      <c r="R116" s="12">
        <f>IF(IF(SelectedScope="All India",TRUE,'RAW_AR_CONTENT'!$B115=SelectedScope),'RAW_AR_CONTENT'!R115,"")</f>
        <v>0</v>
      </c>
    </row>
    <row r="117" spans="1:18" ht="15" customHeight="1" x14ac:dyDescent="0.3">
      <c r="A117" s="9">
        <f>IF(IF(SelectedScope="All India",TRUE,'RAW_AR_CONTENT'!$B116=SelectedScope),'RAW_AR_CONTENT'!A116,"")</f>
        <v>113</v>
      </c>
      <c r="B117" s="9" t="str">
        <f>IF(IF(SelectedScope="All India",TRUE,'RAW_AR_CONTENT'!$B116=SelectedScope),'RAW_AR_CONTENT'!B116,"")</f>
        <v>Dadra and Nagar Haveli and Daman and Diu</v>
      </c>
      <c r="C117" s="9" t="str">
        <f>IF(IF(SelectedScope="All India",TRUE,'RAW_AR_CONTENT'!$B116=SelectedScope),'RAW_AR_CONTENT'!C116,"")</f>
        <v>Geography</v>
      </c>
      <c r="D117" s="9" t="str">
        <f>IF(IF(SelectedScope="All India",TRUE,'RAW_AR_CONTENT'!$B116=SelectedScope),'RAW_AR_CONTENT'!D116,"")</f>
        <v>Class 6</v>
      </c>
      <c r="E117" s="9" t="str">
        <f>IF(IF(SelectedScope="All India",TRUE,'RAW_AR_CONTENT'!$B116=SelectedScope),'RAW_AR_CONTENT'!E116,"")</f>
        <v>Water Cycle Simulation</v>
      </c>
      <c r="F117" s="9" t="str">
        <f>IF(IF(SelectedScope="All India",TRUE,'RAW_AR_CONTENT'!$B116=SelectedScope),'RAW_AR_CONTENT'!F116,"")</f>
        <v>Animated</v>
      </c>
      <c r="G117" s="9" t="str">
        <f>IF(IF(SelectedScope="All India",TRUE,'RAW_AR_CONTENT'!$B116=SelectedScope),'RAW_AR_CONTENT'!G116,"")</f>
        <v>Active</v>
      </c>
      <c r="H117" s="9">
        <f>IF(IF(SelectedScope="All India",TRUE,'RAW_AR_CONTENT'!$B116=SelectedScope),'RAW_AR_CONTENT'!H116,"")</f>
        <v>0</v>
      </c>
      <c r="I117" s="9">
        <f>IF(IF(SelectedScope="All India",TRUE,'RAW_AR_CONTENT'!$B116=SelectedScope),'RAW_AR_CONTENT'!I116,"")</f>
        <v>0</v>
      </c>
      <c r="J117" s="9">
        <f>IF(IF(SelectedScope="All India",TRUE,'RAW_AR_CONTENT'!$B116=SelectedScope),'RAW_AR_CONTENT'!J116,"")</f>
        <v>0</v>
      </c>
      <c r="K117" s="9">
        <f>IF(IF(SelectedScope="All India",TRUE,'RAW_AR_CONTENT'!$B116=SelectedScope),'RAW_AR_CONTENT'!K116,"")</f>
        <v>0</v>
      </c>
      <c r="L117" s="9">
        <f>IF(IF(SelectedScope="All India",TRUE,'RAW_AR_CONTENT'!$B116=SelectedScope),'RAW_AR_CONTENT'!L116,"")</f>
        <v>0</v>
      </c>
      <c r="M117" s="9">
        <f>IF(IF(SelectedScope="All India",TRUE,'RAW_AR_CONTENT'!$B116=SelectedScope),'RAW_AR_CONTENT'!M116,"")</f>
        <v>0</v>
      </c>
      <c r="N117" s="9">
        <f>IF(IF(SelectedScope="All India",TRUE,'RAW_AR_CONTENT'!$B116=SelectedScope),'RAW_AR_CONTENT'!N116,"")</f>
        <v>0</v>
      </c>
      <c r="O117" s="9">
        <f>IF(IF(SelectedScope="All India",TRUE,'RAW_AR_CONTENT'!$B116=SelectedScope),'RAW_AR_CONTENT'!O116,"")</f>
        <v>0</v>
      </c>
      <c r="P117" s="9">
        <f>IF(IF(SelectedScope="All India",TRUE,'RAW_AR_CONTENT'!$B116=SelectedScope),'RAW_AR_CONTENT'!P116,"")</f>
        <v>0</v>
      </c>
      <c r="Q117" s="9">
        <f>IF(IF(SelectedScope="All India",TRUE,'RAW_AR_CONTENT'!$B116=SelectedScope),'RAW_AR_CONTENT'!Q116,"")</f>
        <v>0</v>
      </c>
      <c r="R117" s="9">
        <f>IF(IF(SelectedScope="All India",TRUE,'RAW_AR_CONTENT'!$B116=SelectedScope),'RAW_AR_CONTENT'!R116,"")</f>
        <v>0</v>
      </c>
    </row>
    <row r="118" spans="1:18" ht="15" customHeight="1" x14ac:dyDescent="0.3">
      <c r="A118" s="12">
        <f>IF(IF(SelectedScope="All India",TRUE,'RAW_AR_CONTENT'!$B117=SelectedScope),'RAW_AR_CONTENT'!A117,"")</f>
        <v>114</v>
      </c>
      <c r="B118" s="12" t="str">
        <f>IF(IF(SelectedScope="All India",TRUE,'RAW_AR_CONTENT'!$B117=SelectedScope),'RAW_AR_CONTENT'!B117,"")</f>
        <v>Dadra and Nagar Haveli and Daman and Diu</v>
      </c>
      <c r="C118" s="12" t="str">
        <f>IF(IF(SelectedScope="All India",TRUE,'RAW_AR_CONTENT'!$B117=SelectedScope),'RAW_AR_CONTENT'!C117,"")</f>
        <v>Biology</v>
      </c>
      <c r="D118" s="12" t="str">
        <f>IF(IF(SelectedScope="All India",TRUE,'RAW_AR_CONTENT'!$B117=SelectedScope),'RAW_AR_CONTENT'!D117,"")</f>
        <v>Class 11</v>
      </c>
      <c r="E118" s="12" t="str">
        <f>IF(IF(SelectedScope="All India",TRUE,'RAW_AR_CONTENT'!$B117=SelectedScope),'RAW_AR_CONTENT'!E117,"")</f>
        <v>Human Anatomy AR</v>
      </c>
      <c r="F118" s="12" t="str">
        <f>IF(IF(SelectedScope="All India",TRUE,'RAW_AR_CONTENT'!$B117=SelectedScope),'RAW_AR_CONTENT'!F117,"")</f>
        <v>Fully Immersive</v>
      </c>
      <c r="G118" s="12" t="str">
        <f>IF(IF(SelectedScope="All India",TRUE,'RAW_AR_CONTENT'!$B117=SelectedScope),'RAW_AR_CONTENT'!G117,"")</f>
        <v>Active</v>
      </c>
      <c r="H118" s="12">
        <f>IF(IF(SelectedScope="All India",TRUE,'RAW_AR_CONTENT'!$B117=SelectedScope),'RAW_AR_CONTENT'!H117,"")</f>
        <v>0</v>
      </c>
      <c r="I118" s="12">
        <f>IF(IF(SelectedScope="All India",TRUE,'RAW_AR_CONTENT'!$B117=SelectedScope),'RAW_AR_CONTENT'!I117,"")</f>
        <v>0</v>
      </c>
      <c r="J118" s="12">
        <f>IF(IF(SelectedScope="All India",TRUE,'RAW_AR_CONTENT'!$B117=SelectedScope),'RAW_AR_CONTENT'!J117,"")</f>
        <v>0</v>
      </c>
      <c r="K118" s="12">
        <f>IF(IF(SelectedScope="All India",TRUE,'RAW_AR_CONTENT'!$B117=SelectedScope),'RAW_AR_CONTENT'!K117,"")</f>
        <v>0</v>
      </c>
      <c r="L118" s="12">
        <f>IF(IF(SelectedScope="All India",TRUE,'RAW_AR_CONTENT'!$B117=SelectedScope),'RAW_AR_CONTENT'!L117,"")</f>
        <v>0</v>
      </c>
      <c r="M118" s="12">
        <f>IF(IF(SelectedScope="All India",TRUE,'RAW_AR_CONTENT'!$B117=SelectedScope),'RAW_AR_CONTENT'!M117,"")</f>
        <v>0</v>
      </c>
      <c r="N118" s="12">
        <f>IF(IF(SelectedScope="All India",TRUE,'RAW_AR_CONTENT'!$B117=SelectedScope),'RAW_AR_CONTENT'!N117,"")</f>
        <v>0</v>
      </c>
      <c r="O118" s="12">
        <f>IF(IF(SelectedScope="All India",TRUE,'RAW_AR_CONTENT'!$B117=SelectedScope),'RAW_AR_CONTENT'!O117,"")</f>
        <v>0</v>
      </c>
      <c r="P118" s="12">
        <f>IF(IF(SelectedScope="All India",TRUE,'RAW_AR_CONTENT'!$B117=SelectedScope),'RAW_AR_CONTENT'!P117,"")</f>
        <v>0</v>
      </c>
      <c r="Q118" s="12">
        <f>IF(IF(SelectedScope="All India",TRUE,'RAW_AR_CONTENT'!$B117=SelectedScope),'RAW_AR_CONTENT'!Q117,"")</f>
        <v>0</v>
      </c>
      <c r="R118" s="12">
        <f>IF(IF(SelectedScope="All India",TRUE,'RAW_AR_CONTENT'!$B117=SelectedScope),'RAW_AR_CONTENT'!R117,"")</f>
        <v>0</v>
      </c>
    </row>
    <row r="119" spans="1:18" ht="15" customHeight="1" x14ac:dyDescent="0.3">
      <c r="A119" s="9">
        <f>IF(IF(SelectedScope="All India",TRUE,'RAW_AR_CONTENT'!$B118=SelectedScope),'RAW_AR_CONTENT'!A118,"")</f>
        <v>115</v>
      </c>
      <c r="B119" s="9" t="str">
        <f>IF(IF(SelectedScope="All India",TRUE,'RAW_AR_CONTENT'!$B118=SelectedScope),'RAW_AR_CONTENT'!B118,"")</f>
        <v>Dadra and Nagar Haveli and Daman and Diu</v>
      </c>
      <c r="C119" s="9" t="str">
        <f>IF(IF(SelectedScope="All India",TRUE,'RAW_AR_CONTENT'!$B118=SelectedScope),'RAW_AR_CONTENT'!C118,"")</f>
        <v>Physics</v>
      </c>
      <c r="D119" s="9" t="str">
        <f>IF(IF(SelectedScope="All India",TRUE,'RAW_AR_CONTENT'!$B118=SelectedScope),'RAW_AR_CONTENT'!D118,"")</f>
        <v>Class 9</v>
      </c>
      <c r="E119" s="9" t="str">
        <f>IF(IF(SelectedScope="All India",TRUE,'RAW_AR_CONTENT'!$B118=SelectedScope),'RAW_AR_CONTENT'!E118,"")</f>
        <v>Laws of Motion</v>
      </c>
      <c r="F119" s="9" t="str">
        <f>IF(IF(SelectedScope="All India",TRUE,'RAW_AR_CONTENT'!$B118=SelectedScope),'RAW_AR_CONTENT'!F118,"")</f>
        <v>Interactive</v>
      </c>
      <c r="G119" s="9" t="str">
        <f>IF(IF(SelectedScope="All India",TRUE,'RAW_AR_CONTENT'!$B118=SelectedScope),'RAW_AR_CONTENT'!G118,"")</f>
        <v>Active</v>
      </c>
      <c r="H119" s="9">
        <f>IF(IF(SelectedScope="All India",TRUE,'RAW_AR_CONTENT'!$B118=SelectedScope),'RAW_AR_CONTENT'!H118,"")</f>
        <v>0</v>
      </c>
      <c r="I119" s="9">
        <f>IF(IF(SelectedScope="All India",TRUE,'RAW_AR_CONTENT'!$B118=SelectedScope),'RAW_AR_CONTENT'!I118,"")</f>
        <v>0</v>
      </c>
      <c r="J119" s="9">
        <f>IF(IF(SelectedScope="All India",TRUE,'RAW_AR_CONTENT'!$B118=SelectedScope),'RAW_AR_CONTENT'!J118,"")</f>
        <v>0</v>
      </c>
      <c r="K119" s="9">
        <f>IF(IF(SelectedScope="All India",TRUE,'RAW_AR_CONTENT'!$B118=SelectedScope),'RAW_AR_CONTENT'!K118,"")</f>
        <v>0</v>
      </c>
      <c r="L119" s="9">
        <f>IF(IF(SelectedScope="All India",TRUE,'RAW_AR_CONTENT'!$B118=SelectedScope),'RAW_AR_CONTENT'!L118,"")</f>
        <v>0</v>
      </c>
      <c r="M119" s="9">
        <f>IF(IF(SelectedScope="All India",TRUE,'RAW_AR_CONTENT'!$B118=SelectedScope),'RAW_AR_CONTENT'!M118,"")</f>
        <v>0</v>
      </c>
      <c r="N119" s="9">
        <f>IF(IF(SelectedScope="All India",TRUE,'RAW_AR_CONTENT'!$B118=SelectedScope),'RAW_AR_CONTENT'!N118,"")</f>
        <v>0</v>
      </c>
      <c r="O119" s="9">
        <f>IF(IF(SelectedScope="All India",TRUE,'RAW_AR_CONTENT'!$B118=SelectedScope),'RAW_AR_CONTENT'!O118,"")</f>
        <v>0</v>
      </c>
      <c r="P119" s="9">
        <f>IF(IF(SelectedScope="All India",TRUE,'RAW_AR_CONTENT'!$B118=SelectedScope),'RAW_AR_CONTENT'!P118,"")</f>
        <v>0</v>
      </c>
      <c r="Q119" s="9">
        <f>IF(IF(SelectedScope="All India",TRUE,'RAW_AR_CONTENT'!$B118=SelectedScope),'RAW_AR_CONTENT'!Q118,"")</f>
        <v>0</v>
      </c>
      <c r="R119" s="9">
        <f>IF(IF(SelectedScope="All India",TRUE,'RAW_AR_CONTENT'!$B118=SelectedScope),'RAW_AR_CONTENT'!R118,"")</f>
        <v>0</v>
      </c>
    </row>
    <row r="120" spans="1:18" ht="15" customHeight="1" x14ac:dyDescent="0.3">
      <c r="A120" s="12">
        <f>IF(IF(SelectedScope="All India",TRUE,'RAW_AR_CONTENT'!$B119=SelectedScope),'RAW_AR_CONTENT'!A119,"")</f>
        <v>116</v>
      </c>
      <c r="B120" s="12" t="str">
        <f>IF(IF(SelectedScope="All India",TRUE,'RAW_AR_CONTENT'!$B119=SelectedScope),'RAW_AR_CONTENT'!B119,"")</f>
        <v>Dadra and Nagar Haveli and Daman and Diu</v>
      </c>
      <c r="C120" s="12" t="str">
        <f>IF(IF(SelectedScope="All India",TRUE,'RAW_AR_CONTENT'!$B119=SelectedScope),'RAW_AR_CONTENT'!C119,"")</f>
        <v>Chemistry</v>
      </c>
      <c r="D120" s="12" t="str">
        <f>IF(IF(SelectedScope="All India",TRUE,'RAW_AR_CONTENT'!$B119=SelectedScope),'RAW_AR_CONTENT'!D119,"")</f>
        <v>Class 11</v>
      </c>
      <c r="E120" s="12" t="str">
        <f>IF(IF(SelectedScope="All India",TRUE,'RAW_AR_CONTENT'!$B119=SelectedScope),'RAW_AR_CONTENT'!E119,"")</f>
        <v>Periodic Table 3D</v>
      </c>
      <c r="F120" s="12" t="str">
        <f>IF(IF(SelectedScope="All India",TRUE,'RAW_AR_CONTENT'!$B119=SelectedScope),'RAW_AR_CONTENT'!F119,"")</f>
        <v>Interactive</v>
      </c>
      <c r="G120" s="12" t="str">
        <f>IF(IF(SelectedScope="All India",TRUE,'RAW_AR_CONTENT'!$B119=SelectedScope),'RAW_AR_CONTENT'!G119,"")</f>
        <v>Active</v>
      </c>
      <c r="H120" s="12">
        <f>IF(IF(SelectedScope="All India",TRUE,'RAW_AR_CONTENT'!$B119=SelectedScope),'RAW_AR_CONTENT'!H119,"")</f>
        <v>0</v>
      </c>
      <c r="I120" s="12">
        <f>IF(IF(SelectedScope="All India",TRUE,'RAW_AR_CONTENT'!$B119=SelectedScope),'RAW_AR_CONTENT'!I119,"")</f>
        <v>0</v>
      </c>
      <c r="J120" s="12">
        <f>IF(IF(SelectedScope="All India",TRUE,'RAW_AR_CONTENT'!$B119=SelectedScope),'RAW_AR_CONTENT'!J119,"")</f>
        <v>0</v>
      </c>
      <c r="K120" s="12">
        <f>IF(IF(SelectedScope="All India",TRUE,'RAW_AR_CONTENT'!$B119=SelectedScope),'RAW_AR_CONTENT'!K119,"")</f>
        <v>0</v>
      </c>
      <c r="L120" s="12">
        <f>IF(IF(SelectedScope="All India",TRUE,'RAW_AR_CONTENT'!$B119=SelectedScope),'RAW_AR_CONTENT'!L119,"")</f>
        <v>0</v>
      </c>
      <c r="M120" s="12">
        <f>IF(IF(SelectedScope="All India",TRUE,'RAW_AR_CONTENT'!$B119=SelectedScope),'RAW_AR_CONTENT'!M119,"")</f>
        <v>0</v>
      </c>
      <c r="N120" s="12">
        <f>IF(IF(SelectedScope="All India",TRUE,'RAW_AR_CONTENT'!$B119=SelectedScope),'RAW_AR_CONTENT'!N119,"")</f>
        <v>0</v>
      </c>
      <c r="O120" s="12">
        <f>IF(IF(SelectedScope="All India",TRUE,'RAW_AR_CONTENT'!$B119=SelectedScope),'RAW_AR_CONTENT'!O119,"")</f>
        <v>0</v>
      </c>
      <c r="P120" s="12">
        <f>IF(IF(SelectedScope="All India",TRUE,'RAW_AR_CONTENT'!$B119=SelectedScope),'RAW_AR_CONTENT'!P119,"")</f>
        <v>0</v>
      </c>
      <c r="Q120" s="12">
        <f>IF(IF(SelectedScope="All India",TRUE,'RAW_AR_CONTENT'!$B119=SelectedScope),'RAW_AR_CONTENT'!Q119,"")</f>
        <v>0</v>
      </c>
      <c r="R120" s="12">
        <f>IF(IF(SelectedScope="All India",TRUE,'RAW_AR_CONTENT'!$B119=SelectedScope),'RAW_AR_CONTENT'!R119,"")</f>
        <v>0</v>
      </c>
    </row>
    <row r="121" spans="1:18" ht="15" customHeight="1" x14ac:dyDescent="0.3">
      <c r="A121" s="9">
        <f>IF(IF(SelectedScope="All India",TRUE,'RAW_AR_CONTENT'!$B120=SelectedScope),'RAW_AR_CONTENT'!A120,"")</f>
        <v>117</v>
      </c>
      <c r="B121" s="9" t="str">
        <f>IF(IF(SelectedScope="All India",TRUE,'RAW_AR_CONTENT'!$B120=SelectedScope),'RAW_AR_CONTENT'!B120,"")</f>
        <v>Dadra and Nagar Haveli and Daman and Diu</v>
      </c>
      <c r="C121" s="9" t="str">
        <f>IF(IF(SelectedScope="All India",TRUE,'RAW_AR_CONTENT'!$B120=SelectedScope),'RAW_AR_CONTENT'!C120,"")</f>
        <v>Physics</v>
      </c>
      <c r="D121" s="9" t="str">
        <f>IF(IF(SelectedScope="All India",TRUE,'RAW_AR_CONTENT'!$B120=SelectedScope),'RAW_AR_CONTENT'!D120,"")</f>
        <v>Class 10</v>
      </c>
      <c r="E121" s="9" t="str">
        <f>IF(IF(SelectedScope="All India",TRUE,'RAW_AR_CONTENT'!$B120=SelectedScope),'RAW_AR_CONTENT'!E120,"")</f>
        <v>Electricity Circuits</v>
      </c>
      <c r="F121" s="9" t="str">
        <f>IF(IF(SelectedScope="All India",TRUE,'RAW_AR_CONTENT'!$B120=SelectedScope),'RAW_AR_CONTENT'!F120,"")</f>
        <v>Interactive</v>
      </c>
      <c r="G121" s="9" t="str">
        <f>IF(IF(SelectedScope="All India",TRUE,'RAW_AR_CONTENT'!$B120=SelectedScope),'RAW_AR_CONTENT'!G120,"")</f>
        <v>Active</v>
      </c>
      <c r="H121" s="9">
        <f>IF(IF(SelectedScope="All India",TRUE,'RAW_AR_CONTENT'!$B120=SelectedScope),'RAW_AR_CONTENT'!H120,"")</f>
        <v>0</v>
      </c>
      <c r="I121" s="9">
        <f>IF(IF(SelectedScope="All India",TRUE,'RAW_AR_CONTENT'!$B120=SelectedScope),'RAW_AR_CONTENT'!I120,"")</f>
        <v>0</v>
      </c>
      <c r="J121" s="9">
        <f>IF(IF(SelectedScope="All India",TRUE,'RAW_AR_CONTENT'!$B120=SelectedScope),'RAW_AR_CONTENT'!J120,"")</f>
        <v>0</v>
      </c>
      <c r="K121" s="9">
        <f>IF(IF(SelectedScope="All India",TRUE,'RAW_AR_CONTENT'!$B120=SelectedScope),'RAW_AR_CONTENT'!K120,"")</f>
        <v>0</v>
      </c>
      <c r="L121" s="9">
        <f>IF(IF(SelectedScope="All India",TRUE,'RAW_AR_CONTENT'!$B120=SelectedScope),'RAW_AR_CONTENT'!L120,"")</f>
        <v>0</v>
      </c>
      <c r="M121" s="9">
        <f>IF(IF(SelectedScope="All India",TRUE,'RAW_AR_CONTENT'!$B120=SelectedScope),'RAW_AR_CONTENT'!M120,"")</f>
        <v>0</v>
      </c>
      <c r="N121" s="9">
        <f>IF(IF(SelectedScope="All India",TRUE,'RAW_AR_CONTENT'!$B120=SelectedScope),'RAW_AR_CONTENT'!N120,"")</f>
        <v>0</v>
      </c>
      <c r="O121" s="9">
        <f>IF(IF(SelectedScope="All India",TRUE,'RAW_AR_CONTENT'!$B120=SelectedScope),'RAW_AR_CONTENT'!O120,"")</f>
        <v>0</v>
      </c>
      <c r="P121" s="9">
        <f>IF(IF(SelectedScope="All India",TRUE,'RAW_AR_CONTENT'!$B120=SelectedScope),'RAW_AR_CONTENT'!P120,"")</f>
        <v>0</v>
      </c>
      <c r="Q121" s="9">
        <f>IF(IF(SelectedScope="All India",TRUE,'RAW_AR_CONTENT'!$B120=SelectedScope),'RAW_AR_CONTENT'!Q120,"")</f>
        <v>0</v>
      </c>
      <c r="R121" s="9">
        <f>IF(IF(SelectedScope="All India",TRUE,'RAW_AR_CONTENT'!$B120=SelectedScope),'RAW_AR_CONTENT'!R120,"")</f>
        <v>0</v>
      </c>
    </row>
    <row r="122" spans="1:18" ht="15" customHeight="1" x14ac:dyDescent="0.3">
      <c r="A122" s="12">
        <f>IF(IF(SelectedScope="All India",TRUE,'RAW_AR_CONTENT'!$B121=SelectedScope),'RAW_AR_CONTENT'!A121,"")</f>
        <v>118</v>
      </c>
      <c r="B122" s="12" t="str">
        <f>IF(IF(SelectedScope="All India",TRUE,'RAW_AR_CONTENT'!$B121=SelectedScope),'RAW_AR_CONTENT'!B121,"")</f>
        <v>Dadra and Nagar Haveli and Daman and Diu</v>
      </c>
      <c r="C122" s="12" t="str">
        <f>IF(IF(SelectedScope="All India",TRUE,'RAW_AR_CONTENT'!$B121=SelectedScope),'RAW_AR_CONTENT'!C121,"")</f>
        <v>Civics</v>
      </c>
      <c r="D122" s="12" t="str">
        <f>IF(IF(SelectedScope="All India",TRUE,'RAW_AR_CONTENT'!$B121=SelectedScope),'RAW_AR_CONTENT'!D121,"")</f>
        <v>Class 9</v>
      </c>
      <c r="E122" s="12" t="str">
        <f>IF(IF(SelectedScope="All India",TRUE,'RAW_AR_CONTENT'!$B121=SelectedScope),'RAW_AR_CONTENT'!E121,"")</f>
        <v>Indian Constitution</v>
      </c>
      <c r="F122" s="12" t="str">
        <f>IF(IF(SelectedScope="All India",TRUE,'RAW_AR_CONTENT'!$B121=SelectedScope),'RAW_AR_CONTENT'!F121,"")</f>
        <v>Basic 3D</v>
      </c>
      <c r="G122" s="12" t="str">
        <f>IF(IF(SelectedScope="All India",TRUE,'RAW_AR_CONTENT'!$B121=SelectedScope),'RAW_AR_CONTENT'!G121,"")</f>
        <v>Active</v>
      </c>
      <c r="H122" s="12">
        <f>IF(IF(SelectedScope="All India",TRUE,'RAW_AR_CONTENT'!$B121=SelectedScope),'RAW_AR_CONTENT'!H121,"")</f>
        <v>0</v>
      </c>
      <c r="I122" s="12">
        <f>IF(IF(SelectedScope="All India",TRUE,'RAW_AR_CONTENT'!$B121=SelectedScope),'RAW_AR_CONTENT'!I121,"")</f>
        <v>0</v>
      </c>
      <c r="J122" s="12">
        <f>IF(IF(SelectedScope="All India",TRUE,'RAW_AR_CONTENT'!$B121=SelectedScope),'RAW_AR_CONTENT'!J121,"")</f>
        <v>0</v>
      </c>
      <c r="K122" s="12">
        <f>IF(IF(SelectedScope="All India",TRUE,'RAW_AR_CONTENT'!$B121=SelectedScope),'RAW_AR_CONTENT'!K121,"")</f>
        <v>0</v>
      </c>
      <c r="L122" s="12">
        <f>IF(IF(SelectedScope="All India",TRUE,'RAW_AR_CONTENT'!$B121=SelectedScope),'RAW_AR_CONTENT'!L121,"")</f>
        <v>0</v>
      </c>
      <c r="M122" s="12">
        <f>IF(IF(SelectedScope="All India",TRUE,'RAW_AR_CONTENT'!$B121=SelectedScope),'RAW_AR_CONTENT'!M121,"")</f>
        <v>0</v>
      </c>
      <c r="N122" s="12">
        <f>IF(IF(SelectedScope="All India",TRUE,'RAW_AR_CONTENT'!$B121=SelectedScope),'RAW_AR_CONTENT'!N121,"")</f>
        <v>0</v>
      </c>
      <c r="O122" s="12">
        <f>IF(IF(SelectedScope="All India",TRUE,'RAW_AR_CONTENT'!$B121=SelectedScope),'RAW_AR_CONTENT'!O121,"")</f>
        <v>0</v>
      </c>
      <c r="P122" s="12">
        <f>IF(IF(SelectedScope="All India",TRUE,'RAW_AR_CONTENT'!$B121=SelectedScope),'RAW_AR_CONTENT'!P121,"")</f>
        <v>0</v>
      </c>
      <c r="Q122" s="12">
        <f>IF(IF(SelectedScope="All India",TRUE,'RAW_AR_CONTENT'!$B121=SelectedScope),'RAW_AR_CONTENT'!Q121,"")</f>
        <v>0</v>
      </c>
      <c r="R122" s="12">
        <f>IF(IF(SelectedScope="All India",TRUE,'RAW_AR_CONTENT'!$B121=SelectedScope),'RAW_AR_CONTENT'!R121,"")</f>
        <v>0</v>
      </c>
    </row>
    <row r="123" spans="1:18" ht="15" customHeight="1" x14ac:dyDescent="0.3">
      <c r="A123" s="9">
        <f>IF(IF(SelectedScope="All India",TRUE,'RAW_AR_CONTENT'!$B122=SelectedScope),'RAW_AR_CONTENT'!A122,"")</f>
        <v>119</v>
      </c>
      <c r="B123" s="9" t="str">
        <f>IF(IF(SelectedScope="All India",TRUE,'RAW_AR_CONTENT'!$B122=SelectedScope),'RAW_AR_CONTENT'!B122,"")</f>
        <v>Dadra and Nagar Haveli and Daman and Diu</v>
      </c>
      <c r="C123" s="9" t="str">
        <f>IF(IF(SelectedScope="All India",TRUE,'RAW_AR_CONTENT'!$B122=SelectedScope),'RAW_AR_CONTENT'!C122,"")</f>
        <v>Environmental Science</v>
      </c>
      <c r="D123" s="9" t="str">
        <f>IF(IF(SelectedScope="All India",TRUE,'RAW_AR_CONTENT'!$B122=SelectedScope),'RAW_AR_CONTENT'!D122,"")</f>
        <v>Class 6</v>
      </c>
      <c r="E123" s="9" t="str">
        <f>IF(IF(SelectedScope="All India",TRUE,'RAW_AR_CONTENT'!$B122=SelectedScope),'RAW_AR_CONTENT'!E122,"")</f>
        <v>Food Chain</v>
      </c>
      <c r="F123" s="9" t="str">
        <f>IF(IF(SelectedScope="All India",TRUE,'RAW_AR_CONTENT'!$B122=SelectedScope),'RAW_AR_CONTENT'!F122,"")</f>
        <v>Animated</v>
      </c>
      <c r="G123" s="9" t="str">
        <f>IF(IF(SelectedScope="All India",TRUE,'RAW_AR_CONTENT'!$B122=SelectedScope),'RAW_AR_CONTENT'!G122,"")</f>
        <v>Active</v>
      </c>
      <c r="H123" s="9">
        <f>IF(IF(SelectedScope="All India",TRUE,'RAW_AR_CONTENT'!$B122=SelectedScope),'RAW_AR_CONTENT'!H122,"")</f>
        <v>0</v>
      </c>
      <c r="I123" s="9">
        <f>IF(IF(SelectedScope="All India",TRUE,'RAW_AR_CONTENT'!$B122=SelectedScope),'RAW_AR_CONTENT'!I122,"")</f>
        <v>0</v>
      </c>
      <c r="J123" s="9">
        <f>IF(IF(SelectedScope="All India",TRUE,'RAW_AR_CONTENT'!$B122=SelectedScope),'RAW_AR_CONTENT'!J122,"")</f>
        <v>0</v>
      </c>
      <c r="K123" s="9">
        <f>IF(IF(SelectedScope="All India",TRUE,'RAW_AR_CONTENT'!$B122=SelectedScope),'RAW_AR_CONTENT'!K122,"")</f>
        <v>0</v>
      </c>
      <c r="L123" s="9">
        <f>IF(IF(SelectedScope="All India",TRUE,'RAW_AR_CONTENT'!$B122=SelectedScope),'RAW_AR_CONTENT'!L122,"")</f>
        <v>0</v>
      </c>
      <c r="M123" s="9">
        <f>IF(IF(SelectedScope="All India",TRUE,'RAW_AR_CONTENT'!$B122=SelectedScope),'RAW_AR_CONTENT'!M122,"")</f>
        <v>0</v>
      </c>
      <c r="N123" s="9">
        <f>IF(IF(SelectedScope="All India",TRUE,'RAW_AR_CONTENT'!$B122=SelectedScope),'RAW_AR_CONTENT'!N122,"")</f>
        <v>0</v>
      </c>
      <c r="O123" s="9">
        <f>IF(IF(SelectedScope="All India",TRUE,'RAW_AR_CONTENT'!$B122=SelectedScope),'RAW_AR_CONTENT'!O122,"")</f>
        <v>0</v>
      </c>
      <c r="P123" s="9">
        <f>IF(IF(SelectedScope="All India",TRUE,'RAW_AR_CONTENT'!$B122=SelectedScope),'RAW_AR_CONTENT'!P122,"")</f>
        <v>0</v>
      </c>
      <c r="Q123" s="9">
        <f>IF(IF(SelectedScope="All India",TRUE,'RAW_AR_CONTENT'!$B122=SelectedScope),'RAW_AR_CONTENT'!Q122,"")</f>
        <v>0</v>
      </c>
      <c r="R123" s="9">
        <f>IF(IF(SelectedScope="All India",TRUE,'RAW_AR_CONTENT'!$B122=SelectedScope),'RAW_AR_CONTENT'!R122,"")</f>
        <v>0</v>
      </c>
    </row>
    <row r="124" spans="1:18" ht="15" customHeight="1" x14ac:dyDescent="0.3">
      <c r="A124" s="12">
        <f>IF(IF(SelectedScope="All India",TRUE,'RAW_AR_CONTENT'!$B123=SelectedScope),'RAW_AR_CONTENT'!A123,"")</f>
        <v>120</v>
      </c>
      <c r="B124" s="12" t="str">
        <f>IF(IF(SelectedScope="All India",TRUE,'RAW_AR_CONTENT'!$B123=SelectedScope),'RAW_AR_CONTENT'!B123,"")</f>
        <v>Dadra and Nagar Haveli and Daman and Diu</v>
      </c>
      <c r="C124" s="12" t="str">
        <f>IF(IF(SelectedScope="All India",TRUE,'RAW_AR_CONTENT'!$B123=SelectedScope),'RAW_AR_CONTENT'!C123,"")</f>
        <v>Mathematics</v>
      </c>
      <c r="D124" s="12" t="str">
        <f>IF(IF(SelectedScope="All India",TRUE,'RAW_AR_CONTENT'!$B123=SelectedScope),'RAW_AR_CONTENT'!D123,"")</f>
        <v>Class 10</v>
      </c>
      <c r="E124" s="12" t="str">
        <f>IF(IF(SelectedScope="All India",TRUE,'RAW_AR_CONTENT'!$B123=SelectedScope),'RAW_AR_CONTENT'!E123,"")</f>
        <v>Quadratic Equations</v>
      </c>
      <c r="F124" s="12" t="str">
        <f>IF(IF(SelectedScope="All India",TRUE,'RAW_AR_CONTENT'!$B123=SelectedScope),'RAW_AR_CONTENT'!F123,"")</f>
        <v>Animated</v>
      </c>
      <c r="G124" s="12" t="str">
        <f>IF(IF(SelectedScope="All India",TRUE,'RAW_AR_CONTENT'!$B123=SelectedScope),'RAW_AR_CONTENT'!G123,"")</f>
        <v>Active</v>
      </c>
      <c r="H124" s="12">
        <f>IF(IF(SelectedScope="All India",TRUE,'RAW_AR_CONTENT'!$B123=SelectedScope),'RAW_AR_CONTENT'!H123,"")</f>
        <v>0</v>
      </c>
      <c r="I124" s="12">
        <f>IF(IF(SelectedScope="All India",TRUE,'RAW_AR_CONTENT'!$B123=SelectedScope),'RAW_AR_CONTENT'!I123,"")</f>
        <v>0</v>
      </c>
      <c r="J124" s="12">
        <f>IF(IF(SelectedScope="All India",TRUE,'RAW_AR_CONTENT'!$B123=SelectedScope),'RAW_AR_CONTENT'!J123,"")</f>
        <v>0</v>
      </c>
      <c r="K124" s="12">
        <f>IF(IF(SelectedScope="All India",TRUE,'RAW_AR_CONTENT'!$B123=SelectedScope),'RAW_AR_CONTENT'!K123,"")</f>
        <v>0</v>
      </c>
      <c r="L124" s="12">
        <f>IF(IF(SelectedScope="All India",TRUE,'RAW_AR_CONTENT'!$B123=SelectedScope),'RAW_AR_CONTENT'!L123,"")</f>
        <v>0</v>
      </c>
      <c r="M124" s="12">
        <f>IF(IF(SelectedScope="All India",TRUE,'RAW_AR_CONTENT'!$B123=SelectedScope),'RAW_AR_CONTENT'!M123,"")</f>
        <v>0</v>
      </c>
      <c r="N124" s="12">
        <f>IF(IF(SelectedScope="All India",TRUE,'RAW_AR_CONTENT'!$B123=SelectedScope),'RAW_AR_CONTENT'!N123,"")</f>
        <v>0</v>
      </c>
      <c r="O124" s="12">
        <f>IF(IF(SelectedScope="All India",TRUE,'RAW_AR_CONTENT'!$B123=SelectedScope),'RAW_AR_CONTENT'!O123,"")</f>
        <v>0</v>
      </c>
      <c r="P124" s="12">
        <f>IF(IF(SelectedScope="All India",TRUE,'RAW_AR_CONTENT'!$B123=SelectedScope),'RAW_AR_CONTENT'!P123,"")</f>
        <v>0</v>
      </c>
      <c r="Q124" s="12">
        <f>IF(IF(SelectedScope="All India",TRUE,'RAW_AR_CONTENT'!$B123=SelectedScope),'RAW_AR_CONTENT'!Q123,"")</f>
        <v>0</v>
      </c>
      <c r="R124" s="12">
        <f>IF(IF(SelectedScope="All India",TRUE,'RAW_AR_CONTENT'!$B123=SelectedScope),'RAW_AR_CONTENT'!R123,"")</f>
        <v>0</v>
      </c>
    </row>
    <row r="125" spans="1:18" ht="15" customHeight="1" x14ac:dyDescent="0.3">
      <c r="A125" s="9">
        <f>IF(IF(SelectedScope="All India",TRUE,'RAW_AR_CONTENT'!$B124=SelectedScope),'RAW_AR_CONTENT'!A124,"")</f>
        <v>121</v>
      </c>
      <c r="B125" s="9" t="str">
        <f>IF(IF(SelectedScope="All India",TRUE,'RAW_AR_CONTENT'!$B124=SelectedScope),'RAW_AR_CONTENT'!B124,"")</f>
        <v>Delhi</v>
      </c>
      <c r="C125" s="9" t="str">
        <f>IF(IF(SelectedScope="All India",TRUE,'RAW_AR_CONTENT'!$B124=SelectedScope),'RAW_AR_CONTENT'!C124,"")</f>
        <v>Science</v>
      </c>
      <c r="D125" s="9" t="str">
        <f>IF(IF(SelectedScope="All India",TRUE,'RAW_AR_CONTENT'!$B124=SelectedScope),'RAW_AR_CONTENT'!D124,"")</f>
        <v>Class 8</v>
      </c>
      <c r="E125" s="9" t="str">
        <f>IF(IF(SelectedScope="All India",TRUE,'RAW_AR_CONTENT'!$B124=SelectedScope),'RAW_AR_CONTENT'!E124,"")</f>
        <v>Solar System 3D</v>
      </c>
      <c r="F125" s="9" t="str">
        <f>IF(IF(SelectedScope="All India",TRUE,'RAW_AR_CONTENT'!$B124=SelectedScope),'RAW_AR_CONTENT'!F124,"")</f>
        <v>Animated</v>
      </c>
      <c r="G125" s="9" t="str">
        <f>IF(IF(SelectedScope="All India",TRUE,'RAW_AR_CONTENT'!$B124=SelectedScope),'RAW_AR_CONTENT'!G124,"")</f>
        <v>Active</v>
      </c>
      <c r="H125" s="9">
        <f>IF(IF(SelectedScope="All India",TRUE,'RAW_AR_CONTENT'!$B124=SelectedScope),'RAW_AR_CONTENT'!H124,"")</f>
        <v>0</v>
      </c>
      <c r="I125" s="9">
        <f>IF(IF(SelectedScope="All India",TRUE,'RAW_AR_CONTENT'!$B124=SelectedScope),'RAW_AR_CONTENT'!I124,"")</f>
        <v>0</v>
      </c>
      <c r="J125" s="9">
        <f>IF(IF(SelectedScope="All India",TRUE,'RAW_AR_CONTENT'!$B124=SelectedScope),'RAW_AR_CONTENT'!J124,"")</f>
        <v>0</v>
      </c>
      <c r="K125" s="9">
        <f>IF(IF(SelectedScope="All India",TRUE,'RAW_AR_CONTENT'!$B124=SelectedScope),'RAW_AR_CONTENT'!K124,"")</f>
        <v>0</v>
      </c>
      <c r="L125" s="9">
        <f>IF(IF(SelectedScope="All India",TRUE,'RAW_AR_CONTENT'!$B124=SelectedScope),'RAW_AR_CONTENT'!L124,"")</f>
        <v>0</v>
      </c>
      <c r="M125" s="9">
        <f>IF(IF(SelectedScope="All India",TRUE,'RAW_AR_CONTENT'!$B124=SelectedScope),'RAW_AR_CONTENT'!M124,"")</f>
        <v>0</v>
      </c>
      <c r="N125" s="9">
        <f>IF(IF(SelectedScope="All India",TRUE,'RAW_AR_CONTENT'!$B124=SelectedScope),'RAW_AR_CONTENT'!N124,"")</f>
        <v>0</v>
      </c>
      <c r="O125" s="9">
        <f>IF(IF(SelectedScope="All India",TRUE,'RAW_AR_CONTENT'!$B124=SelectedScope),'RAW_AR_CONTENT'!O124,"")</f>
        <v>0</v>
      </c>
      <c r="P125" s="9">
        <f>IF(IF(SelectedScope="All India",TRUE,'RAW_AR_CONTENT'!$B124=SelectedScope),'RAW_AR_CONTENT'!P124,"")</f>
        <v>0</v>
      </c>
      <c r="Q125" s="9">
        <f>IF(IF(SelectedScope="All India",TRUE,'RAW_AR_CONTENT'!$B124=SelectedScope),'RAW_AR_CONTENT'!Q124,"")</f>
        <v>0</v>
      </c>
      <c r="R125" s="9">
        <f>IF(IF(SelectedScope="All India",TRUE,'RAW_AR_CONTENT'!$B124=SelectedScope),'RAW_AR_CONTENT'!R124,"")</f>
        <v>0</v>
      </c>
    </row>
    <row r="126" spans="1:18" ht="15" customHeight="1" x14ac:dyDescent="0.3">
      <c r="A126" s="12">
        <f>IF(IF(SelectedScope="All India",TRUE,'RAW_AR_CONTENT'!$B125=SelectedScope),'RAW_AR_CONTENT'!A125,"")</f>
        <v>122</v>
      </c>
      <c r="B126" s="12" t="str">
        <f>IF(IF(SelectedScope="All India",TRUE,'RAW_AR_CONTENT'!$B125=SelectedScope),'RAW_AR_CONTENT'!B125,"")</f>
        <v>Delhi</v>
      </c>
      <c r="C126" s="12" t="str">
        <f>IF(IF(SelectedScope="All India",TRUE,'RAW_AR_CONTENT'!$B125=SelectedScope),'RAW_AR_CONTENT'!C125,"")</f>
        <v>Biology</v>
      </c>
      <c r="D126" s="12" t="str">
        <f>IF(IF(SelectedScope="All India",TRUE,'RAW_AR_CONTENT'!$B125=SelectedScope),'RAW_AR_CONTENT'!D125,"")</f>
        <v>Class 9</v>
      </c>
      <c r="E126" s="12" t="str">
        <f>IF(IF(SelectedScope="All India",TRUE,'RAW_AR_CONTENT'!$B125=SelectedScope),'RAW_AR_CONTENT'!E125,"")</f>
        <v>Cell Division</v>
      </c>
      <c r="F126" s="12" t="str">
        <f>IF(IF(SelectedScope="All India",TRUE,'RAW_AR_CONTENT'!$B125=SelectedScope),'RAW_AR_CONTENT'!F125,"")</f>
        <v>Interactive</v>
      </c>
      <c r="G126" s="12" t="str">
        <f>IF(IF(SelectedScope="All India",TRUE,'RAW_AR_CONTENT'!$B125=SelectedScope),'RAW_AR_CONTENT'!G125,"")</f>
        <v>Active</v>
      </c>
      <c r="H126" s="12">
        <f>IF(IF(SelectedScope="All India",TRUE,'RAW_AR_CONTENT'!$B125=SelectedScope),'RAW_AR_CONTENT'!H125,"")</f>
        <v>0</v>
      </c>
      <c r="I126" s="12">
        <f>IF(IF(SelectedScope="All India",TRUE,'RAW_AR_CONTENT'!$B125=SelectedScope),'RAW_AR_CONTENT'!I125,"")</f>
        <v>0</v>
      </c>
      <c r="J126" s="12">
        <f>IF(IF(SelectedScope="All India",TRUE,'RAW_AR_CONTENT'!$B125=SelectedScope),'RAW_AR_CONTENT'!J125,"")</f>
        <v>0</v>
      </c>
      <c r="K126" s="12">
        <f>IF(IF(SelectedScope="All India",TRUE,'RAW_AR_CONTENT'!$B125=SelectedScope),'RAW_AR_CONTENT'!K125,"")</f>
        <v>0</v>
      </c>
      <c r="L126" s="12">
        <f>IF(IF(SelectedScope="All India",TRUE,'RAW_AR_CONTENT'!$B125=SelectedScope),'RAW_AR_CONTENT'!L125,"")</f>
        <v>0</v>
      </c>
      <c r="M126" s="12">
        <f>IF(IF(SelectedScope="All India",TRUE,'RAW_AR_CONTENT'!$B125=SelectedScope),'RAW_AR_CONTENT'!M125,"")</f>
        <v>0</v>
      </c>
      <c r="N126" s="12">
        <f>IF(IF(SelectedScope="All India",TRUE,'RAW_AR_CONTENT'!$B125=SelectedScope),'RAW_AR_CONTENT'!N125,"")</f>
        <v>0</v>
      </c>
      <c r="O126" s="12">
        <f>IF(IF(SelectedScope="All India",TRUE,'RAW_AR_CONTENT'!$B125=SelectedScope),'RAW_AR_CONTENT'!O125,"")</f>
        <v>0</v>
      </c>
      <c r="P126" s="12">
        <f>IF(IF(SelectedScope="All India",TRUE,'RAW_AR_CONTENT'!$B125=SelectedScope),'RAW_AR_CONTENT'!P125,"")</f>
        <v>0</v>
      </c>
      <c r="Q126" s="12">
        <f>IF(IF(SelectedScope="All India",TRUE,'RAW_AR_CONTENT'!$B125=SelectedScope),'RAW_AR_CONTENT'!Q125,"")</f>
        <v>0</v>
      </c>
      <c r="R126" s="12">
        <f>IF(IF(SelectedScope="All India",TRUE,'RAW_AR_CONTENT'!$B125=SelectedScope),'RAW_AR_CONTENT'!R125,"")</f>
        <v>0</v>
      </c>
    </row>
    <row r="127" spans="1:18" ht="15" customHeight="1" x14ac:dyDescent="0.3">
      <c r="A127" s="9">
        <f>IF(IF(SelectedScope="All India",TRUE,'RAW_AR_CONTENT'!$B126=SelectedScope),'RAW_AR_CONTENT'!A126,"")</f>
        <v>123</v>
      </c>
      <c r="B127" s="9" t="str">
        <f>IF(IF(SelectedScope="All India",TRUE,'RAW_AR_CONTENT'!$B126=SelectedScope),'RAW_AR_CONTENT'!B126,"")</f>
        <v>Delhi</v>
      </c>
      <c r="C127" s="9" t="str">
        <f>IF(IF(SelectedScope="All India",TRUE,'RAW_AR_CONTENT'!$B126=SelectedScope),'RAW_AR_CONTENT'!C126,"")</f>
        <v>Chemistry</v>
      </c>
      <c r="D127" s="9" t="str">
        <f>IF(IF(SelectedScope="All India",TRUE,'RAW_AR_CONTENT'!$B126=SelectedScope),'RAW_AR_CONTENT'!D126,"")</f>
        <v>Class 9</v>
      </c>
      <c r="E127" s="9" t="str">
        <f>IF(IF(SelectedScope="All India",TRUE,'RAW_AR_CONTENT'!$B126=SelectedScope),'RAW_AR_CONTENT'!E126,"")</f>
        <v>Atoms and Molecules</v>
      </c>
      <c r="F127" s="9" t="str">
        <f>IF(IF(SelectedScope="All India",TRUE,'RAW_AR_CONTENT'!$B126=SelectedScope),'RAW_AR_CONTENT'!F126,"")</f>
        <v>Animated</v>
      </c>
      <c r="G127" s="9" t="str">
        <f>IF(IF(SelectedScope="All India",TRUE,'RAW_AR_CONTENT'!$B126=SelectedScope),'RAW_AR_CONTENT'!G126,"")</f>
        <v>Active</v>
      </c>
      <c r="H127" s="9">
        <f>IF(IF(SelectedScope="All India",TRUE,'RAW_AR_CONTENT'!$B126=SelectedScope),'RAW_AR_CONTENT'!H126,"")</f>
        <v>0</v>
      </c>
      <c r="I127" s="9">
        <f>IF(IF(SelectedScope="All India",TRUE,'RAW_AR_CONTENT'!$B126=SelectedScope),'RAW_AR_CONTENT'!I126,"")</f>
        <v>0</v>
      </c>
      <c r="J127" s="9">
        <f>IF(IF(SelectedScope="All India",TRUE,'RAW_AR_CONTENT'!$B126=SelectedScope),'RAW_AR_CONTENT'!J126,"")</f>
        <v>0</v>
      </c>
      <c r="K127" s="9">
        <f>IF(IF(SelectedScope="All India",TRUE,'RAW_AR_CONTENT'!$B126=SelectedScope),'RAW_AR_CONTENT'!K126,"")</f>
        <v>0</v>
      </c>
      <c r="L127" s="9">
        <f>IF(IF(SelectedScope="All India",TRUE,'RAW_AR_CONTENT'!$B126=SelectedScope),'RAW_AR_CONTENT'!L126,"")</f>
        <v>0</v>
      </c>
      <c r="M127" s="9">
        <f>IF(IF(SelectedScope="All India",TRUE,'RAW_AR_CONTENT'!$B126=SelectedScope),'RAW_AR_CONTENT'!M126,"")</f>
        <v>0</v>
      </c>
      <c r="N127" s="9">
        <f>IF(IF(SelectedScope="All India",TRUE,'RAW_AR_CONTENT'!$B126=SelectedScope),'RAW_AR_CONTENT'!N126,"")</f>
        <v>0</v>
      </c>
      <c r="O127" s="9">
        <f>IF(IF(SelectedScope="All India",TRUE,'RAW_AR_CONTENT'!$B126=SelectedScope),'RAW_AR_CONTENT'!O126,"")</f>
        <v>0</v>
      </c>
      <c r="P127" s="9">
        <f>IF(IF(SelectedScope="All India",TRUE,'RAW_AR_CONTENT'!$B126=SelectedScope),'RAW_AR_CONTENT'!P126,"")</f>
        <v>0</v>
      </c>
      <c r="Q127" s="9">
        <f>IF(IF(SelectedScope="All India",TRUE,'RAW_AR_CONTENT'!$B126=SelectedScope),'RAW_AR_CONTENT'!Q126,"")</f>
        <v>0</v>
      </c>
      <c r="R127" s="9">
        <f>IF(IF(SelectedScope="All India",TRUE,'RAW_AR_CONTENT'!$B126=SelectedScope),'RAW_AR_CONTENT'!R126,"")</f>
        <v>0</v>
      </c>
    </row>
    <row r="128" spans="1:18" ht="15" customHeight="1" x14ac:dyDescent="0.3">
      <c r="A128" s="12">
        <f>IF(IF(SelectedScope="All India",TRUE,'RAW_AR_CONTENT'!$B127=SelectedScope),'RAW_AR_CONTENT'!A127,"")</f>
        <v>124</v>
      </c>
      <c r="B128" s="12" t="str">
        <f>IF(IF(SelectedScope="All India",TRUE,'RAW_AR_CONTENT'!$B127=SelectedScope),'RAW_AR_CONTENT'!B127,"")</f>
        <v>Delhi</v>
      </c>
      <c r="C128" s="12" t="str">
        <f>IF(IF(SelectedScope="All India",TRUE,'RAW_AR_CONTENT'!$B127=SelectedScope),'RAW_AR_CONTENT'!C127,"")</f>
        <v>Biology</v>
      </c>
      <c r="D128" s="12" t="str">
        <f>IF(IF(SelectedScope="All India",TRUE,'RAW_AR_CONTENT'!$B127=SelectedScope),'RAW_AR_CONTENT'!D127,"")</f>
        <v>Class 7</v>
      </c>
      <c r="E128" s="12" t="str">
        <f>IF(IF(SelectedScope="All India",TRUE,'RAW_AR_CONTENT'!$B127=SelectedScope),'RAW_AR_CONTENT'!E127,"")</f>
        <v>Photosynthesis</v>
      </c>
      <c r="F128" s="12" t="str">
        <f>IF(IF(SelectedScope="All India",TRUE,'RAW_AR_CONTENT'!$B127=SelectedScope),'RAW_AR_CONTENT'!F127,"")</f>
        <v>Basic 3D</v>
      </c>
      <c r="G128" s="12" t="str">
        <f>IF(IF(SelectedScope="All India",TRUE,'RAW_AR_CONTENT'!$B127=SelectedScope),'RAW_AR_CONTENT'!G127,"")</f>
        <v>Active</v>
      </c>
      <c r="H128" s="12">
        <f>IF(IF(SelectedScope="All India",TRUE,'RAW_AR_CONTENT'!$B127=SelectedScope),'RAW_AR_CONTENT'!H127,"")</f>
        <v>0</v>
      </c>
      <c r="I128" s="12">
        <f>IF(IF(SelectedScope="All India",TRUE,'RAW_AR_CONTENT'!$B127=SelectedScope),'RAW_AR_CONTENT'!I127,"")</f>
        <v>0</v>
      </c>
      <c r="J128" s="12">
        <f>IF(IF(SelectedScope="All India",TRUE,'RAW_AR_CONTENT'!$B127=SelectedScope),'RAW_AR_CONTENT'!J127,"")</f>
        <v>0</v>
      </c>
      <c r="K128" s="12">
        <f>IF(IF(SelectedScope="All India",TRUE,'RAW_AR_CONTENT'!$B127=SelectedScope),'RAW_AR_CONTENT'!K127,"")</f>
        <v>0</v>
      </c>
      <c r="L128" s="12">
        <f>IF(IF(SelectedScope="All India",TRUE,'RAW_AR_CONTENT'!$B127=SelectedScope),'RAW_AR_CONTENT'!L127,"")</f>
        <v>0</v>
      </c>
      <c r="M128" s="12">
        <f>IF(IF(SelectedScope="All India",TRUE,'RAW_AR_CONTENT'!$B127=SelectedScope),'RAW_AR_CONTENT'!M127,"")</f>
        <v>0</v>
      </c>
      <c r="N128" s="12">
        <f>IF(IF(SelectedScope="All India",TRUE,'RAW_AR_CONTENT'!$B127=SelectedScope),'RAW_AR_CONTENT'!N127,"")</f>
        <v>0</v>
      </c>
      <c r="O128" s="12">
        <f>IF(IF(SelectedScope="All India",TRUE,'RAW_AR_CONTENT'!$B127=SelectedScope),'RAW_AR_CONTENT'!O127,"")</f>
        <v>0</v>
      </c>
      <c r="P128" s="12">
        <f>IF(IF(SelectedScope="All India",TRUE,'RAW_AR_CONTENT'!$B127=SelectedScope),'RAW_AR_CONTENT'!P127,"")</f>
        <v>0</v>
      </c>
      <c r="Q128" s="12">
        <f>IF(IF(SelectedScope="All India",TRUE,'RAW_AR_CONTENT'!$B127=SelectedScope),'RAW_AR_CONTENT'!Q127,"")</f>
        <v>0</v>
      </c>
      <c r="R128" s="12">
        <f>IF(IF(SelectedScope="All India",TRUE,'RAW_AR_CONTENT'!$B127=SelectedScope),'RAW_AR_CONTENT'!R127,"")</f>
        <v>0</v>
      </c>
    </row>
    <row r="129" spans="1:18" ht="15" customHeight="1" x14ac:dyDescent="0.3">
      <c r="A129" s="9">
        <f>IF(IF(SelectedScope="All India",TRUE,'RAW_AR_CONTENT'!$B128=SelectedScope),'RAW_AR_CONTENT'!A128,"")</f>
        <v>125</v>
      </c>
      <c r="B129" s="9" t="str">
        <f>IF(IF(SelectedScope="All India",TRUE,'RAW_AR_CONTENT'!$B128=SelectedScope),'RAW_AR_CONTENT'!B128,"")</f>
        <v>Delhi</v>
      </c>
      <c r="C129" s="9" t="str">
        <f>IF(IF(SelectedScope="All India",TRUE,'RAW_AR_CONTENT'!$B128=SelectedScope),'RAW_AR_CONTENT'!C128,"")</f>
        <v>Mathematics</v>
      </c>
      <c r="D129" s="9" t="str">
        <f>IF(IF(SelectedScope="All India",TRUE,'RAW_AR_CONTENT'!$B128=SelectedScope),'RAW_AR_CONTENT'!D128,"")</f>
        <v>Class 7</v>
      </c>
      <c r="E129" s="9" t="str">
        <f>IF(IF(SelectedScope="All India",TRUE,'RAW_AR_CONTENT'!$B128=SelectedScope),'RAW_AR_CONTENT'!E128,"")</f>
        <v>Fractions 3D Model</v>
      </c>
      <c r="F129" s="9" t="str">
        <f>IF(IF(SelectedScope="All India",TRUE,'RAW_AR_CONTENT'!$B128=SelectedScope),'RAW_AR_CONTENT'!F128,"")</f>
        <v>Interactive</v>
      </c>
      <c r="G129" s="9" t="str">
        <f>IF(IF(SelectedScope="All India",TRUE,'RAW_AR_CONTENT'!$B128=SelectedScope),'RAW_AR_CONTENT'!G128,"")</f>
        <v>Active</v>
      </c>
      <c r="H129" s="9">
        <f>IF(IF(SelectedScope="All India",TRUE,'RAW_AR_CONTENT'!$B128=SelectedScope),'RAW_AR_CONTENT'!H128,"")</f>
        <v>0</v>
      </c>
      <c r="I129" s="9">
        <f>IF(IF(SelectedScope="All India",TRUE,'RAW_AR_CONTENT'!$B128=SelectedScope),'RAW_AR_CONTENT'!I128,"")</f>
        <v>0</v>
      </c>
      <c r="J129" s="9">
        <f>IF(IF(SelectedScope="All India",TRUE,'RAW_AR_CONTENT'!$B128=SelectedScope),'RAW_AR_CONTENT'!J128,"")</f>
        <v>0</v>
      </c>
      <c r="K129" s="9">
        <f>IF(IF(SelectedScope="All India",TRUE,'RAW_AR_CONTENT'!$B128=SelectedScope),'RAW_AR_CONTENT'!K128,"")</f>
        <v>0</v>
      </c>
      <c r="L129" s="9">
        <f>IF(IF(SelectedScope="All India",TRUE,'RAW_AR_CONTENT'!$B128=SelectedScope),'RAW_AR_CONTENT'!L128,"")</f>
        <v>0</v>
      </c>
      <c r="M129" s="9">
        <f>IF(IF(SelectedScope="All India",TRUE,'RAW_AR_CONTENT'!$B128=SelectedScope),'RAW_AR_CONTENT'!M128,"")</f>
        <v>0</v>
      </c>
      <c r="N129" s="9">
        <f>IF(IF(SelectedScope="All India",TRUE,'RAW_AR_CONTENT'!$B128=SelectedScope),'RAW_AR_CONTENT'!N128,"")</f>
        <v>0</v>
      </c>
      <c r="O129" s="9">
        <f>IF(IF(SelectedScope="All India",TRUE,'RAW_AR_CONTENT'!$B128=SelectedScope),'RAW_AR_CONTENT'!O128,"")</f>
        <v>0</v>
      </c>
      <c r="P129" s="9">
        <f>IF(IF(SelectedScope="All India",TRUE,'RAW_AR_CONTENT'!$B128=SelectedScope),'RAW_AR_CONTENT'!P128,"")</f>
        <v>0</v>
      </c>
      <c r="Q129" s="9">
        <f>IF(IF(SelectedScope="All India",TRUE,'RAW_AR_CONTENT'!$B128=SelectedScope),'RAW_AR_CONTENT'!Q128,"")</f>
        <v>0</v>
      </c>
      <c r="R129" s="9">
        <f>IF(IF(SelectedScope="All India",TRUE,'RAW_AR_CONTENT'!$B128=SelectedScope),'RAW_AR_CONTENT'!R128,"")</f>
        <v>0</v>
      </c>
    </row>
    <row r="130" spans="1:18" ht="15" customHeight="1" x14ac:dyDescent="0.3">
      <c r="A130" s="12">
        <f>IF(IF(SelectedScope="All India",TRUE,'RAW_AR_CONTENT'!$B129=SelectedScope),'RAW_AR_CONTENT'!A129,"")</f>
        <v>126</v>
      </c>
      <c r="B130" s="12" t="str">
        <f>IF(IF(SelectedScope="All India",TRUE,'RAW_AR_CONTENT'!$B129=SelectedScope),'RAW_AR_CONTENT'!B129,"")</f>
        <v>Delhi</v>
      </c>
      <c r="C130" s="12" t="str">
        <f>IF(IF(SelectedScope="All India",TRUE,'RAW_AR_CONTENT'!$B129=SelectedScope),'RAW_AR_CONTENT'!C129,"")</f>
        <v>Mathematics</v>
      </c>
      <c r="D130" s="12" t="str">
        <f>IF(IF(SelectedScope="All India",TRUE,'RAW_AR_CONTENT'!$B129=SelectedScope),'RAW_AR_CONTENT'!D129,"")</f>
        <v>Class 10</v>
      </c>
      <c r="E130" s="12" t="str">
        <f>IF(IF(SelectedScope="All India",TRUE,'RAW_AR_CONTENT'!$B129=SelectedScope),'RAW_AR_CONTENT'!E129,"")</f>
        <v>Trigonometry 3D</v>
      </c>
      <c r="F130" s="12" t="str">
        <f>IF(IF(SelectedScope="All India",TRUE,'RAW_AR_CONTENT'!$B129=SelectedScope),'RAW_AR_CONTENT'!F129,"")</f>
        <v>Animated</v>
      </c>
      <c r="G130" s="12" t="str">
        <f>IF(IF(SelectedScope="All India",TRUE,'RAW_AR_CONTENT'!$B129=SelectedScope),'RAW_AR_CONTENT'!G129,"")</f>
        <v>Active</v>
      </c>
      <c r="H130" s="12">
        <f>IF(IF(SelectedScope="All India",TRUE,'RAW_AR_CONTENT'!$B129=SelectedScope),'RAW_AR_CONTENT'!H129,"")</f>
        <v>0</v>
      </c>
      <c r="I130" s="12">
        <f>IF(IF(SelectedScope="All India",TRUE,'RAW_AR_CONTENT'!$B129=SelectedScope),'RAW_AR_CONTENT'!I129,"")</f>
        <v>0</v>
      </c>
      <c r="J130" s="12">
        <f>IF(IF(SelectedScope="All India",TRUE,'RAW_AR_CONTENT'!$B129=SelectedScope),'RAW_AR_CONTENT'!J129,"")</f>
        <v>0</v>
      </c>
      <c r="K130" s="12">
        <f>IF(IF(SelectedScope="All India",TRUE,'RAW_AR_CONTENT'!$B129=SelectedScope),'RAW_AR_CONTENT'!K129,"")</f>
        <v>0</v>
      </c>
      <c r="L130" s="12">
        <f>IF(IF(SelectedScope="All India",TRUE,'RAW_AR_CONTENT'!$B129=SelectedScope),'RAW_AR_CONTENT'!L129,"")</f>
        <v>0</v>
      </c>
      <c r="M130" s="12">
        <f>IF(IF(SelectedScope="All India",TRUE,'RAW_AR_CONTENT'!$B129=SelectedScope),'RAW_AR_CONTENT'!M129,"")</f>
        <v>0</v>
      </c>
      <c r="N130" s="12">
        <f>IF(IF(SelectedScope="All India",TRUE,'RAW_AR_CONTENT'!$B129=SelectedScope),'RAW_AR_CONTENT'!N129,"")</f>
        <v>0</v>
      </c>
      <c r="O130" s="12">
        <f>IF(IF(SelectedScope="All India",TRUE,'RAW_AR_CONTENT'!$B129=SelectedScope),'RAW_AR_CONTENT'!O129,"")</f>
        <v>0</v>
      </c>
      <c r="P130" s="12">
        <f>IF(IF(SelectedScope="All India",TRUE,'RAW_AR_CONTENT'!$B129=SelectedScope),'RAW_AR_CONTENT'!P129,"")</f>
        <v>0</v>
      </c>
      <c r="Q130" s="12">
        <f>IF(IF(SelectedScope="All India",TRUE,'RAW_AR_CONTENT'!$B129=SelectedScope),'RAW_AR_CONTENT'!Q129,"")</f>
        <v>0</v>
      </c>
      <c r="R130" s="12">
        <f>IF(IF(SelectedScope="All India",TRUE,'RAW_AR_CONTENT'!$B129=SelectedScope),'RAW_AR_CONTENT'!R129,"")</f>
        <v>0</v>
      </c>
    </row>
    <row r="131" spans="1:18" ht="15" customHeight="1" x14ac:dyDescent="0.3">
      <c r="A131" s="9">
        <f>IF(IF(SelectedScope="All India",TRUE,'RAW_AR_CONTENT'!$B130=SelectedScope),'RAW_AR_CONTENT'!A130,"")</f>
        <v>127</v>
      </c>
      <c r="B131" s="9" t="str">
        <f>IF(IF(SelectedScope="All India",TRUE,'RAW_AR_CONTENT'!$B130=SelectedScope),'RAW_AR_CONTENT'!B130,"")</f>
        <v>Delhi</v>
      </c>
      <c r="C131" s="9" t="str">
        <f>IF(IF(SelectedScope="All India",TRUE,'RAW_AR_CONTENT'!$B130=SelectedScope),'RAW_AR_CONTENT'!C130,"")</f>
        <v>History</v>
      </c>
      <c r="D131" s="9" t="str">
        <f>IF(IF(SelectedScope="All India",TRUE,'RAW_AR_CONTENT'!$B130=SelectedScope),'RAW_AR_CONTENT'!D130,"")</f>
        <v>Class 10</v>
      </c>
      <c r="E131" s="9" t="str">
        <f>IF(IF(SelectedScope="All India",TRUE,'RAW_AR_CONTENT'!$B130=SelectedScope),'RAW_AR_CONTENT'!E130,"")</f>
        <v>Mughal Empire AR</v>
      </c>
      <c r="F131" s="9" t="str">
        <f>IF(IF(SelectedScope="All India",TRUE,'RAW_AR_CONTENT'!$B130=SelectedScope),'RAW_AR_CONTENT'!F130,"")</f>
        <v>Basic 3D</v>
      </c>
      <c r="G131" s="9" t="str">
        <f>IF(IF(SelectedScope="All India",TRUE,'RAW_AR_CONTENT'!$B130=SelectedScope),'RAW_AR_CONTENT'!G130,"")</f>
        <v>Active</v>
      </c>
      <c r="H131" s="9">
        <f>IF(IF(SelectedScope="All India",TRUE,'RAW_AR_CONTENT'!$B130=SelectedScope),'RAW_AR_CONTENT'!H130,"")</f>
        <v>0</v>
      </c>
      <c r="I131" s="9">
        <f>IF(IF(SelectedScope="All India",TRUE,'RAW_AR_CONTENT'!$B130=SelectedScope),'RAW_AR_CONTENT'!I130,"")</f>
        <v>0</v>
      </c>
      <c r="J131" s="9">
        <f>IF(IF(SelectedScope="All India",TRUE,'RAW_AR_CONTENT'!$B130=SelectedScope),'RAW_AR_CONTENT'!J130,"")</f>
        <v>0</v>
      </c>
      <c r="K131" s="9">
        <f>IF(IF(SelectedScope="All India",TRUE,'RAW_AR_CONTENT'!$B130=SelectedScope),'RAW_AR_CONTENT'!K130,"")</f>
        <v>0</v>
      </c>
      <c r="L131" s="9">
        <f>IF(IF(SelectedScope="All India",TRUE,'RAW_AR_CONTENT'!$B130=SelectedScope),'RAW_AR_CONTENT'!L130,"")</f>
        <v>0</v>
      </c>
      <c r="M131" s="9">
        <f>IF(IF(SelectedScope="All India",TRUE,'RAW_AR_CONTENT'!$B130=SelectedScope),'RAW_AR_CONTENT'!M130,"")</f>
        <v>0</v>
      </c>
      <c r="N131" s="9">
        <f>IF(IF(SelectedScope="All India",TRUE,'RAW_AR_CONTENT'!$B130=SelectedScope),'RAW_AR_CONTENT'!N130,"")</f>
        <v>0</v>
      </c>
      <c r="O131" s="9">
        <f>IF(IF(SelectedScope="All India",TRUE,'RAW_AR_CONTENT'!$B130=SelectedScope),'RAW_AR_CONTENT'!O130,"")</f>
        <v>0</v>
      </c>
      <c r="P131" s="9">
        <f>IF(IF(SelectedScope="All India",TRUE,'RAW_AR_CONTENT'!$B130=SelectedScope),'RAW_AR_CONTENT'!P130,"")</f>
        <v>0</v>
      </c>
      <c r="Q131" s="9">
        <f>IF(IF(SelectedScope="All India",TRUE,'RAW_AR_CONTENT'!$B130=SelectedScope),'RAW_AR_CONTENT'!Q130,"")</f>
        <v>0</v>
      </c>
      <c r="R131" s="9">
        <f>IF(IF(SelectedScope="All India",TRUE,'RAW_AR_CONTENT'!$B130=SelectedScope),'RAW_AR_CONTENT'!R130,"")</f>
        <v>0</v>
      </c>
    </row>
    <row r="132" spans="1:18" ht="15" customHeight="1" x14ac:dyDescent="0.3">
      <c r="A132" s="12">
        <f>IF(IF(SelectedScope="All India",TRUE,'RAW_AR_CONTENT'!$B131=SelectedScope),'RAW_AR_CONTENT'!A131,"")</f>
        <v>128</v>
      </c>
      <c r="B132" s="12" t="str">
        <f>IF(IF(SelectedScope="All India",TRUE,'RAW_AR_CONTENT'!$B131=SelectedScope),'RAW_AR_CONTENT'!B131,"")</f>
        <v>Delhi</v>
      </c>
      <c r="C132" s="12" t="str">
        <f>IF(IF(SelectedScope="All India",TRUE,'RAW_AR_CONTENT'!$B131=SelectedScope),'RAW_AR_CONTENT'!C131,"")</f>
        <v>Geography</v>
      </c>
      <c r="D132" s="12" t="str">
        <f>IF(IF(SelectedScope="All India",TRUE,'RAW_AR_CONTENT'!$B131=SelectedScope),'RAW_AR_CONTENT'!D131,"")</f>
        <v>Class 6</v>
      </c>
      <c r="E132" s="12" t="str">
        <f>IF(IF(SelectedScope="All India",TRUE,'RAW_AR_CONTENT'!$B131=SelectedScope),'RAW_AR_CONTENT'!E131,"")</f>
        <v>Water Cycle Simulation</v>
      </c>
      <c r="F132" s="12" t="str">
        <f>IF(IF(SelectedScope="All India",TRUE,'RAW_AR_CONTENT'!$B131=SelectedScope),'RAW_AR_CONTENT'!F131,"")</f>
        <v>Animated</v>
      </c>
      <c r="G132" s="12" t="str">
        <f>IF(IF(SelectedScope="All India",TRUE,'RAW_AR_CONTENT'!$B131=SelectedScope),'RAW_AR_CONTENT'!G131,"")</f>
        <v>Active</v>
      </c>
      <c r="H132" s="12">
        <f>IF(IF(SelectedScope="All India",TRUE,'RAW_AR_CONTENT'!$B131=SelectedScope),'RAW_AR_CONTENT'!H131,"")</f>
        <v>0</v>
      </c>
      <c r="I132" s="12">
        <f>IF(IF(SelectedScope="All India",TRUE,'RAW_AR_CONTENT'!$B131=SelectedScope),'RAW_AR_CONTENT'!I131,"")</f>
        <v>0</v>
      </c>
      <c r="J132" s="12">
        <f>IF(IF(SelectedScope="All India",TRUE,'RAW_AR_CONTENT'!$B131=SelectedScope),'RAW_AR_CONTENT'!J131,"")</f>
        <v>0</v>
      </c>
      <c r="K132" s="12">
        <f>IF(IF(SelectedScope="All India",TRUE,'RAW_AR_CONTENT'!$B131=SelectedScope),'RAW_AR_CONTENT'!K131,"")</f>
        <v>0</v>
      </c>
      <c r="L132" s="12">
        <f>IF(IF(SelectedScope="All India",TRUE,'RAW_AR_CONTENT'!$B131=SelectedScope),'RAW_AR_CONTENT'!L131,"")</f>
        <v>0</v>
      </c>
      <c r="M132" s="12">
        <f>IF(IF(SelectedScope="All India",TRUE,'RAW_AR_CONTENT'!$B131=SelectedScope),'RAW_AR_CONTENT'!M131,"")</f>
        <v>0</v>
      </c>
      <c r="N132" s="12">
        <f>IF(IF(SelectedScope="All India",TRUE,'RAW_AR_CONTENT'!$B131=SelectedScope),'RAW_AR_CONTENT'!N131,"")</f>
        <v>0</v>
      </c>
      <c r="O132" s="12">
        <f>IF(IF(SelectedScope="All India",TRUE,'RAW_AR_CONTENT'!$B131=SelectedScope),'RAW_AR_CONTENT'!O131,"")</f>
        <v>0</v>
      </c>
      <c r="P132" s="12">
        <f>IF(IF(SelectedScope="All India",TRUE,'RAW_AR_CONTENT'!$B131=SelectedScope),'RAW_AR_CONTENT'!P131,"")</f>
        <v>0</v>
      </c>
      <c r="Q132" s="12">
        <f>IF(IF(SelectedScope="All India",TRUE,'RAW_AR_CONTENT'!$B131=SelectedScope),'RAW_AR_CONTENT'!Q131,"")</f>
        <v>0</v>
      </c>
      <c r="R132" s="12">
        <f>IF(IF(SelectedScope="All India",TRUE,'RAW_AR_CONTENT'!$B131=SelectedScope),'RAW_AR_CONTENT'!R131,"")</f>
        <v>0</v>
      </c>
    </row>
    <row r="133" spans="1:18" ht="15" customHeight="1" x14ac:dyDescent="0.3">
      <c r="A133" s="9">
        <f>IF(IF(SelectedScope="All India",TRUE,'RAW_AR_CONTENT'!$B132=SelectedScope),'RAW_AR_CONTENT'!A132,"")</f>
        <v>129</v>
      </c>
      <c r="B133" s="9" t="str">
        <f>IF(IF(SelectedScope="All India",TRUE,'RAW_AR_CONTENT'!$B132=SelectedScope),'RAW_AR_CONTENT'!B132,"")</f>
        <v>Delhi</v>
      </c>
      <c r="C133" s="9" t="str">
        <f>IF(IF(SelectedScope="All India",TRUE,'RAW_AR_CONTENT'!$B132=SelectedScope),'RAW_AR_CONTENT'!C132,"")</f>
        <v>Biology</v>
      </c>
      <c r="D133" s="9" t="str">
        <f>IF(IF(SelectedScope="All India",TRUE,'RAW_AR_CONTENT'!$B132=SelectedScope),'RAW_AR_CONTENT'!D132,"")</f>
        <v>Class 11</v>
      </c>
      <c r="E133" s="9" t="str">
        <f>IF(IF(SelectedScope="All India",TRUE,'RAW_AR_CONTENT'!$B132=SelectedScope),'RAW_AR_CONTENT'!E132,"")</f>
        <v>Human Anatomy AR</v>
      </c>
      <c r="F133" s="9" t="str">
        <f>IF(IF(SelectedScope="All India",TRUE,'RAW_AR_CONTENT'!$B132=SelectedScope),'RAW_AR_CONTENT'!F132,"")</f>
        <v>Fully Immersive</v>
      </c>
      <c r="G133" s="9" t="str">
        <f>IF(IF(SelectedScope="All India",TRUE,'RAW_AR_CONTENT'!$B132=SelectedScope),'RAW_AR_CONTENT'!G132,"")</f>
        <v>Active</v>
      </c>
      <c r="H133" s="9">
        <f>IF(IF(SelectedScope="All India",TRUE,'RAW_AR_CONTENT'!$B132=SelectedScope),'RAW_AR_CONTENT'!H132,"")</f>
        <v>0</v>
      </c>
      <c r="I133" s="9">
        <f>IF(IF(SelectedScope="All India",TRUE,'RAW_AR_CONTENT'!$B132=SelectedScope),'RAW_AR_CONTENT'!I132,"")</f>
        <v>0</v>
      </c>
      <c r="J133" s="9">
        <f>IF(IF(SelectedScope="All India",TRUE,'RAW_AR_CONTENT'!$B132=SelectedScope),'RAW_AR_CONTENT'!J132,"")</f>
        <v>0</v>
      </c>
      <c r="K133" s="9">
        <f>IF(IF(SelectedScope="All India",TRUE,'RAW_AR_CONTENT'!$B132=SelectedScope),'RAW_AR_CONTENT'!K132,"")</f>
        <v>0</v>
      </c>
      <c r="L133" s="9">
        <f>IF(IF(SelectedScope="All India",TRUE,'RAW_AR_CONTENT'!$B132=SelectedScope),'RAW_AR_CONTENT'!L132,"")</f>
        <v>0</v>
      </c>
      <c r="M133" s="9">
        <f>IF(IF(SelectedScope="All India",TRUE,'RAW_AR_CONTENT'!$B132=SelectedScope),'RAW_AR_CONTENT'!M132,"")</f>
        <v>0</v>
      </c>
      <c r="N133" s="9">
        <f>IF(IF(SelectedScope="All India",TRUE,'RAW_AR_CONTENT'!$B132=SelectedScope),'RAW_AR_CONTENT'!N132,"")</f>
        <v>0</v>
      </c>
      <c r="O133" s="9">
        <f>IF(IF(SelectedScope="All India",TRUE,'RAW_AR_CONTENT'!$B132=SelectedScope),'RAW_AR_CONTENT'!O132,"")</f>
        <v>0</v>
      </c>
      <c r="P133" s="9">
        <f>IF(IF(SelectedScope="All India",TRUE,'RAW_AR_CONTENT'!$B132=SelectedScope),'RAW_AR_CONTENT'!P132,"")</f>
        <v>0</v>
      </c>
      <c r="Q133" s="9">
        <f>IF(IF(SelectedScope="All India",TRUE,'RAW_AR_CONTENT'!$B132=SelectedScope),'RAW_AR_CONTENT'!Q132,"")</f>
        <v>0</v>
      </c>
      <c r="R133" s="9">
        <f>IF(IF(SelectedScope="All India",TRUE,'RAW_AR_CONTENT'!$B132=SelectedScope),'RAW_AR_CONTENT'!R132,"")</f>
        <v>0</v>
      </c>
    </row>
    <row r="134" spans="1:18" ht="15" customHeight="1" x14ac:dyDescent="0.3">
      <c r="A134" s="12">
        <f>IF(IF(SelectedScope="All India",TRUE,'RAW_AR_CONTENT'!$B133=SelectedScope),'RAW_AR_CONTENT'!A133,"")</f>
        <v>130</v>
      </c>
      <c r="B134" s="12" t="str">
        <f>IF(IF(SelectedScope="All India",TRUE,'RAW_AR_CONTENT'!$B133=SelectedScope),'RAW_AR_CONTENT'!B133,"")</f>
        <v>Delhi</v>
      </c>
      <c r="C134" s="12" t="str">
        <f>IF(IF(SelectedScope="All India",TRUE,'RAW_AR_CONTENT'!$B133=SelectedScope),'RAW_AR_CONTENT'!C133,"")</f>
        <v>Physics</v>
      </c>
      <c r="D134" s="12" t="str">
        <f>IF(IF(SelectedScope="All India",TRUE,'RAW_AR_CONTENT'!$B133=SelectedScope),'RAW_AR_CONTENT'!D133,"")</f>
        <v>Class 9</v>
      </c>
      <c r="E134" s="12" t="str">
        <f>IF(IF(SelectedScope="All India",TRUE,'RAW_AR_CONTENT'!$B133=SelectedScope),'RAW_AR_CONTENT'!E133,"")</f>
        <v>Laws of Motion</v>
      </c>
      <c r="F134" s="12" t="str">
        <f>IF(IF(SelectedScope="All India",TRUE,'RAW_AR_CONTENT'!$B133=SelectedScope),'RAW_AR_CONTENT'!F133,"")</f>
        <v>Interactive</v>
      </c>
      <c r="G134" s="12" t="str">
        <f>IF(IF(SelectedScope="All India",TRUE,'RAW_AR_CONTENT'!$B133=SelectedScope),'RAW_AR_CONTENT'!G133,"")</f>
        <v>Active</v>
      </c>
      <c r="H134" s="12">
        <f>IF(IF(SelectedScope="All India",TRUE,'RAW_AR_CONTENT'!$B133=SelectedScope),'RAW_AR_CONTENT'!H133,"")</f>
        <v>0</v>
      </c>
      <c r="I134" s="12">
        <f>IF(IF(SelectedScope="All India",TRUE,'RAW_AR_CONTENT'!$B133=SelectedScope),'RAW_AR_CONTENT'!I133,"")</f>
        <v>0</v>
      </c>
      <c r="J134" s="12">
        <f>IF(IF(SelectedScope="All India",TRUE,'RAW_AR_CONTENT'!$B133=SelectedScope),'RAW_AR_CONTENT'!J133,"")</f>
        <v>0</v>
      </c>
      <c r="K134" s="12">
        <f>IF(IF(SelectedScope="All India",TRUE,'RAW_AR_CONTENT'!$B133=SelectedScope),'RAW_AR_CONTENT'!K133,"")</f>
        <v>0</v>
      </c>
      <c r="L134" s="12">
        <f>IF(IF(SelectedScope="All India",TRUE,'RAW_AR_CONTENT'!$B133=SelectedScope),'RAW_AR_CONTENT'!L133,"")</f>
        <v>0</v>
      </c>
      <c r="M134" s="12">
        <f>IF(IF(SelectedScope="All India",TRUE,'RAW_AR_CONTENT'!$B133=SelectedScope),'RAW_AR_CONTENT'!M133,"")</f>
        <v>0</v>
      </c>
      <c r="N134" s="12">
        <f>IF(IF(SelectedScope="All India",TRUE,'RAW_AR_CONTENT'!$B133=SelectedScope),'RAW_AR_CONTENT'!N133,"")</f>
        <v>0</v>
      </c>
      <c r="O134" s="12">
        <f>IF(IF(SelectedScope="All India",TRUE,'RAW_AR_CONTENT'!$B133=SelectedScope),'RAW_AR_CONTENT'!O133,"")</f>
        <v>0</v>
      </c>
      <c r="P134" s="12">
        <f>IF(IF(SelectedScope="All India",TRUE,'RAW_AR_CONTENT'!$B133=SelectedScope),'RAW_AR_CONTENT'!P133,"")</f>
        <v>0</v>
      </c>
      <c r="Q134" s="12">
        <f>IF(IF(SelectedScope="All India",TRUE,'RAW_AR_CONTENT'!$B133=SelectedScope),'RAW_AR_CONTENT'!Q133,"")</f>
        <v>0</v>
      </c>
      <c r="R134" s="12">
        <f>IF(IF(SelectedScope="All India",TRUE,'RAW_AR_CONTENT'!$B133=SelectedScope),'RAW_AR_CONTENT'!R133,"")</f>
        <v>0</v>
      </c>
    </row>
    <row r="135" spans="1:18" ht="15" customHeight="1" x14ac:dyDescent="0.3">
      <c r="A135" s="9">
        <f>IF(IF(SelectedScope="All India",TRUE,'RAW_AR_CONTENT'!$B134=SelectedScope),'RAW_AR_CONTENT'!A134,"")</f>
        <v>131</v>
      </c>
      <c r="B135" s="9" t="str">
        <f>IF(IF(SelectedScope="All India",TRUE,'RAW_AR_CONTENT'!$B134=SelectedScope),'RAW_AR_CONTENT'!B134,"")</f>
        <v>Delhi</v>
      </c>
      <c r="C135" s="9" t="str">
        <f>IF(IF(SelectedScope="All India",TRUE,'RAW_AR_CONTENT'!$B134=SelectedScope),'RAW_AR_CONTENT'!C134,"")</f>
        <v>Chemistry</v>
      </c>
      <c r="D135" s="9" t="str">
        <f>IF(IF(SelectedScope="All India",TRUE,'RAW_AR_CONTENT'!$B134=SelectedScope),'RAW_AR_CONTENT'!D134,"")</f>
        <v>Class 11</v>
      </c>
      <c r="E135" s="9" t="str">
        <f>IF(IF(SelectedScope="All India",TRUE,'RAW_AR_CONTENT'!$B134=SelectedScope),'RAW_AR_CONTENT'!E134,"")</f>
        <v>Periodic Table 3D</v>
      </c>
      <c r="F135" s="9" t="str">
        <f>IF(IF(SelectedScope="All India",TRUE,'RAW_AR_CONTENT'!$B134=SelectedScope),'RAW_AR_CONTENT'!F134,"")</f>
        <v>Interactive</v>
      </c>
      <c r="G135" s="9" t="str">
        <f>IF(IF(SelectedScope="All India",TRUE,'RAW_AR_CONTENT'!$B134=SelectedScope),'RAW_AR_CONTENT'!G134,"")</f>
        <v>Active</v>
      </c>
      <c r="H135" s="9">
        <f>IF(IF(SelectedScope="All India",TRUE,'RAW_AR_CONTENT'!$B134=SelectedScope),'RAW_AR_CONTENT'!H134,"")</f>
        <v>0</v>
      </c>
      <c r="I135" s="9">
        <f>IF(IF(SelectedScope="All India",TRUE,'RAW_AR_CONTENT'!$B134=SelectedScope),'RAW_AR_CONTENT'!I134,"")</f>
        <v>0</v>
      </c>
      <c r="J135" s="9">
        <f>IF(IF(SelectedScope="All India",TRUE,'RAW_AR_CONTENT'!$B134=SelectedScope),'RAW_AR_CONTENT'!J134,"")</f>
        <v>0</v>
      </c>
      <c r="K135" s="9">
        <f>IF(IF(SelectedScope="All India",TRUE,'RAW_AR_CONTENT'!$B134=SelectedScope),'RAW_AR_CONTENT'!K134,"")</f>
        <v>0</v>
      </c>
      <c r="L135" s="9">
        <f>IF(IF(SelectedScope="All India",TRUE,'RAW_AR_CONTENT'!$B134=SelectedScope),'RAW_AR_CONTENT'!L134,"")</f>
        <v>0</v>
      </c>
      <c r="M135" s="9">
        <f>IF(IF(SelectedScope="All India",TRUE,'RAW_AR_CONTENT'!$B134=SelectedScope),'RAW_AR_CONTENT'!M134,"")</f>
        <v>0</v>
      </c>
      <c r="N135" s="9">
        <f>IF(IF(SelectedScope="All India",TRUE,'RAW_AR_CONTENT'!$B134=SelectedScope),'RAW_AR_CONTENT'!N134,"")</f>
        <v>0</v>
      </c>
      <c r="O135" s="9">
        <f>IF(IF(SelectedScope="All India",TRUE,'RAW_AR_CONTENT'!$B134=SelectedScope),'RAW_AR_CONTENT'!O134,"")</f>
        <v>0</v>
      </c>
      <c r="P135" s="9">
        <f>IF(IF(SelectedScope="All India",TRUE,'RAW_AR_CONTENT'!$B134=SelectedScope),'RAW_AR_CONTENT'!P134,"")</f>
        <v>0</v>
      </c>
      <c r="Q135" s="9">
        <f>IF(IF(SelectedScope="All India",TRUE,'RAW_AR_CONTENT'!$B134=SelectedScope),'RAW_AR_CONTENT'!Q134,"")</f>
        <v>0</v>
      </c>
      <c r="R135" s="9">
        <f>IF(IF(SelectedScope="All India",TRUE,'RAW_AR_CONTENT'!$B134=SelectedScope),'RAW_AR_CONTENT'!R134,"")</f>
        <v>0</v>
      </c>
    </row>
    <row r="136" spans="1:18" ht="15" customHeight="1" x14ac:dyDescent="0.3">
      <c r="A136" s="12">
        <f>IF(IF(SelectedScope="All India",TRUE,'RAW_AR_CONTENT'!$B135=SelectedScope),'RAW_AR_CONTENT'!A135,"")</f>
        <v>132</v>
      </c>
      <c r="B136" s="12" t="str">
        <f>IF(IF(SelectedScope="All India",TRUE,'RAW_AR_CONTENT'!$B135=SelectedScope),'RAW_AR_CONTENT'!B135,"")</f>
        <v>Delhi</v>
      </c>
      <c r="C136" s="12" t="str">
        <f>IF(IF(SelectedScope="All India",TRUE,'RAW_AR_CONTENT'!$B135=SelectedScope),'RAW_AR_CONTENT'!C135,"")</f>
        <v>Physics</v>
      </c>
      <c r="D136" s="12" t="str">
        <f>IF(IF(SelectedScope="All India",TRUE,'RAW_AR_CONTENT'!$B135=SelectedScope),'RAW_AR_CONTENT'!D135,"")</f>
        <v>Class 10</v>
      </c>
      <c r="E136" s="12" t="str">
        <f>IF(IF(SelectedScope="All India",TRUE,'RAW_AR_CONTENT'!$B135=SelectedScope),'RAW_AR_CONTENT'!E135,"")</f>
        <v>Electricity Circuits</v>
      </c>
      <c r="F136" s="12" t="str">
        <f>IF(IF(SelectedScope="All India",TRUE,'RAW_AR_CONTENT'!$B135=SelectedScope),'RAW_AR_CONTENT'!F135,"")</f>
        <v>Interactive</v>
      </c>
      <c r="G136" s="12" t="str">
        <f>IF(IF(SelectedScope="All India",TRUE,'RAW_AR_CONTENT'!$B135=SelectedScope),'RAW_AR_CONTENT'!G135,"")</f>
        <v>Active</v>
      </c>
      <c r="H136" s="12">
        <f>IF(IF(SelectedScope="All India",TRUE,'RAW_AR_CONTENT'!$B135=SelectedScope),'RAW_AR_CONTENT'!H135,"")</f>
        <v>0</v>
      </c>
      <c r="I136" s="12">
        <f>IF(IF(SelectedScope="All India",TRUE,'RAW_AR_CONTENT'!$B135=SelectedScope),'RAW_AR_CONTENT'!I135,"")</f>
        <v>0</v>
      </c>
      <c r="J136" s="12">
        <f>IF(IF(SelectedScope="All India",TRUE,'RAW_AR_CONTENT'!$B135=SelectedScope),'RAW_AR_CONTENT'!J135,"")</f>
        <v>0</v>
      </c>
      <c r="K136" s="12">
        <f>IF(IF(SelectedScope="All India",TRUE,'RAW_AR_CONTENT'!$B135=SelectedScope),'RAW_AR_CONTENT'!K135,"")</f>
        <v>0</v>
      </c>
      <c r="L136" s="12">
        <f>IF(IF(SelectedScope="All India",TRUE,'RAW_AR_CONTENT'!$B135=SelectedScope),'RAW_AR_CONTENT'!L135,"")</f>
        <v>0</v>
      </c>
      <c r="M136" s="12">
        <f>IF(IF(SelectedScope="All India",TRUE,'RAW_AR_CONTENT'!$B135=SelectedScope),'RAW_AR_CONTENT'!M135,"")</f>
        <v>0</v>
      </c>
      <c r="N136" s="12">
        <f>IF(IF(SelectedScope="All India",TRUE,'RAW_AR_CONTENT'!$B135=SelectedScope),'RAW_AR_CONTENT'!N135,"")</f>
        <v>0</v>
      </c>
      <c r="O136" s="12">
        <f>IF(IF(SelectedScope="All India",TRUE,'RAW_AR_CONTENT'!$B135=SelectedScope),'RAW_AR_CONTENT'!O135,"")</f>
        <v>0</v>
      </c>
      <c r="P136" s="12">
        <f>IF(IF(SelectedScope="All India",TRUE,'RAW_AR_CONTENT'!$B135=SelectedScope),'RAW_AR_CONTENT'!P135,"")</f>
        <v>0</v>
      </c>
      <c r="Q136" s="12">
        <f>IF(IF(SelectedScope="All India",TRUE,'RAW_AR_CONTENT'!$B135=SelectedScope),'RAW_AR_CONTENT'!Q135,"")</f>
        <v>0</v>
      </c>
      <c r="R136" s="12">
        <f>IF(IF(SelectedScope="All India",TRUE,'RAW_AR_CONTENT'!$B135=SelectedScope),'RAW_AR_CONTENT'!R135,"")</f>
        <v>0</v>
      </c>
    </row>
    <row r="137" spans="1:18" ht="15" customHeight="1" x14ac:dyDescent="0.3">
      <c r="A137" s="9">
        <f>IF(IF(SelectedScope="All India",TRUE,'RAW_AR_CONTENT'!$B136=SelectedScope),'RAW_AR_CONTENT'!A136,"")</f>
        <v>133</v>
      </c>
      <c r="B137" s="9" t="str">
        <f>IF(IF(SelectedScope="All India",TRUE,'RAW_AR_CONTENT'!$B136=SelectedScope),'RAW_AR_CONTENT'!B136,"")</f>
        <v>Delhi</v>
      </c>
      <c r="C137" s="9" t="str">
        <f>IF(IF(SelectedScope="All India",TRUE,'RAW_AR_CONTENT'!$B136=SelectedScope),'RAW_AR_CONTENT'!C136,"")</f>
        <v>Civics</v>
      </c>
      <c r="D137" s="9" t="str">
        <f>IF(IF(SelectedScope="All India",TRUE,'RAW_AR_CONTENT'!$B136=SelectedScope),'RAW_AR_CONTENT'!D136,"")</f>
        <v>Class 9</v>
      </c>
      <c r="E137" s="9" t="str">
        <f>IF(IF(SelectedScope="All India",TRUE,'RAW_AR_CONTENT'!$B136=SelectedScope),'RAW_AR_CONTENT'!E136,"")</f>
        <v>Indian Constitution</v>
      </c>
      <c r="F137" s="9" t="str">
        <f>IF(IF(SelectedScope="All India",TRUE,'RAW_AR_CONTENT'!$B136=SelectedScope),'RAW_AR_CONTENT'!F136,"")</f>
        <v>Basic 3D</v>
      </c>
      <c r="G137" s="9" t="str">
        <f>IF(IF(SelectedScope="All India",TRUE,'RAW_AR_CONTENT'!$B136=SelectedScope),'RAW_AR_CONTENT'!G136,"")</f>
        <v>Active</v>
      </c>
      <c r="H137" s="9">
        <f>IF(IF(SelectedScope="All India",TRUE,'RAW_AR_CONTENT'!$B136=SelectedScope),'RAW_AR_CONTENT'!H136,"")</f>
        <v>0</v>
      </c>
      <c r="I137" s="9">
        <f>IF(IF(SelectedScope="All India",TRUE,'RAW_AR_CONTENT'!$B136=SelectedScope),'RAW_AR_CONTENT'!I136,"")</f>
        <v>0</v>
      </c>
      <c r="J137" s="9">
        <f>IF(IF(SelectedScope="All India",TRUE,'RAW_AR_CONTENT'!$B136=SelectedScope),'RAW_AR_CONTENT'!J136,"")</f>
        <v>0</v>
      </c>
      <c r="K137" s="9">
        <f>IF(IF(SelectedScope="All India",TRUE,'RAW_AR_CONTENT'!$B136=SelectedScope),'RAW_AR_CONTENT'!K136,"")</f>
        <v>0</v>
      </c>
      <c r="L137" s="9">
        <f>IF(IF(SelectedScope="All India",TRUE,'RAW_AR_CONTENT'!$B136=SelectedScope),'RAW_AR_CONTENT'!L136,"")</f>
        <v>0</v>
      </c>
      <c r="M137" s="9">
        <f>IF(IF(SelectedScope="All India",TRUE,'RAW_AR_CONTENT'!$B136=SelectedScope),'RAW_AR_CONTENT'!M136,"")</f>
        <v>0</v>
      </c>
      <c r="N137" s="9">
        <f>IF(IF(SelectedScope="All India",TRUE,'RAW_AR_CONTENT'!$B136=SelectedScope),'RAW_AR_CONTENT'!N136,"")</f>
        <v>0</v>
      </c>
      <c r="O137" s="9">
        <f>IF(IF(SelectedScope="All India",TRUE,'RAW_AR_CONTENT'!$B136=SelectedScope),'RAW_AR_CONTENT'!O136,"")</f>
        <v>0</v>
      </c>
      <c r="P137" s="9">
        <f>IF(IF(SelectedScope="All India",TRUE,'RAW_AR_CONTENT'!$B136=SelectedScope),'RAW_AR_CONTENT'!P136,"")</f>
        <v>0</v>
      </c>
      <c r="Q137" s="9">
        <f>IF(IF(SelectedScope="All India",TRUE,'RAW_AR_CONTENT'!$B136=SelectedScope),'RAW_AR_CONTENT'!Q136,"")</f>
        <v>0</v>
      </c>
      <c r="R137" s="9">
        <f>IF(IF(SelectedScope="All India",TRUE,'RAW_AR_CONTENT'!$B136=SelectedScope),'RAW_AR_CONTENT'!R136,"")</f>
        <v>0</v>
      </c>
    </row>
    <row r="138" spans="1:18" ht="15" customHeight="1" x14ac:dyDescent="0.3">
      <c r="A138" s="12">
        <f>IF(IF(SelectedScope="All India",TRUE,'RAW_AR_CONTENT'!$B137=SelectedScope),'RAW_AR_CONTENT'!A137,"")</f>
        <v>134</v>
      </c>
      <c r="B138" s="12" t="str">
        <f>IF(IF(SelectedScope="All India",TRUE,'RAW_AR_CONTENT'!$B137=SelectedScope),'RAW_AR_CONTENT'!B137,"")</f>
        <v>Delhi</v>
      </c>
      <c r="C138" s="12" t="str">
        <f>IF(IF(SelectedScope="All India",TRUE,'RAW_AR_CONTENT'!$B137=SelectedScope),'RAW_AR_CONTENT'!C137,"")</f>
        <v>Environmental Science</v>
      </c>
      <c r="D138" s="12" t="str">
        <f>IF(IF(SelectedScope="All India",TRUE,'RAW_AR_CONTENT'!$B137=SelectedScope),'RAW_AR_CONTENT'!D137,"")</f>
        <v>Class 6</v>
      </c>
      <c r="E138" s="12" t="str">
        <f>IF(IF(SelectedScope="All India",TRUE,'RAW_AR_CONTENT'!$B137=SelectedScope),'RAW_AR_CONTENT'!E137,"")</f>
        <v>Food Chain</v>
      </c>
      <c r="F138" s="12" t="str">
        <f>IF(IF(SelectedScope="All India",TRUE,'RAW_AR_CONTENT'!$B137=SelectedScope),'RAW_AR_CONTENT'!F137,"")</f>
        <v>Animated</v>
      </c>
      <c r="G138" s="12" t="str">
        <f>IF(IF(SelectedScope="All India",TRUE,'RAW_AR_CONTENT'!$B137=SelectedScope),'RAW_AR_CONTENT'!G137,"")</f>
        <v>Active</v>
      </c>
      <c r="H138" s="12">
        <f>IF(IF(SelectedScope="All India",TRUE,'RAW_AR_CONTENT'!$B137=SelectedScope),'RAW_AR_CONTENT'!H137,"")</f>
        <v>0</v>
      </c>
      <c r="I138" s="12">
        <f>IF(IF(SelectedScope="All India",TRUE,'RAW_AR_CONTENT'!$B137=SelectedScope),'RAW_AR_CONTENT'!I137,"")</f>
        <v>0</v>
      </c>
      <c r="J138" s="12">
        <f>IF(IF(SelectedScope="All India",TRUE,'RAW_AR_CONTENT'!$B137=SelectedScope),'RAW_AR_CONTENT'!J137,"")</f>
        <v>0</v>
      </c>
      <c r="K138" s="12">
        <f>IF(IF(SelectedScope="All India",TRUE,'RAW_AR_CONTENT'!$B137=SelectedScope),'RAW_AR_CONTENT'!K137,"")</f>
        <v>0</v>
      </c>
      <c r="L138" s="12">
        <f>IF(IF(SelectedScope="All India",TRUE,'RAW_AR_CONTENT'!$B137=SelectedScope),'RAW_AR_CONTENT'!L137,"")</f>
        <v>0</v>
      </c>
      <c r="M138" s="12">
        <f>IF(IF(SelectedScope="All India",TRUE,'RAW_AR_CONTENT'!$B137=SelectedScope),'RAW_AR_CONTENT'!M137,"")</f>
        <v>0</v>
      </c>
      <c r="N138" s="12">
        <f>IF(IF(SelectedScope="All India",TRUE,'RAW_AR_CONTENT'!$B137=SelectedScope),'RAW_AR_CONTENT'!N137,"")</f>
        <v>0</v>
      </c>
      <c r="O138" s="12">
        <f>IF(IF(SelectedScope="All India",TRUE,'RAW_AR_CONTENT'!$B137=SelectedScope),'RAW_AR_CONTENT'!O137,"")</f>
        <v>0</v>
      </c>
      <c r="P138" s="12">
        <f>IF(IF(SelectedScope="All India",TRUE,'RAW_AR_CONTENT'!$B137=SelectedScope),'RAW_AR_CONTENT'!P137,"")</f>
        <v>0</v>
      </c>
      <c r="Q138" s="12">
        <f>IF(IF(SelectedScope="All India",TRUE,'RAW_AR_CONTENT'!$B137=SelectedScope),'RAW_AR_CONTENT'!Q137,"")</f>
        <v>0</v>
      </c>
      <c r="R138" s="12">
        <f>IF(IF(SelectedScope="All India",TRUE,'RAW_AR_CONTENT'!$B137=SelectedScope),'RAW_AR_CONTENT'!R137,"")</f>
        <v>0</v>
      </c>
    </row>
    <row r="139" spans="1:18" ht="15" customHeight="1" x14ac:dyDescent="0.3">
      <c r="A139" s="9">
        <f>IF(IF(SelectedScope="All India",TRUE,'RAW_AR_CONTENT'!$B138=SelectedScope),'RAW_AR_CONTENT'!A138,"")</f>
        <v>135</v>
      </c>
      <c r="B139" s="9" t="str">
        <f>IF(IF(SelectedScope="All India",TRUE,'RAW_AR_CONTENT'!$B138=SelectedScope),'RAW_AR_CONTENT'!B138,"")</f>
        <v>Delhi</v>
      </c>
      <c r="C139" s="9" t="str">
        <f>IF(IF(SelectedScope="All India",TRUE,'RAW_AR_CONTENT'!$B138=SelectedScope),'RAW_AR_CONTENT'!C138,"")</f>
        <v>Mathematics</v>
      </c>
      <c r="D139" s="9" t="str">
        <f>IF(IF(SelectedScope="All India",TRUE,'RAW_AR_CONTENT'!$B138=SelectedScope),'RAW_AR_CONTENT'!D138,"")</f>
        <v>Class 10</v>
      </c>
      <c r="E139" s="9" t="str">
        <f>IF(IF(SelectedScope="All India",TRUE,'RAW_AR_CONTENT'!$B138=SelectedScope),'RAW_AR_CONTENT'!E138,"")</f>
        <v>Quadratic Equations</v>
      </c>
      <c r="F139" s="9" t="str">
        <f>IF(IF(SelectedScope="All India",TRUE,'RAW_AR_CONTENT'!$B138=SelectedScope),'RAW_AR_CONTENT'!F138,"")</f>
        <v>Animated</v>
      </c>
      <c r="G139" s="9" t="str">
        <f>IF(IF(SelectedScope="All India",TRUE,'RAW_AR_CONTENT'!$B138=SelectedScope),'RAW_AR_CONTENT'!G138,"")</f>
        <v>Active</v>
      </c>
      <c r="H139" s="9">
        <f>IF(IF(SelectedScope="All India",TRUE,'RAW_AR_CONTENT'!$B138=SelectedScope),'RAW_AR_CONTENT'!H138,"")</f>
        <v>0</v>
      </c>
      <c r="I139" s="9">
        <f>IF(IF(SelectedScope="All India",TRUE,'RAW_AR_CONTENT'!$B138=SelectedScope),'RAW_AR_CONTENT'!I138,"")</f>
        <v>0</v>
      </c>
      <c r="J139" s="9">
        <f>IF(IF(SelectedScope="All India",TRUE,'RAW_AR_CONTENT'!$B138=SelectedScope),'RAW_AR_CONTENT'!J138,"")</f>
        <v>0</v>
      </c>
      <c r="K139" s="9">
        <f>IF(IF(SelectedScope="All India",TRUE,'RAW_AR_CONTENT'!$B138=SelectedScope),'RAW_AR_CONTENT'!K138,"")</f>
        <v>0</v>
      </c>
      <c r="L139" s="9">
        <f>IF(IF(SelectedScope="All India",TRUE,'RAW_AR_CONTENT'!$B138=SelectedScope),'RAW_AR_CONTENT'!L138,"")</f>
        <v>0</v>
      </c>
      <c r="M139" s="9">
        <f>IF(IF(SelectedScope="All India",TRUE,'RAW_AR_CONTENT'!$B138=SelectedScope),'RAW_AR_CONTENT'!M138,"")</f>
        <v>0</v>
      </c>
      <c r="N139" s="9">
        <f>IF(IF(SelectedScope="All India",TRUE,'RAW_AR_CONTENT'!$B138=SelectedScope),'RAW_AR_CONTENT'!N138,"")</f>
        <v>0</v>
      </c>
      <c r="O139" s="9">
        <f>IF(IF(SelectedScope="All India",TRUE,'RAW_AR_CONTENT'!$B138=SelectedScope),'RAW_AR_CONTENT'!O138,"")</f>
        <v>0</v>
      </c>
      <c r="P139" s="9">
        <f>IF(IF(SelectedScope="All India",TRUE,'RAW_AR_CONTENT'!$B138=SelectedScope),'RAW_AR_CONTENT'!P138,"")</f>
        <v>0</v>
      </c>
      <c r="Q139" s="9">
        <f>IF(IF(SelectedScope="All India",TRUE,'RAW_AR_CONTENT'!$B138=SelectedScope),'RAW_AR_CONTENT'!Q138,"")</f>
        <v>0</v>
      </c>
      <c r="R139" s="9">
        <f>IF(IF(SelectedScope="All India",TRUE,'RAW_AR_CONTENT'!$B138=SelectedScope),'RAW_AR_CONTENT'!R138,"")</f>
        <v>0</v>
      </c>
    </row>
    <row r="140" spans="1:18" ht="15" customHeight="1" x14ac:dyDescent="0.3">
      <c r="A140" s="12">
        <f>IF(IF(SelectedScope="All India",TRUE,'RAW_AR_CONTENT'!$B139=SelectedScope),'RAW_AR_CONTENT'!A139,"")</f>
        <v>136</v>
      </c>
      <c r="B140" s="12" t="str">
        <f>IF(IF(SelectedScope="All India",TRUE,'RAW_AR_CONTENT'!$B139=SelectedScope),'RAW_AR_CONTENT'!B139,"")</f>
        <v>Goa</v>
      </c>
      <c r="C140" s="12" t="str">
        <f>IF(IF(SelectedScope="All India",TRUE,'RAW_AR_CONTENT'!$B139=SelectedScope),'RAW_AR_CONTENT'!C139,"")</f>
        <v>Science</v>
      </c>
      <c r="D140" s="12" t="str">
        <f>IF(IF(SelectedScope="All India",TRUE,'RAW_AR_CONTENT'!$B139=SelectedScope),'RAW_AR_CONTENT'!D139,"")</f>
        <v>Class 8</v>
      </c>
      <c r="E140" s="12" t="str">
        <f>IF(IF(SelectedScope="All India",TRUE,'RAW_AR_CONTENT'!$B139=SelectedScope),'RAW_AR_CONTENT'!E139,"")</f>
        <v>Solar System 3D</v>
      </c>
      <c r="F140" s="12" t="str">
        <f>IF(IF(SelectedScope="All India",TRUE,'RAW_AR_CONTENT'!$B139=SelectedScope),'RAW_AR_CONTENT'!F139,"")</f>
        <v>Animated</v>
      </c>
      <c r="G140" s="12" t="str">
        <f>IF(IF(SelectedScope="All India",TRUE,'RAW_AR_CONTENT'!$B139=SelectedScope),'RAW_AR_CONTENT'!G139,"")</f>
        <v>Active</v>
      </c>
      <c r="H140" s="12">
        <f>IF(IF(SelectedScope="All India",TRUE,'RAW_AR_CONTENT'!$B139=SelectedScope),'RAW_AR_CONTENT'!H139,"")</f>
        <v>0</v>
      </c>
      <c r="I140" s="12">
        <f>IF(IF(SelectedScope="All India",TRUE,'RAW_AR_CONTENT'!$B139=SelectedScope),'RAW_AR_CONTENT'!I139,"")</f>
        <v>0</v>
      </c>
      <c r="J140" s="12">
        <f>IF(IF(SelectedScope="All India",TRUE,'RAW_AR_CONTENT'!$B139=SelectedScope),'RAW_AR_CONTENT'!J139,"")</f>
        <v>0</v>
      </c>
      <c r="K140" s="12">
        <f>IF(IF(SelectedScope="All India",TRUE,'RAW_AR_CONTENT'!$B139=SelectedScope),'RAW_AR_CONTENT'!K139,"")</f>
        <v>0</v>
      </c>
      <c r="L140" s="12">
        <f>IF(IF(SelectedScope="All India",TRUE,'RAW_AR_CONTENT'!$B139=SelectedScope),'RAW_AR_CONTENT'!L139,"")</f>
        <v>0</v>
      </c>
      <c r="M140" s="12">
        <f>IF(IF(SelectedScope="All India",TRUE,'RAW_AR_CONTENT'!$B139=SelectedScope),'RAW_AR_CONTENT'!M139,"")</f>
        <v>0</v>
      </c>
      <c r="N140" s="12">
        <f>IF(IF(SelectedScope="All India",TRUE,'RAW_AR_CONTENT'!$B139=SelectedScope),'RAW_AR_CONTENT'!N139,"")</f>
        <v>0</v>
      </c>
      <c r="O140" s="12">
        <f>IF(IF(SelectedScope="All India",TRUE,'RAW_AR_CONTENT'!$B139=SelectedScope),'RAW_AR_CONTENT'!O139,"")</f>
        <v>0</v>
      </c>
      <c r="P140" s="12">
        <f>IF(IF(SelectedScope="All India",TRUE,'RAW_AR_CONTENT'!$B139=SelectedScope),'RAW_AR_CONTENT'!P139,"")</f>
        <v>0</v>
      </c>
      <c r="Q140" s="12">
        <f>IF(IF(SelectedScope="All India",TRUE,'RAW_AR_CONTENT'!$B139=SelectedScope),'RAW_AR_CONTENT'!Q139,"")</f>
        <v>0</v>
      </c>
      <c r="R140" s="12">
        <f>IF(IF(SelectedScope="All India",TRUE,'RAW_AR_CONTENT'!$B139=SelectedScope),'RAW_AR_CONTENT'!R139,"")</f>
        <v>0</v>
      </c>
    </row>
    <row r="141" spans="1:18" ht="15" customHeight="1" x14ac:dyDescent="0.3">
      <c r="A141" s="9">
        <f>IF(IF(SelectedScope="All India",TRUE,'RAW_AR_CONTENT'!$B140=SelectedScope),'RAW_AR_CONTENT'!A140,"")</f>
        <v>137</v>
      </c>
      <c r="B141" s="9" t="str">
        <f>IF(IF(SelectedScope="All India",TRUE,'RAW_AR_CONTENT'!$B140=SelectedScope),'RAW_AR_CONTENT'!B140,"")</f>
        <v>Goa</v>
      </c>
      <c r="C141" s="9" t="str">
        <f>IF(IF(SelectedScope="All India",TRUE,'RAW_AR_CONTENT'!$B140=SelectedScope),'RAW_AR_CONTENT'!C140,"")</f>
        <v>Biology</v>
      </c>
      <c r="D141" s="9" t="str">
        <f>IF(IF(SelectedScope="All India",TRUE,'RAW_AR_CONTENT'!$B140=SelectedScope),'RAW_AR_CONTENT'!D140,"")</f>
        <v>Class 9</v>
      </c>
      <c r="E141" s="9" t="str">
        <f>IF(IF(SelectedScope="All India",TRUE,'RAW_AR_CONTENT'!$B140=SelectedScope),'RAW_AR_CONTENT'!E140,"")</f>
        <v>Cell Division</v>
      </c>
      <c r="F141" s="9" t="str">
        <f>IF(IF(SelectedScope="All India",TRUE,'RAW_AR_CONTENT'!$B140=SelectedScope),'RAW_AR_CONTENT'!F140,"")</f>
        <v>Interactive</v>
      </c>
      <c r="G141" s="9" t="str">
        <f>IF(IF(SelectedScope="All India",TRUE,'RAW_AR_CONTENT'!$B140=SelectedScope),'RAW_AR_CONTENT'!G140,"")</f>
        <v>Active</v>
      </c>
      <c r="H141" s="9">
        <f>IF(IF(SelectedScope="All India",TRUE,'RAW_AR_CONTENT'!$B140=SelectedScope),'RAW_AR_CONTENT'!H140,"")</f>
        <v>0</v>
      </c>
      <c r="I141" s="9">
        <f>IF(IF(SelectedScope="All India",TRUE,'RAW_AR_CONTENT'!$B140=SelectedScope),'RAW_AR_CONTENT'!I140,"")</f>
        <v>0</v>
      </c>
      <c r="J141" s="9">
        <f>IF(IF(SelectedScope="All India",TRUE,'RAW_AR_CONTENT'!$B140=SelectedScope),'RAW_AR_CONTENT'!J140,"")</f>
        <v>0</v>
      </c>
      <c r="K141" s="9">
        <f>IF(IF(SelectedScope="All India",TRUE,'RAW_AR_CONTENT'!$B140=SelectedScope),'RAW_AR_CONTENT'!K140,"")</f>
        <v>0</v>
      </c>
      <c r="L141" s="9">
        <f>IF(IF(SelectedScope="All India",TRUE,'RAW_AR_CONTENT'!$B140=SelectedScope),'RAW_AR_CONTENT'!L140,"")</f>
        <v>0</v>
      </c>
      <c r="M141" s="9">
        <f>IF(IF(SelectedScope="All India",TRUE,'RAW_AR_CONTENT'!$B140=SelectedScope),'RAW_AR_CONTENT'!M140,"")</f>
        <v>0</v>
      </c>
      <c r="N141" s="9">
        <f>IF(IF(SelectedScope="All India",TRUE,'RAW_AR_CONTENT'!$B140=SelectedScope),'RAW_AR_CONTENT'!N140,"")</f>
        <v>0</v>
      </c>
      <c r="O141" s="9">
        <f>IF(IF(SelectedScope="All India",TRUE,'RAW_AR_CONTENT'!$B140=SelectedScope),'RAW_AR_CONTENT'!O140,"")</f>
        <v>0</v>
      </c>
      <c r="P141" s="9">
        <f>IF(IF(SelectedScope="All India",TRUE,'RAW_AR_CONTENT'!$B140=SelectedScope),'RAW_AR_CONTENT'!P140,"")</f>
        <v>0</v>
      </c>
      <c r="Q141" s="9">
        <f>IF(IF(SelectedScope="All India",TRUE,'RAW_AR_CONTENT'!$B140=SelectedScope),'RAW_AR_CONTENT'!Q140,"")</f>
        <v>0</v>
      </c>
      <c r="R141" s="9">
        <f>IF(IF(SelectedScope="All India",TRUE,'RAW_AR_CONTENT'!$B140=SelectedScope),'RAW_AR_CONTENT'!R140,"")</f>
        <v>0</v>
      </c>
    </row>
    <row r="142" spans="1:18" ht="15" customHeight="1" x14ac:dyDescent="0.3">
      <c r="A142" s="12">
        <f>IF(IF(SelectedScope="All India",TRUE,'RAW_AR_CONTENT'!$B141=SelectedScope),'RAW_AR_CONTENT'!A141,"")</f>
        <v>138</v>
      </c>
      <c r="B142" s="12" t="str">
        <f>IF(IF(SelectedScope="All India",TRUE,'RAW_AR_CONTENT'!$B141=SelectedScope),'RAW_AR_CONTENT'!B141,"")</f>
        <v>Goa</v>
      </c>
      <c r="C142" s="12" t="str">
        <f>IF(IF(SelectedScope="All India",TRUE,'RAW_AR_CONTENT'!$B141=SelectedScope),'RAW_AR_CONTENT'!C141,"")</f>
        <v>Chemistry</v>
      </c>
      <c r="D142" s="12" t="str">
        <f>IF(IF(SelectedScope="All India",TRUE,'RAW_AR_CONTENT'!$B141=SelectedScope),'RAW_AR_CONTENT'!D141,"")</f>
        <v>Class 9</v>
      </c>
      <c r="E142" s="12" t="str">
        <f>IF(IF(SelectedScope="All India",TRUE,'RAW_AR_CONTENT'!$B141=SelectedScope),'RAW_AR_CONTENT'!E141,"")</f>
        <v>Atoms and Molecules</v>
      </c>
      <c r="F142" s="12" t="str">
        <f>IF(IF(SelectedScope="All India",TRUE,'RAW_AR_CONTENT'!$B141=SelectedScope),'RAW_AR_CONTENT'!F141,"")</f>
        <v>Animated</v>
      </c>
      <c r="G142" s="12" t="str">
        <f>IF(IF(SelectedScope="All India",TRUE,'RAW_AR_CONTENT'!$B141=SelectedScope),'RAW_AR_CONTENT'!G141,"")</f>
        <v>Active</v>
      </c>
      <c r="H142" s="12">
        <f>IF(IF(SelectedScope="All India",TRUE,'RAW_AR_CONTENT'!$B141=SelectedScope),'RAW_AR_CONTENT'!H141,"")</f>
        <v>0</v>
      </c>
      <c r="I142" s="12">
        <f>IF(IF(SelectedScope="All India",TRUE,'RAW_AR_CONTENT'!$B141=SelectedScope),'RAW_AR_CONTENT'!I141,"")</f>
        <v>0</v>
      </c>
      <c r="J142" s="12">
        <f>IF(IF(SelectedScope="All India",TRUE,'RAW_AR_CONTENT'!$B141=SelectedScope),'RAW_AR_CONTENT'!J141,"")</f>
        <v>0</v>
      </c>
      <c r="K142" s="12">
        <f>IF(IF(SelectedScope="All India",TRUE,'RAW_AR_CONTENT'!$B141=SelectedScope),'RAW_AR_CONTENT'!K141,"")</f>
        <v>0</v>
      </c>
      <c r="L142" s="12">
        <f>IF(IF(SelectedScope="All India",TRUE,'RAW_AR_CONTENT'!$B141=SelectedScope),'RAW_AR_CONTENT'!L141,"")</f>
        <v>0</v>
      </c>
      <c r="M142" s="12">
        <f>IF(IF(SelectedScope="All India",TRUE,'RAW_AR_CONTENT'!$B141=SelectedScope),'RAW_AR_CONTENT'!M141,"")</f>
        <v>0</v>
      </c>
      <c r="N142" s="12">
        <f>IF(IF(SelectedScope="All India",TRUE,'RAW_AR_CONTENT'!$B141=SelectedScope),'RAW_AR_CONTENT'!N141,"")</f>
        <v>0</v>
      </c>
      <c r="O142" s="12">
        <f>IF(IF(SelectedScope="All India",TRUE,'RAW_AR_CONTENT'!$B141=SelectedScope),'RAW_AR_CONTENT'!O141,"")</f>
        <v>0</v>
      </c>
      <c r="P142" s="12">
        <f>IF(IF(SelectedScope="All India",TRUE,'RAW_AR_CONTENT'!$B141=SelectedScope),'RAW_AR_CONTENT'!P141,"")</f>
        <v>0</v>
      </c>
      <c r="Q142" s="12">
        <f>IF(IF(SelectedScope="All India",TRUE,'RAW_AR_CONTENT'!$B141=SelectedScope),'RAW_AR_CONTENT'!Q141,"")</f>
        <v>0</v>
      </c>
      <c r="R142" s="12">
        <f>IF(IF(SelectedScope="All India",TRUE,'RAW_AR_CONTENT'!$B141=SelectedScope),'RAW_AR_CONTENT'!R141,"")</f>
        <v>0</v>
      </c>
    </row>
    <row r="143" spans="1:18" ht="15" customHeight="1" x14ac:dyDescent="0.3">
      <c r="A143" s="9">
        <f>IF(IF(SelectedScope="All India",TRUE,'RAW_AR_CONTENT'!$B142=SelectedScope),'RAW_AR_CONTENT'!A142,"")</f>
        <v>139</v>
      </c>
      <c r="B143" s="9" t="str">
        <f>IF(IF(SelectedScope="All India",TRUE,'RAW_AR_CONTENT'!$B142=SelectedScope),'RAW_AR_CONTENT'!B142,"")</f>
        <v>Goa</v>
      </c>
      <c r="C143" s="9" t="str">
        <f>IF(IF(SelectedScope="All India",TRUE,'RAW_AR_CONTENT'!$B142=SelectedScope),'RAW_AR_CONTENT'!C142,"")</f>
        <v>Biology</v>
      </c>
      <c r="D143" s="9" t="str">
        <f>IF(IF(SelectedScope="All India",TRUE,'RAW_AR_CONTENT'!$B142=SelectedScope),'RAW_AR_CONTENT'!D142,"")</f>
        <v>Class 7</v>
      </c>
      <c r="E143" s="9" t="str">
        <f>IF(IF(SelectedScope="All India",TRUE,'RAW_AR_CONTENT'!$B142=SelectedScope),'RAW_AR_CONTENT'!E142,"")</f>
        <v>Photosynthesis</v>
      </c>
      <c r="F143" s="9" t="str">
        <f>IF(IF(SelectedScope="All India",TRUE,'RAW_AR_CONTENT'!$B142=SelectedScope),'RAW_AR_CONTENT'!F142,"")</f>
        <v>Basic 3D</v>
      </c>
      <c r="G143" s="9" t="str">
        <f>IF(IF(SelectedScope="All India",TRUE,'RAW_AR_CONTENT'!$B142=SelectedScope),'RAW_AR_CONTENT'!G142,"")</f>
        <v>Active</v>
      </c>
      <c r="H143" s="9">
        <f>IF(IF(SelectedScope="All India",TRUE,'RAW_AR_CONTENT'!$B142=SelectedScope),'RAW_AR_CONTENT'!H142,"")</f>
        <v>0</v>
      </c>
      <c r="I143" s="9">
        <f>IF(IF(SelectedScope="All India",TRUE,'RAW_AR_CONTENT'!$B142=SelectedScope),'RAW_AR_CONTENT'!I142,"")</f>
        <v>0</v>
      </c>
      <c r="J143" s="9">
        <f>IF(IF(SelectedScope="All India",TRUE,'RAW_AR_CONTENT'!$B142=SelectedScope),'RAW_AR_CONTENT'!J142,"")</f>
        <v>0</v>
      </c>
      <c r="K143" s="9">
        <f>IF(IF(SelectedScope="All India",TRUE,'RAW_AR_CONTENT'!$B142=SelectedScope),'RAW_AR_CONTENT'!K142,"")</f>
        <v>0</v>
      </c>
      <c r="L143" s="9">
        <f>IF(IF(SelectedScope="All India",TRUE,'RAW_AR_CONTENT'!$B142=SelectedScope),'RAW_AR_CONTENT'!L142,"")</f>
        <v>0</v>
      </c>
      <c r="M143" s="9">
        <f>IF(IF(SelectedScope="All India",TRUE,'RAW_AR_CONTENT'!$B142=SelectedScope),'RAW_AR_CONTENT'!M142,"")</f>
        <v>0</v>
      </c>
      <c r="N143" s="9">
        <f>IF(IF(SelectedScope="All India",TRUE,'RAW_AR_CONTENT'!$B142=SelectedScope),'RAW_AR_CONTENT'!N142,"")</f>
        <v>0</v>
      </c>
      <c r="O143" s="9">
        <f>IF(IF(SelectedScope="All India",TRUE,'RAW_AR_CONTENT'!$B142=SelectedScope),'RAW_AR_CONTENT'!O142,"")</f>
        <v>0</v>
      </c>
      <c r="P143" s="9">
        <f>IF(IF(SelectedScope="All India",TRUE,'RAW_AR_CONTENT'!$B142=SelectedScope),'RAW_AR_CONTENT'!P142,"")</f>
        <v>0</v>
      </c>
      <c r="Q143" s="9">
        <f>IF(IF(SelectedScope="All India",TRUE,'RAW_AR_CONTENT'!$B142=SelectedScope),'RAW_AR_CONTENT'!Q142,"")</f>
        <v>0</v>
      </c>
      <c r="R143" s="9">
        <f>IF(IF(SelectedScope="All India",TRUE,'RAW_AR_CONTENT'!$B142=SelectedScope),'RAW_AR_CONTENT'!R142,"")</f>
        <v>0</v>
      </c>
    </row>
    <row r="144" spans="1:18" ht="15" customHeight="1" x14ac:dyDescent="0.3">
      <c r="A144" s="12">
        <f>IF(IF(SelectedScope="All India",TRUE,'RAW_AR_CONTENT'!$B143=SelectedScope),'RAW_AR_CONTENT'!A143,"")</f>
        <v>140</v>
      </c>
      <c r="B144" s="12" t="str">
        <f>IF(IF(SelectedScope="All India",TRUE,'RAW_AR_CONTENT'!$B143=SelectedScope),'RAW_AR_CONTENT'!B143,"")</f>
        <v>Goa</v>
      </c>
      <c r="C144" s="12" t="str">
        <f>IF(IF(SelectedScope="All India",TRUE,'RAW_AR_CONTENT'!$B143=SelectedScope),'RAW_AR_CONTENT'!C143,"")</f>
        <v>Mathematics</v>
      </c>
      <c r="D144" s="12" t="str">
        <f>IF(IF(SelectedScope="All India",TRUE,'RAW_AR_CONTENT'!$B143=SelectedScope),'RAW_AR_CONTENT'!D143,"")</f>
        <v>Class 7</v>
      </c>
      <c r="E144" s="12" t="str">
        <f>IF(IF(SelectedScope="All India",TRUE,'RAW_AR_CONTENT'!$B143=SelectedScope),'RAW_AR_CONTENT'!E143,"")</f>
        <v>Fractions 3D Model</v>
      </c>
      <c r="F144" s="12" t="str">
        <f>IF(IF(SelectedScope="All India",TRUE,'RAW_AR_CONTENT'!$B143=SelectedScope),'RAW_AR_CONTENT'!F143,"")</f>
        <v>Interactive</v>
      </c>
      <c r="G144" s="12" t="str">
        <f>IF(IF(SelectedScope="All India",TRUE,'RAW_AR_CONTENT'!$B143=SelectedScope),'RAW_AR_CONTENT'!G143,"")</f>
        <v>Active</v>
      </c>
      <c r="H144" s="12">
        <f>IF(IF(SelectedScope="All India",TRUE,'RAW_AR_CONTENT'!$B143=SelectedScope),'RAW_AR_CONTENT'!H143,"")</f>
        <v>0</v>
      </c>
      <c r="I144" s="12">
        <f>IF(IF(SelectedScope="All India",TRUE,'RAW_AR_CONTENT'!$B143=SelectedScope),'RAW_AR_CONTENT'!I143,"")</f>
        <v>0</v>
      </c>
      <c r="J144" s="12">
        <f>IF(IF(SelectedScope="All India",TRUE,'RAW_AR_CONTENT'!$B143=SelectedScope),'RAW_AR_CONTENT'!J143,"")</f>
        <v>0</v>
      </c>
      <c r="K144" s="12">
        <f>IF(IF(SelectedScope="All India",TRUE,'RAW_AR_CONTENT'!$B143=SelectedScope),'RAW_AR_CONTENT'!K143,"")</f>
        <v>0</v>
      </c>
      <c r="L144" s="12">
        <f>IF(IF(SelectedScope="All India",TRUE,'RAW_AR_CONTENT'!$B143=SelectedScope),'RAW_AR_CONTENT'!L143,"")</f>
        <v>0</v>
      </c>
      <c r="M144" s="12">
        <f>IF(IF(SelectedScope="All India",TRUE,'RAW_AR_CONTENT'!$B143=SelectedScope),'RAW_AR_CONTENT'!M143,"")</f>
        <v>0</v>
      </c>
      <c r="N144" s="12">
        <f>IF(IF(SelectedScope="All India",TRUE,'RAW_AR_CONTENT'!$B143=SelectedScope),'RAW_AR_CONTENT'!N143,"")</f>
        <v>0</v>
      </c>
      <c r="O144" s="12">
        <f>IF(IF(SelectedScope="All India",TRUE,'RAW_AR_CONTENT'!$B143=SelectedScope),'RAW_AR_CONTENT'!O143,"")</f>
        <v>0</v>
      </c>
      <c r="P144" s="12">
        <f>IF(IF(SelectedScope="All India",TRUE,'RAW_AR_CONTENT'!$B143=SelectedScope),'RAW_AR_CONTENT'!P143,"")</f>
        <v>0</v>
      </c>
      <c r="Q144" s="12">
        <f>IF(IF(SelectedScope="All India",TRUE,'RAW_AR_CONTENT'!$B143=SelectedScope),'RAW_AR_CONTENT'!Q143,"")</f>
        <v>0</v>
      </c>
      <c r="R144" s="12">
        <f>IF(IF(SelectedScope="All India",TRUE,'RAW_AR_CONTENT'!$B143=SelectedScope),'RAW_AR_CONTENT'!R143,"")</f>
        <v>0</v>
      </c>
    </row>
    <row r="145" spans="1:18" ht="15" customHeight="1" x14ac:dyDescent="0.3">
      <c r="A145" s="9">
        <f>IF(IF(SelectedScope="All India",TRUE,'RAW_AR_CONTENT'!$B144=SelectedScope),'RAW_AR_CONTENT'!A144,"")</f>
        <v>141</v>
      </c>
      <c r="B145" s="9" t="str">
        <f>IF(IF(SelectedScope="All India",TRUE,'RAW_AR_CONTENT'!$B144=SelectedScope),'RAW_AR_CONTENT'!B144,"")</f>
        <v>Goa</v>
      </c>
      <c r="C145" s="9" t="str">
        <f>IF(IF(SelectedScope="All India",TRUE,'RAW_AR_CONTENT'!$B144=SelectedScope),'RAW_AR_CONTENT'!C144,"")</f>
        <v>Mathematics</v>
      </c>
      <c r="D145" s="9" t="str">
        <f>IF(IF(SelectedScope="All India",TRUE,'RAW_AR_CONTENT'!$B144=SelectedScope),'RAW_AR_CONTENT'!D144,"")</f>
        <v>Class 10</v>
      </c>
      <c r="E145" s="9" t="str">
        <f>IF(IF(SelectedScope="All India",TRUE,'RAW_AR_CONTENT'!$B144=SelectedScope),'RAW_AR_CONTENT'!E144,"")</f>
        <v>Trigonometry 3D</v>
      </c>
      <c r="F145" s="9" t="str">
        <f>IF(IF(SelectedScope="All India",TRUE,'RAW_AR_CONTENT'!$B144=SelectedScope),'RAW_AR_CONTENT'!F144,"")</f>
        <v>Animated</v>
      </c>
      <c r="G145" s="9" t="str">
        <f>IF(IF(SelectedScope="All India",TRUE,'RAW_AR_CONTENT'!$B144=SelectedScope),'RAW_AR_CONTENT'!G144,"")</f>
        <v>Active</v>
      </c>
      <c r="H145" s="9">
        <f>IF(IF(SelectedScope="All India",TRUE,'RAW_AR_CONTENT'!$B144=SelectedScope),'RAW_AR_CONTENT'!H144,"")</f>
        <v>0</v>
      </c>
      <c r="I145" s="9">
        <f>IF(IF(SelectedScope="All India",TRUE,'RAW_AR_CONTENT'!$B144=SelectedScope),'RAW_AR_CONTENT'!I144,"")</f>
        <v>0</v>
      </c>
      <c r="J145" s="9">
        <f>IF(IF(SelectedScope="All India",TRUE,'RAW_AR_CONTENT'!$B144=SelectedScope),'RAW_AR_CONTENT'!J144,"")</f>
        <v>0</v>
      </c>
      <c r="K145" s="9">
        <f>IF(IF(SelectedScope="All India",TRUE,'RAW_AR_CONTENT'!$B144=SelectedScope),'RAW_AR_CONTENT'!K144,"")</f>
        <v>0</v>
      </c>
      <c r="L145" s="9">
        <f>IF(IF(SelectedScope="All India",TRUE,'RAW_AR_CONTENT'!$B144=SelectedScope),'RAW_AR_CONTENT'!L144,"")</f>
        <v>0</v>
      </c>
      <c r="M145" s="9">
        <f>IF(IF(SelectedScope="All India",TRUE,'RAW_AR_CONTENT'!$B144=SelectedScope),'RAW_AR_CONTENT'!M144,"")</f>
        <v>0</v>
      </c>
      <c r="N145" s="9">
        <f>IF(IF(SelectedScope="All India",TRUE,'RAW_AR_CONTENT'!$B144=SelectedScope),'RAW_AR_CONTENT'!N144,"")</f>
        <v>0</v>
      </c>
      <c r="O145" s="9">
        <f>IF(IF(SelectedScope="All India",TRUE,'RAW_AR_CONTENT'!$B144=SelectedScope),'RAW_AR_CONTENT'!O144,"")</f>
        <v>0</v>
      </c>
      <c r="P145" s="9">
        <f>IF(IF(SelectedScope="All India",TRUE,'RAW_AR_CONTENT'!$B144=SelectedScope),'RAW_AR_CONTENT'!P144,"")</f>
        <v>0</v>
      </c>
      <c r="Q145" s="9">
        <f>IF(IF(SelectedScope="All India",TRUE,'RAW_AR_CONTENT'!$B144=SelectedScope),'RAW_AR_CONTENT'!Q144,"")</f>
        <v>0</v>
      </c>
      <c r="R145" s="9">
        <f>IF(IF(SelectedScope="All India",TRUE,'RAW_AR_CONTENT'!$B144=SelectedScope),'RAW_AR_CONTENT'!R144,"")</f>
        <v>0</v>
      </c>
    </row>
    <row r="146" spans="1:18" ht="15" customHeight="1" x14ac:dyDescent="0.3">
      <c r="A146" s="12">
        <f>IF(IF(SelectedScope="All India",TRUE,'RAW_AR_CONTENT'!$B145=SelectedScope),'RAW_AR_CONTENT'!A145,"")</f>
        <v>142</v>
      </c>
      <c r="B146" s="12" t="str">
        <f>IF(IF(SelectedScope="All India",TRUE,'RAW_AR_CONTENT'!$B145=SelectedScope),'RAW_AR_CONTENT'!B145,"")</f>
        <v>Goa</v>
      </c>
      <c r="C146" s="12" t="str">
        <f>IF(IF(SelectedScope="All India",TRUE,'RAW_AR_CONTENT'!$B145=SelectedScope),'RAW_AR_CONTENT'!C145,"")</f>
        <v>History</v>
      </c>
      <c r="D146" s="12" t="str">
        <f>IF(IF(SelectedScope="All India",TRUE,'RAW_AR_CONTENT'!$B145=SelectedScope),'RAW_AR_CONTENT'!D145,"")</f>
        <v>Class 10</v>
      </c>
      <c r="E146" s="12" t="str">
        <f>IF(IF(SelectedScope="All India",TRUE,'RAW_AR_CONTENT'!$B145=SelectedScope),'RAW_AR_CONTENT'!E145,"")</f>
        <v>Mughal Empire AR</v>
      </c>
      <c r="F146" s="12" t="str">
        <f>IF(IF(SelectedScope="All India",TRUE,'RAW_AR_CONTENT'!$B145=SelectedScope),'RAW_AR_CONTENT'!F145,"")</f>
        <v>Basic 3D</v>
      </c>
      <c r="G146" s="12" t="str">
        <f>IF(IF(SelectedScope="All India",TRUE,'RAW_AR_CONTENT'!$B145=SelectedScope),'RAW_AR_CONTENT'!G145,"")</f>
        <v>Active</v>
      </c>
      <c r="H146" s="12">
        <f>IF(IF(SelectedScope="All India",TRUE,'RAW_AR_CONTENT'!$B145=SelectedScope),'RAW_AR_CONTENT'!H145,"")</f>
        <v>0</v>
      </c>
      <c r="I146" s="12">
        <f>IF(IF(SelectedScope="All India",TRUE,'RAW_AR_CONTENT'!$B145=SelectedScope),'RAW_AR_CONTENT'!I145,"")</f>
        <v>0</v>
      </c>
      <c r="J146" s="12">
        <f>IF(IF(SelectedScope="All India",TRUE,'RAW_AR_CONTENT'!$B145=SelectedScope),'RAW_AR_CONTENT'!J145,"")</f>
        <v>0</v>
      </c>
      <c r="K146" s="12">
        <f>IF(IF(SelectedScope="All India",TRUE,'RAW_AR_CONTENT'!$B145=SelectedScope),'RAW_AR_CONTENT'!K145,"")</f>
        <v>0</v>
      </c>
      <c r="L146" s="12">
        <f>IF(IF(SelectedScope="All India",TRUE,'RAW_AR_CONTENT'!$B145=SelectedScope),'RAW_AR_CONTENT'!L145,"")</f>
        <v>0</v>
      </c>
      <c r="M146" s="12">
        <f>IF(IF(SelectedScope="All India",TRUE,'RAW_AR_CONTENT'!$B145=SelectedScope),'RAW_AR_CONTENT'!M145,"")</f>
        <v>0</v>
      </c>
      <c r="N146" s="12">
        <f>IF(IF(SelectedScope="All India",TRUE,'RAW_AR_CONTENT'!$B145=SelectedScope),'RAW_AR_CONTENT'!N145,"")</f>
        <v>0</v>
      </c>
      <c r="O146" s="12">
        <f>IF(IF(SelectedScope="All India",TRUE,'RAW_AR_CONTENT'!$B145=SelectedScope),'RAW_AR_CONTENT'!O145,"")</f>
        <v>0</v>
      </c>
      <c r="P146" s="12">
        <f>IF(IF(SelectedScope="All India",TRUE,'RAW_AR_CONTENT'!$B145=SelectedScope),'RAW_AR_CONTENT'!P145,"")</f>
        <v>0</v>
      </c>
      <c r="Q146" s="12">
        <f>IF(IF(SelectedScope="All India",TRUE,'RAW_AR_CONTENT'!$B145=SelectedScope),'RAW_AR_CONTENT'!Q145,"")</f>
        <v>0</v>
      </c>
      <c r="R146" s="12">
        <f>IF(IF(SelectedScope="All India",TRUE,'RAW_AR_CONTENT'!$B145=SelectedScope),'RAW_AR_CONTENT'!R145,"")</f>
        <v>0</v>
      </c>
    </row>
    <row r="147" spans="1:18" ht="15" customHeight="1" x14ac:dyDescent="0.3">
      <c r="A147" s="9">
        <f>IF(IF(SelectedScope="All India",TRUE,'RAW_AR_CONTENT'!$B146=SelectedScope),'RAW_AR_CONTENT'!A146,"")</f>
        <v>143</v>
      </c>
      <c r="B147" s="9" t="str">
        <f>IF(IF(SelectedScope="All India",TRUE,'RAW_AR_CONTENT'!$B146=SelectedScope),'RAW_AR_CONTENT'!B146,"")</f>
        <v>Goa</v>
      </c>
      <c r="C147" s="9" t="str">
        <f>IF(IF(SelectedScope="All India",TRUE,'RAW_AR_CONTENT'!$B146=SelectedScope),'RAW_AR_CONTENT'!C146,"")</f>
        <v>Geography</v>
      </c>
      <c r="D147" s="9" t="str">
        <f>IF(IF(SelectedScope="All India",TRUE,'RAW_AR_CONTENT'!$B146=SelectedScope),'RAW_AR_CONTENT'!D146,"")</f>
        <v>Class 6</v>
      </c>
      <c r="E147" s="9" t="str">
        <f>IF(IF(SelectedScope="All India",TRUE,'RAW_AR_CONTENT'!$B146=SelectedScope),'RAW_AR_CONTENT'!E146,"")</f>
        <v>Water Cycle Simulation</v>
      </c>
      <c r="F147" s="9" t="str">
        <f>IF(IF(SelectedScope="All India",TRUE,'RAW_AR_CONTENT'!$B146=SelectedScope),'RAW_AR_CONTENT'!F146,"")</f>
        <v>Animated</v>
      </c>
      <c r="G147" s="9" t="str">
        <f>IF(IF(SelectedScope="All India",TRUE,'RAW_AR_CONTENT'!$B146=SelectedScope),'RAW_AR_CONTENT'!G146,"")</f>
        <v>Active</v>
      </c>
      <c r="H147" s="9">
        <f>IF(IF(SelectedScope="All India",TRUE,'RAW_AR_CONTENT'!$B146=SelectedScope),'RAW_AR_CONTENT'!H146,"")</f>
        <v>0</v>
      </c>
      <c r="I147" s="9">
        <f>IF(IF(SelectedScope="All India",TRUE,'RAW_AR_CONTENT'!$B146=SelectedScope),'RAW_AR_CONTENT'!I146,"")</f>
        <v>0</v>
      </c>
      <c r="J147" s="9">
        <f>IF(IF(SelectedScope="All India",TRUE,'RAW_AR_CONTENT'!$B146=SelectedScope),'RAW_AR_CONTENT'!J146,"")</f>
        <v>0</v>
      </c>
      <c r="K147" s="9">
        <f>IF(IF(SelectedScope="All India",TRUE,'RAW_AR_CONTENT'!$B146=SelectedScope),'RAW_AR_CONTENT'!K146,"")</f>
        <v>0</v>
      </c>
      <c r="L147" s="9">
        <f>IF(IF(SelectedScope="All India",TRUE,'RAW_AR_CONTENT'!$B146=SelectedScope),'RAW_AR_CONTENT'!L146,"")</f>
        <v>0</v>
      </c>
      <c r="M147" s="9">
        <f>IF(IF(SelectedScope="All India",TRUE,'RAW_AR_CONTENT'!$B146=SelectedScope),'RAW_AR_CONTENT'!M146,"")</f>
        <v>0</v>
      </c>
      <c r="N147" s="9">
        <f>IF(IF(SelectedScope="All India",TRUE,'RAW_AR_CONTENT'!$B146=SelectedScope),'RAW_AR_CONTENT'!N146,"")</f>
        <v>0</v>
      </c>
      <c r="O147" s="9">
        <f>IF(IF(SelectedScope="All India",TRUE,'RAW_AR_CONTENT'!$B146=SelectedScope),'RAW_AR_CONTENT'!O146,"")</f>
        <v>0</v>
      </c>
      <c r="P147" s="9">
        <f>IF(IF(SelectedScope="All India",TRUE,'RAW_AR_CONTENT'!$B146=SelectedScope),'RAW_AR_CONTENT'!P146,"")</f>
        <v>0</v>
      </c>
      <c r="Q147" s="9">
        <f>IF(IF(SelectedScope="All India",TRUE,'RAW_AR_CONTENT'!$B146=SelectedScope),'RAW_AR_CONTENT'!Q146,"")</f>
        <v>0</v>
      </c>
      <c r="R147" s="9">
        <f>IF(IF(SelectedScope="All India",TRUE,'RAW_AR_CONTENT'!$B146=SelectedScope),'RAW_AR_CONTENT'!R146,"")</f>
        <v>0</v>
      </c>
    </row>
    <row r="148" spans="1:18" ht="15" customHeight="1" x14ac:dyDescent="0.3">
      <c r="A148" s="12">
        <f>IF(IF(SelectedScope="All India",TRUE,'RAW_AR_CONTENT'!$B147=SelectedScope),'RAW_AR_CONTENT'!A147,"")</f>
        <v>144</v>
      </c>
      <c r="B148" s="12" t="str">
        <f>IF(IF(SelectedScope="All India",TRUE,'RAW_AR_CONTENT'!$B147=SelectedScope),'RAW_AR_CONTENT'!B147,"")</f>
        <v>Goa</v>
      </c>
      <c r="C148" s="12" t="str">
        <f>IF(IF(SelectedScope="All India",TRUE,'RAW_AR_CONTENT'!$B147=SelectedScope),'RAW_AR_CONTENT'!C147,"")</f>
        <v>Biology</v>
      </c>
      <c r="D148" s="12" t="str">
        <f>IF(IF(SelectedScope="All India",TRUE,'RAW_AR_CONTENT'!$B147=SelectedScope),'RAW_AR_CONTENT'!D147,"")</f>
        <v>Class 11</v>
      </c>
      <c r="E148" s="12" t="str">
        <f>IF(IF(SelectedScope="All India",TRUE,'RAW_AR_CONTENT'!$B147=SelectedScope),'RAW_AR_CONTENT'!E147,"")</f>
        <v>Human Anatomy AR</v>
      </c>
      <c r="F148" s="12" t="str">
        <f>IF(IF(SelectedScope="All India",TRUE,'RAW_AR_CONTENT'!$B147=SelectedScope),'RAW_AR_CONTENT'!F147,"")</f>
        <v>Fully Immersive</v>
      </c>
      <c r="G148" s="12" t="str">
        <f>IF(IF(SelectedScope="All India",TRUE,'RAW_AR_CONTENT'!$B147=SelectedScope),'RAW_AR_CONTENT'!G147,"")</f>
        <v>Active</v>
      </c>
      <c r="H148" s="12">
        <f>IF(IF(SelectedScope="All India",TRUE,'RAW_AR_CONTENT'!$B147=SelectedScope),'RAW_AR_CONTENT'!H147,"")</f>
        <v>0</v>
      </c>
      <c r="I148" s="12">
        <f>IF(IF(SelectedScope="All India",TRUE,'RAW_AR_CONTENT'!$B147=SelectedScope),'RAW_AR_CONTENT'!I147,"")</f>
        <v>0</v>
      </c>
      <c r="J148" s="12">
        <f>IF(IF(SelectedScope="All India",TRUE,'RAW_AR_CONTENT'!$B147=SelectedScope),'RAW_AR_CONTENT'!J147,"")</f>
        <v>0</v>
      </c>
      <c r="K148" s="12">
        <f>IF(IF(SelectedScope="All India",TRUE,'RAW_AR_CONTENT'!$B147=SelectedScope),'RAW_AR_CONTENT'!K147,"")</f>
        <v>0</v>
      </c>
      <c r="L148" s="12">
        <f>IF(IF(SelectedScope="All India",TRUE,'RAW_AR_CONTENT'!$B147=SelectedScope),'RAW_AR_CONTENT'!L147,"")</f>
        <v>0</v>
      </c>
      <c r="M148" s="12">
        <f>IF(IF(SelectedScope="All India",TRUE,'RAW_AR_CONTENT'!$B147=SelectedScope),'RAW_AR_CONTENT'!M147,"")</f>
        <v>0</v>
      </c>
      <c r="N148" s="12">
        <f>IF(IF(SelectedScope="All India",TRUE,'RAW_AR_CONTENT'!$B147=SelectedScope),'RAW_AR_CONTENT'!N147,"")</f>
        <v>0</v>
      </c>
      <c r="O148" s="12">
        <f>IF(IF(SelectedScope="All India",TRUE,'RAW_AR_CONTENT'!$B147=SelectedScope),'RAW_AR_CONTENT'!O147,"")</f>
        <v>0</v>
      </c>
      <c r="P148" s="12">
        <f>IF(IF(SelectedScope="All India",TRUE,'RAW_AR_CONTENT'!$B147=SelectedScope),'RAW_AR_CONTENT'!P147,"")</f>
        <v>0</v>
      </c>
      <c r="Q148" s="12">
        <f>IF(IF(SelectedScope="All India",TRUE,'RAW_AR_CONTENT'!$B147=SelectedScope),'RAW_AR_CONTENT'!Q147,"")</f>
        <v>0</v>
      </c>
      <c r="R148" s="12">
        <f>IF(IF(SelectedScope="All India",TRUE,'RAW_AR_CONTENT'!$B147=SelectedScope),'RAW_AR_CONTENT'!R147,"")</f>
        <v>0</v>
      </c>
    </row>
    <row r="149" spans="1:18" ht="15" customHeight="1" x14ac:dyDescent="0.3">
      <c r="A149" s="9">
        <f>IF(IF(SelectedScope="All India",TRUE,'RAW_AR_CONTENT'!$B148=SelectedScope),'RAW_AR_CONTENT'!A148,"")</f>
        <v>145</v>
      </c>
      <c r="B149" s="9" t="str">
        <f>IF(IF(SelectedScope="All India",TRUE,'RAW_AR_CONTENT'!$B148=SelectedScope),'RAW_AR_CONTENT'!B148,"")</f>
        <v>Goa</v>
      </c>
      <c r="C149" s="9" t="str">
        <f>IF(IF(SelectedScope="All India",TRUE,'RAW_AR_CONTENT'!$B148=SelectedScope),'RAW_AR_CONTENT'!C148,"")</f>
        <v>Physics</v>
      </c>
      <c r="D149" s="9" t="str">
        <f>IF(IF(SelectedScope="All India",TRUE,'RAW_AR_CONTENT'!$B148=SelectedScope),'RAW_AR_CONTENT'!D148,"")</f>
        <v>Class 9</v>
      </c>
      <c r="E149" s="9" t="str">
        <f>IF(IF(SelectedScope="All India",TRUE,'RAW_AR_CONTENT'!$B148=SelectedScope),'RAW_AR_CONTENT'!E148,"")</f>
        <v>Laws of Motion</v>
      </c>
      <c r="F149" s="9" t="str">
        <f>IF(IF(SelectedScope="All India",TRUE,'RAW_AR_CONTENT'!$B148=SelectedScope),'RAW_AR_CONTENT'!F148,"")</f>
        <v>Interactive</v>
      </c>
      <c r="G149" s="9" t="str">
        <f>IF(IF(SelectedScope="All India",TRUE,'RAW_AR_CONTENT'!$B148=SelectedScope),'RAW_AR_CONTENT'!G148,"")</f>
        <v>Active</v>
      </c>
      <c r="H149" s="9">
        <f>IF(IF(SelectedScope="All India",TRUE,'RAW_AR_CONTENT'!$B148=SelectedScope),'RAW_AR_CONTENT'!H148,"")</f>
        <v>0</v>
      </c>
      <c r="I149" s="9">
        <f>IF(IF(SelectedScope="All India",TRUE,'RAW_AR_CONTENT'!$B148=SelectedScope),'RAW_AR_CONTENT'!I148,"")</f>
        <v>0</v>
      </c>
      <c r="J149" s="9">
        <f>IF(IF(SelectedScope="All India",TRUE,'RAW_AR_CONTENT'!$B148=SelectedScope),'RAW_AR_CONTENT'!J148,"")</f>
        <v>0</v>
      </c>
      <c r="K149" s="9">
        <f>IF(IF(SelectedScope="All India",TRUE,'RAW_AR_CONTENT'!$B148=SelectedScope),'RAW_AR_CONTENT'!K148,"")</f>
        <v>0</v>
      </c>
      <c r="L149" s="9">
        <f>IF(IF(SelectedScope="All India",TRUE,'RAW_AR_CONTENT'!$B148=SelectedScope),'RAW_AR_CONTENT'!L148,"")</f>
        <v>0</v>
      </c>
      <c r="M149" s="9">
        <f>IF(IF(SelectedScope="All India",TRUE,'RAW_AR_CONTENT'!$B148=SelectedScope),'RAW_AR_CONTENT'!M148,"")</f>
        <v>0</v>
      </c>
      <c r="N149" s="9">
        <f>IF(IF(SelectedScope="All India",TRUE,'RAW_AR_CONTENT'!$B148=SelectedScope),'RAW_AR_CONTENT'!N148,"")</f>
        <v>0</v>
      </c>
      <c r="O149" s="9">
        <f>IF(IF(SelectedScope="All India",TRUE,'RAW_AR_CONTENT'!$B148=SelectedScope),'RAW_AR_CONTENT'!O148,"")</f>
        <v>0</v>
      </c>
      <c r="P149" s="9">
        <f>IF(IF(SelectedScope="All India",TRUE,'RAW_AR_CONTENT'!$B148=SelectedScope),'RAW_AR_CONTENT'!P148,"")</f>
        <v>0</v>
      </c>
      <c r="Q149" s="9">
        <f>IF(IF(SelectedScope="All India",TRUE,'RAW_AR_CONTENT'!$B148=SelectedScope),'RAW_AR_CONTENT'!Q148,"")</f>
        <v>0</v>
      </c>
      <c r="R149" s="9">
        <f>IF(IF(SelectedScope="All India",TRUE,'RAW_AR_CONTENT'!$B148=SelectedScope),'RAW_AR_CONTENT'!R148,"")</f>
        <v>0</v>
      </c>
    </row>
    <row r="150" spans="1:18" ht="15" customHeight="1" x14ac:dyDescent="0.3">
      <c r="A150" s="12">
        <f>IF(IF(SelectedScope="All India",TRUE,'RAW_AR_CONTENT'!$B149=SelectedScope),'RAW_AR_CONTENT'!A149,"")</f>
        <v>146</v>
      </c>
      <c r="B150" s="12" t="str">
        <f>IF(IF(SelectedScope="All India",TRUE,'RAW_AR_CONTENT'!$B149=SelectedScope),'RAW_AR_CONTENT'!B149,"")</f>
        <v>Goa</v>
      </c>
      <c r="C150" s="12" t="str">
        <f>IF(IF(SelectedScope="All India",TRUE,'RAW_AR_CONTENT'!$B149=SelectedScope),'RAW_AR_CONTENT'!C149,"")</f>
        <v>Chemistry</v>
      </c>
      <c r="D150" s="12" t="str">
        <f>IF(IF(SelectedScope="All India",TRUE,'RAW_AR_CONTENT'!$B149=SelectedScope),'RAW_AR_CONTENT'!D149,"")</f>
        <v>Class 11</v>
      </c>
      <c r="E150" s="12" t="str">
        <f>IF(IF(SelectedScope="All India",TRUE,'RAW_AR_CONTENT'!$B149=SelectedScope),'RAW_AR_CONTENT'!E149,"")</f>
        <v>Periodic Table 3D</v>
      </c>
      <c r="F150" s="12" t="str">
        <f>IF(IF(SelectedScope="All India",TRUE,'RAW_AR_CONTENT'!$B149=SelectedScope),'RAW_AR_CONTENT'!F149,"")</f>
        <v>Interactive</v>
      </c>
      <c r="G150" s="12" t="str">
        <f>IF(IF(SelectedScope="All India",TRUE,'RAW_AR_CONTENT'!$B149=SelectedScope),'RAW_AR_CONTENT'!G149,"")</f>
        <v>Active</v>
      </c>
      <c r="H150" s="12">
        <f>IF(IF(SelectedScope="All India",TRUE,'RAW_AR_CONTENT'!$B149=SelectedScope),'RAW_AR_CONTENT'!H149,"")</f>
        <v>0</v>
      </c>
      <c r="I150" s="12">
        <f>IF(IF(SelectedScope="All India",TRUE,'RAW_AR_CONTENT'!$B149=SelectedScope),'RAW_AR_CONTENT'!I149,"")</f>
        <v>0</v>
      </c>
      <c r="J150" s="12">
        <f>IF(IF(SelectedScope="All India",TRUE,'RAW_AR_CONTENT'!$B149=SelectedScope),'RAW_AR_CONTENT'!J149,"")</f>
        <v>0</v>
      </c>
      <c r="K150" s="12">
        <f>IF(IF(SelectedScope="All India",TRUE,'RAW_AR_CONTENT'!$B149=SelectedScope),'RAW_AR_CONTENT'!K149,"")</f>
        <v>0</v>
      </c>
      <c r="L150" s="12">
        <f>IF(IF(SelectedScope="All India",TRUE,'RAW_AR_CONTENT'!$B149=SelectedScope),'RAW_AR_CONTENT'!L149,"")</f>
        <v>0</v>
      </c>
      <c r="M150" s="12">
        <f>IF(IF(SelectedScope="All India",TRUE,'RAW_AR_CONTENT'!$B149=SelectedScope),'RAW_AR_CONTENT'!M149,"")</f>
        <v>0</v>
      </c>
      <c r="N150" s="12">
        <f>IF(IF(SelectedScope="All India",TRUE,'RAW_AR_CONTENT'!$B149=SelectedScope),'RAW_AR_CONTENT'!N149,"")</f>
        <v>0</v>
      </c>
      <c r="O150" s="12">
        <f>IF(IF(SelectedScope="All India",TRUE,'RAW_AR_CONTENT'!$B149=SelectedScope),'RAW_AR_CONTENT'!O149,"")</f>
        <v>0</v>
      </c>
      <c r="P150" s="12">
        <f>IF(IF(SelectedScope="All India",TRUE,'RAW_AR_CONTENT'!$B149=SelectedScope),'RAW_AR_CONTENT'!P149,"")</f>
        <v>0</v>
      </c>
      <c r="Q150" s="12">
        <f>IF(IF(SelectedScope="All India",TRUE,'RAW_AR_CONTENT'!$B149=SelectedScope),'RAW_AR_CONTENT'!Q149,"")</f>
        <v>0</v>
      </c>
      <c r="R150" s="12">
        <f>IF(IF(SelectedScope="All India",TRUE,'RAW_AR_CONTENT'!$B149=SelectedScope),'RAW_AR_CONTENT'!R149,"")</f>
        <v>0</v>
      </c>
    </row>
    <row r="151" spans="1:18" ht="15" customHeight="1" x14ac:dyDescent="0.3">
      <c r="A151" s="9">
        <f>IF(IF(SelectedScope="All India",TRUE,'RAW_AR_CONTENT'!$B150=SelectedScope),'RAW_AR_CONTENT'!A150,"")</f>
        <v>147</v>
      </c>
      <c r="B151" s="9" t="str">
        <f>IF(IF(SelectedScope="All India",TRUE,'RAW_AR_CONTENT'!$B150=SelectedScope),'RAW_AR_CONTENT'!B150,"")</f>
        <v>Goa</v>
      </c>
      <c r="C151" s="9" t="str">
        <f>IF(IF(SelectedScope="All India",TRUE,'RAW_AR_CONTENT'!$B150=SelectedScope),'RAW_AR_CONTENT'!C150,"")</f>
        <v>Physics</v>
      </c>
      <c r="D151" s="9" t="str">
        <f>IF(IF(SelectedScope="All India",TRUE,'RAW_AR_CONTENT'!$B150=SelectedScope),'RAW_AR_CONTENT'!D150,"")</f>
        <v>Class 10</v>
      </c>
      <c r="E151" s="9" t="str">
        <f>IF(IF(SelectedScope="All India",TRUE,'RAW_AR_CONTENT'!$B150=SelectedScope),'RAW_AR_CONTENT'!E150,"")</f>
        <v>Electricity Circuits</v>
      </c>
      <c r="F151" s="9" t="str">
        <f>IF(IF(SelectedScope="All India",TRUE,'RAW_AR_CONTENT'!$B150=SelectedScope),'RAW_AR_CONTENT'!F150,"")</f>
        <v>Interactive</v>
      </c>
      <c r="G151" s="9" t="str">
        <f>IF(IF(SelectedScope="All India",TRUE,'RAW_AR_CONTENT'!$B150=SelectedScope),'RAW_AR_CONTENT'!G150,"")</f>
        <v>Active</v>
      </c>
      <c r="H151" s="9">
        <f>IF(IF(SelectedScope="All India",TRUE,'RAW_AR_CONTENT'!$B150=SelectedScope),'RAW_AR_CONTENT'!H150,"")</f>
        <v>0</v>
      </c>
      <c r="I151" s="9">
        <f>IF(IF(SelectedScope="All India",TRUE,'RAW_AR_CONTENT'!$B150=SelectedScope),'RAW_AR_CONTENT'!I150,"")</f>
        <v>0</v>
      </c>
      <c r="J151" s="9">
        <f>IF(IF(SelectedScope="All India",TRUE,'RAW_AR_CONTENT'!$B150=SelectedScope),'RAW_AR_CONTENT'!J150,"")</f>
        <v>0</v>
      </c>
      <c r="K151" s="9">
        <f>IF(IF(SelectedScope="All India",TRUE,'RAW_AR_CONTENT'!$B150=SelectedScope),'RAW_AR_CONTENT'!K150,"")</f>
        <v>0</v>
      </c>
      <c r="L151" s="9">
        <f>IF(IF(SelectedScope="All India",TRUE,'RAW_AR_CONTENT'!$B150=SelectedScope),'RAW_AR_CONTENT'!L150,"")</f>
        <v>0</v>
      </c>
      <c r="M151" s="9">
        <f>IF(IF(SelectedScope="All India",TRUE,'RAW_AR_CONTENT'!$B150=SelectedScope),'RAW_AR_CONTENT'!M150,"")</f>
        <v>0</v>
      </c>
      <c r="N151" s="9">
        <f>IF(IF(SelectedScope="All India",TRUE,'RAW_AR_CONTENT'!$B150=SelectedScope),'RAW_AR_CONTENT'!N150,"")</f>
        <v>0</v>
      </c>
      <c r="O151" s="9">
        <f>IF(IF(SelectedScope="All India",TRUE,'RAW_AR_CONTENT'!$B150=SelectedScope),'RAW_AR_CONTENT'!O150,"")</f>
        <v>0</v>
      </c>
      <c r="P151" s="9">
        <f>IF(IF(SelectedScope="All India",TRUE,'RAW_AR_CONTENT'!$B150=SelectedScope),'RAW_AR_CONTENT'!P150,"")</f>
        <v>0</v>
      </c>
      <c r="Q151" s="9">
        <f>IF(IF(SelectedScope="All India",TRUE,'RAW_AR_CONTENT'!$B150=SelectedScope),'RAW_AR_CONTENT'!Q150,"")</f>
        <v>0</v>
      </c>
      <c r="R151" s="9">
        <f>IF(IF(SelectedScope="All India",TRUE,'RAW_AR_CONTENT'!$B150=SelectedScope),'RAW_AR_CONTENT'!R150,"")</f>
        <v>0</v>
      </c>
    </row>
    <row r="152" spans="1:18" ht="15" customHeight="1" x14ac:dyDescent="0.3">
      <c r="A152" s="12">
        <f>IF(IF(SelectedScope="All India",TRUE,'RAW_AR_CONTENT'!$B151=SelectedScope),'RAW_AR_CONTENT'!A151,"")</f>
        <v>148</v>
      </c>
      <c r="B152" s="12" t="str">
        <f>IF(IF(SelectedScope="All India",TRUE,'RAW_AR_CONTENT'!$B151=SelectedScope),'RAW_AR_CONTENT'!B151,"")</f>
        <v>Goa</v>
      </c>
      <c r="C152" s="12" t="str">
        <f>IF(IF(SelectedScope="All India",TRUE,'RAW_AR_CONTENT'!$B151=SelectedScope),'RAW_AR_CONTENT'!C151,"")</f>
        <v>Civics</v>
      </c>
      <c r="D152" s="12" t="str">
        <f>IF(IF(SelectedScope="All India",TRUE,'RAW_AR_CONTENT'!$B151=SelectedScope),'RAW_AR_CONTENT'!D151,"")</f>
        <v>Class 9</v>
      </c>
      <c r="E152" s="12" t="str">
        <f>IF(IF(SelectedScope="All India",TRUE,'RAW_AR_CONTENT'!$B151=SelectedScope),'RAW_AR_CONTENT'!E151,"")</f>
        <v>Indian Constitution</v>
      </c>
      <c r="F152" s="12" t="str">
        <f>IF(IF(SelectedScope="All India",TRUE,'RAW_AR_CONTENT'!$B151=SelectedScope),'RAW_AR_CONTENT'!F151,"")</f>
        <v>Basic 3D</v>
      </c>
      <c r="G152" s="12" t="str">
        <f>IF(IF(SelectedScope="All India",TRUE,'RAW_AR_CONTENT'!$B151=SelectedScope),'RAW_AR_CONTENT'!G151,"")</f>
        <v>Active</v>
      </c>
      <c r="H152" s="12">
        <f>IF(IF(SelectedScope="All India",TRUE,'RAW_AR_CONTENT'!$B151=SelectedScope),'RAW_AR_CONTENT'!H151,"")</f>
        <v>0</v>
      </c>
      <c r="I152" s="12">
        <f>IF(IF(SelectedScope="All India",TRUE,'RAW_AR_CONTENT'!$B151=SelectedScope),'RAW_AR_CONTENT'!I151,"")</f>
        <v>0</v>
      </c>
      <c r="J152" s="12">
        <f>IF(IF(SelectedScope="All India",TRUE,'RAW_AR_CONTENT'!$B151=SelectedScope),'RAW_AR_CONTENT'!J151,"")</f>
        <v>0</v>
      </c>
      <c r="K152" s="12">
        <f>IF(IF(SelectedScope="All India",TRUE,'RAW_AR_CONTENT'!$B151=SelectedScope),'RAW_AR_CONTENT'!K151,"")</f>
        <v>0</v>
      </c>
      <c r="L152" s="12">
        <f>IF(IF(SelectedScope="All India",TRUE,'RAW_AR_CONTENT'!$B151=SelectedScope),'RAW_AR_CONTENT'!L151,"")</f>
        <v>0</v>
      </c>
      <c r="M152" s="12">
        <f>IF(IF(SelectedScope="All India",TRUE,'RAW_AR_CONTENT'!$B151=SelectedScope),'RAW_AR_CONTENT'!M151,"")</f>
        <v>0</v>
      </c>
      <c r="N152" s="12">
        <f>IF(IF(SelectedScope="All India",TRUE,'RAW_AR_CONTENT'!$B151=SelectedScope),'RAW_AR_CONTENT'!N151,"")</f>
        <v>0</v>
      </c>
      <c r="O152" s="12">
        <f>IF(IF(SelectedScope="All India",TRUE,'RAW_AR_CONTENT'!$B151=SelectedScope),'RAW_AR_CONTENT'!O151,"")</f>
        <v>0</v>
      </c>
      <c r="P152" s="12">
        <f>IF(IF(SelectedScope="All India",TRUE,'RAW_AR_CONTENT'!$B151=SelectedScope),'RAW_AR_CONTENT'!P151,"")</f>
        <v>0</v>
      </c>
      <c r="Q152" s="12">
        <f>IF(IF(SelectedScope="All India",TRUE,'RAW_AR_CONTENT'!$B151=SelectedScope),'RAW_AR_CONTENT'!Q151,"")</f>
        <v>0</v>
      </c>
      <c r="R152" s="12">
        <f>IF(IF(SelectedScope="All India",TRUE,'RAW_AR_CONTENT'!$B151=SelectedScope),'RAW_AR_CONTENT'!R151,"")</f>
        <v>0</v>
      </c>
    </row>
    <row r="153" spans="1:18" ht="15" customHeight="1" x14ac:dyDescent="0.3">
      <c r="A153" s="9">
        <f>IF(IF(SelectedScope="All India",TRUE,'RAW_AR_CONTENT'!$B152=SelectedScope),'RAW_AR_CONTENT'!A152,"")</f>
        <v>149</v>
      </c>
      <c r="B153" s="9" t="str">
        <f>IF(IF(SelectedScope="All India",TRUE,'RAW_AR_CONTENT'!$B152=SelectedScope),'RAW_AR_CONTENT'!B152,"")</f>
        <v>Goa</v>
      </c>
      <c r="C153" s="9" t="str">
        <f>IF(IF(SelectedScope="All India",TRUE,'RAW_AR_CONTENT'!$B152=SelectedScope),'RAW_AR_CONTENT'!C152,"")</f>
        <v>Environmental Science</v>
      </c>
      <c r="D153" s="9" t="str">
        <f>IF(IF(SelectedScope="All India",TRUE,'RAW_AR_CONTENT'!$B152=SelectedScope),'RAW_AR_CONTENT'!D152,"")</f>
        <v>Class 6</v>
      </c>
      <c r="E153" s="9" t="str">
        <f>IF(IF(SelectedScope="All India",TRUE,'RAW_AR_CONTENT'!$B152=SelectedScope),'RAW_AR_CONTENT'!E152,"")</f>
        <v>Food Chain</v>
      </c>
      <c r="F153" s="9" t="str">
        <f>IF(IF(SelectedScope="All India",TRUE,'RAW_AR_CONTENT'!$B152=SelectedScope),'RAW_AR_CONTENT'!F152,"")</f>
        <v>Animated</v>
      </c>
      <c r="G153" s="9" t="str">
        <f>IF(IF(SelectedScope="All India",TRUE,'RAW_AR_CONTENT'!$B152=SelectedScope),'RAW_AR_CONTENT'!G152,"")</f>
        <v>Active</v>
      </c>
      <c r="H153" s="9">
        <f>IF(IF(SelectedScope="All India",TRUE,'RAW_AR_CONTENT'!$B152=SelectedScope),'RAW_AR_CONTENT'!H152,"")</f>
        <v>0</v>
      </c>
      <c r="I153" s="9">
        <f>IF(IF(SelectedScope="All India",TRUE,'RAW_AR_CONTENT'!$B152=SelectedScope),'RAW_AR_CONTENT'!I152,"")</f>
        <v>0</v>
      </c>
      <c r="J153" s="9">
        <f>IF(IF(SelectedScope="All India",TRUE,'RAW_AR_CONTENT'!$B152=SelectedScope),'RAW_AR_CONTENT'!J152,"")</f>
        <v>0</v>
      </c>
      <c r="K153" s="9">
        <f>IF(IF(SelectedScope="All India",TRUE,'RAW_AR_CONTENT'!$B152=SelectedScope),'RAW_AR_CONTENT'!K152,"")</f>
        <v>0</v>
      </c>
      <c r="L153" s="9">
        <f>IF(IF(SelectedScope="All India",TRUE,'RAW_AR_CONTENT'!$B152=SelectedScope),'RAW_AR_CONTENT'!L152,"")</f>
        <v>0</v>
      </c>
      <c r="M153" s="9">
        <f>IF(IF(SelectedScope="All India",TRUE,'RAW_AR_CONTENT'!$B152=SelectedScope),'RAW_AR_CONTENT'!M152,"")</f>
        <v>0</v>
      </c>
      <c r="N153" s="9">
        <f>IF(IF(SelectedScope="All India",TRUE,'RAW_AR_CONTENT'!$B152=SelectedScope),'RAW_AR_CONTENT'!N152,"")</f>
        <v>0</v>
      </c>
      <c r="O153" s="9">
        <f>IF(IF(SelectedScope="All India",TRUE,'RAW_AR_CONTENT'!$B152=SelectedScope),'RAW_AR_CONTENT'!O152,"")</f>
        <v>0</v>
      </c>
      <c r="P153" s="9">
        <f>IF(IF(SelectedScope="All India",TRUE,'RAW_AR_CONTENT'!$B152=SelectedScope),'RAW_AR_CONTENT'!P152,"")</f>
        <v>0</v>
      </c>
      <c r="Q153" s="9">
        <f>IF(IF(SelectedScope="All India",TRUE,'RAW_AR_CONTENT'!$B152=SelectedScope),'RAW_AR_CONTENT'!Q152,"")</f>
        <v>0</v>
      </c>
      <c r="R153" s="9">
        <f>IF(IF(SelectedScope="All India",TRUE,'RAW_AR_CONTENT'!$B152=SelectedScope),'RAW_AR_CONTENT'!R152,"")</f>
        <v>0</v>
      </c>
    </row>
    <row r="154" spans="1:18" ht="15" customHeight="1" x14ac:dyDescent="0.3">
      <c r="A154" s="12">
        <f>IF(IF(SelectedScope="All India",TRUE,'RAW_AR_CONTENT'!$B153=SelectedScope),'RAW_AR_CONTENT'!A153,"")</f>
        <v>150</v>
      </c>
      <c r="B154" s="12" t="str">
        <f>IF(IF(SelectedScope="All India",TRUE,'RAW_AR_CONTENT'!$B153=SelectedScope),'RAW_AR_CONTENT'!B153,"")</f>
        <v>Goa</v>
      </c>
      <c r="C154" s="12" t="str">
        <f>IF(IF(SelectedScope="All India",TRUE,'RAW_AR_CONTENT'!$B153=SelectedScope),'RAW_AR_CONTENT'!C153,"")</f>
        <v>Mathematics</v>
      </c>
      <c r="D154" s="12" t="str">
        <f>IF(IF(SelectedScope="All India",TRUE,'RAW_AR_CONTENT'!$B153=SelectedScope),'RAW_AR_CONTENT'!D153,"")</f>
        <v>Class 10</v>
      </c>
      <c r="E154" s="12" t="str">
        <f>IF(IF(SelectedScope="All India",TRUE,'RAW_AR_CONTENT'!$B153=SelectedScope),'RAW_AR_CONTENT'!E153,"")</f>
        <v>Quadratic Equations</v>
      </c>
      <c r="F154" s="12" t="str">
        <f>IF(IF(SelectedScope="All India",TRUE,'RAW_AR_CONTENT'!$B153=SelectedScope),'RAW_AR_CONTENT'!F153,"")</f>
        <v>Animated</v>
      </c>
      <c r="G154" s="12" t="str">
        <f>IF(IF(SelectedScope="All India",TRUE,'RAW_AR_CONTENT'!$B153=SelectedScope),'RAW_AR_CONTENT'!G153,"")</f>
        <v>Active</v>
      </c>
      <c r="H154" s="12">
        <f>IF(IF(SelectedScope="All India",TRUE,'RAW_AR_CONTENT'!$B153=SelectedScope),'RAW_AR_CONTENT'!H153,"")</f>
        <v>0</v>
      </c>
      <c r="I154" s="12">
        <f>IF(IF(SelectedScope="All India",TRUE,'RAW_AR_CONTENT'!$B153=SelectedScope),'RAW_AR_CONTENT'!I153,"")</f>
        <v>0</v>
      </c>
      <c r="J154" s="12">
        <f>IF(IF(SelectedScope="All India",TRUE,'RAW_AR_CONTENT'!$B153=SelectedScope),'RAW_AR_CONTENT'!J153,"")</f>
        <v>0</v>
      </c>
      <c r="K154" s="12">
        <f>IF(IF(SelectedScope="All India",TRUE,'RAW_AR_CONTENT'!$B153=SelectedScope),'RAW_AR_CONTENT'!K153,"")</f>
        <v>0</v>
      </c>
      <c r="L154" s="12">
        <f>IF(IF(SelectedScope="All India",TRUE,'RAW_AR_CONTENT'!$B153=SelectedScope),'RAW_AR_CONTENT'!L153,"")</f>
        <v>0</v>
      </c>
      <c r="M154" s="12">
        <f>IF(IF(SelectedScope="All India",TRUE,'RAW_AR_CONTENT'!$B153=SelectedScope),'RAW_AR_CONTENT'!M153,"")</f>
        <v>0</v>
      </c>
      <c r="N154" s="12">
        <f>IF(IF(SelectedScope="All India",TRUE,'RAW_AR_CONTENT'!$B153=SelectedScope),'RAW_AR_CONTENT'!N153,"")</f>
        <v>0</v>
      </c>
      <c r="O154" s="12">
        <f>IF(IF(SelectedScope="All India",TRUE,'RAW_AR_CONTENT'!$B153=SelectedScope),'RAW_AR_CONTENT'!O153,"")</f>
        <v>0</v>
      </c>
      <c r="P154" s="12">
        <f>IF(IF(SelectedScope="All India",TRUE,'RAW_AR_CONTENT'!$B153=SelectedScope),'RAW_AR_CONTENT'!P153,"")</f>
        <v>0</v>
      </c>
      <c r="Q154" s="12">
        <f>IF(IF(SelectedScope="All India",TRUE,'RAW_AR_CONTENT'!$B153=SelectedScope),'RAW_AR_CONTENT'!Q153,"")</f>
        <v>0</v>
      </c>
      <c r="R154" s="12">
        <f>IF(IF(SelectedScope="All India",TRUE,'RAW_AR_CONTENT'!$B153=SelectedScope),'RAW_AR_CONTENT'!R153,"")</f>
        <v>0</v>
      </c>
    </row>
    <row r="155" spans="1:18" ht="15" customHeight="1" x14ac:dyDescent="0.3">
      <c r="A155" s="9">
        <f>IF(IF(SelectedScope="All India",TRUE,'RAW_AR_CONTENT'!$B154=SelectedScope),'RAW_AR_CONTENT'!A154,"")</f>
        <v>151</v>
      </c>
      <c r="B155" s="9" t="str">
        <f>IF(IF(SelectedScope="All India",TRUE,'RAW_AR_CONTENT'!$B154=SelectedScope),'RAW_AR_CONTENT'!B154,"")</f>
        <v>Gujarat</v>
      </c>
      <c r="C155" s="9" t="str">
        <f>IF(IF(SelectedScope="All India",TRUE,'RAW_AR_CONTENT'!$B154=SelectedScope),'RAW_AR_CONTENT'!C154,"")</f>
        <v>Science</v>
      </c>
      <c r="D155" s="9" t="str">
        <f>IF(IF(SelectedScope="All India",TRUE,'RAW_AR_CONTENT'!$B154=SelectedScope),'RAW_AR_CONTENT'!D154,"")</f>
        <v>Class 8</v>
      </c>
      <c r="E155" s="9" t="str">
        <f>IF(IF(SelectedScope="All India",TRUE,'RAW_AR_CONTENT'!$B154=SelectedScope),'RAW_AR_CONTENT'!E154,"")</f>
        <v>Solar System 3D</v>
      </c>
      <c r="F155" s="9" t="str">
        <f>IF(IF(SelectedScope="All India",TRUE,'RAW_AR_CONTENT'!$B154=SelectedScope),'RAW_AR_CONTENT'!F154,"")</f>
        <v>Animated</v>
      </c>
      <c r="G155" s="9" t="str">
        <f>IF(IF(SelectedScope="All India",TRUE,'RAW_AR_CONTENT'!$B154=SelectedScope),'RAW_AR_CONTENT'!G154,"")</f>
        <v>Active</v>
      </c>
      <c r="H155" s="9">
        <f>IF(IF(SelectedScope="All India",TRUE,'RAW_AR_CONTENT'!$B154=SelectedScope),'RAW_AR_CONTENT'!H154,"")</f>
        <v>0</v>
      </c>
      <c r="I155" s="9">
        <f>IF(IF(SelectedScope="All India",TRUE,'RAW_AR_CONTENT'!$B154=SelectedScope),'RAW_AR_CONTENT'!I154,"")</f>
        <v>0</v>
      </c>
      <c r="J155" s="9">
        <f>IF(IF(SelectedScope="All India",TRUE,'RAW_AR_CONTENT'!$B154=SelectedScope),'RAW_AR_CONTENT'!J154,"")</f>
        <v>0</v>
      </c>
      <c r="K155" s="9">
        <f>IF(IF(SelectedScope="All India",TRUE,'RAW_AR_CONTENT'!$B154=SelectedScope),'RAW_AR_CONTENT'!K154,"")</f>
        <v>0</v>
      </c>
      <c r="L155" s="9">
        <f>IF(IF(SelectedScope="All India",TRUE,'RAW_AR_CONTENT'!$B154=SelectedScope),'RAW_AR_CONTENT'!L154,"")</f>
        <v>0</v>
      </c>
      <c r="M155" s="9">
        <f>IF(IF(SelectedScope="All India",TRUE,'RAW_AR_CONTENT'!$B154=SelectedScope),'RAW_AR_CONTENT'!M154,"")</f>
        <v>0</v>
      </c>
      <c r="N155" s="9">
        <f>IF(IF(SelectedScope="All India",TRUE,'RAW_AR_CONTENT'!$B154=SelectedScope),'RAW_AR_CONTENT'!N154,"")</f>
        <v>0</v>
      </c>
      <c r="O155" s="9">
        <f>IF(IF(SelectedScope="All India",TRUE,'RAW_AR_CONTENT'!$B154=SelectedScope),'RAW_AR_CONTENT'!O154,"")</f>
        <v>0</v>
      </c>
      <c r="P155" s="9">
        <f>IF(IF(SelectedScope="All India",TRUE,'RAW_AR_CONTENT'!$B154=SelectedScope),'RAW_AR_CONTENT'!P154,"")</f>
        <v>0</v>
      </c>
      <c r="Q155" s="9">
        <f>IF(IF(SelectedScope="All India",TRUE,'RAW_AR_CONTENT'!$B154=SelectedScope),'RAW_AR_CONTENT'!Q154,"")</f>
        <v>0</v>
      </c>
      <c r="R155" s="9">
        <f>IF(IF(SelectedScope="All India",TRUE,'RAW_AR_CONTENT'!$B154=SelectedScope),'RAW_AR_CONTENT'!R154,"")</f>
        <v>0</v>
      </c>
    </row>
    <row r="156" spans="1:18" ht="15" customHeight="1" x14ac:dyDescent="0.3">
      <c r="A156" s="12">
        <f>IF(IF(SelectedScope="All India",TRUE,'RAW_AR_CONTENT'!$B155=SelectedScope),'RAW_AR_CONTENT'!A155,"")</f>
        <v>152</v>
      </c>
      <c r="B156" s="12" t="str">
        <f>IF(IF(SelectedScope="All India",TRUE,'RAW_AR_CONTENT'!$B155=SelectedScope),'RAW_AR_CONTENT'!B155,"")</f>
        <v>Gujarat</v>
      </c>
      <c r="C156" s="12" t="str">
        <f>IF(IF(SelectedScope="All India",TRUE,'RAW_AR_CONTENT'!$B155=SelectedScope),'RAW_AR_CONTENT'!C155,"")</f>
        <v>Biology</v>
      </c>
      <c r="D156" s="12" t="str">
        <f>IF(IF(SelectedScope="All India",TRUE,'RAW_AR_CONTENT'!$B155=SelectedScope),'RAW_AR_CONTENT'!D155,"")</f>
        <v>Class 9</v>
      </c>
      <c r="E156" s="12" t="str">
        <f>IF(IF(SelectedScope="All India",TRUE,'RAW_AR_CONTENT'!$B155=SelectedScope),'RAW_AR_CONTENT'!E155,"")</f>
        <v>Cell Division</v>
      </c>
      <c r="F156" s="12" t="str">
        <f>IF(IF(SelectedScope="All India",TRUE,'RAW_AR_CONTENT'!$B155=SelectedScope),'RAW_AR_CONTENT'!F155,"")</f>
        <v>Interactive</v>
      </c>
      <c r="G156" s="12" t="str">
        <f>IF(IF(SelectedScope="All India",TRUE,'RAW_AR_CONTENT'!$B155=SelectedScope),'RAW_AR_CONTENT'!G155,"")</f>
        <v>Active</v>
      </c>
      <c r="H156" s="12">
        <f>IF(IF(SelectedScope="All India",TRUE,'RAW_AR_CONTENT'!$B155=SelectedScope),'RAW_AR_CONTENT'!H155,"")</f>
        <v>0</v>
      </c>
      <c r="I156" s="12">
        <f>IF(IF(SelectedScope="All India",TRUE,'RAW_AR_CONTENT'!$B155=SelectedScope),'RAW_AR_CONTENT'!I155,"")</f>
        <v>0</v>
      </c>
      <c r="J156" s="12">
        <f>IF(IF(SelectedScope="All India",TRUE,'RAW_AR_CONTENT'!$B155=SelectedScope),'RAW_AR_CONTENT'!J155,"")</f>
        <v>0</v>
      </c>
      <c r="K156" s="12">
        <f>IF(IF(SelectedScope="All India",TRUE,'RAW_AR_CONTENT'!$B155=SelectedScope),'RAW_AR_CONTENT'!K155,"")</f>
        <v>0</v>
      </c>
      <c r="L156" s="12">
        <f>IF(IF(SelectedScope="All India",TRUE,'RAW_AR_CONTENT'!$B155=SelectedScope),'RAW_AR_CONTENT'!L155,"")</f>
        <v>0</v>
      </c>
      <c r="M156" s="12">
        <f>IF(IF(SelectedScope="All India",TRUE,'RAW_AR_CONTENT'!$B155=SelectedScope),'RAW_AR_CONTENT'!M155,"")</f>
        <v>0</v>
      </c>
      <c r="N156" s="12">
        <f>IF(IF(SelectedScope="All India",TRUE,'RAW_AR_CONTENT'!$B155=SelectedScope),'RAW_AR_CONTENT'!N155,"")</f>
        <v>0</v>
      </c>
      <c r="O156" s="12">
        <f>IF(IF(SelectedScope="All India",TRUE,'RAW_AR_CONTENT'!$B155=SelectedScope),'RAW_AR_CONTENT'!O155,"")</f>
        <v>0</v>
      </c>
      <c r="P156" s="12">
        <f>IF(IF(SelectedScope="All India",TRUE,'RAW_AR_CONTENT'!$B155=SelectedScope),'RAW_AR_CONTENT'!P155,"")</f>
        <v>0</v>
      </c>
      <c r="Q156" s="12">
        <f>IF(IF(SelectedScope="All India",TRUE,'RAW_AR_CONTENT'!$B155=SelectedScope),'RAW_AR_CONTENT'!Q155,"")</f>
        <v>0</v>
      </c>
      <c r="R156" s="12">
        <f>IF(IF(SelectedScope="All India",TRUE,'RAW_AR_CONTENT'!$B155=SelectedScope),'RAW_AR_CONTENT'!R155,"")</f>
        <v>0</v>
      </c>
    </row>
    <row r="157" spans="1:18" ht="15" customHeight="1" x14ac:dyDescent="0.3">
      <c r="A157" s="9">
        <f>IF(IF(SelectedScope="All India",TRUE,'RAW_AR_CONTENT'!$B156=SelectedScope),'RAW_AR_CONTENT'!A156,"")</f>
        <v>153</v>
      </c>
      <c r="B157" s="9" t="str">
        <f>IF(IF(SelectedScope="All India",TRUE,'RAW_AR_CONTENT'!$B156=SelectedScope),'RAW_AR_CONTENT'!B156,"")</f>
        <v>Gujarat</v>
      </c>
      <c r="C157" s="9" t="str">
        <f>IF(IF(SelectedScope="All India",TRUE,'RAW_AR_CONTENT'!$B156=SelectedScope),'RAW_AR_CONTENT'!C156,"")</f>
        <v>Chemistry</v>
      </c>
      <c r="D157" s="9" t="str">
        <f>IF(IF(SelectedScope="All India",TRUE,'RAW_AR_CONTENT'!$B156=SelectedScope),'RAW_AR_CONTENT'!D156,"")</f>
        <v>Class 9</v>
      </c>
      <c r="E157" s="9" t="str">
        <f>IF(IF(SelectedScope="All India",TRUE,'RAW_AR_CONTENT'!$B156=SelectedScope),'RAW_AR_CONTENT'!E156,"")</f>
        <v>Atoms and Molecules</v>
      </c>
      <c r="F157" s="9" t="str">
        <f>IF(IF(SelectedScope="All India",TRUE,'RAW_AR_CONTENT'!$B156=SelectedScope),'RAW_AR_CONTENT'!F156,"")</f>
        <v>Animated</v>
      </c>
      <c r="G157" s="9" t="str">
        <f>IF(IF(SelectedScope="All India",TRUE,'RAW_AR_CONTENT'!$B156=SelectedScope),'RAW_AR_CONTENT'!G156,"")</f>
        <v>Active</v>
      </c>
      <c r="H157" s="9">
        <f>IF(IF(SelectedScope="All India",TRUE,'RAW_AR_CONTENT'!$B156=SelectedScope),'RAW_AR_CONTENT'!H156,"")</f>
        <v>0</v>
      </c>
      <c r="I157" s="9">
        <f>IF(IF(SelectedScope="All India",TRUE,'RAW_AR_CONTENT'!$B156=SelectedScope),'RAW_AR_CONTENT'!I156,"")</f>
        <v>0</v>
      </c>
      <c r="J157" s="9">
        <f>IF(IF(SelectedScope="All India",TRUE,'RAW_AR_CONTENT'!$B156=SelectedScope),'RAW_AR_CONTENT'!J156,"")</f>
        <v>0</v>
      </c>
      <c r="K157" s="9">
        <f>IF(IF(SelectedScope="All India",TRUE,'RAW_AR_CONTENT'!$B156=SelectedScope),'RAW_AR_CONTENT'!K156,"")</f>
        <v>0</v>
      </c>
      <c r="L157" s="9">
        <f>IF(IF(SelectedScope="All India",TRUE,'RAW_AR_CONTENT'!$B156=SelectedScope),'RAW_AR_CONTENT'!L156,"")</f>
        <v>0</v>
      </c>
      <c r="M157" s="9">
        <f>IF(IF(SelectedScope="All India",TRUE,'RAW_AR_CONTENT'!$B156=SelectedScope),'RAW_AR_CONTENT'!M156,"")</f>
        <v>0</v>
      </c>
      <c r="N157" s="9">
        <f>IF(IF(SelectedScope="All India",TRUE,'RAW_AR_CONTENT'!$B156=SelectedScope),'RAW_AR_CONTENT'!N156,"")</f>
        <v>0</v>
      </c>
      <c r="O157" s="9">
        <f>IF(IF(SelectedScope="All India",TRUE,'RAW_AR_CONTENT'!$B156=SelectedScope),'RAW_AR_CONTENT'!O156,"")</f>
        <v>0</v>
      </c>
      <c r="P157" s="9">
        <f>IF(IF(SelectedScope="All India",TRUE,'RAW_AR_CONTENT'!$B156=SelectedScope),'RAW_AR_CONTENT'!P156,"")</f>
        <v>0</v>
      </c>
      <c r="Q157" s="9">
        <f>IF(IF(SelectedScope="All India",TRUE,'RAW_AR_CONTENT'!$B156=SelectedScope),'RAW_AR_CONTENT'!Q156,"")</f>
        <v>0</v>
      </c>
      <c r="R157" s="9">
        <f>IF(IF(SelectedScope="All India",TRUE,'RAW_AR_CONTENT'!$B156=SelectedScope),'RAW_AR_CONTENT'!R156,"")</f>
        <v>0</v>
      </c>
    </row>
    <row r="158" spans="1:18" ht="15" customHeight="1" x14ac:dyDescent="0.3">
      <c r="A158" s="12">
        <f>IF(IF(SelectedScope="All India",TRUE,'RAW_AR_CONTENT'!$B157=SelectedScope),'RAW_AR_CONTENT'!A157,"")</f>
        <v>154</v>
      </c>
      <c r="B158" s="12" t="str">
        <f>IF(IF(SelectedScope="All India",TRUE,'RAW_AR_CONTENT'!$B157=SelectedScope),'RAW_AR_CONTENT'!B157,"")</f>
        <v>Gujarat</v>
      </c>
      <c r="C158" s="12" t="str">
        <f>IF(IF(SelectedScope="All India",TRUE,'RAW_AR_CONTENT'!$B157=SelectedScope),'RAW_AR_CONTENT'!C157,"")</f>
        <v>Biology</v>
      </c>
      <c r="D158" s="12" t="str">
        <f>IF(IF(SelectedScope="All India",TRUE,'RAW_AR_CONTENT'!$B157=SelectedScope),'RAW_AR_CONTENT'!D157,"")</f>
        <v>Class 7</v>
      </c>
      <c r="E158" s="12" t="str">
        <f>IF(IF(SelectedScope="All India",TRUE,'RAW_AR_CONTENT'!$B157=SelectedScope),'RAW_AR_CONTENT'!E157,"")</f>
        <v>Photosynthesis</v>
      </c>
      <c r="F158" s="12" t="str">
        <f>IF(IF(SelectedScope="All India",TRUE,'RAW_AR_CONTENT'!$B157=SelectedScope),'RAW_AR_CONTENT'!F157,"")</f>
        <v>Basic 3D</v>
      </c>
      <c r="G158" s="12" t="str">
        <f>IF(IF(SelectedScope="All India",TRUE,'RAW_AR_CONTENT'!$B157=SelectedScope),'RAW_AR_CONTENT'!G157,"")</f>
        <v>Active</v>
      </c>
      <c r="H158" s="12">
        <f>IF(IF(SelectedScope="All India",TRUE,'RAW_AR_CONTENT'!$B157=SelectedScope),'RAW_AR_CONTENT'!H157,"")</f>
        <v>0</v>
      </c>
      <c r="I158" s="12">
        <f>IF(IF(SelectedScope="All India",TRUE,'RAW_AR_CONTENT'!$B157=SelectedScope),'RAW_AR_CONTENT'!I157,"")</f>
        <v>0</v>
      </c>
      <c r="J158" s="12">
        <f>IF(IF(SelectedScope="All India",TRUE,'RAW_AR_CONTENT'!$B157=SelectedScope),'RAW_AR_CONTENT'!J157,"")</f>
        <v>0</v>
      </c>
      <c r="K158" s="12">
        <f>IF(IF(SelectedScope="All India",TRUE,'RAW_AR_CONTENT'!$B157=SelectedScope),'RAW_AR_CONTENT'!K157,"")</f>
        <v>0</v>
      </c>
      <c r="L158" s="12">
        <f>IF(IF(SelectedScope="All India",TRUE,'RAW_AR_CONTENT'!$B157=SelectedScope),'RAW_AR_CONTENT'!L157,"")</f>
        <v>0</v>
      </c>
      <c r="M158" s="12">
        <f>IF(IF(SelectedScope="All India",TRUE,'RAW_AR_CONTENT'!$B157=SelectedScope),'RAW_AR_CONTENT'!M157,"")</f>
        <v>0</v>
      </c>
      <c r="N158" s="12">
        <f>IF(IF(SelectedScope="All India",TRUE,'RAW_AR_CONTENT'!$B157=SelectedScope),'RAW_AR_CONTENT'!N157,"")</f>
        <v>0</v>
      </c>
      <c r="O158" s="12">
        <f>IF(IF(SelectedScope="All India",TRUE,'RAW_AR_CONTENT'!$B157=SelectedScope),'RAW_AR_CONTENT'!O157,"")</f>
        <v>0</v>
      </c>
      <c r="P158" s="12">
        <f>IF(IF(SelectedScope="All India",TRUE,'RAW_AR_CONTENT'!$B157=SelectedScope),'RAW_AR_CONTENT'!P157,"")</f>
        <v>0</v>
      </c>
      <c r="Q158" s="12">
        <f>IF(IF(SelectedScope="All India",TRUE,'RAW_AR_CONTENT'!$B157=SelectedScope),'RAW_AR_CONTENT'!Q157,"")</f>
        <v>0</v>
      </c>
      <c r="R158" s="12">
        <f>IF(IF(SelectedScope="All India",TRUE,'RAW_AR_CONTENT'!$B157=SelectedScope),'RAW_AR_CONTENT'!R157,"")</f>
        <v>0</v>
      </c>
    </row>
    <row r="159" spans="1:18" ht="15" customHeight="1" x14ac:dyDescent="0.3">
      <c r="A159" s="9">
        <f>IF(IF(SelectedScope="All India",TRUE,'RAW_AR_CONTENT'!$B158=SelectedScope),'RAW_AR_CONTENT'!A158,"")</f>
        <v>155</v>
      </c>
      <c r="B159" s="9" t="str">
        <f>IF(IF(SelectedScope="All India",TRUE,'RAW_AR_CONTENT'!$B158=SelectedScope),'RAW_AR_CONTENT'!B158,"")</f>
        <v>Gujarat</v>
      </c>
      <c r="C159" s="9" t="str">
        <f>IF(IF(SelectedScope="All India",TRUE,'RAW_AR_CONTENT'!$B158=SelectedScope),'RAW_AR_CONTENT'!C158,"")</f>
        <v>Mathematics</v>
      </c>
      <c r="D159" s="9" t="str">
        <f>IF(IF(SelectedScope="All India",TRUE,'RAW_AR_CONTENT'!$B158=SelectedScope),'RAW_AR_CONTENT'!D158,"")</f>
        <v>Class 7</v>
      </c>
      <c r="E159" s="9" t="str">
        <f>IF(IF(SelectedScope="All India",TRUE,'RAW_AR_CONTENT'!$B158=SelectedScope),'RAW_AR_CONTENT'!E158,"")</f>
        <v>Fractions 3D Model</v>
      </c>
      <c r="F159" s="9" t="str">
        <f>IF(IF(SelectedScope="All India",TRUE,'RAW_AR_CONTENT'!$B158=SelectedScope),'RAW_AR_CONTENT'!F158,"")</f>
        <v>Interactive</v>
      </c>
      <c r="G159" s="9" t="str">
        <f>IF(IF(SelectedScope="All India",TRUE,'RAW_AR_CONTENT'!$B158=SelectedScope),'RAW_AR_CONTENT'!G158,"")</f>
        <v>Active</v>
      </c>
      <c r="H159" s="9">
        <f>IF(IF(SelectedScope="All India",TRUE,'RAW_AR_CONTENT'!$B158=SelectedScope),'RAW_AR_CONTENT'!H158,"")</f>
        <v>0</v>
      </c>
      <c r="I159" s="9">
        <f>IF(IF(SelectedScope="All India",TRUE,'RAW_AR_CONTENT'!$B158=SelectedScope),'RAW_AR_CONTENT'!I158,"")</f>
        <v>0</v>
      </c>
      <c r="J159" s="9">
        <f>IF(IF(SelectedScope="All India",TRUE,'RAW_AR_CONTENT'!$B158=SelectedScope),'RAW_AR_CONTENT'!J158,"")</f>
        <v>0</v>
      </c>
      <c r="K159" s="9">
        <f>IF(IF(SelectedScope="All India",TRUE,'RAW_AR_CONTENT'!$B158=SelectedScope),'RAW_AR_CONTENT'!K158,"")</f>
        <v>0</v>
      </c>
      <c r="L159" s="9">
        <f>IF(IF(SelectedScope="All India",TRUE,'RAW_AR_CONTENT'!$B158=SelectedScope),'RAW_AR_CONTENT'!L158,"")</f>
        <v>0</v>
      </c>
      <c r="M159" s="9">
        <f>IF(IF(SelectedScope="All India",TRUE,'RAW_AR_CONTENT'!$B158=SelectedScope),'RAW_AR_CONTENT'!M158,"")</f>
        <v>0</v>
      </c>
      <c r="N159" s="9">
        <f>IF(IF(SelectedScope="All India",TRUE,'RAW_AR_CONTENT'!$B158=SelectedScope),'RAW_AR_CONTENT'!N158,"")</f>
        <v>0</v>
      </c>
      <c r="O159" s="9">
        <f>IF(IF(SelectedScope="All India",TRUE,'RAW_AR_CONTENT'!$B158=SelectedScope),'RAW_AR_CONTENT'!O158,"")</f>
        <v>0</v>
      </c>
      <c r="P159" s="9">
        <f>IF(IF(SelectedScope="All India",TRUE,'RAW_AR_CONTENT'!$B158=SelectedScope),'RAW_AR_CONTENT'!P158,"")</f>
        <v>0</v>
      </c>
      <c r="Q159" s="9">
        <f>IF(IF(SelectedScope="All India",TRUE,'RAW_AR_CONTENT'!$B158=SelectedScope),'RAW_AR_CONTENT'!Q158,"")</f>
        <v>0</v>
      </c>
      <c r="R159" s="9">
        <f>IF(IF(SelectedScope="All India",TRUE,'RAW_AR_CONTENT'!$B158=SelectedScope),'RAW_AR_CONTENT'!R158,"")</f>
        <v>0</v>
      </c>
    </row>
    <row r="160" spans="1:18" ht="15" customHeight="1" x14ac:dyDescent="0.3">
      <c r="A160" s="12">
        <f>IF(IF(SelectedScope="All India",TRUE,'RAW_AR_CONTENT'!$B159=SelectedScope),'RAW_AR_CONTENT'!A159,"")</f>
        <v>156</v>
      </c>
      <c r="B160" s="12" t="str">
        <f>IF(IF(SelectedScope="All India",TRUE,'RAW_AR_CONTENT'!$B159=SelectedScope),'RAW_AR_CONTENT'!B159,"")</f>
        <v>Gujarat</v>
      </c>
      <c r="C160" s="12" t="str">
        <f>IF(IF(SelectedScope="All India",TRUE,'RAW_AR_CONTENT'!$B159=SelectedScope),'RAW_AR_CONTENT'!C159,"")</f>
        <v>Mathematics</v>
      </c>
      <c r="D160" s="12" t="str">
        <f>IF(IF(SelectedScope="All India",TRUE,'RAW_AR_CONTENT'!$B159=SelectedScope),'RAW_AR_CONTENT'!D159,"")</f>
        <v>Class 10</v>
      </c>
      <c r="E160" s="12" t="str">
        <f>IF(IF(SelectedScope="All India",TRUE,'RAW_AR_CONTENT'!$B159=SelectedScope),'RAW_AR_CONTENT'!E159,"")</f>
        <v>Trigonometry 3D</v>
      </c>
      <c r="F160" s="12" t="str">
        <f>IF(IF(SelectedScope="All India",TRUE,'RAW_AR_CONTENT'!$B159=SelectedScope),'RAW_AR_CONTENT'!F159,"")</f>
        <v>Animated</v>
      </c>
      <c r="G160" s="12" t="str">
        <f>IF(IF(SelectedScope="All India",TRUE,'RAW_AR_CONTENT'!$B159=SelectedScope),'RAW_AR_CONTENT'!G159,"")</f>
        <v>Active</v>
      </c>
      <c r="H160" s="12">
        <f>IF(IF(SelectedScope="All India",TRUE,'RAW_AR_CONTENT'!$B159=SelectedScope),'RAW_AR_CONTENT'!H159,"")</f>
        <v>0</v>
      </c>
      <c r="I160" s="12">
        <f>IF(IF(SelectedScope="All India",TRUE,'RAW_AR_CONTENT'!$B159=SelectedScope),'RAW_AR_CONTENT'!I159,"")</f>
        <v>0</v>
      </c>
      <c r="J160" s="12">
        <f>IF(IF(SelectedScope="All India",TRUE,'RAW_AR_CONTENT'!$B159=SelectedScope),'RAW_AR_CONTENT'!J159,"")</f>
        <v>0</v>
      </c>
      <c r="K160" s="12">
        <f>IF(IF(SelectedScope="All India",TRUE,'RAW_AR_CONTENT'!$B159=SelectedScope),'RAW_AR_CONTENT'!K159,"")</f>
        <v>0</v>
      </c>
      <c r="L160" s="12">
        <f>IF(IF(SelectedScope="All India",TRUE,'RAW_AR_CONTENT'!$B159=SelectedScope),'RAW_AR_CONTENT'!L159,"")</f>
        <v>0</v>
      </c>
      <c r="M160" s="12">
        <f>IF(IF(SelectedScope="All India",TRUE,'RAW_AR_CONTENT'!$B159=SelectedScope),'RAW_AR_CONTENT'!M159,"")</f>
        <v>0</v>
      </c>
      <c r="N160" s="12">
        <f>IF(IF(SelectedScope="All India",TRUE,'RAW_AR_CONTENT'!$B159=SelectedScope),'RAW_AR_CONTENT'!N159,"")</f>
        <v>0</v>
      </c>
      <c r="O160" s="12">
        <f>IF(IF(SelectedScope="All India",TRUE,'RAW_AR_CONTENT'!$B159=SelectedScope),'RAW_AR_CONTENT'!O159,"")</f>
        <v>0</v>
      </c>
      <c r="P160" s="12">
        <f>IF(IF(SelectedScope="All India",TRUE,'RAW_AR_CONTENT'!$B159=SelectedScope),'RAW_AR_CONTENT'!P159,"")</f>
        <v>0</v>
      </c>
      <c r="Q160" s="12">
        <f>IF(IF(SelectedScope="All India",TRUE,'RAW_AR_CONTENT'!$B159=SelectedScope),'RAW_AR_CONTENT'!Q159,"")</f>
        <v>0</v>
      </c>
      <c r="R160" s="12">
        <f>IF(IF(SelectedScope="All India",TRUE,'RAW_AR_CONTENT'!$B159=SelectedScope),'RAW_AR_CONTENT'!R159,"")</f>
        <v>0</v>
      </c>
    </row>
    <row r="161" spans="1:18" ht="15" customHeight="1" x14ac:dyDescent="0.3">
      <c r="A161" s="9">
        <f>IF(IF(SelectedScope="All India",TRUE,'RAW_AR_CONTENT'!$B160=SelectedScope),'RAW_AR_CONTENT'!A160,"")</f>
        <v>157</v>
      </c>
      <c r="B161" s="9" t="str">
        <f>IF(IF(SelectedScope="All India",TRUE,'RAW_AR_CONTENT'!$B160=SelectedScope),'RAW_AR_CONTENT'!B160,"")</f>
        <v>Gujarat</v>
      </c>
      <c r="C161" s="9" t="str">
        <f>IF(IF(SelectedScope="All India",TRUE,'RAW_AR_CONTENT'!$B160=SelectedScope),'RAW_AR_CONTENT'!C160,"")</f>
        <v>History</v>
      </c>
      <c r="D161" s="9" t="str">
        <f>IF(IF(SelectedScope="All India",TRUE,'RAW_AR_CONTENT'!$B160=SelectedScope),'RAW_AR_CONTENT'!D160,"")</f>
        <v>Class 10</v>
      </c>
      <c r="E161" s="9" t="str">
        <f>IF(IF(SelectedScope="All India",TRUE,'RAW_AR_CONTENT'!$B160=SelectedScope),'RAW_AR_CONTENT'!E160,"")</f>
        <v>Mughal Empire AR</v>
      </c>
      <c r="F161" s="9" t="str">
        <f>IF(IF(SelectedScope="All India",TRUE,'RAW_AR_CONTENT'!$B160=SelectedScope),'RAW_AR_CONTENT'!F160,"")</f>
        <v>Basic 3D</v>
      </c>
      <c r="G161" s="9" t="str">
        <f>IF(IF(SelectedScope="All India",TRUE,'RAW_AR_CONTENT'!$B160=SelectedScope),'RAW_AR_CONTENT'!G160,"")</f>
        <v>Active</v>
      </c>
      <c r="H161" s="9">
        <f>IF(IF(SelectedScope="All India",TRUE,'RAW_AR_CONTENT'!$B160=SelectedScope),'RAW_AR_CONTENT'!H160,"")</f>
        <v>0</v>
      </c>
      <c r="I161" s="9">
        <f>IF(IF(SelectedScope="All India",TRUE,'RAW_AR_CONTENT'!$B160=SelectedScope),'RAW_AR_CONTENT'!I160,"")</f>
        <v>0</v>
      </c>
      <c r="J161" s="9">
        <f>IF(IF(SelectedScope="All India",TRUE,'RAW_AR_CONTENT'!$B160=SelectedScope),'RAW_AR_CONTENT'!J160,"")</f>
        <v>0</v>
      </c>
      <c r="K161" s="9">
        <f>IF(IF(SelectedScope="All India",TRUE,'RAW_AR_CONTENT'!$B160=SelectedScope),'RAW_AR_CONTENT'!K160,"")</f>
        <v>0</v>
      </c>
      <c r="L161" s="9">
        <f>IF(IF(SelectedScope="All India",TRUE,'RAW_AR_CONTENT'!$B160=SelectedScope),'RAW_AR_CONTENT'!L160,"")</f>
        <v>0</v>
      </c>
      <c r="M161" s="9">
        <f>IF(IF(SelectedScope="All India",TRUE,'RAW_AR_CONTENT'!$B160=SelectedScope),'RAW_AR_CONTENT'!M160,"")</f>
        <v>0</v>
      </c>
      <c r="N161" s="9">
        <f>IF(IF(SelectedScope="All India",TRUE,'RAW_AR_CONTENT'!$B160=SelectedScope),'RAW_AR_CONTENT'!N160,"")</f>
        <v>0</v>
      </c>
      <c r="O161" s="9">
        <f>IF(IF(SelectedScope="All India",TRUE,'RAW_AR_CONTENT'!$B160=SelectedScope),'RAW_AR_CONTENT'!O160,"")</f>
        <v>0</v>
      </c>
      <c r="P161" s="9">
        <f>IF(IF(SelectedScope="All India",TRUE,'RAW_AR_CONTENT'!$B160=SelectedScope),'RAW_AR_CONTENT'!P160,"")</f>
        <v>0</v>
      </c>
      <c r="Q161" s="9">
        <f>IF(IF(SelectedScope="All India",TRUE,'RAW_AR_CONTENT'!$B160=SelectedScope),'RAW_AR_CONTENT'!Q160,"")</f>
        <v>0</v>
      </c>
      <c r="R161" s="9">
        <f>IF(IF(SelectedScope="All India",TRUE,'RAW_AR_CONTENT'!$B160=SelectedScope),'RAW_AR_CONTENT'!R160,"")</f>
        <v>0</v>
      </c>
    </row>
    <row r="162" spans="1:18" ht="15" customHeight="1" x14ac:dyDescent="0.3">
      <c r="A162" s="12">
        <f>IF(IF(SelectedScope="All India",TRUE,'RAW_AR_CONTENT'!$B161=SelectedScope),'RAW_AR_CONTENT'!A161,"")</f>
        <v>158</v>
      </c>
      <c r="B162" s="12" t="str">
        <f>IF(IF(SelectedScope="All India",TRUE,'RAW_AR_CONTENT'!$B161=SelectedScope),'RAW_AR_CONTENT'!B161,"")</f>
        <v>Gujarat</v>
      </c>
      <c r="C162" s="12" t="str">
        <f>IF(IF(SelectedScope="All India",TRUE,'RAW_AR_CONTENT'!$B161=SelectedScope),'RAW_AR_CONTENT'!C161,"")</f>
        <v>Geography</v>
      </c>
      <c r="D162" s="12" t="str">
        <f>IF(IF(SelectedScope="All India",TRUE,'RAW_AR_CONTENT'!$B161=SelectedScope),'RAW_AR_CONTENT'!D161,"")</f>
        <v>Class 6</v>
      </c>
      <c r="E162" s="12" t="str">
        <f>IF(IF(SelectedScope="All India",TRUE,'RAW_AR_CONTENT'!$B161=SelectedScope),'RAW_AR_CONTENT'!E161,"")</f>
        <v>Water Cycle Simulation</v>
      </c>
      <c r="F162" s="12" t="str">
        <f>IF(IF(SelectedScope="All India",TRUE,'RAW_AR_CONTENT'!$B161=SelectedScope),'RAW_AR_CONTENT'!F161,"")</f>
        <v>Animated</v>
      </c>
      <c r="G162" s="12" t="str">
        <f>IF(IF(SelectedScope="All India",TRUE,'RAW_AR_CONTENT'!$B161=SelectedScope),'RAW_AR_CONTENT'!G161,"")</f>
        <v>Active</v>
      </c>
      <c r="H162" s="12">
        <f>IF(IF(SelectedScope="All India",TRUE,'RAW_AR_CONTENT'!$B161=SelectedScope),'RAW_AR_CONTENT'!H161,"")</f>
        <v>0</v>
      </c>
      <c r="I162" s="12">
        <f>IF(IF(SelectedScope="All India",TRUE,'RAW_AR_CONTENT'!$B161=SelectedScope),'RAW_AR_CONTENT'!I161,"")</f>
        <v>0</v>
      </c>
      <c r="J162" s="12">
        <f>IF(IF(SelectedScope="All India",TRUE,'RAW_AR_CONTENT'!$B161=SelectedScope),'RAW_AR_CONTENT'!J161,"")</f>
        <v>0</v>
      </c>
      <c r="K162" s="12">
        <f>IF(IF(SelectedScope="All India",TRUE,'RAW_AR_CONTENT'!$B161=SelectedScope),'RAW_AR_CONTENT'!K161,"")</f>
        <v>0</v>
      </c>
      <c r="L162" s="12">
        <f>IF(IF(SelectedScope="All India",TRUE,'RAW_AR_CONTENT'!$B161=SelectedScope),'RAW_AR_CONTENT'!L161,"")</f>
        <v>0</v>
      </c>
      <c r="M162" s="12">
        <f>IF(IF(SelectedScope="All India",TRUE,'RAW_AR_CONTENT'!$B161=SelectedScope),'RAW_AR_CONTENT'!M161,"")</f>
        <v>0</v>
      </c>
      <c r="N162" s="12">
        <f>IF(IF(SelectedScope="All India",TRUE,'RAW_AR_CONTENT'!$B161=SelectedScope),'RAW_AR_CONTENT'!N161,"")</f>
        <v>0</v>
      </c>
      <c r="O162" s="12">
        <f>IF(IF(SelectedScope="All India",TRUE,'RAW_AR_CONTENT'!$B161=SelectedScope),'RAW_AR_CONTENT'!O161,"")</f>
        <v>0</v>
      </c>
      <c r="P162" s="12">
        <f>IF(IF(SelectedScope="All India",TRUE,'RAW_AR_CONTENT'!$B161=SelectedScope),'RAW_AR_CONTENT'!P161,"")</f>
        <v>0</v>
      </c>
      <c r="Q162" s="12">
        <f>IF(IF(SelectedScope="All India",TRUE,'RAW_AR_CONTENT'!$B161=SelectedScope),'RAW_AR_CONTENT'!Q161,"")</f>
        <v>0</v>
      </c>
      <c r="R162" s="12">
        <f>IF(IF(SelectedScope="All India",TRUE,'RAW_AR_CONTENT'!$B161=SelectedScope),'RAW_AR_CONTENT'!R161,"")</f>
        <v>0</v>
      </c>
    </row>
    <row r="163" spans="1:18" ht="15" customHeight="1" x14ac:dyDescent="0.3">
      <c r="A163" s="9">
        <f>IF(IF(SelectedScope="All India",TRUE,'RAW_AR_CONTENT'!$B162=SelectedScope),'RAW_AR_CONTENT'!A162,"")</f>
        <v>159</v>
      </c>
      <c r="B163" s="9" t="str">
        <f>IF(IF(SelectedScope="All India",TRUE,'RAW_AR_CONTENT'!$B162=SelectedScope),'RAW_AR_CONTENT'!B162,"")</f>
        <v>Gujarat</v>
      </c>
      <c r="C163" s="9" t="str">
        <f>IF(IF(SelectedScope="All India",TRUE,'RAW_AR_CONTENT'!$B162=SelectedScope),'RAW_AR_CONTENT'!C162,"")</f>
        <v>Biology</v>
      </c>
      <c r="D163" s="9" t="str">
        <f>IF(IF(SelectedScope="All India",TRUE,'RAW_AR_CONTENT'!$B162=SelectedScope),'RAW_AR_CONTENT'!D162,"")</f>
        <v>Class 11</v>
      </c>
      <c r="E163" s="9" t="str">
        <f>IF(IF(SelectedScope="All India",TRUE,'RAW_AR_CONTENT'!$B162=SelectedScope),'RAW_AR_CONTENT'!E162,"")</f>
        <v>Human Anatomy AR</v>
      </c>
      <c r="F163" s="9" t="str">
        <f>IF(IF(SelectedScope="All India",TRUE,'RAW_AR_CONTENT'!$B162=SelectedScope),'RAW_AR_CONTENT'!F162,"")</f>
        <v>Fully Immersive</v>
      </c>
      <c r="G163" s="9" t="str">
        <f>IF(IF(SelectedScope="All India",TRUE,'RAW_AR_CONTENT'!$B162=SelectedScope),'RAW_AR_CONTENT'!G162,"")</f>
        <v>Active</v>
      </c>
      <c r="H163" s="9">
        <f>IF(IF(SelectedScope="All India",TRUE,'RAW_AR_CONTENT'!$B162=SelectedScope),'RAW_AR_CONTENT'!H162,"")</f>
        <v>0</v>
      </c>
      <c r="I163" s="9">
        <f>IF(IF(SelectedScope="All India",TRUE,'RAW_AR_CONTENT'!$B162=SelectedScope),'RAW_AR_CONTENT'!I162,"")</f>
        <v>0</v>
      </c>
      <c r="J163" s="9">
        <f>IF(IF(SelectedScope="All India",TRUE,'RAW_AR_CONTENT'!$B162=SelectedScope),'RAW_AR_CONTENT'!J162,"")</f>
        <v>0</v>
      </c>
      <c r="K163" s="9">
        <f>IF(IF(SelectedScope="All India",TRUE,'RAW_AR_CONTENT'!$B162=SelectedScope),'RAW_AR_CONTENT'!K162,"")</f>
        <v>0</v>
      </c>
      <c r="L163" s="9">
        <f>IF(IF(SelectedScope="All India",TRUE,'RAW_AR_CONTENT'!$B162=SelectedScope),'RAW_AR_CONTENT'!L162,"")</f>
        <v>0</v>
      </c>
      <c r="M163" s="9">
        <f>IF(IF(SelectedScope="All India",TRUE,'RAW_AR_CONTENT'!$B162=SelectedScope),'RAW_AR_CONTENT'!M162,"")</f>
        <v>0</v>
      </c>
      <c r="N163" s="9">
        <f>IF(IF(SelectedScope="All India",TRUE,'RAW_AR_CONTENT'!$B162=SelectedScope),'RAW_AR_CONTENT'!N162,"")</f>
        <v>0</v>
      </c>
      <c r="O163" s="9">
        <f>IF(IF(SelectedScope="All India",TRUE,'RAW_AR_CONTENT'!$B162=SelectedScope),'RAW_AR_CONTENT'!O162,"")</f>
        <v>0</v>
      </c>
      <c r="P163" s="9">
        <f>IF(IF(SelectedScope="All India",TRUE,'RAW_AR_CONTENT'!$B162=SelectedScope),'RAW_AR_CONTENT'!P162,"")</f>
        <v>0</v>
      </c>
      <c r="Q163" s="9">
        <f>IF(IF(SelectedScope="All India",TRUE,'RAW_AR_CONTENT'!$B162=SelectedScope),'RAW_AR_CONTENT'!Q162,"")</f>
        <v>0</v>
      </c>
      <c r="R163" s="9">
        <f>IF(IF(SelectedScope="All India",TRUE,'RAW_AR_CONTENT'!$B162=SelectedScope),'RAW_AR_CONTENT'!R162,"")</f>
        <v>0</v>
      </c>
    </row>
    <row r="164" spans="1:18" ht="15" customHeight="1" x14ac:dyDescent="0.3">
      <c r="A164" s="12">
        <f>IF(IF(SelectedScope="All India",TRUE,'RAW_AR_CONTENT'!$B163=SelectedScope),'RAW_AR_CONTENT'!A163,"")</f>
        <v>160</v>
      </c>
      <c r="B164" s="12" t="str">
        <f>IF(IF(SelectedScope="All India",TRUE,'RAW_AR_CONTENT'!$B163=SelectedScope),'RAW_AR_CONTENT'!B163,"")</f>
        <v>Gujarat</v>
      </c>
      <c r="C164" s="12" t="str">
        <f>IF(IF(SelectedScope="All India",TRUE,'RAW_AR_CONTENT'!$B163=SelectedScope),'RAW_AR_CONTENT'!C163,"")</f>
        <v>Physics</v>
      </c>
      <c r="D164" s="12" t="str">
        <f>IF(IF(SelectedScope="All India",TRUE,'RAW_AR_CONTENT'!$B163=SelectedScope),'RAW_AR_CONTENT'!D163,"")</f>
        <v>Class 9</v>
      </c>
      <c r="E164" s="12" t="str">
        <f>IF(IF(SelectedScope="All India",TRUE,'RAW_AR_CONTENT'!$B163=SelectedScope),'RAW_AR_CONTENT'!E163,"")</f>
        <v>Laws of Motion</v>
      </c>
      <c r="F164" s="12" t="str">
        <f>IF(IF(SelectedScope="All India",TRUE,'RAW_AR_CONTENT'!$B163=SelectedScope),'RAW_AR_CONTENT'!F163,"")</f>
        <v>Interactive</v>
      </c>
      <c r="G164" s="12" t="str">
        <f>IF(IF(SelectedScope="All India",TRUE,'RAW_AR_CONTENT'!$B163=SelectedScope),'RAW_AR_CONTENT'!G163,"")</f>
        <v>Active</v>
      </c>
      <c r="H164" s="12">
        <f>IF(IF(SelectedScope="All India",TRUE,'RAW_AR_CONTENT'!$B163=SelectedScope),'RAW_AR_CONTENT'!H163,"")</f>
        <v>0</v>
      </c>
      <c r="I164" s="12">
        <f>IF(IF(SelectedScope="All India",TRUE,'RAW_AR_CONTENT'!$B163=SelectedScope),'RAW_AR_CONTENT'!I163,"")</f>
        <v>0</v>
      </c>
      <c r="J164" s="12">
        <f>IF(IF(SelectedScope="All India",TRUE,'RAW_AR_CONTENT'!$B163=SelectedScope),'RAW_AR_CONTENT'!J163,"")</f>
        <v>0</v>
      </c>
      <c r="K164" s="12">
        <f>IF(IF(SelectedScope="All India",TRUE,'RAW_AR_CONTENT'!$B163=SelectedScope),'RAW_AR_CONTENT'!K163,"")</f>
        <v>0</v>
      </c>
      <c r="L164" s="12">
        <f>IF(IF(SelectedScope="All India",TRUE,'RAW_AR_CONTENT'!$B163=SelectedScope),'RAW_AR_CONTENT'!L163,"")</f>
        <v>0</v>
      </c>
      <c r="M164" s="12">
        <f>IF(IF(SelectedScope="All India",TRUE,'RAW_AR_CONTENT'!$B163=SelectedScope),'RAW_AR_CONTENT'!M163,"")</f>
        <v>0</v>
      </c>
      <c r="N164" s="12">
        <f>IF(IF(SelectedScope="All India",TRUE,'RAW_AR_CONTENT'!$B163=SelectedScope),'RAW_AR_CONTENT'!N163,"")</f>
        <v>0</v>
      </c>
      <c r="O164" s="12">
        <f>IF(IF(SelectedScope="All India",TRUE,'RAW_AR_CONTENT'!$B163=SelectedScope),'RAW_AR_CONTENT'!O163,"")</f>
        <v>0</v>
      </c>
      <c r="P164" s="12">
        <f>IF(IF(SelectedScope="All India",TRUE,'RAW_AR_CONTENT'!$B163=SelectedScope),'RAW_AR_CONTENT'!P163,"")</f>
        <v>0</v>
      </c>
      <c r="Q164" s="12">
        <f>IF(IF(SelectedScope="All India",TRUE,'RAW_AR_CONTENT'!$B163=SelectedScope),'RAW_AR_CONTENT'!Q163,"")</f>
        <v>0</v>
      </c>
      <c r="R164" s="12">
        <f>IF(IF(SelectedScope="All India",TRUE,'RAW_AR_CONTENT'!$B163=SelectedScope),'RAW_AR_CONTENT'!R163,"")</f>
        <v>0</v>
      </c>
    </row>
    <row r="165" spans="1:18" ht="15" customHeight="1" x14ac:dyDescent="0.3">
      <c r="A165" s="9">
        <f>IF(IF(SelectedScope="All India",TRUE,'RAW_AR_CONTENT'!$B164=SelectedScope),'RAW_AR_CONTENT'!A164,"")</f>
        <v>161</v>
      </c>
      <c r="B165" s="9" t="str">
        <f>IF(IF(SelectedScope="All India",TRUE,'RAW_AR_CONTENT'!$B164=SelectedScope),'RAW_AR_CONTENT'!B164,"")</f>
        <v>Gujarat</v>
      </c>
      <c r="C165" s="9" t="str">
        <f>IF(IF(SelectedScope="All India",TRUE,'RAW_AR_CONTENT'!$B164=SelectedScope),'RAW_AR_CONTENT'!C164,"")</f>
        <v>Chemistry</v>
      </c>
      <c r="D165" s="9" t="str">
        <f>IF(IF(SelectedScope="All India",TRUE,'RAW_AR_CONTENT'!$B164=SelectedScope),'RAW_AR_CONTENT'!D164,"")</f>
        <v>Class 11</v>
      </c>
      <c r="E165" s="9" t="str">
        <f>IF(IF(SelectedScope="All India",TRUE,'RAW_AR_CONTENT'!$B164=SelectedScope),'RAW_AR_CONTENT'!E164,"")</f>
        <v>Periodic Table 3D</v>
      </c>
      <c r="F165" s="9" t="str">
        <f>IF(IF(SelectedScope="All India",TRUE,'RAW_AR_CONTENT'!$B164=SelectedScope),'RAW_AR_CONTENT'!F164,"")</f>
        <v>Interactive</v>
      </c>
      <c r="G165" s="9" t="str">
        <f>IF(IF(SelectedScope="All India",TRUE,'RAW_AR_CONTENT'!$B164=SelectedScope),'RAW_AR_CONTENT'!G164,"")</f>
        <v>Active</v>
      </c>
      <c r="H165" s="9">
        <f>IF(IF(SelectedScope="All India",TRUE,'RAW_AR_CONTENT'!$B164=SelectedScope),'RAW_AR_CONTENT'!H164,"")</f>
        <v>0</v>
      </c>
      <c r="I165" s="9">
        <f>IF(IF(SelectedScope="All India",TRUE,'RAW_AR_CONTENT'!$B164=SelectedScope),'RAW_AR_CONTENT'!I164,"")</f>
        <v>0</v>
      </c>
      <c r="J165" s="9">
        <f>IF(IF(SelectedScope="All India",TRUE,'RAW_AR_CONTENT'!$B164=SelectedScope),'RAW_AR_CONTENT'!J164,"")</f>
        <v>0</v>
      </c>
      <c r="K165" s="9">
        <f>IF(IF(SelectedScope="All India",TRUE,'RAW_AR_CONTENT'!$B164=SelectedScope),'RAW_AR_CONTENT'!K164,"")</f>
        <v>0</v>
      </c>
      <c r="L165" s="9">
        <f>IF(IF(SelectedScope="All India",TRUE,'RAW_AR_CONTENT'!$B164=SelectedScope),'RAW_AR_CONTENT'!L164,"")</f>
        <v>0</v>
      </c>
      <c r="M165" s="9">
        <f>IF(IF(SelectedScope="All India",TRUE,'RAW_AR_CONTENT'!$B164=SelectedScope),'RAW_AR_CONTENT'!M164,"")</f>
        <v>0</v>
      </c>
      <c r="N165" s="9">
        <f>IF(IF(SelectedScope="All India",TRUE,'RAW_AR_CONTENT'!$B164=SelectedScope),'RAW_AR_CONTENT'!N164,"")</f>
        <v>0</v>
      </c>
      <c r="O165" s="9">
        <f>IF(IF(SelectedScope="All India",TRUE,'RAW_AR_CONTENT'!$B164=SelectedScope),'RAW_AR_CONTENT'!O164,"")</f>
        <v>0</v>
      </c>
      <c r="P165" s="9">
        <f>IF(IF(SelectedScope="All India",TRUE,'RAW_AR_CONTENT'!$B164=SelectedScope),'RAW_AR_CONTENT'!P164,"")</f>
        <v>0</v>
      </c>
      <c r="Q165" s="9">
        <f>IF(IF(SelectedScope="All India",TRUE,'RAW_AR_CONTENT'!$B164=SelectedScope),'RAW_AR_CONTENT'!Q164,"")</f>
        <v>0</v>
      </c>
      <c r="R165" s="9">
        <f>IF(IF(SelectedScope="All India",TRUE,'RAW_AR_CONTENT'!$B164=SelectedScope),'RAW_AR_CONTENT'!R164,"")</f>
        <v>0</v>
      </c>
    </row>
    <row r="166" spans="1:18" ht="15" customHeight="1" x14ac:dyDescent="0.3">
      <c r="A166" s="12">
        <f>IF(IF(SelectedScope="All India",TRUE,'RAW_AR_CONTENT'!$B165=SelectedScope),'RAW_AR_CONTENT'!A165,"")</f>
        <v>162</v>
      </c>
      <c r="B166" s="12" t="str">
        <f>IF(IF(SelectedScope="All India",TRUE,'RAW_AR_CONTENT'!$B165=SelectedScope),'RAW_AR_CONTENT'!B165,"")</f>
        <v>Gujarat</v>
      </c>
      <c r="C166" s="12" t="str">
        <f>IF(IF(SelectedScope="All India",TRUE,'RAW_AR_CONTENT'!$B165=SelectedScope),'RAW_AR_CONTENT'!C165,"")</f>
        <v>Physics</v>
      </c>
      <c r="D166" s="12" t="str">
        <f>IF(IF(SelectedScope="All India",TRUE,'RAW_AR_CONTENT'!$B165=SelectedScope),'RAW_AR_CONTENT'!D165,"")</f>
        <v>Class 10</v>
      </c>
      <c r="E166" s="12" t="str">
        <f>IF(IF(SelectedScope="All India",TRUE,'RAW_AR_CONTENT'!$B165=SelectedScope),'RAW_AR_CONTENT'!E165,"")</f>
        <v>Electricity Circuits</v>
      </c>
      <c r="F166" s="12" t="str">
        <f>IF(IF(SelectedScope="All India",TRUE,'RAW_AR_CONTENT'!$B165=SelectedScope),'RAW_AR_CONTENT'!F165,"")</f>
        <v>Interactive</v>
      </c>
      <c r="G166" s="12" t="str">
        <f>IF(IF(SelectedScope="All India",TRUE,'RAW_AR_CONTENT'!$B165=SelectedScope),'RAW_AR_CONTENT'!G165,"")</f>
        <v>Active</v>
      </c>
      <c r="H166" s="12">
        <f>IF(IF(SelectedScope="All India",TRUE,'RAW_AR_CONTENT'!$B165=SelectedScope),'RAW_AR_CONTENT'!H165,"")</f>
        <v>0</v>
      </c>
      <c r="I166" s="12">
        <f>IF(IF(SelectedScope="All India",TRUE,'RAW_AR_CONTENT'!$B165=SelectedScope),'RAW_AR_CONTENT'!I165,"")</f>
        <v>0</v>
      </c>
      <c r="J166" s="12">
        <f>IF(IF(SelectedScope="All India",TRUE,'RAW_AR_CONTENT'!$B165=SelectedScope),'RAW_AR_CONTENT'!J165,"")</f>
        <v>0</v>
      </c>
      <c r="K166" s="12">
        <f>IF(IF(SelectedScope="All India",TRUE,'RAW_AR_CONTENT'!$B165=SelectedScope),'RAW_AR_CONTENT'!K165,"")</f>
        <v>0</v>
      </c>
      <c r="L166" s="12">
        <f>IF(IF(SelectedScope="All India",TRUE,'RAW_AR_CONTENT'!$B165=SelectedScope),'RAW_AR_CONTENT'!L165,"")</f>
        <v>0</v>
      </c>
      <c r="M166" s="12">
        <f>IF(IF(SelectedScope="All India",TRUE,'RAW_AR_CONTENT'!$B165=SelectedScope),'RAW_AR_CONTENT'!M165,"")</f>
        <v>0</v>
      </c>
      <c r="N166" s="12">
        <f>IF(IF(SelectedScope="All India",TRUE,'RAW_AR_CONTENT'!$B165=SelectedScope),'RAW_AR_CONTENT'!N165,"")</f>
        <v>0</v>
      </c>
      <c r="O166" s="12">
        <f>IF(IF(SelectedScope="All India",TRUE,'RAW_AR_CONTENT'!$B165=SelectedScope),'RAW_AR_CONTENT'!O165,"")</f>
        <v>0</v>
      </c>
      <c r="P166" s="12">
        <f>IF(IF(SelectedScope="All India",TRUE,'RAW_AR_CONTENT'!$B165=SelectedScope),'RAW_AR_CONTENT'!P165,"")</f>
        <v>0</v>
      </c>
      <c r="Q166" s="12">
        <f>IF(IF(SelectedScope="All India",TRUE,'RAW_AR_CONTENT'!$B165=SelectedScope),'RAW_AR_CONTENT'!Q165,"")</f>
        <v>0</v>
      </c>
      <c r="R166" s="12">
        <f>IF(IF(SelectedScope="All India",TRUE,'RAW_AR_CONTENT'!$B165=SelectedScope),'RAW_AR_CONTENT'!R165,"")</f>
        <v>0</v>
      </c>
    </row>
    <row r="167" spans="1:18" ht="15" customHeight="1" x14ac:dyDescent="0.3">
      <c r="A167" s="9">
        <f>IF(IF(SelectedScope="All India",TRUE,'RAW_AR_CONTENT'!$B166=SelectedScope),'RAW_AR_CONTENT'!A166,"")</f>
        <v>163</v>
      </c>
      <c r="B167" s="9" t="str">
        <f>IF(IF(SelectedScope="All India",TRUE,'RAW_AR_CONTENT'!$B166=SelectedScope),'RAW_AR_CONTENT'!B166,"")</f>
        <v>Gujarat</v>
      </c>
      <c r="C167" s="9" t="str">
        <f>IF(IF(SelectedScope="All India",TRUE,'RAW_AR_CONTENT'!$B166=SelectedScope),'RAW_AR_CONTENT'!C166,"")</f>
        <v>Civics</v>
      </c>
      <c r="D167" s="9" t="str">
        <f>IF(IF(SelectedScope="All India",TRUE,'RAW_AR_CONTENT'!$B166=SelectedScope),'RAW_AR_CONTENT'!D166,"")</f>
        <v>Class 9</v>
      </c>
      <c r="E167" s="9" t="str">
        <f>IF(IF(SelectedScope="All India",TRUE,'RAW_AR_CONTENT'!$B166=SelectedScope),'RAW_AR_CONTENT'!E166,"")</f>
        <v>Indian Constitution</v>
      </c>
      <c r="F167" s="9" t="str">
        <f>IF(IF(SelectedScope="All India",TRUE,'RAW_AR_CONTENT'!$B166=SelectedScope),'RAW_AR_CONTENT'!F166,"")</f>
        <v>Basic 3D</v>
      </c>
      <c r="G167" s="9" t="str">
        <f>IF(IF(SelectedScope="All India",TRUE,'RAW_AR_CONTENT'!$B166=SelectedScope),'RAW_AR_CONTENT'!G166,"")</f>
        <v>Active</v>
      </c>
      <c r="H167" s="9">
        <f>IF(IF(SelectedScope="All India",TRUE,'RAW_AR_CONTENT'!$B166=SelectedScope),'RAW_AR_CONTENT'!H166,"")</f>
        <v>0</v>
      </c>
      <c r="I167" s="9">
        <f>IF(IF(SelectedScope="All India",TRUE,'RAW_AR_CONTENT'!$B166=SelectedScope),'RAW_AR_CONTENT'!I166,"")</f>
        <v>0</v>
      </c>
      <c r="J167" s="9">
        <f>IF(IF(SelectedScope="All India",TRUE,'RAW_AR_CONTENT'!$B166=SelectedScope),'RAW_AR_CONTENT'!J166,"")</f>
        <v>0</v>
      </c>
      <c r="K167" s="9">
        <f>IF(IF(SelectedScope="All India",TRUE,'RAW_AR_CONTENT'!$B166=SelectedScope),'RAW_AR_CONTENT'!K166,"")</f>
        <v>0</v>
      </c>
      <c r="L167" s="9">
        <f>IF(IF(SelectedScope="All India",TRUE,'RAW_AR_CONTENT'!$B166=SelectedScope),'RAW_AR_CONTENT'!L166,"")</f>
        <v>0</v>
      </c>
      <c r="M167" s="9">
        <f>IF(IF(SelectedScope="All India",TRUE,'RAW_AR_CONTENT'!$B166=SelectedScope),'RAW_AR_CONTENT'!M166,"")</f>
        <v>0</v>
      </c>
      <c r="N167" s="9">
        <f>IF(IF(SelectedScope="All India",TRUE,'RAW_AR_CONTENT'!$B166=SelectedScope),'RAW_AR_CONTENT'!N166,"")</f>
        <v>0</v>
      </c>
      <c r="O167" s="9">
        <f>IF(IF(SelectedScope="All India",TRUE,'RAW_AR_CONTENT'!$B166=SelectedScope),'RAW_AR_CONTENT'!O166,"")</f>
        <v>0</v>
      </c>
      <c r="P167" s="9">
        <f>IF(IF(SelectedScope="All India",TRUE,'RAW_AR_CONTENT'!$B166=SelectedScope),'RAW_AR_CONTENT'!P166,"")</f>
        <v>0</v>
      </c>
      <c r="Q167" s="9">
        <f>IF(IF(SelectedScope="All India",TRUE,'RAW_AR_CONTENT'!$B166=SelectedScope),'RAW_AR_CONTENT'!Q166,"")</f>
        <v>0</v>
      </c>
      <c r="R167" s="9">
        <f>IF(IF(SelectedScope="All India",TRUE,'RAW_AR_CONTENT'!$B166=SelectedScope),'RAW_AR_CONTENT'!R166,"")</f>
        <v>0</v>
      </c>
    </row>
    <row r="168" spans="1:18" ht="15" customHeight="1" x14ac:dyDescent="0.3">
      <c r="A168" s="12">
        <f>IF(IF(SelectedScope="All India",TRUE,'RAW_AR_CONTENT'!$B167=SelectedScope),'RAW_AR_CONTENT'!A167,"")</f>
        <v>164</v>
      </c>
      <c r="B168" s="12" t="str">
        <f>IF(IF(SelectedScope="All India",TRUE,'RAW_AR_CONTENT'!$B167=SelectedScope),'RAW_AR_CONTENT'!B167,"")</f>
        <v>Gujarat</v>
      </c>
      <c r="C168" s="12" t="str">
        <f>IF(IF(SelectedScope="All India",TRUE,'RAW_AR_CONTENT'!$B167=SelectedScope),'RAW_AR_CONTENT'!C167,"")</f>
        <v>Environmental Science</v>
      </c>
      <c r="D168" s="12" t="str">
        <f>IF(IF(SelectedScope="All India",TRUE,'RAW_AR_CONTENT'!$B167=SelectedScope),'RAW_AR_CONTENT'!D167,"")</f>
        <v>Class 6</v>
      </c>
      <c r="E168" s="12" t="str">
        <f>IF(IF(SelectedScope="All India",TRUE,'RAW_AR_CONTENT'!$B167=SelectedScope),'RAW_AR_CONTENT'!E167,"")</f>
        <v>Food Chain</v>
      </c>
      <c r="F168" s="12" t="str">
        <f>IF(IF(SelectedScope="All India",TRUE,'RAW_AR_CONTENT'!$B167=SelectedScope),'RAW_AR_CONTENT'!F167,"")</f>
        <v>Animated</v>
      </c>
      <c r="G168" s="12" t="str">
        <f>IF(IF(SelectedScope="All India",TRUE,'RAW_AR_CONTENT'!$B167=SelectedScope),'RAW_AR_CONTENT'!G167,"")</f>
        <v>Active</v>
      </c>
      <c r="H168" s="12">
        <f>IF(IF(SelectedScope="All India",TRUE,'RAW_AR_CONTENT'!$B167=SelectedScope),'RAW_AR_CONTENT'!H167,"")</f>
        <v>0</v>
      </c>
      <c r="I168" s="12">
        <f>IF(IF(SelectedScope="All India",TRUE,'RAW_AR_CONTENT'!$B167=SelectedScope),'RAW_AR_CONTENT'!I167,"")</f>
        <v>0</v>
      </c>
      <c r="J168" s="12">
        <f>IF(IF(SelectedScope="All India",TRUE,'RAW_AR_CONTENT'!$B167=SelectedScope),'RAW_AR_CONTENT'!J167,"")</f>
        <v>0</v>
      </c>
      <c r="K168" s="12">
        <f>IF(IF(SelectedScope="All India",TRUE,'RAW_AR_CONTENT'!$B167=SelectedScope),'RAW_AR_CONTENT'!K167,"")</f>
        <v>0</v>
      </c>
      <c r="L168" s="12">
        <f>IF(IF(SelectedScope="All India",TRUE,'RAW_AR_CONTENT'!$B167=SelectedScope),'RAW_AR_CONTENT'!L167,"")</f>
        <v>0</v>
      </c>
      <c r="M168" s="12">
        <f>IF(IF(SelectedScope="All India",TRUE,'RAW_AR_CONTENT'!$B167=SelectedScope),'RAW_AR_CONTENT'!M167,"")</f>
        <v>0</v>
      </c>
      <c r="N168" s="12">
        <f>IF(IF(SelectedScope="All India",TRUE,'RAW_AR_CONTENT'!$B167=SelectedScope),'RAW_AR_CONTENT'!N167,"")</f>
        <v>0</v>
      </c>
      <c r="O168" s="12">
        <f>IF(IF(SelectedScope="All India",TRUE,'RAW_AR_CONTENT'!$B167=SelectedScope),'RAW_AR_CONTENT'!O167,"")</f>
        <v>0</v>
      </c>
      <c r="P168" s="12">
        <f>IF(IF(SelectedScope="All India",TRUE,'RAW_AR_CONTENT'!$B167=SelectedScope),'RAW_AR_CONTENT'!P167,"")</f>
        <v>0</v>
      </c>
      <c r="Q168" s="12">
        <f>IF(IF(SelectedScope="All India",TRUE,'RAW_AR_CONTENT'!$B167=SelectedScope),'RAW_AR_CONTENT'!Q167,"")</f>
        <v>0</v>
      </c>
      <c r="R168" s="12">
        <f>IF(IF(SelectedScope="All India",TRUE,'RAW_AR_CONTENT'!$B167=SelectedScope),'RAW_AR_CONTENT'!R167,"")</f>
        <v>0</v>
      </c>
    </row>
    <row r="169" spans="1:18" ht="15" customHeight="1" x14ac:dyDescent="0.3">
      <c r="A169" s="9">
        <f>IF(IF(SelectedScope="All India",TRUE,'RAW_AR_CONTENT'!$B168=SelectedScope),'RAW_AR_CONTENT'!A168,"")</f>
        <v>165</v>
      </c>
      <c r="B169" s="9" t="str">
        <f>IF(IF(SelectedScope="All India",TRUE,'RAW_AR_CONTENT'!$B168=SelectedScope),'RAW_AR_CONTENT'!B168,"")</f>
        <v>Gujarat</v>
      </c>
      <c r="C169" s="9" t="str">
        <f>IF(IF(SelectedScope="All India",TRUE,'RAW_AR_CONTENT'!$B168=SelectedScope),'RAW_AR_CONTENT'!C168,"")</f>
        <v>Mathematics</v>
      </c>
      <c r="D169" s="9" t="str">
        <f>IF(IF(SelectedScope="All India",TRUE,'RAW_AR_CONTENT'!$B168=SelectedScope),'RAW_AR_CONTENT'!D168,"")</f>
        <v>Class 10</v>
      </c>
      <c r="E169" s="9" t="str">
        <f>IF(IF(SelectedScope="All India",TRUE,'RAW_AR_CONTENT'!$B168=SelectedScope),'RAW_AR_CONTENT'!E168,"")</f>
        <v>Quadratic Equations</v>
      </c>
      <c r="F169" s="9" t="str">
        <f>IF(IF(SelectedScope="All India",TRUE,'RAW_AR_CONTENT'!$B168=SelectedScope),'RAW_AR_CONTENT'!F168,"")</f>
        <v>Animated</v>
      </c>
      <c r="G169" s="9" t="str">
        <f>IF(IF(SelectedScope="All India",TRUE,'RAW_AR_CONTENT'!$B168=SelectedScope),'RAW_AR_CONTENT'!G168,"")</f>
        <v>Active</v>
      </c>
      <c r="H169" s="9">
        <f>IF(IF(SelectedScope="All India",TRUE,'RAW_AR_CONTENT'!$B168=SelectedScope),'RAW_AR_CONTENT'!H168,"")</f>
        <v>0</v>
      </c>
      <c r="I169" s="9">
        <f>IF(IF(SelectedScope="All India",TRUE,'RAW_AR_CONTENT'!$B168=SelectedScope),'RAW_AR_CONTENT'!I168,"")</f>
        <v>0</v>
      </c>
      <c r="J169" s="9">
        <f>IF(IF(SelectedScope="All India",TRUE,'RAW_AR_CONTENT'!$B168=SelectedScope),'RAW_AR_CONTENT'!J168,"")</f>
        <v>0</v>
      </c>
      <c r="K169" s="9">
        <f>IF(IF(SelectedScope="All India",TRUE,'RAW_AR_CONTENT'!$B168=SelectedScope),'RAW_AR_CONTENT'!K168,"")</f>
        <v>0</v>
      </c>
      <c r="L169" s="9">
        <f>IF(IF(SelectedScope="All India",TRUE,'RAW_AR_CONTENT'!$B168=SelectedScope),'RAW_AR_CONTENT'!L168,"")</f>
        <v>0</v>
      </c>
      <c r="M169" s="9">
        <f>IF(IF(SelectedScope="All India",TRUE,'RAW_AR_CONTENT'!$B168=SelectedScope),'RAW_AR_CONTENT'!M168,"")</f>
        <v>0</v>
      </c>
      <c r="N169" s="9">
        <f>IF(IF(SelectedScope="All India",TRUE,'RAW_AR_CONTENT'!$B168=SelectedScope),'RAW_AR_CONTENT'!N168,"")</f>
        <v>0</v>
      </c>
      <c r="O169" s="9">
        <f>IF(IF(SelectedScope="All India",TRUE,'RAW_AR_CONTENT'!$B168=SelectedScope),'RAW_AR_CONTENT'!O168,"")</f>
        <v>0</v>
      </c>
      <c r="P169" s="9">
        <f>IF(IF(SelectedScope="All India",TRUE,'RAW_AR_CONTENT'!$B168=SelectedScope),'RAW_AR_CONTENT'!P168,"")</f>
        <v>0</v>
      </c>
      <c r="Q169" s="9">
        <f>IF(IF(SelectedScope="All India",TRUE,'RAW_AR_CONTENT'!$B168=SelectedScope),'RAW_AR_CONTENT'!Q168,"")</f>
        <v>0</v>
      </c>
      <c r="R169" s="9">
        <f>IF(IF(SelectedScope="All India",TRUE,'RAW_AR_CONTENT'!$B168=SelectedScope),'RAW_AR_CONTENT'!R168,"")</f>
        <v>0</v>
      </c>
    </row>
    <row r="170" spans="1:18" ht="15" customHeight="1" x14ac:dyDescent="0.3">
      <c r="A170" s="12">
        <f>IF(IF(SelectedScope="All India",TRUE,'RAW_AR_CONTENT'!$B169=SelectedScope),'RAW_AR_CONTENT'!A169,"")</f>
        <v>166</v>
      </c>
      <c r="B170" s="12" t="str">
        <f>IF(IF(SelectedScope="All India",TRUE,'RAW_AR_CONTENT'!$B169=SelectedScope),'RAW_AR_CONTENT'!B169,"")</f>
        <v>Haryana</v>
      </c>
      <c r="C170" s="12" t="str">
        <f>IF(IF(SelectedScope="All India",TRUE,'RAW_AR_CONTENT'!$B169=SelectedScope),'RAW_AR_CONTENT'!C169,"")</f>
        <v>Science</v>
      </c>
      <c r="D170" s="12" t="str">
        <f>IF(IF(SelectedScope="All India",TRUE,'RAW_AR_CONTENT'!$B169=SelectedScope),'RAW_AR_CONTENT'!D169,"")</f>
        <v>Class 8</v>
      </c>
      <c r="E170" s="12" t="str">
        <f>IF(IF(SelectedScope="All India",TRUE,'RAW_AR_CONTENT'!$B169=SelectedScope),'RAW_AR_CONTENT'!E169,"")</f>
        <v>Solar System 3D</v>
      </c>
      <c r="F170" s="12" t="str">
        <f>IF(IF(SelectedScope="All India",TRUE,'RAW_AR_CONTENT'!$B169=SelectedScope),'RAW_AR_CONTENT'!F169,"")</f>
        <v>Animated</v>
      </c>
      <c r="G170" s="12" t="str">
        <f>IF(IF(SelectedScope="All India",TRUE,'RAW_AR_CONTENT'!$B169=SelectedScope),'RAW_AR_CONTENT'!G169,"")</f>
        <v>Active</v>
      </c>
      <c r="H170" s="12">
        <f>IF(IF(SelectedScope="All India",TRUE,'RAW_AR_CONTENT'!$B169=SelectedScope),'RAW_AR_CONTENT'!H169,"")</f>
        <v>0</v>
      </c>
      <c r="I170" s="12">
        <f>IF(IF(SelectedScope="All India",TRUE,'RAW_AR_CONTENT'!$B169=SelectedScope),'RAW_AR_CONTENT'!I169,"")</f>
        <v>0</v>
      </c>
      <c r="J170" s="12">
        <f>IF(IF(SelectedScope="All India",TRUE,'RAW_AR_CONTENT'!$B169=SelectedScope),'RAW_AR_CONTENT'!J169,"")</f>
        <v>0</v>
      </c>
      <c r="K170" s="12">
        <f>IF(IF(SelectedScope="All India",TRUE,'RAW_AR_CONTENT'!$B169=SelectedScope),'RAW_AR_CONTENT'!K169,"")</f>
        <v>0</v>
      </c>
      <c r="L170" s="12">
        <f>IF(IF(SelectedScope="All India",TRUE,'RAW_AR_CONTENT'!$B169=SelectedScope),'RAW_AR_CONTENT'!L169,"")</f>
        <v>0</v>
      </c>
      <c r="M170" s="12">
        <f>IF(IF(SelectedScope="All India",TRUE,'RAW_AR_CONTENT'!$B169=SelectedScope),'RAW_AR_CONTENT'!M169,"")</f>
        <v>0</v>
      </c>
      <c r="N170" s="12">
        <f>IF(IF(SelectedScope="All India",TRUE,'RAW_AR_CONTENT'!$B169=SelectedScope),'RAW_AR_CONTENT'!N169,"")</f>
        <v>0</v>
      </c>
      <c r="O170" s="12">
        <f>IF(IF(SelectedScope="All India",TRUE,'RAW_AR_CONTENT'!$B169=SelectedScope),'RAW_AR_CONTENT'!O169,"")</f>
        <v>0</v>
      </c>
      <c r="P170" s="12">
        <f>IF(IF(SelectedScope="All India",TRUE,'RAW_AR_CONTENT'!$B169=SelectedScope),'RAW_AR_CONTENT'!P169,"")</f>
        <v>0</v>
      </c>
      <c r="Q170" s="12">
        <f>IF(IF(SelectedScope="All India",TRUE,'RAW_AR_CONTENT'!$B169=SelectedScope),'RAW_AR_CONTENT'!Q169,"")</f>
        <v>0</v>
      </c>
      <c r="R170" s="12">
        <f>IF(IF(SelectedScope="All India",TRUE,'RAW_AR_CONTENT'!$B169=SelectedScope),'RAW_AR_CONTENT'!R169,"")</f>
        <v>0</v>
      </c>
    </row>
    <row r="171" spans="1:18" ht="15" customHeight="1" x14ac:dyDescent="0.3">
      <c r="A171" s="9">
        <f>IF(IF(SelectedScope="All India",TRUE,'RAW_AR_CONTENT'!$B170=SelectedScope),'RAW_AR_CONTENT'!A170,"")</f>
        <v>167</v>
      </c>
      <c r="B171" s="9" t="str">
        <f>IF(IF(SelectedScope="All India",TRUE,'RAW_AR_CONTENT'!$B170=SelectedScope),'RAW_AR_CONTENT'!B170,"")</f>
        <v>Haryana</v>
      </c>
      <c r="C171" s="9" t="str">
        <f>IF(IF(SelectedScope="All India",TRUE,'RAW_AR_CONTENT'!$B170=SelectedScope),'RAW_AR_CONTENT'!C170,"")</f>
        <v>Biology</v>
      </c>
      <c r="D171" s="9" t="str">
        <f>IF(IF(SelectedScope="All India",TRUE,'RAW_AR_CONTENT'!$B170=SelectedScope),'RAW_AR_CONTENT'!D170,"")</f>
        <v>Class 9</v>
      </c>
      <c r="E171" s="9" t="str">
        <f>IF(IF(SelectedScope="All India",TRUE,'RAW_AR_CONTENT'!$B170=SelectedScope),'RAW_AR_CONTENT'!E170,"")</f>
        <v>Cell Division</v>
      </c>
      <c r="F171" s="9" t="str">
        <f>IF(IF(SelectedScope="All India",TRUE,'RAW_AR_CONTENT'!$B170=SelectedScope),'RAW_AR_CONTENT'!F170,"")</f>
        <v>Interactive</v>
      </c>
      <c r="G171" s="9" t="str">
        <f>IF(IF(SelectedScope="All India",TRUE,'RAW_AR_CONTENT'!$B170=SelectedScope),'RAW_AR_CONTENT'!G170,"")</f>
        <v>Active</v>
      </c>
      <c r="H171" s="9">
        <f>IF(IF(SelectedScope="All India",TRUE,'RAW_AR_CONTENT'!$B170=SelectedScope),'RAW_AR_CONTENT'!H170,"")</f>
        <v>0</v>
      </c>
      <c r="I171" s="9">
        <f>IF(IF(SelectedScope="All India",TRUE,'RAW_AR_CONTENT'!$B170=SelectedScope),'RAW_AR_CONTENT'!I170,"")</f>
        <v>0</v>
      </c>
      <c r="J171" s="9">
        <f>IF(IF(SelectedScope="All India",TRUE,'RAW_AR_CONTENT'!$B170=SelectedScope),'RAW_AR_CONTENT'!J170,"")</f>
        <v>0</v>
      </c>
      <c r="K171" s="9">
        <f>IF(IF(SelectedScope="All India",TRUE,'RAW_AR_CONTENT'!$B170=SelectedScope),'RAW_AR_CONTENT'!K170,"")</f>
        <v>0</v>
      </c>
      <c r="L171" s="9">
        <f>IF(IF(SelectedScope="All India",TRUE,'RAW_AR_CONTENT'!$B170=SelectedScope),'RAW_AR_CONTENT'!L170,"")</f>
        <v>0</v>
      </c>
      <c r="M171" s="9">
        <f>IF(IF(SelectedScope="All India",TRUE,'RAW_AR_CONTENT'!$B170=SelectedScope),'RAW_AR_CONTENT'!M170,"")</f>
        <v>0</v>
      </c>
      <c r="N171" s="9">
        <f>IF(IF(SelectedScope="All India",TRUE,'RAW_AR_CONTENT'!$B170=SelectedScope),'RAW_AR_CONTENT'!N170,"")</f>
        <v>0</v>
      </c>
      <c r="O171" s="9">
        <f>IF(IF(SelectedScope="All India",TRUE,'RAW_AR_CONTENT'!$B170=SelectedScope),'RAW_AR_CONTENT'!O170,"")</f>
        <v>0</v>
      </c>
      <c r="P171" s="9">
        <f>IF(IF(SelectedScope="All India",TRUE,'RAW_AR_CONTENT'!$B170=SelectedScope),'RAW_AR_CONTENT'!P170,"")</f>
        <v>0</v>
      </c>
      <c r="Q171" s="9">
        <f>IF(IF(SelectedScope="All India",TRUE,'RAW_AR_CONTENT'!$B170=SelectedScope),'RAW_AR_CONTENT'!Q170,"")</f>
        <v>0</v>
      </c>
      <c r="R171" s="9">
        <f>IF(IF(SelectedScope="All India",TRUE,'RAW_AR_CONTENT'!$B170=SelectedScope),'RAW_AR_CONTENT'!R170,"")</f>
        <v>0</v>
      </c>
    </row>
    <row r="172" spans="1:18" ht="15" customHeight="1" x14ac:dyDescent="0.3">
      <c r="A172" s="12">
        <f>IF(IF(SelectedScope="All India",TRUE,'RAW_AR_CONTENT'!$B171=SelectedScope),'RAW_AR_CONTENT'!A171,"")</f>
        <v>168</v>
      </c>
      <c r="B172" s="12" t="str">
        <f>IF(IF(SelectedScope="All India",TRUE,'RAW_AR_CONTENT'!$B171=SelectedScope),'RAW_AR_CONTENT'!B171,"")</f>
        <v>Haryana</v>
      </c>
      <c r="C172" s="12" t="str">
        <f>IF(IF(SelectedScope="All India",TRUE,'RAW_AR_CONTENT'!$B171=SelectedScope),'RAW_AR_CONTENT'!C171,"")</f>
        <v>Chemistry</v>
      </c>
      <c r="D172" s="12" t="str">
        <f>IF(IF(SelectedScope="All India",TRUE,'RAW_AR_CONTENT'!$B171=SelectedScope),'RAW_AR_CONTENT'!D171,"")</f>
        <v>Class 9</v>
      </c>
      <c r="E172" s="12" t="str">
        <f>IF(IF(SelectedScope="All India",TRUE,'RAW_AR_CONTENT'!$B171=SelectedScope),'RAW_AR_CONTENT'!E171,"")</f>
        <v>Atoms and Molecules</v>
      </c>
      <c r="F172" s="12" t="str">
        <f>IF(IF(SelectedScope="All India",TRUE,'RAW_AR_CONTENT'!$B171=SelectedScope),'RAW_AR_CONTENT'!F171,"")</f>
        <v>Animated</v>
      </c>
      <c r="G172" s="12" t="str">
        <f>IF(IF(SelectedScope="All India",TRUE,'RAW_AR_CONTENT'!$B171=SelectedScope),'RAW_AR_CONTENT'!G171,"")</f>
        <v>Active</v>
      </c>
      <c r="H172" s="12">
        <f>IF(IF(SelectedScope="All India",TRUE,'RAW_AR_CONTENT'!$B171=SelectedScope),'RAW_AR_CONTENT'!H171,"")</f>
        <v>0</v>
      </c>
      <c r="I172" s="12">
        <f>IF(IF(SelectedScope="All India",TRUE,'RAW_AR_CONTENT'!$B171=SelectedScope),'RAW_AR_CONTENT'!I171,"")</f>
        <v>0</v>
      </c>
      <c r="J172" s="12">
        <f>IF(IF(SelectedScope="All India",TRUE,'RAW_AR_CONTENT'!$B171=SelectedScope),'RAW_AR_CONTENT'!J171,"")</f>
        <v>0</v>
      </c>
      <c r="K172" s="12">
        <f>IF(IF(SelectedScope="All India",TRUE,'RAW_AR_CONTENT'!$B171=SelectedScope),'RAW_AR_CONTENT'!K171,"")</f>
        <v>0</v>
      </c>
      <c r="L172" s="12">
        <f>IF(IF(SelectedScope="All India",TRUE,'RAW_AR_CONTENT'!$B171=SelectedScope),'RAW_AR_CONTENT'!L171,"")</f>
        <v>0</v>
      </c>
      <c r="M172" s="12">
        <f>IF(IF(SelectedScope="All India",TRUE,'RAW_AR_CONTENT'!$B171=SelectedScope),'RAW_AR_CONTENT'!M171,"")</f>
        <v>0</v>
      </c>
      <c r="N172" s="12">
        <f>IF(IF(SelectedScope="All India",TRUE,'RAW_AR_CONTENT'!$B171=SelectedScope),'RAW_AR_CONTENT'!N171,"")</f>
        <v>0</v>
      </c>
      <c r="O172" s="12">
        <f>IF(IF(SelectedScope="All India",TRUE,'RAW_AR_CONTENT'!$B171=SelectedScope),'RAW_AR_CONTENT'!O171,"")</f>
        <v>0</v>
      </c>
      <c r="P172" s="12">
        <f>IF(IF(SelectedScope="All India",TRUE,'RAW_AR_CONTENT'!$B171=SelectedScope),'RAW_AR_CONTENT'!P171,"")</f>
        <v>0</v>
      </c>
      <c r="Q172" s="12">
        <f>IF(IF(SelectedScope="All India",TRUE,'RAW_AR_CONTENT'!$B171=SelectedScope),'RAW_AR_CONTENT'!Q171,"")</f>
        <v>0</v>
      </c>
      <c r="R172" s="12">
        <f>IF(IF(SelectedScope="All India",TRUE,'RAW_AR_CONTENT'!$B171=SelectedScope),'RAW_AR_CONTENT'!R171,"")</f>
        <v>0</v>
      </c>
    </row>
    <row r="173" spans="1:18" ht="15" customHeight="1" x14ac:dyDescent="0.3">
      <c r="A173" s="9">
        <f>IF(IF(SelectedScope="All India",TRUE,'RAW_AR_CONTENT'!$B172=SelectedScope),'RAW_AR_CONTENT'!A172,"")</f>
        <v>169</v>
      </c>
      <c r="B173" s="9" t="str">
        <f>IF(IF(SelectedScope="All India",TRUE,'RAW_AR_CONTENT'!$B172=SelectedScope),'RAW_AR_CONTENT'!B172,"")</f>
        <v>Haryana</v>
      </c>
      <c r="C173" s="9" t="str">
        <f>IF(IF(SelectedScope="All India",TRUE,'RAW_AR_CONTENT'!$B172=SelectedScope),'RAW_AR_CONTENT'!C172,"")</f>
        <v>Biology</v>
      </c>
      <c r="D173" s="9" t="str">
        <f>IF(IF(SelectedScope="All India",TRUE,'RAW_AR_CONTENT'!$B172=SelectedScope),'RAW_AR_CONTENT'!D172,"")</f>
        <v>Class 7</v>
      </c>
      <c r="E173" s="9" t="str">
        <f>IF(IF(SelectedScope="All India",TRUE,'RAW_AR_CONTENT'!$B172=SelectedScope),'RAW_AR_CONTENT'!E172,"")</f>
        <v>Photosynthesis</v>
      </c>
      <c r="F173" s="9" t="str">
        <f>IF(IF(SelectedScope="All India",TRUE,'RAW_AR_CONTENT'!$B172=SelectedScope),'RAW_AR_CONTENT'!F172,"")</f>
        <v>Basic 3D</v>
      </c>
      <c r="G173" s="9" t="str">
        <f>IF(IF(SelectedScope="All India",TRUE,'RAW_AR_CONTENT'!$B172=SelectedScope),'RAW_AR_CONTENT'!G172,"")</f>
        <v>Active</v>
      </c>
      <c r="H173" s="9">
        <f>IF(IF(SelectedScope="All India",TRUE,'RAW_AR_CONTENT'!$B172=SelectedScope),'RAW_AR_CONTENT'!H172,"")</f>
        <v>0</v>
      </c>
      <c r="I173" s="9">
        <f>IF(IF(SelectedScope="All India",TRUE,'RAW_AR_CONTENT'!$B172=SelectedScope),'RAW_AR_CONTENT'!I172,"")</f>
        <v>0</v>
      </c>
      <c r="J173" s="9">
        <f>IF(IF(SelectedScope="All India",TRUE,'RAW_AR_CONTENT'!$B172=SelectedScope),'RAW_AR_CONTENT'!J172,"")</f>
        <v>0</v>
      </c>
      <c r="K173" s="9">
        <f>IF(IF(SelectedScope="All India",TRUE,'RAW_AR_CONTENT'!$B172=SelectedScope),'RAW_AR_CONTENT'!K172,"")</f>
        <v>0</v>
      </c>
      <c r="L173" s="9">
        <f>IF(IF(SelectedScope="All India",TRUE,'RAW_AR_CONTENT'!$B172=SelectedScope),'RAW_AR_CONTENT'!L172,"")</f>
        <v>0</v>
      </c>
      <c r="M173" s="9">
        <f>IF(IF(SelectedScope="All India",TRUE,'RAW_AR_CONTENT'!$B172=SelectedScope),'RAW_AR_CONTENT'!M172,"")</f>
        <v>0</v>
      </c>
      <c r="N173" s="9">
        <f>IF(IF(SelectedScope="All India",TRUE,'RAW_AR_CONTENT'!$B172=SelectedScope),'RAW_AR_CONTENT'!N172,"")</f>
        <v>0</v>
      </c>
      <c r="O173" s="9">
        <f>IF(IF(SelectedScope="All India",TRUE,'RAW_AR_CONTENT'!$B172=SelectedScope),'RAW_AR_CONTENT'!O172,"")</f>
        <v>0</v>
      </c>
      <c r="P173" s="9">
        <f>IF(IF(SelectedScope="All India",TRUE,'RAW_AR_CONTENT'!$B172=SelectedScope),'RAW_AR_CONTENT'!P172,"")</f>
        <v>0</v>
      </c>
      <c r="Q173" s="9">
        <f>IF(IF(SelectedScope="All India",TRUE,'RAW_AR_CONTENT'!$B172=SelectedScope),'RAW_AR_CONTENT'!Q172,"")</f>
        <v>0</v>
      </c>
      <c r="R173" s="9">
        <f>IF(IF(SelectedScope="All India",TRUE,'RAW_AR_CONTENT'!$B172=SelectedScope),'RAW_AR_CONTENT'!R172,"")</f>
        <v>0</v>
      </c>
    </row>
    <row r="174" spans="1:18" ht="15" customHeight="1" x14ac:dyDescent="0.3">
      <c r="A174" s="12">
        <f>IF(IF(SelectedScope="All India",TRUE,'RAW_AR_CONTENT'!$B173=SelectedScope),'RAW_AR_CONTENT'!A173,"")</f>
        <v>170</v>
      </c>
      <c r="B174" s="12" t="str">
        <f>IF(IF(SelectedScope="All India",TRUE,'RAW_AR_CONTENT'!$B173=SelectedScope),'RAW_AR_CONTENT'!B173,"")</f>
        <v>Haryana</v>
      </c>
      <c r="C174" s="12" t="str">
        <f>IF(IF(SelectedScope="All India",TRUE,'RAW_AR_CONTENT'!$B173=SelectedScope),'RAW_AR_CONTENT'!C173,"")</f>
        <v>Mathematics</v>
      </c>
      <c r="D174" s="12" t="str">
        <f>IF(IF(SelectedScope="All India",TRUE,'RAW_AR_CONTENT'!$B173=SelectedScope),'RAW_AR_CONTENT'!D173,"")</f>
        <v>Class 7</v>
      </c>
      <c r="E174" s="12" t="str">
        <f>IF(IF(SelectedScope="All India",TRUE,'RAW_AR_CONTENT'!$B173=SelectedScope),'RAW_AR_CONTENT'!E173,"")</f>
        <v>Fractions 3D Model</v>
      </c>
      <c r="F174" s="12" t="str">
        <f>IF(IF(SelectedScope="All India",TRUE,'RAW_AR_CONTENT'!$B173=SelectedScope),'RAW_AR_CONTENT'!F173,"")</f>
        <v>Interactive</v>
      </c>
      <c r="G174" s="12" t="str">
        <f>IF(IF(SelectedScope="All India",TRUE,'RAW_AR_CONTENT'!$B173=SelectedScope),'RAW_AR_CONTENT'!G173,"")</f>
        <v>Active</v>
      </c>
      <c r="H174" s="12">
        <f>IF(IF(SelectedScope="All India",TRUE,'RAW_AR_CONTENT'!$B173=SelectedScope),'RAW_AR_CONTENT'!H173,"")</f>
        <v>0</v>
      </c>
      <c r="I174" s="12">
        <f>IF(IF(SelectedScope="All India",TRUE,'RAW_AR_CONTENT'!$B173=SelectedScope),'RAW_AR_CONTENT'!I173,"")</f>
        <v>0</v>
      </c>
      <c r="J174" s="12">
        <f>IF(IF(SelectedScope="All India",TRUE,'RAW_AR_CONTENT'!$B173=SelectedScope),'RAW_AR_CONTENT'!J173,"")</f>
        <v>0</v>
      </c>
      <c r="K174" s="12">
        <f>IF(IF(SelectedScope="All India",TRUE,'RAW_AR_CONTENT'!$B173=SelectedScope),'RAW_AR_CONTENT'!K173,"")</f>
        <v>0</v>
      </c>
      <c r="L174" s="12">
        <f>IF(IF(SelectedScope="All India",TRUE,'RAW_AR_CONTENT'!$B173=SelectedScope),'RAW_AR_CONTENT'!L173,"")</f>
        <v>0</v>
      </c>
      <c r="M174" s="12">
        <f>IF(IF(SelectedScope="All India",TRUE,'RAW_AR_CONTENT'!$B173=SelectedScope),'RAW_AR_CONTENT'!M173,"")</f>
        <v>0</v>
      </c>
      <c r="N174" s="12">
        <f>IF(IF(SelectedScope="All India",TRUE,'RAW_AR_CONTENT'!$B173=SelectedScope),'RAW_AR_CONTENT'!N173,"")</f>
        <v>0</v>
      </c>
      <c r="O174" s="12">
        <f>IF(IF(SelectedScope="All India",TRUE,'RAW_AR_CONTENT'!$B173=SelectedScope),'RAW_AR_CONTENT'!O173,"")</f>
        <v>0</v>
      </c>
      <c r="P174" s="12">
        <f>IF(IF(SelectedScope="All India",TRUE,'RAW_AR_CONTENT'!$B173=SelectedScope),'RAW_AR_CONTENT'!P173,"")</f>
        <v>0</v>
      </c>
      <c r="Q174" s="12">
        <f>IF(IF(SelectedScope="All India",TRUE,'RAW_AR_CONTENT'!$B173=SelectedScope),'RAW_AR_CONTENT'!Q173,"")</f>
        <v>0</v>
      </c>
      <c r="R174" s="12">
        <f>IF(IF(SelectedScope="All India",TRUE,'RAW_AR_CONTENT'!$B173=SelectedScope),'RAW_AR_CONTENT'!R173,"")</f>
        <v>0</v>
      </c>
    </row>
    <row r="175" spans="1:18" ht="15" customHeight="1" x14ac:dyDescent="0.3">
      <c r="A175" s="9">
        <f>IF(IF(SelectedScope="All India",TRUE,'RAW_AR_CONTENT'!$B174=SelectedScope),'RAW_AR_CONTENT'!A174,"")</f>
        <v>171</v>
      </c>
      <c r="B175" s="9" t="str">
        <f>IF(IF(SelectedScope="All India",TRUE,'RAW_AR_CONTENT'!$B174=SelectedScope),'RAW_AR_CONTENT'!B174,"")</f>
        <v>Haryana</v>
      </c>
      <c r="C175" s="9" t="str">
        <f>IF(IF(SelectedScope="All India",TRUE,'RAW_AR_CONTENT'!$B174=SelectedScope),'RAW_AR_CONTENT'!C174,"")</f>
        <v>Mathematics</v>
      </c>
      <c r="D175" s="9" t="str">
        <f>IF(IF(SelectedScope="All India",TRUE,'RAW_AR_CONTENT'!$B174=SelectedScope),'RAW_AR_CONTENT'!D174,"")</f>
        <v>Class 10</v>
      </c>
      <c r="E175" s="9" t="str">
        <f>IF(IF(SelectedScope="All India",TRUE,'RAW_AR_CONTENT'!$B174=SelectedScope),'RAW_AR_CONTENT'!E174,"")</f>
        <v>Trigonometry 3D</v>
      </c>
      <c r="F175" s="9" t="str">
        <f>IF(IF(SelectedScope="All India",TRUE,'RAW_AR_CONTENT'!$B174=SelectedScope),'RAW_AR_CONTENT'!F174,"")</f>
        <v>Animated</v>
      </c>
      <c r="G175" s="9" t="str">
        <f>IF(IF(SelectedScope="All India",TRUE,'RAW_AR_CONTENT'!$B174=SelectedScope),'RAW_AR_CONTENT'!G174,"")</f>
        <v>Active</v>
      </c>
      <c r="H175" s="9">
        <f>IF(IF(SelectedScope="All India",TRUE,'RAW_AR_CONTENT'!$B174=SelectedScope),'RAW_AR_CONTENT'!H174,"")</f>
        <v>0</v>
      </c>
      <c r="I175" s="9">
        <f>IF(IF(SelectedScope="All India",TRUE,'RAW_AR_CONTENT'!$B174=SelectedScope),'RAW_AR_CONTENT'!I174,"")</f>
        <v>0</v>
      </c>
      <c r="J175" s="9">
        <f>IF(IF(SelectedScope="All India",TRUE,'RAW_AR_CONTENT'!$B174=SelectedScope),'RAW_AR_CONTENT'!J174,"")</f>
        <v>0</v>
      </c>
      <c r="K175" s="9">
        <f>IF(IF(SelectedScope="All India",TRUE,'RAW_AR_CONTENT'!$B174=SelectedScope),'RAW_AR_CONTENT'!K174,"")</f>
        <v>0</v>
      </c>
      <c r="L175" s="9">
        <f>IF(IF(SelectedScope="All India",TRUE,'RAW_AR_CONTENT'!$B174=SelectedScope),'RAW_AR_CONTENT'!L174,"")</f>
        <v>0</v>
      </c>
      <c r="M175" s="9">
        <f>IF(IF(SelectedScope="All India",TRUE,'RAW_AR_CONTENT'!$B174=SelectedScope),'RAW_AR_CONTENT'!M174,"")</f>
        <v>0</v>
      </c>
      <c r="N175" s="9">
        <f>IF(IF(SelectedScope="All India",TRUE,'RAW_AR_CONTENT'!$B174=SelectedScope),'RAW_AR_CONTENT'!N174,"")</f>
        <v>0</v>
      </c>
      <c r="O175" s="9">
        <f>IF(IF(SelectedScope="All India",TRUE,'RAW_AR_CONTENT'!$B174=SelectedScope),'RAW_AR_CONTENT'!O174,"")</f>
        <v>0</v>
      </c>
      <c r="P175" s="9">
        <f>IF(IF(SelectedScope="All India",TRUE,'RAW_AR_CONTENT'!$B174=SelectedScope),'RAW_AR_CONTENT'!P174,"")</f>
        <v>0</v>
      </c>
      <c r="Q175" s="9">
        <f>IF(IF(SelectedScope="All India",TRUE,'RAW_AR_CONTENT'!$B174=SelectedScope),'RAW_AR_CONTENT'!Q174,"")</f>
        <v>0</v>
      </c>
      <c r="R175" s="9">
        <f>IF(IF(SelectedScope="All India",TRUE,'RAW_AR_CONTENT'!$B174=SelectedScope),'RAW_AR_CONTENT'!R174,"")</f>
        <v>0</v>
      </c>
    </row>
    <row r="176" spans="1:18" ht="15" customHeight="1" x14ac:dyDescent="0.3">
      <c r="A176" s="12">
        <f>IF(IF(SelectedScope="All India",TRUE,'RAW_AR_CONTENT'!$B175=SelectedScope),'RAW_AR_CONTENT'!A175,"")</f>
        <v>172</v>
      </c>
      <c r="B176" s="12" t="str">
        <f>IF(IF(SelectedScope="All India",TRUE,'RAW_AR_CONTENT'!$B175=SelectedScope),'RAW_AR_CONTENT'!B175,"")</f>
        <v>Haryana</v>
      </c>
      <c r="C176" s="12" t="str">
        <f>IF(IF(SelectedScope="All India",TRUE,'RAW_AR_CONTENT'!$B175=SelectedScope),'RAW_AR_CONTENT'!C175,"")</f>
        <v>History</v>
      </c>
      <c r="D176" s="12" t="str">
        <f>IF(IF(SelectedScope="All India",TRUE,'RAW_AR_CONTENT'!$B175=SelectedScope),'RAW_AR_CONTENT'!D175,"")</f>
        <v>Class 10</v>
      </c>
      <c r="E176" s="12" t="str">
        <f>IF(IF(SelectedScope="All India",TRUE,'RAW_AR_CONTENT'!$B175=SelectedScope),'RAW_AR_CONTENT'!E175,"")</f>
        <v>Mughal Empire AR</v>
      </c>
      <c r="F176" s="12" t="str">
        <f>IF(IF(SelectedScope="All India",TRUE,'RAW_AR_CONTENT'!$B175=SelectedScope),'RAW_AR_CONTENT'!F175,"")</f>
        <v>Basic 3D</v>
      </c>
      <c r="G176" s="12" t="str">
        <f>IF(IF(SelectedScope="All India",TRUE,'RAW_AR_CONTENT'!$B175=SelectedScope),'RAW_AR_CONTENT'!G175,"")</f>
        <v>Active</v>
      </c>
      <c r="H176" s="12">
        <f>IF(IF(SelectedScope="All India",TRUE,'RAW_AR_CONTENT'!$B175=SelectedScope),'RAW_AR_CONTENT'!H175,"")</f>
        <v>0</v>
      </c>
      <c r="I176" s="12">
        <f>IF(IF(SelectedScope="All India",TRUE,'RAW_AR_CONTENT'!$B175=SelectedScope),'RAW_AR_CONTENT'!I175,"")</f>
        <v>0</v>
      </c>
      <c r="J176" s="12">
        <f>IF(IF(SelectedScope="All India",TRUE,'RAW_AR_CONTENT'!$B175=SelectedScope),'RAW_AR_CONTENT'!J175,"")</f>
        <v>0</v>
      </c>
      <c r="K176" s="12">
        <f>IF(IF(SelectedScope="All India",TRUE,'RAW_AR_CONTENT'!$B175=SelectedScope),'RAW_AR_CONTENT'!K175,"")</f>
        <v>0</v>
      </c>
      <c r="L176" s="12">
        <f>IF(IF(SelectedScope="All India",TRUE,'RAW_AR_CONTENT'!$B175=SelectedScope),'RAW_AR_CONTENT'!L175,"")</f>
        <v>0</v>
      </c>
      <c r="M176" s="12">
        <f>IF(IF(SelectedScope="All India",TRUE,'RAW_AR_CONTENT'!$B175=SelectedScope),'RAW_AR_CONTENT'!M175,"")</f>
        <v>0</v>
      </c>
      <c r="N176" s="12">
        <f>IF(IF(SelectedScope="All India",TRUE,'RAW_AR_CONTENT'!$B175=SelectedScope),'RAW_AR_CONTENT'!N175,"")</f>
        <v>0</v>
      </c>
      <c r="O176" s="12">
        <f>IF(IF(SelectedScope="All India",TRUE,'RAW_AR_CONTENT'!$B175=SelectedScope),'RAW_AR_CONTENT'!O175,"")</f>
        <v>0</v>
      </c>
      <c r="P176" s="12">
        <f>IF(IF(SelectedScope="All India",TRUE,'RAW_AR_CONTENT'!$B175=SelectedScope),'RAW_AR_CONTENT'!P175,"")</f>
        <v>0</v>
      </c>
      <c r="Q176" s="12">
        <f>IF(IF(SelectedScope="All India",TRUE,'RAW_AR_CONTENT'!$B175=SelectedScope),'RAW_AR_CONTENT'!Q175,"")</f>
        <v>0</v>
      </c>
      <c r="R176" s="12">
        <f>IF(IF(SelectedScope="All India",TRUE,'RAW_AR_CONTENT'!$B175=SelectedScope),'RAW_AR_CONTENT'!R175,"")</f>
        <v>0</v>
      </c>
    </row>
    <row r="177" spans="1:18" ht="15" customHeight="1" x14ac:dyDescent="0.3">
      <c r="A177" s="9">
        <f>IF(IF(SelectedScope="All India",TRUE,'RAW_AR_CONTENT'!$B176=SelectedScope),'RAW_AR_CONTENT'!A176,"")</f>
        <v>173</v>
      </c>
      <c r="B177" s="9" t="str">
        <f>IF(IF(SelectedScope="All India",TRUE,'RAW_AR_CONTENT'!$B176=SelectedScope),'RAW_AR_CONTENT'!B176,"")</f>
        <v>Haryana</v>
      </c>
      <c r="C177" s="9" t="str">
        <f>IF(IF(SelectedScope="All India",TRUE,'RAW_AR_CONTENT'!$B176=SelectedScope),'RAW_AR_CONTENT'!C176,"")</f>
        <v>Geography</v>
      </c>
      <c r="D177" s="9" t="str">
        <f>IF(IF(SelectedScope="All India",TRUE,'RAW_AR_CONTENT'!$B176=SelectedScope),'RAW_AR_CONTENT'!D176,"")</f>
        <v>Class 6</v>
      </c>
      <c r="E177" s="9" t="str">
        <f>IF(IF(SelectedScope="All India",TRUE,'RAW_AR_CONTENT'!$B176=SelectedScope),'RAW_AR_CONTENT'!E176,"")</f>
        <v>Water Cycle Simulation</v>
      </c>
      <c r="F177" s="9" t="str">
        <f>IF(IF(SelectedScope="All India",TRUE,'RAW_AR_CONTENT'!$B176=SelectedScope),'RAW_AR_CONTENT'!F176,"")</f>
        <v>Animated</v>
      </c>
      <c r="G177" s="9" t="str">
        <f>IF(IF(SelectedScope="All India",TRUE,'RAW_AR_CONTENT'!$B176=SelectedScope),'RAW_AR_CONTENT'!G176,"")</f>
        <v>Active</v>
      </c>
      <c r="H177" s="9">
        <f>IF(IF(SelectedScope="All India",TRUE,'RAW_AR_CONTENT'!$B176=SelectedScope),'RAW_AR_CONTENT'!H176,"")</f>
        <v>0</v>
      </c>
      <c r="I177" s="9">
        <f>IF(IF(SelectedScope="All India",TRUE,'RAW_AR_CONTENT'!$B176=SelectedScope),'RAW_AR_CONTENT'!I176,"")</f>
        <v>0</v>
      </c>
      <c r="J177" s="9">
        <f>IF(IF(SelectedScope="All India",TRUE,'RAW_AR_CONTENT'!$B176=SelectedScope),'RAW_AR_CONTENT'!J176,"")</f>
        <v>0</v>
      </c>
      <c r="K177" s="9">
        <f>IF(IF(SelectedScope="All India",TRUE,'RAW_AR_CONTENT'!$B176=SelectedScope),'RAW_AR_CONTENT'!K176,"")</f>
        <v>0</v>
      </c>
      <c r="L177" s="9">
        <f>IF(IF(SelectedScope="All India",TRUE,'RAW_AR_CONTENT'!$B176=SelectedScope),'RAW_AR_CONTENT'!L176,"")</f>
        <v>0</v>
      </c>
      <c r="M177" s="9">
        <f>IF(IF(SelectedScope="All India",TRUE,'RAW_AR_CONTENT'!$B176=SelectedScope),'RAW_AR_CONTENT'!M176,"")</f>
        <v>0</v>
      </c>
      <c r="N177" s="9">
        <f>IF(IF(SelectedScope="All India",TRUE,'RAW_AR_CONTENT'!$B176=SelectedScope),'RAW_AR_CONTENT'!N176,"")</f>
        <v>0</v>
      </c>
      <c r="O177" s="9">
        <f>IF(IF(SelectedScope="All India",TRUE,'RAW_AR_CONTENT'!$B176=SelectedScope),'RAW_AR_CONTENT'!O176,"")</f>
        <v>0</v>
      </c>
      <c r="P177" s="9">
        <f>IF(IF(SelectedScope="All India",TRUE,'RAW_AR_CONTENT'!$B176=SelectedScope),'RAW_AR_CONTENT'!P176,"")</f>
        <v>0</v>
      </c>
      <c r="Q177" s="9">
        <f>IF(IF(SelectedScope="All India",TRUE,'RAW_AR_CONTENT'!$B176=SelectedScope),'RAW_AR_CONTENT'!Q176,"")</f>
        <v>0</v>
      </c>
      <c r="R177" s="9">
        <f>IF(IF(SelectedScope="All India",TRUE,'RAW_AR_CONTENT'!$B176=SelectedScope),'RAW_AR_CONTENT'!R176,"")</f>
        <v>0</v>
      </c>
    </row>
    <row r="178" spans="1:18" ht="15" customHeight="1" x14ac:dyDescent="0.3">
      <c r="A178" s="12">
        <f>IF(IF(SelectedScope="All India",TRUE,'RAW_AR_CONTENT'!$B177=SelectedScope),'RAW_AR_CONTENT'!A177,"")</f>
        <v>174</v>
      </c>
      <c r="B178" s="12" t="str">
        <f>IF(IF(SelectedScope="All India",TRUE,'RAW_AR_CONTENT'!$B177=SelectedScope),'RAW_AR_CONTENT'!B177,"")</f>
        <v>Haryana</v>
      </c>
      <c r="C178" s="12" t="str">
        <f>IF(IF(SelectedScope="All India",TRUE,'RAW_AR_CONTENT'!$B177=SelectedScope),'RAW_AR_CONTENT'!C177,"")</f>
        <v>Biology</v>
      </c>
      <c r="D178" s="12" t="str">
        <f>IF(IF(SelectedScope="All India",TRUE,'RAW_AR_CONTENT'!$B177=SelectedScope),'RAW_AR_CONTENT'!D177,"")</f>
        <v>Class 11</v>
      </c>
      <c r="E178" s="12" t="str">
        <f>IF(IF(SelectedScope="All India",TRUE,'RAW_AR_CONTENT'!$B177=SelectedScope),'RAW_AR_CONTENT'!E177,"")</f>
        <v>Human Anatomy AR</v>
      </c>
      <c r="F178" s="12" t="str">
        <f>IF(IF(SelectedScope="All India",TRUE,'RAW_AR_CONTENT'!$B177=SelectedScope),'RAW_AR_CONTENT'!F177,"")</f>
        <v>Fully Immersive</v>
      </c>
      <c r="G178" s="12" t="str">
        <f>IF(IF(SelectedScope="All India",TRUE,'RAW_AR_CONTENT'!$B177=SelectedScope),'RAW_AR_CONTENT'!G177,"")</f>
        <v>Active</v>
      </c>
      <c r="H178" s="12">
        <f>IF(IF(SelectedScope="All India",TRUE,'RAW_AR_CONTENT'!$B177=SelectedScope),'RAW_AR_CONTENT'!H177,"")</f>
        <v>0</v>
      </c>
      <c r="I178" s="12">
        <f>IF(IF(SelectedScope="All India",TRUE,'RAW_AR_CONTENT'!$B177=SelectedScope),'RAW_AR_CONTENT'!I177,"")</f>
        <v>0</v>
      </c>
      <c r="J178" s="12">
        <f>IF(IF(SelectedScope="All India",TRUE,'RAW_AR_CONTENT'!$B177=SelectedScope),'RAW_AR_CONTENT'!J177,"")</f>
        <v>0</v>
      </c>
      <c r="K178" s="12">
        <f>IF(IF(SelectedScope="All India",TRUE,'RAW_AR_CONTENT'!$B177=SelectedScope),'RAW_AR_CONTENT'!K177,"")</f>
        <v>0</v>
      </c>
      <c r="L178" s="12">
        <f>IF(IF(SelectedScope="All India",TRUE,'RAW_AR_CONTENT'!$B177=SelectedScope),'RAW_AR_CONTENT'!L177,"")</f>
        <v>0</v>
      </c>
      <c r="M178" s="12">
        <f>IF(IF(SelectedScope="All India",TRUE,'RAW_AR_CONTENT'!$B177=SelectedScope),'RAW_AR_CONTENT'!M177,"")</f>
        <v>0</v>
      </c>
      <c r="N178" s="12">
        <f>IF(IF(SelectedScope="All India",TRUE,'RAW_AR_CONTENT'!$B177=SelectedScope),'RAW_AR_CONTENT'!N177,"")</f>
        <v>0</v>
      </c>
      <c r="O178" s="12">
        <f>IF(IF(SelectedScope="All India",TRUE,'RAW_AR_CONTENT'!$B177=SelectedScope),'RAW_AR_CONTENT'!O177,"")</f>
        <v>0</v>
      </c>
      <c r="P178" s="12">
        <f>IF(IF(SelectedScope="All India",TRUE,'RAW_AR_CONTENT'!$B177=SelectedScope),'RAW_AR_CONTENT'!P177,"")</f>
        <v>0</v>
      </c>
      <c r="Q178" s="12">
        <f>IF(IF(SelectedScope="All India",TRUE,'RAW_AR_CONTENT'!$B177=SelectedScope),'RAW_AR_CONTENT'!Q177,"")</f>
        <v>0</v>
      </c>
      <c r="R178" s="12">
        <f>IF(IF(SelectedScope="All India",TRUE,'RAW_AR_CONTENT'!$B177=SelectedScope),'RAW_AR_CONTENT'!R177,"")</f>
        <v>0</v>
      </c>
    </row>
    <row r="179" spans="1:18" ht="15" customHeight="1" x14ac:dyDescent="0.3">
      <c r="A179" s="9">
        <f>IF(IF(SelectedScope="All India",TRUE,'RAW_AR_CONTENT'!$B178=SelectedScope),'RAW_AR_CONTENT'!A178,"")</f>
        <v>175</v>
      </c>
      <c r="B179" s="9" t="str">
        <f>IF(IF(SelectedScope="All India",TRUE,'RAW_AR_CONTENT'!$B178=SelectedScope),'RAW_AR_CONTENT'!B178,"")</f>
        <v>Haryana</v>
      </c>
      <c r="C179" s="9" t="str">
        <f>IF(IF(SelectedScope="All India",TRUE,'RAW_AR_CONTENT'!$B178=SelectedScope),'RAW_AR_CONTENT'!C178,"")</f>
        <v>Physics</v>
      </c>
      <c r="D179" s="9" t="str">
        <f>IF(IF(SelectedScope="All India",TRUE,'RAW_AR_CONTENT'!$B178=SelectedScope),'RAW_AR_CONTENT'!D178,"")</f>
        <v>Class 9</v>
      </c>
      <c r="E179" s="9" t="str">
        <f>IF(IF(SelectedScope="All India",TRUE,'RAW_AR_CONTENT'!$B178=SelectedScope),'RAW_AR_CONTENT'!E178,"")</f>
        <v>Laws of Motion</v>
      </c>
      <c r="F179" s="9" t="str">
        <f>IF(IF(SelectedScope="All India",TRUE,'RAW_AR_CONTENT'!$B178=SelectedScope),'RAW_AR_CONTENT'!F178,"")</f>
        <v>Interactive</v>
      </c>
      <c r="G179" s="9" t="str">
        <f>IF(IF(SelectedScope="All India",TRUE,'RAW_AR_CONTENT'!$B178=SelectedScope),'RAW_AR_CONTENT'!G178,"")</f>
        <v>Active</v>
      </c>
      <c r="H179" s="9">
        <f>IF(IF(SelectedScope="All India",TRUE,'RAW_AR_CONTENT'!$B178=SelectedScope),'RAW_AR_CONTENT'!H178,"")</f>
        <v>0</v>
      </c>
      <c r="I179" s="9">
        <f>IF(IF(SelectedScope="All India",TRUE,'RAW_AR_CONTENT'!$B178=SelectedScope),'RAW_AR_CONTENT'!I178,"")</f>
        <v>0</v>
      </c>
      <c r="J179" s="9">
        <f>IF(IF(SelectedScope="All India",TRUE,'RAW_AR_CONTENT'!$B178=SelectedScope),'RAW_AR_CONTENT'!J178,"")</f>
        <v>0</v>
      </c>
      <c r="K179" s="9">
        <f>IF(IF(SelectedScope="All India",TRUE,'RAW_AR_CONTENT'!$B178=SelectedScope),'RAW_AR_CONTENT'!K178,"")</f>
        <v>0</v>
      </c>
      <c r="L179" s="9">
        <f>IF(IF(SelectedScope="All India",TRUE,'RAW_AR_CONTENT'!$B178=SelectedScope),'RAW_AR_CONTENT'!L178,"")</f>
        <v>0</v>
      </c>
      <c r="M179" s="9">
        <f>IF(IF(SelectedScope="All India",TRUE,'RAW_AR_CONTENT'!$B178=SelectedScope),'RAW_AR_CONTENT'!M178,"")</f>
        <v>0</v>
      </c>
      <c r="N179" s="9">
        <f>IF(IF(SelectedScope="All India",TRUE,'RAW_AR_CONTENT'!$B178=SelectedScope),'RAW_AR_CONTENT'!N178,"")</f>
        <v>0</v>
      </c>
      <c r="O179" s="9">
        <f>IF(IF(SelectedScope="All India",TRUE,'RAW_AR_CONTENT'!$B178=SelectedScope),'RAW_AR_CONTENT'!O178,"")</f>
        <v>0</v>
      </c>
      <c r="P179" s="9">
        <f>IF(IF(SelectedScope="All India",TRUE,'RAW_AR_CONTENT'!$B178=SelectedScope),'RAW_AR_CONTENT'!P178,"")</f>
        <v>0</v>
      </c>
      <c r="Q179" s="9">
        <f>IF(IF(SelectedScope="All India",TRUE,'RAW_AR_CONTENT'!$B178=SelectedScope),'RAW_AR_CONTENT'!Q178,"")</f>
        <v>0</v>
      </c>
      <c r="R179" s="9">
        <f>IF(IF(SelectedScope="All India",TRUE,'RAW_AR_CONTENT'!$B178=SelectedScope),'RAW_AR_CONTENT'!R178,"")</f>
        <v>0</v>
      </c>
    </row>
    <row r="180" spans="1:18" ht="15" customHeight="1" x14ac:dyDescent="0.3">
      <c r="A180" s="12">
        <f>IF(IF(SelectedScope="All India",TRUE,'RAW_AR_CONTENT'!$B179=SelectedScope),'RAW_AR_CONTENT'!A179,"")</f>
        <v>176</v>
      </c>
      <c r="B180" s="12" t="str">
        <f>IF(IF(SelectedScope="All India",TRUE,'RAW_AR_CONTENT'!$B179=SelectedScope),'RAW_AR_CONTENT'!B179,"")</f>
        <v>Haryana</v>
      </c>
      <c r="C180" s="12" t="str">
        <f>IF(IF(SelectedScope="All India",TRUE,'RAW_AR_CONTENT'!$B179=SelectedScope),'RAW_AR_CONTENT'!C179,"")</f>
        <v>Chemistry</v>
      </c>
      <c r="D180" s="12" t="str">
        <f>IF(IF(SelectedScope="All India",TRUE,'RAW_AR_CONTENT'!$B179=SelectedScope),'RAW_AR_CONTENT'!D179,"")</f>
        <v>Class 11</v>
      </c>
      <c r="E180" s="12" t="str">
        <f>IF(IF(SelectedScope="All India",TRUE,'RAW_AR_CONTENT'!$B179=SelectedScope),'RAW_AR_CONTENT'!E179,"")</f>
        <v>Periodic Table 3D</v>
      </c>
      <c r="F180" s="12" t="str">
        <f>IF(IF(SelectedScope="All India",TRUE,'RAW_AR_CONTENT'!$B179=SelectedScope),'RAW_AR_CONTENT'!F179,"")</f>
        <v>Interactive</v>
      </c>
      <c r="G180" s="12" t="str">
        <f>IF(IF(SelectedScope="All India",TRUE,'RAW_AR_CONTENT'!$B179=SelectedScope),'RAW_AR_CONTENT'!G179,"")</f>
        <v>Active</v>
      </c>
      <c r="H180" s="12">
        <f>IF(IF(SelectedScope="All India",TRUE,'RAW_AR_CONTENT'!$B179=SelectedScope),'RAW_AR_CONTENT'!H179,"")</f>
        <v>0</v>
      </c>
      <c r="I180" s="12">
        <f>IF(IF(SelectedScope="All India",TRUE,'RAW_AR_CONTENT'!$B179=SelectedScope),'RAW_AR_CONTENT'!I179,"")</f>
        <v>0</v>
      </c>
      <c r="J180" s="12">
        <f>IF(IF(SelectedScope="All India",TRUE,'RAW_AR_CONTENT'!$B179=SelectedScope),'RAW_AR_CONTENT'!J179,"")</f>
        <v>0</v>
      </c>
      <c r="K180" s="12">
        <f>IF(IF(SelectedScope="All India",TRUE,'RAW_AR_CONTENT'!$B179=SelectedScope),'RAW_AR_CONTENT'!K179,"")</f>
        <v>0</v>
      </c>
      <c r="L180" s="12">
        <f>IF(IF(SelectedScope="All India",TRUE,'RAW_AR_CONTENT'!$B179=SelectedScope),'RAW_AR_CONTENT'!L179,"")</f>
        <v>0</v>
      </c>
      <c r="M180" s="12">
        <f>IF(IF(SelectedScope="All India",TRUE,'RAW_AR_CONTENT'!$B179=SelectedScope),'RAW_AR_CONTENT'!M179,"")</f>
        <v>0</v>
      </c>
      <c r="N180" s="12">
        <f>IF(IF(SelectedScope="All India",TRUE,'RAW_AR_CONTENT'!$B179=SelectedScope),'RAW_AR_CONTENT'!N179,"")</f>
        <v>0</v>
      </c>
      <c r="O180" s="12">
        <f>IF(IF(SelectedScope="All India",TRUE,'RAW_AR_CONTENT'!$B179=SelectedScope),'RAW_AR_CONTENT'!O179,"")</f>
        <v>0</v>
      </c>
      <c r="P180" s="12">
        <f>IF(IF(SelectedScope="All India",TRUE,'RAW_AR_CONTENT'!$B179=SelectedScope),'RAW_AR_CONTENT'!P179,"")</f>
        <v>0</v>
      </c>
      <c r="Q180" s="12">
        <f>IF(IF(SelectedScope="All India",TRUE,'RAW_AR_CONTENT'!$B179=SelectedScope),'RAW_AR_CONTENT'!Q179,"")</f>
        <v>0</v>
      </c>
      <c r="R180" s="12">
        <f>IF(IF(SelectedScope="All India",TRUE,'RAW_AR_CONTENT'!$B179=SelectedScope),'RAW_AR_CONTENT'!R179,"")</f>
        <v>0</v>
      </c>
    </row>
    <row r="181" spans="1:18" ht="15" customHeight="1" x14ac:dyDescent="0.3">
      <c r="A181" s="9">
        <f>IF(IF(SelectedScope="All India",TRUE,'RAW_AR_CONTENT'!$B180=SelectedScope),'RAW_AR_CONTENT'!A180,"")</f>
        <v>177</v>
      </c>
      <c r="B181" s="9" t="str">
        <f>IF(IF(SelectedScope="All India",TRUE,'RAW_AR_CONTENT'!$B180=SelectedScope),'RAW_AR_CONTENT'!B180,"")</f>
        <v>Haryana</v>
      </c>
      <c r="C181" s="9" t="str">
        <f>IF(IF(SelectedScope="All India",TRUE,'RAW_AR_CONTENT'!$B180=SelectedScope),'RAW_AR_CONTENT'!C180,"")</f>
        <v>Physics</v>
      </c>
      <c r="D181" s="9" t="str">
        <f>IF(IF(SelectedScope="All India",TRUE,'RAW_AR_CONTENT'!$B180=SelectedScope),'RAW_AR_CONTENT'!D180,"")</f>
        <v>Class 10</v>
      </c>
      <c r="E181" s="9" t="str">
        <f>IF(IF(SelectedScope="All India",TRUE,'RAW_AR_CONTENT'!$B180=SelectedScope),'RAW_AR_CONTENT'!E180,"")</f>
        <v>Electricity Circuits</v>
      </c>
      <c r="F181" s="9" t="str">
        <f>IF(IF(SelectedScope="All India",TRUE,'RAW_AR_CONTENT'!$B180=SelectedScope),'RAW_AR_CONTENT'!F180,"")</f>
        <v>Interactive</v>
      </c>
      <c r="G181" s="9" t="str">
        <f>IF(IF(SelectedScope="All India",TRUE,'RAW_AR_CONTENT'!$B180=SelectedScope),'RAW_AR_CONTENT'!G180,"")</f>
        <v>Active</v>
      </c>
      <c r="H181" s="9">
        <f>IF(IF(SelectedScope="All India",TRUE,'RAW_AR_CONTENT'!$B180=SelectedScope),'RAW_AR_CONTENT'!H180,"")</f>
        <v>0</v>
      </c>
      <c r="I181" s="9">
        <f>IF(IF(SelectedScope="All India",TRUE,'RAW_AR_CONTENT'!$B180=SelectedScope),'RAW_AR_CONTENT'!I180,"")</f>
        <v>0</v>
      </c>
      <c r="J181" s="9">
        <f>IF(IF(SelectedScope="All India",TRUE,'RAW_AR_CONTENT'!$B180=SelectedScope),'RAW_AR_CONTENT'!J180,"")</f>
        <v>0</v>
      </c>
      <c r="K181" s="9">
        <f>IF(IF(SelectedScope="All India",TRUE,'RAW_AR_CONTENT'!$B180=SelectedScope),'RAW_AR_CONTENT'!K180,"")</f>
        <v>0</v>
      </c>
      <c r="L181" s="9">
        <f>IF(IF(SelectedScope="All India",TRUE,'RAW_AR_CONTENT'!$B180=SelectedScope),'RAW_AR_CONTENT'!L180,"")</f>
        <v>0</v>
      </c>
      <c r="M181" s="9">
        <f>IF(IF(SelectedScope="All India",TRUE,'RAW_AR_CONTENT'!$B180=SelectedScope),'RAW_AR_CONTENT'!M180,"")</f>
        <v>0</v>
      </c>
      <c r="N181" s="9">
        <f>IF(IF(SelectedScope="All India",TRUE,'RAW_AR_CONTENT'!$B180=SelectedScope),'RAW_AR_CONTENT'!N180,"")</f>
        <v>0</v>
      </c>
      <c r="O181" s="9">
        <f>IF(IF(SelectedScope="All India",TRUE,'RAW_AR_CONTENT'!$B180=SelectedScope),'RAW_AR_CONTENT'!O180,"")</f>
        <v>0</v>
      </c>
      <c r="P181" s="9">
        <f>IF(IF(SelectedScope="All India",TRUE,'RAW_AR_CONTENT'!$B180=SelectedScope),'RAW_AR_CONTENT'!P180,"")</f>
        <v>0</v>
      </c>
      <c r="Q181" s="9">
        <f>IF(IF(SelectedScope="All India",TRUE,'RAW_AR_CONTENT'!$B180=SelectedScope),'RAW_AR_CONTENT'!Q180,"")</f>
        <v>0</v>
      </c>
      <c r="R181" s="9">
        <f>IF(IF(SelectedScope="All India",TRUE,'RAW_AR_CONTENT'!$B180=SelectedScope),'RAW_AR_CONTENT'!R180,"")</f>
        <v>0</v>
      </c>
    </row>
    <row r="182" spans="1:18" ht="15" customHeight="1" x14ac:dyDescent="0.3">
      <c r="A182" s="12">
        <f>IF(IF(SelectedScope="All India",TRUE,'RAW_AR_CONTENT'!$B181=SelectedScope),'RAW_AR_CONTENT'!A181,"")</f>
        <v>178</v>
      </c>
      <c r="B182" s="12" t="str">
        <f>IF(IF(SelectedScope="All India",TRUE,'RAW_AR_CONTENT'!$B181=SelectedScope),'RAW_AR_CONTENT'!B181,"")</f>
        <v>Haryana</v>
      </c>
      <c r="C182" s="12" t="str">
        <f>IF(IF(SelectedScope="All India",TRUE,'RAW_AR_CONTENT'!$B181=SelectedScope),'RAW_AR_CONTENT'!C181,"")</f>
        <v>Civics</v>
      </c>
      <c r="D182" s="12" t="str">
        <f>IF(IF(SelectedScope="All India",TRUE,'RAW_AR_CONTENT'!$B181=SelectedScope),'RAW_AR_CONTENT'!D181,"")</f>
        <v>Class 9</v>
      </c>
      <c r="E182" s="12" t="str">
        <f>IF(IF(SelectedScope="All India",TRUE,'RAW_AR_CONTENT'!$B181=SelectedScope),'RAW_AR_CONTENT'!E181,"")</f>
        <v>Indian Constitution</v>
      </c>
      <c r="F182" s="12" t="str">
        <f>IF(IF(SelectedScope="All India",TRUE,'RAW_AR_CONTENT'!$B181=SelectedScope),'RAW_AR_CONTENT'!F181,"")</f>
        <v>Basic 3D</v>
      </c>
      <c r="G182" s="12" t="str">
        <f>IF(IF(SelectedScope="All India",TRUE,'RAW_AR_CONTENT'!$B181=SelectedScope),'RAW_AR_CONTENT'!G181,"")</f>
        <v>Active</v>
      </c>
      <c r="H182" s="12">
        <f>IF(IF(SelectedScope="All India",TRUE,'RAW_AR_CONTENT'!$B181=SelectedScope),'RAW_AR_CONTENT'!H181,"")</f>
        <v>0</v>
      </c>
      <c r="I182" s="12">
        <f>IF(IF(SelectedScope="All India",TRUE,'RAW_AR_CONTENT'!$B181=SelectedScope),'RAW_AR_CONTENT'!I181,"")</f>
        <v>0</v>
      </c>
      <c r="J182" s="12">
        <f>IF(IF(SelectedScope="All India",TRUE,'RAW_AR_CONTENT'!$B181=SelectedScope),'RAW_AR_CONTENT'!J181,"")</f>
        <v>0</v>
      </c>
      <c r="K182" s="12">
        <f>IF(IF(SelectedScope="All India",TRUE,'RAW_AR_CONTENT'!$B181=SelectedScope),'RAW_AR_CONTENT'!K181,"")</f>
        <v>0</v>
      </c>
      <c r="L182" s="12">
        <f>IF(IF(SelectedScope="All India",TRUE,'RAW_AR_CONTENT'!$B181=SelectedScope),'RAW_AR_CONTENT'!L181,"")</f>
        <v>0</v>
      </c>
      <c r="M182" s="12">
        <f>IF(IF(SelectedScope="All India",TRUE,'RAW_AR_CONTENT'!$B181=SelectedScope),'RAW_AR_CONTENT'!M181,"")</f>
        <v>0</v>
      </c>
      <c r="N182" s="12">
        <f>IF(IF(SelectedScope="All India",TRUE,'RAW_AR_CONTENT'!$B181=SelectedScope),'RAW_AR_CONTENT'!N181,"")</f>
        <v>0</v>
      </c>
      <c r="O182" s="12">
        <f>IF(IF(SelectedScope="All India",TRUE,'RAW_AR_CONTENT'!$B181=SelectedScope),'RAW_AR_CONTENT'!O181,"")</f>
        <v>0</v>
      </c>
      <c r="P182" s="12">
        <f>IF(IF(SelectedScope="All India",TRUE,'RAW_AR_CONTENT'!$B181=SelectedScope),'RAW_AR_CONTENT'!P181,"")</f>
        <v>0</v>
      </c>
      <c r="Q182" s="12">
        <f>IF(IF(SelectedScope="All India",TRUE,'RAW_AR_CONTENT'!$B181=SelectedScope),'RAW_AR_CONTENT'!Q181,"")</f>
        <v>0</v>
      </c>
      <c r="R182" s="12">
        <f>IF(IF(SelectedScope="All India",TRUE,'RAW_AR_CONTENT'!$B181=SelectedScope),'RAW_AR_CONTENT'!R181,"")</f>
        <v>0</v>
      </c>
    </row>
    <row r="183" spans="1:18" ht="15" customHeight="1" x14ac:dyDescent="0.3">
      <c r="A183" s="9">
        <f>IF(IF(SelectedScope="All India",TRUE,'RAW_AR_CONTENT'!$B182=SelectedScope),'RAW_AR_CONTENT'!A182,"")</f>
        <v>179</v>
      </c>
      <c r="B183" s="9" t="str">
        <f>IF(IF(SelectedScope="All India",TRUE,'RAW_AR_CONTENT'!$B182=SelectedScope),'RAW_AR_CONTENT'!B182,"")</f>
        <v>Haryana</v>
      </c>
      <c r="C183" s="9" t="str">
        <f>IF(IF(SelectedScope="All India",TRUE,'RAW_AR_CONTENT'!$B182=SelectedScope),'RAW_AR_CONTENT'!C182,"")</f>
        <v>Environmental Science</v>
      </c>
      <c r="D183" s="9" t="str">
        <f>IF(IF(SelectedScope="All India",TRUE,'RAW_AR_CONTENT'!$B182=SelectedScope),'RAW_AR_CONTENT'!D182,"")</f>
        <v>Class 6</v>
      </c>
      <c r="E183" s="9" t="str">
        <f>IF(IF(SelectedScope="All India",TRUE,'RAW_AR_CONTENT'!$B182=SelectedScope),'RAW_AR_CONTENT'!E182,"")</f>
        <v>Food Chain</v>
      </c>
      <c r="F183" s="9" t="str">
        <f>IF(IF(SelectedScope="All India",TRUE,'RAW_AR_CONTENT'!$B182=SelectedScope),'RAW_AR_CONTENT'!F182,"")</f>
        <v>Animated</v>
      </c>
      <c r="G183" s="9" t="str">
        <f>IF(IF(SelectedScope="All India",TRUE,'RAW_AR_CONTENT'!$B182=SelectedScope),'RAW_AR_CONTENT'!G182,"")</f>
        <v>Active</v>
      </c>
      <c r="H183" s="9">
        <f>IF(IF(SelectedScope="All India",TRUE,'RAW_AR_CONTENT'!$B182=SelectedScope),'RAW_AR_CONTENT'!H182,"")</f>
        <v>0</v>
      </c>
      <c r="I183" s="9">
        <f>IF(IF(SelectedScope="All India",TRUE,'RAW_AR_CONTENT'!$B182=SelectedScope),'RAW_AR_CONTENT'!I182,"")</f>
        <v>0</v>
      </c>
      <c r="J183" s="9">
        <f>IF(IF(SelectedScope="All India",TRUE,'RAW_AR_CONTENT'!$B182=SelectedScope),'RAW_AR_CONTENT'!J182,"")</f>
        <v>0</v>
      </c>
      <c r="K183" s="9">
        <f>IF(IF(SelectedScope="All India",TRUE,'RAW_AR_CONTENT'!$B182=SelectedScope),'RAW_AR_CONTENT'!K182,"")</f>
        <v>0</v>
      </c>
      <c r="L183" s="9">
        <f>IF(IF(SelectedScope="All India",TRUE,'RAW_AR_CONTENT'!$B182=SelectedScope),'RAW_AR_CONTENT'!L182,"")</f>
        <v>0</v>
      </c>
      <c r="M183" s="9">
        <f>IF(IF(SelectedScope="All India",TRUE,'RAW_AR_CONTENT'!$B182=SelectedScope),'RAW_AR_CONTENT'!M182,"")</f>
        <v>0</v>
      </c>
      <c r="N183" s="9">
        <f>IF(IF(SelectedScope="All India",TRUE,'RAW_AR_CONTENT'!$B182=SelectedScope),'RAW_AR_CONTENT'!N182,"")</f>
        <v>0</v>
      </c>
      <c r="O183" s="9">
        <f>IF(IF(SelectedScope="All India",TRUE,'RAW_AR_CONTENT'!$B182=SelectedScope),'RAW_AR_CONTENT'!O182,"")</f>
        <v>0</v>
      </c>
      <c r="P183" s="9">
        <f>IF(IF(SelectedScope="All India",TRUE,'RAW_AR_CONTENT'!$B182=SelectedScope),'RAW_AR_CONTENT'!P182,"")</f>
        <v>0</v>
      </c>
      <c r="Q183" s="9">
        <f>IF(IF(SelectedScope="All India",TRUE,'RAW_AR_CONTENT'!$B182=SelectedScope),'RAW_AR_CONTENT'!Q182,"")</f>
        <v>0</v>
      </c>
      <c r="R183" s="9">
        <f>IF(IF(SelectedScope="All India",TRUE,'RAW_AR_CONTENT'!$B182=SelectedScope),'RAW_AR_CONTENT'!R182,"")</f>
        <v>0</v>
      </c>
    </row>
    <row r="184" spans="1:18" ht="15" customHeight="1" x14ac:dyDescent="0.3">
      <c r="A184" s="12">
        <f>IF(IF(SelectedScope="All India",TRUE,'RAW_AR_CONTENT'!$B183=SelectedScope),'RAW_AR_CONTENT'!A183,"")</f>
        <v>180</v>
      </c>
      <c r="B184" s="12" t="str">
        <f>IF(IF(SelectedScope="All India",TRUE,'RAW_AR_CONTENT'!$B183=SelectedScope),'RAW_AR_CONTENT'!B183,"")</f>
        <v>Haryana</v>
      </c>
      <c r="C184" s="12" t="str">
        <f>IF(IF(SelectedScope="All India",TRUE,'RAW_AR_CONTENT'!$B183=SelectedScope),'RAW_AR_CONTENT'!C183,"")</f>
        <v>Mathematics</v>
      </c>
      <c r="D184" s="12" t="str">
        <f>IF(IF(SelectedScope="All India",TRUE,'RAW_AR_CONTENT'!$B183=SelectedScope),'RAW_AR_CONTENT'!D183,"")</f>
        <v>Class 10</v>
      </c>
      <c r="E184" s="12" t="str">
        <f>IF(IF(SelectedScope="All India",TRUE,'RAW_AR_CONTENT'!$B183=SelectedScope),'RAW_AR_CONTENT'!E183,"")</f>
        <v>Quadratic Equations</v>
      </c>
      <c r="F184" s="12" t="str">
        <f>IF(IF(SelectedScope="All India",TRUE,'RAW_AR_CONTENT'!$B183=SelectedScope),'RAW_AR_CONTENT'!F183,"")</f>
        <v>Animated</v>
      </c>
      <c r="G184" s="12" t="str">
        <f>IF(IF(SelectedScope="All India",TRUE,'RAW_AR_CONTENT'!$B183=SelectedScope),'RAW_AR_CONTENT'!G183,"")</f>
        <v>Active</v>
      </c>
      <c r="H184" s="12">
        <f>IF(IF(SelectedScope="All India",TRUE,'RAW_AR_CONTENT'!$B183=SelectedScope),'RAW_AR_CONTENT'!H183,"")</f>
        <v>0</v>
      </c>
      <c r="I184" s="12">
        <f>IF(IF(SelectedScope="All India",TRUE,'RAW_AR_CONTENT'!$B183=SelectedScope),'RAW_AR_CONTENT'!I183,"")</f>
        <v>0</v>
      </c>
      <c r="J184" s="12">
        <f>IF(IF(SelectedScope="All India",TRUE,'RAW_AR_CONTENT'!$B183=SelectedScope),'RAW_AR_CONTENT'!J183,"")</f>
        <v>0</v>
      </c>
      <c r="K184" s="12">
        <f>IF(IF(SelectedScope="All India",TRUE,'RAW_AR_CONTENT'!$B183=SelectedScope),'RAW_AR_CONTENT'!K183,"")</f>
        <v>0</v>
      </c>
      <c r="L184" s="12">
        <f>IF(IF(SelectedScope="All India",TRUE,'RAW_AR_CONTENT'!$B183=SelectedScope),'RAW_AR_CONTENT'!L183,"")</f>
        <v>0</v>
      </c>
      <c r="M184" s="12">
        <f>IF(IF(SelectedScope="All India",TRUE,'RAW_AR_CONTENT'!$B183=SelectedScope),'RAW_AR_CONTENT'!M183,"")</f>
        <v>0</v>
      </c>
      <c r="N184" s="12">
        <f>IF(IF(SelectedScope="All India",TRUE,'RAW_AR_CONTENT'!$B183=SelectedScope),'RAW_AR_CONTENT'!N183,"")</f>
        <v>0</v>
      </c>
      <c r="O184" s="12">
        <f>IF(IF(SelectedScope="All India",TRUE,'RAW_AR_CONTENT'!$B183=SelectedScope),'RAW_AR_CONTENT'!O183,"")</f>
        <v>0</v>
      </c>
      <c r="P184" s="12">
        <f>IF(IF(SelectedScope="All India",TRUE,'RAW_AR_CONTENT'!$B183=SelectedScope),'RAW_AR_CONTENT'!P183,"")</f>
        <v>0</v>
      </c>
      <c r="Q184" s="12">
        <f>IF(IF(SelectedScope="All India",TRUE,'RAW_AR_CONTENT'!$B183=SelectedScope),'RAW_AR_CONTENT'!Q183,"")</f>
        <v>0</v>
      </c>
      <c r="R184" s="12">
        <f>IF(IF(SelectedScope="All India",TRUE,'RAW_AR_CONTENT'!$B183=SelectedScope),'RAW_AR_CONTENT'!R183,"")</f>
        <v>0</v>
      </c>
    </row>
    <row r="185" spans="1:18" ht="15" customHeight="1" x14ac:dyDescent="0.3">
      <c r="A185" s="9">
        <f>IF(IF(SelectedScope="All India",TRUE,'RAW_AR_CONTENT'!$B184=SelectedScope),'RAW_AR_CONTENT'!A184,"")</f>
        <v>181</v>
      </c>
      <c r="B185" s="9" t="str">
        <f>IF(IF(SelectedScope="All India",TRUE,'RAW_AR_CONTENT'!$B184=SelectedScope),'RAW_AR_CONTENT'!B184,"")</f>
        <v>Himachal Pradesh</v>
      </c>
      <c r="C185" s="9" t="str">
        <f>IF(IF(SelectedScope="All India",TRUE,'RAW_AR_CONTENT'!$B184=SelectedScope),'RAW_AR_CONTENT'!C184,"")</f>
        <v>Science</v>
      </c>
      <c r="D185" s="9" t="str">
        <f>IF(IF(SelectedScope="All India",TRUE,'RAW_AR_CONTENT'!$B184=SelectedScope),'RAW_AR_CONTENT'!D184,"")</f>
        <v>Class 8</v>
      </c>
      <c r="E185" s="9" t="str">
        <f>IF(IF(SelectedScope="All India",TRUE,'RAW_AR_CONTENT'!$B184=SelectedScope),'RAW_AR_CONTENT'!E184,"")</f>
        <v>Solar System 3D</v>
      </c>
      <c r="F185" s="9" t="str">
        <f>IF(IF(SelectedScope="All India",TRUE,'RAW_AR_CONTENT'!$B184=SelectedScope),'RAW_AR_CONTENT'!F184,"")</f>
        <v>Animated</v>
      </c>
      <c r="G185" s="9" t="str">
        <f>IF(IF(SelectedScope="All India",TRUE,'RAW_AR_CONTENT'!$B184=SelectedScope),'RAW_AR_CONTENT'!G184,"")</f>
        <v>Active</v>
      </c>
      <c r="H185" s="9">
        <f>IF(IF(SelectedScope="All India",TRUE,'RAW_AR_CONTENT'!$B184=SelectedScope),'RAW_AR_CONTENT'!H184,"")</f>
        <v>0</v>
      </c>
      <c r="I185" s="9">
        <f>IF(IF(SelectedScope="All India",TRUE,'RAW_AR_CONTENT'!$B184=SelectedScope),'RAW_AR_CONTENT'!I184,"")</f>
        <v>0</v>
      </c>
      <c r="J185" s="9">
        <f>IF(IF(SelectedScope="All India",TRUE,'RAW_AR_CONTENT'!$B184=SelectedScope),'RAW_AR_CONTENT'!J184,"")</f>
        <v>0</v>
      </c>
      <c r="K185" s="9">
        <f>IF(IF(SelectedScope="All India",TRUE,'RAW_AR_CONTENT'!$B184=SelectedScope),'RAW_AR_CONTENT'!K184,"")</f>
        <v>0</v>
      </c>
      <c r="L185" s="9">
        <f>IF(IF(SelectedScope="All India",TRUE,'RAW_AR_CONTENT'!$B184=SelectedScope),'RAW_AR_CONTENT'!L184,"")</f>
        <v>0</v>
      </c>
      <c r="M185" s="9">
        <f>IF(IF(SelectedScope="All India",TRUE,'RAW_AR_CONTENT'!$B184=SelectedScope),'RAW_AR_CONTENT'!M184,"")</f>
        <v>0</v>
      </c>
      <c r="N185" s="9">
        <f>IF(IF(SelectedScope="All India",TRUE,'RAW_AR_CONTENT'!$B184=SelectedScope),'RAW_AR_CONTENT'!N184,"")</f>
        <v>0</v>
      </c>
      <c r="O185" s="9">
        <f>IF(IF(SelectedScope="All India",TRUE,'RAW_AR_CONTENT'!$B184=SelectedScope),'RAW_AR_CONTENT'!O184,"")</f>
        <v>0</v>
      </c>
      <c r="P185" s="9">
        <f>IF(IF(SelectedScope="All India",TRUE,'RAW_AR_CONTENT'!$B184=SelectedScope),'RAW_AR_CONTENT'!P184,"")</f>
        <v>0</v>
      </c>
      <c r="Q185" s="9">
        <f>IF(IF(SelectedScope="All India",TRUE,'RAW_AR_CONTENT'!$B184=SelectedScope),'RAW_AR_CONTENT'!Q184,"")</f>
        <v>0</v>
      </c>
      <c r="R185" s="9">
        <f>IF(IF(SelectedScope="All India",TRUE,'RAW_AR_CONTENT'!$B184=SelectedScope),'RAW_AR_CONTENT'!R184,"")</f>
        <v>0</v>
      </c>
    </row>
    <row r="186" spans="1:18" ht="15" customHeight="1" x14ac:dyDescent="0.3">
      <c r="A186" s="12">
        <f>IF(IF(SelectedScope="All India",TRUE,'RAW_AR_CONTENT'!$B185=SelectedScope),'RAW_AR_CONTENT'!A185,"")</f>
        <v>182</v>
      </c>
      <c r="B186" s="12" t="str">
        <f>IF(IF(SelectedScope="All India",TRUE,'RAW_AR_CONTENT'!$B185=SelectedScope),'RAW_AR_CONTENT'!B185,"")</f>
        <v>Himachal Pradesh</v>
      </c>
      <c r="C186" s="12" t="str">
        <f>IF(IF(SelectedScope="All India",TRUE,'RAW_AR_CONTENT'!$B185=SelectedScope),'RAW_AR_CONTENT'!C185,"")</f>
        <v>Biology</v>
      </c>
      <c r="D186" s="12" t="str">
        <f>IF(IF(SelectedScope="All India",TRUE,'RAW_AR_CONTENT'!$B185=SelectedScope),'RAW_AR_CONTENT'!D185,"")</f>
        <v>Class 9</v>
      </c>
      <c r="E186" s="12" t="str">
        <f>IF(IF(SelectedScope="All India",TRUE,'RAW_AR_CONTENT'!$B185=SelectedScope),'RAW_AR_CONTENT'!E185,"")</f>
        <v>Cell Division</v>
      </c>
      <c r="F186" s="12" t="str">
        <f>IF(IF(SelectedScope="All India",TRUE,'RAW_AR_CONTENT'!$B185=SelectedScope),'RAW_AR_CONTENT'!F185,"")</f>
        <v>Interactive</v>
      </c>
      <c r="G186" s="12" t="str">
        <f>IF(IF(SelectedScope="All India",TRUE,'RAW_AR_CONTENT'!$B185=SelectedScope),'RAW_AR_CONTENT'!G185,"")</f>
        <v>Active</v>
      </c>
      <c r="H186" s="12">
        <f>IF(IF(SelectedScope="All India",TRUE,'RAW_AR_CONTENT'!$B185=SelectedScope),'RAW_AR_CONTENT'!H185,"")</f>
        <v>0</v>
      </c>
      <c r="I186" s="12">
        <f>IF(IF(SelectedScope="All India",TRUE,'RAW_AR_CONTENT'!$B185=SelectedScope),'RAW_AR_CONTENT'!I185,"")</f>
        <v>0</v>
      </c>
      <c r="J186" s="12">
        <f>IF(IF(SelectedScope="All India",TRUE,'RAW_AR_CONTENT'!$B185=SelectedScope),'RAW_AR_CONTENT'!J185,"")</f>
        <v>0</v>
      </c>
      <c r="K186" s="12">
        <f>IF(IF(SelectedScope="All India",TRUE,'RAW_AR_CONTENT'!$B185=SelectedScope),'RAW_AR_CONTENT'!K185,"")</f>
        <v>0</v>
      </c>
      <c r="L186" s="12">
        <f>IF(IF(SelectedScope="All India",TRUE,'RAW_AR_CONTENT'!$B185=SelectedScope),'RAW_AR_CONTENT'!L185,"")</f>
        <v>0</v>
      </c>
      <c r="M186" s="12">
        <f>IF(IF(SelectedScope="All India",TRUE,'RAW_AR_CONTENT'!$B185=SelectedScope),'RAW_AR_CONTENT'!M185,"")</f>
        <v>0</v>
      </c>
      <c r="N186" s="12">
        <f>IF(IF(SelectedScope="All India",TRUE,'RAW_AR_CONTENT'!$B185=SelectedScope),'RAW_AR_CONTENT'!N185,"")</f>
        <v>0</v>
      </c>
      <c r="O186" s="12">
        <f>IF(IF(SelectedScope="All India",TRUE,'RAW_AR_CONTENT'!$B185=SelectedScope),'RAW_AR_CONTENT'!O185,"")</f>
        <v>0</v>
      </c>
      <c r="P186" s="12">
        <f>IF(IF(SelectedScope="All India",TRUE,'RAW_AR_CONTENT'!$B185=SelectedScope),'RAW_AR_CONTENT'!P185,"")</f>
        <v>0</v>
      </c>
      <c r="Q186" s="12">
        <f>IF(IF(SelectedScope="All India",TRUE,'RAW_AR_CONTENT'!$B185=SelectedScope),'RAW_AR_CONTENT'!Q185,"")</f>
        <v>0</v>
      </c>
      <c r="R186" s="12">
        <f>IF(IF(SelectedScope="All India",TRUE,'RAW_AR_CONTENT'!$B185=SelectedScope),'RAW_AR_CONTENT'!R185,"")</f>
        <v>0</v>
      </c>
    </row>
    <row r="187" spans="1:18" ht="15" customHeight="1" x14ac:dyDescent="0.3">
      <c r="A187" s="9">
        <f>IF(IF(SelectedScope="All India",TRUE,'RAW_AR_CONTENT'!$B186=SelectedScope),'RAW_AR_CONTENT'!A186,"")</f>
        <v>183</v>
      </c>
      <c r="B187" s="9" t="str">
        <f>IF(IF(SelectedScope="All India",TRUE,'RAW_AR_CONTENT'!$B186=SelectedScope),'RAW_AR_CONTENT'!B186,"")</f>
        <v>Himachal Pradesh</v>
      </c>
      <c r="C187" s="9" t="str">
        <f>IF(IF(SelectedScope="All India",TRUE,'RAW_AR_CONTENT'!$B186=SelectedScope),'RAW_AR_CONTENT'!C186,"")</f>
        <v>Chemistry</v>
      </c>
      <c r="D187" s="9" t="str">
        <f>IF(IF(SelectedScope="All India",TRUE,'RAW_AR_CONTENT'!$B186=SelectedScope),'RAW_AR_CONTENT'!D186,"")</f>
        <v>Class 9</v>
      </c>
      <c r="E187" s="9" t="str">
        <f>IF(IF(SelectedScope="All India",TRUE,'RAW_AR_CONTENT'!$B186=SelectedScope),'RAW_AR_CONTENT'!E186,"")</f>
        <v>Atoms and Molecules</v>
      </c>
      <c r="F187" s="9" t="str">
        <f>IF(IF(SelectedScope="All India",TRUE,'RAW_AR_CONTENT'!$B186=SelectedScope),'RAW_AR_CONTENT'!F186,"")</f>
        <v>Animated</v>
      </c>
      <c r="G187" s="9" t="str">
        <f>IF(IF(SelectedScope="All India",TRUE,'RAW_AR_CONTENT'!$B186=SelectedScope),'RAW_AR_CONTENT'!G186,"")</f>
        <v>Active</v>
      </c>
      <c r="H187" s="9">
        <f>IF(IF(SelectedScope="All India",TRUE,'RAW_AR_CONTENT'!$B186=SelectedScope),'RAW_AR_CONTENT'!H186,"")</f>
        <v>0</v>
      </c>
      <c r="I187" s="9">
        <f>IF(IF(SelectedScope="All India",TRUE,'RAW_AR_CONTENT'!$B186=SelectedScope),'RAW_AR_CONTENT'!I186,"")</f>
        <v>0</v>
      </c>
      <c r="J187" s="9">
        <f>IF(IF(SelectedScope="All India",TRUE,'RAW_AR_CONTENT'!$B186=SelectedScope),'RAW_AR_CONTENT'!J186,"")</f>
        <v>0</v>
      </c>
      <c r="K187" s="9">
        <f>IF(IF(SelectedScope="All India",TRUE,'RAW_AR_CONTENT'!$B186=SelectedScope),'RAW_AR_CONTENT'!K186,"")</f>
        <v>0</v>
      </c>
      <c r="L187" s="9">
        <f>IF(IF(SelectedScope="All India",TRUE,'RAW_AR_CONTENT'!$B186=SelectedScope),'RAW_AR_CONTENT'!L186,"")</f>
        <v>0</v>
      </c>
      <c r="M187" s="9">
        <f>IF(IF(SelectedScope="All India",TRUE,'RAW_AR_CONTENT'!$B186=SelectedScope),'RAW_AR_CONTENT'!M186,"")</f>
        <v>0</v>
      </c>
      <c r="N187" s="9">
        <f>IF(IF(SelectedScope="All India",TRUE,'RAW_AR_CONTENT'!$B186=SelectedScope),'RAW_AR_CONTENT'!N186,"")</f>
        <v>0</v>
      </c>
      <c r="O187" s="9">
        <f>IF(IF(SelectedScope="All India",TRUE,'RAW_AR_CONTENT'!$B186=SelectedScope),'RAW_AR_CONTENT'!O186,"")</f>
        <v>0</v>
      </c>
      <c r="P187" s="9">
        <f>IF(IF(SelectedScope="All India",TRUE,'RAW_AR_CONTENT'!$B186=SelectedScope),'RAW_AR_CONTENT'!P186,"")</f>
        <v>0</v>
      </c>
      <c r="Q187" s="9">
        <f>IF(IF(SelectedScope="All India",TRUE,'RAW_AR_CONTENT'!$B186=SelectedScope),'RAW_AR_CONTENT'!Q186,"")</f>
        <v>0</v>
      </c>
      <c r="R187" s="9">
        <f>IF(IF(SelectedScope="All India",TRUE,'RAW_AR_CONTENT'!$B186=SelectedScope),'RAW_AR_CONTENT'!R186,"")</f>
        <v>0</v>
      </c>
    </row>
    <row r="188" spans="1:18" ht="15" customHeight="1" x14ac:dyDescent="0.3">
      <c r="A188" s="12">
        <f>IF(IF(SelectedScope="All India",TRUE,'RAW_AR_CONTENT'!$B187=SelectedScope),'RAW_AR_CONTENT'!A187,"")</f>
        <v>184</v>
      </c>
      <c r="B188" s="12" t="str">
        <f>IF(IF(SelectedScope="All India",TRUE,'RAW_AR_CONTENT'!$B187=SelectedScope),'RAW_AR_CONTENT'!B187,"")</f>
        <v>Himachal Pradesh</v>
      </c>
      <c r="C188" s="12" t="str">
        <f>IF(IF(SelectedScope="All India",TRUE,'RAW_AR_CONTENT'!$B187=SelectedScope),'RAW_AR_CONTENT'!C187,"")</f>
        <v>Biology</v>
      </c>
      <c r="D188" s="12" t="str">
        <f>IF(IF(SelectedScope="All India",TRUE,'RAW_AR_CONTENT'!$B187=SelectedScope),'RAW_AR_CONTENT'!D187,"")</f>
        <v>Class 7</v>
      </c>
      <c r="E188" s="12" t="str">
        <f>IF(IF(SelectedScope="All India",TRUE,'RAW_AR_CONTENT'!$B187=SelectedScope),'RAW_AR_CONTENT'!E187,"")</f>
        <v>Photosynthesis</v>
      </c>
      <c r="F188" s="12" t="str">
        <f>IF(IF(SelectedScope="All India",TRUE,'RAW_AR_CONTENT'!$B187=SelectedScope),'RAW_AR_CONTENT'!F187,"")</f>
        <v>Basic 3D</v>
      </c>
      <c r="G188" s="12" t="str">
        <f>IF(IF(SelectedScope="All India",TRUE,'RAW_AR_CONTENT'!$B187=SelectedScope),'RAW_AR_CONTENT'!G187,"")</f>
        <v>Active</v>
      </c>
      <c r="H188" s="12">
        <f>IF(IF(SelectedScope="All India",TRUE,'RAW_AR_CONTENT'!$B187=SelectedScope),'RAW_AR_CONTENT'!H187,"")</f>
        <v>0</v>
      </c>
      <c r="I188" s="12">
        <f>IF(IF(SelectedScope="All India",TRUE,'RAW_AR_CONTENT'!$B187=SelectedScope),'RAW_AR_CONTENT'!I187,"")</f>
        <v>0</v>
      </c>
      <c r="J188" s="12">
        <f>IF(IF(SelectedScope="All India",TRUE,'RAW_AR_CONTENT'!$B187=SelectedScope),'RAW_AR_CONTENT'!J187,"")</f>
        <v>0</v>
      </c>
      <c r="K188" s="12">
        <f>IF(IF(SelectedScope="All India",TRUE,'RAW_AR_CONTENT'!$B187=SelectedScope),'RAW_AR_CONTENT'!K187,"")</f>
        <v>0</v>
      </c>
      <c r="L188" s="12">
        <f>IF(IF(SelectedScope="All India",TRUE,'RAW_AR_CONTENT'!$B187=SelectedScope),'RAW_AR_CONTENT'!L187,"")</f>
        <v>0</v>
      </c>
      <c r="M188" s="12">
        <f>IF(IF(SelectedScope="All India",TRUE,'RAW_AR_CONTENT'!$B187=SelectedScope),'RAW_AR_CONTENT'!M187,"")</f>
        <v>0</v>
      </c>
      <c r="N188" s="12">
        <f>IF(IF(SelectedScope="All India",TRUE,'RAW_AR_CONTENT'!$B187=SelectedScope),'RAW_AR_CONTENT'!N187,"")</f>
        <v>0</v>
      </c>
      <c r="O188" s="12">
        <f>IF(IF(SelectedScope="All India",TRUE,'RAW_AR_CONTENT'!$B187=SelectedScope),'RAW_AR_CONTENT'!O187,"")</f>
        <v>0</v>
      </c>
      <c r="P188" s="12">
        <f>IF(IF(SelectedScope="All India",TRUE,'RAW_AR_CONTENT'!$B187=SelectedScope),'RAW_AR_CONTENT'!P187,"")</f>
        <v>0</v>
      </c>
      <c r="Q188" s="12">
        <f>IF(IF(SelectedScope="All India",TRUE,'RAW_AR_CONTENT'!$B187=SelectedScope),'RAW_AR_CONTENT'!Q187,"")</f>
        <v>0</v>
      </c>
      <c r="R188" s="12">
        <f>IF(IF(SelectedScope="All India",TRUE,'RAW_AR_CONTENT'!$B187=SelectedScope),'RAW_AR_CONTENT'!R187,"")</f>
        <v>0</v>
      </c>
    </row>
    <row r="189" spans="1:18" ht="15" customHeight="1" x14ac:dyDescent="0.3">
      <c r="A189" s="9">
        <f>IF(IF(SelectedScope="All India",TRUE,'RAW_AR_CONTENT'!$B188=SelectedScope),'RAW_AR_CONTENT'!A188,"")</f>
        <v>185</v>
      </c>
      <c r="B189" s="9" t="str">
        <f>IF(IF(SelectedScope="All India",TRUE,'RAW_AR_CONTENT'!$B188=SelectedScope),'RAW_AR_CONTENT'!B188,"")</f>
        <v>Himachal Pradesh</v>
      </c>
      <c r="C189" s="9" t="str">
        <f>IF(IF(SelectedScope="All India",TRUE,'RAW_AR_CONTENT'!$B188=SelectedScope),'RAW_AR_CONTENT'!C188,"")</f>
        <v>Mathematics</v>
      </c>
      <c r="D189" s="9" t="str">
        <f>IF(IF(SelectedScope="All India",TRUE,'RAW_AR_CONTENT'!$B188=SelectedScope),'RAW_AR_CONTENT'!D188,"")</f>
        <v>Class 7</v>
      </c>
      <c r="E189" s="9" t="str">
        <f>IF(IF(SelectedScope="All India",TRUE,'RAW_AR_CONTENT'!$B188=SelectedScope),'RAW_AR_CONTENT'!E188,"")</f>
        <v>Fractions 3D Model</v>
      </c>
      <c r="F189" s="9" t="str">
        <f>IF(IF(SelectedScope="All India",TRUE,'RAW_AR_CONTENT'!$B188=SelectedScope),'RAW_AR_CONTENT'!F188,"")</f>
        <v>Interactive</v>
      </c>
      <c r="G189" s="9" t="str">
        <f>IF(IF(SelectedScope="All India",TRUE,'RAW_AR_CONTENT'!$B188=SelectedScope),'RAW_AR_CONTENT'!G188,"")</f>
        <v>Active</v>
      </c>
      <c r="H189" s="9">
        <f>IF(IF(SelectedScope="All India",TRUE,'RAW_AR_CONTENT'!$B188=SelectedScope),'RAW_AR_CONTENT'!H188,"")</f>
        <v>0</v>
      </c>
      <c r="I189" s="9">
        <f>IF(IF(SelectedScope="All India",TRUE,'RAW_AR_CONTENT'!$B188=SelectedScope),'RAW_AR_CONTENT'!I188,"")</f>
        <v>0</v>
      </c>
      <c r="J189" s="9">
        <f>IF(IF(SelectedScope="All India",TRUE,'RAW_AR_CONTENT'!$B188=SelectedScope),'RAW_AR_CONTENT'!J188,"")</f>
        <v>0</v>
      </c>
      <c r="K189" s="9">
        <f>IF(IF(SelectedScope="All India",TRUE,'RAW_AR_CONTENT'!$B188=SelectedScope),'RAW_AR_CONTENT'!K188,"")</f>
        <v>0</v>
      </c>
      <c r="L189" s="9">
        <f>IF(IF(SelectedScope="All India",TRUE,'RAW_AR_CONTENT'!$B188=SelectedScope),'RAW_AR_CONTENT'!L188,"")</f>
        <v>0</v>
      </c>
      <c r="M189" s="9">
        <f>IF(IF(SelectedScope="All India",TRUE,'RAW_AR_CONTENT'!$B188=SelectedScope),'RAW_AR_CONTENT'!M188,"")</f>
        <v>0</v>
      </c>
      <c r="N189" s="9">
        <f>IF(IF(SelectedScope="All India",TRUE,'RAW_AR_CONTENT'!$B188=SelectedScope),'RAW_AR_CONTENT'!N188,"")</f>
        <v>0</v>
      </c>
      <c r="O189" s="9">
        <f>IF(IF(SelectedScope="All India",TRUE,'RAW_AR_CONTENT'!$B188=SelectedScope),'RAW_AR_CONTENT'!O188,"")</f>
        <v>0</v>
      </c>
      <c r="P189" s="9">
        <f>IF(IF(SelectedScope="All India",TRUE,'RAW_AR_CONTENT'!$B188=SelectedScope),'RAW_AR_CONTENT'!P188,"")</f>
        <v>0</v>
      </c>
      <c r="Q189" s="9">
        <f>IF(IF(SelectedScope="All India",TRUE,'RAW_AR_CONTENT'!$B188=SelectedScope),'RAW_AR_CONTENT'!Q188,"")</f>
        <v>0</v>
      </c>
      <c r="R189" s="9">
        <f>IF(IF(SelectedScope="All India",TRUE,'RAW_AR_CONTENT'!$B188=SelectedScope),'RAW_AR_CONTENT'!R188,"")</f>
        <v>0</v>
      </c>
    </row>
    <row r="190" spans="1:18" ht="15" customHeight="1" x14ac:dyDescent="0.3">
      <c r="A190" s="12">
        <f>IF(IF(SelectedScope="All India",TRUE,'RAW_AR_CONTENT'!$B189=SelectedScope),'RAW_AR_CONTENT'!A189,"")</f>
        <v>186</v>
      </c>
      <c r="B190" s="12" t="str">
        <f>IF(IF(SelectedScope="All India",TRUE,'RAW_AR_CONTENT'!$B189=SelectedScope),'RAW_AR_CONTENT'!B189,"")</f>
        <v>Himachal Pradesh</v>
      </c>
      <c r="C190" s="12" t="str">
        <f>IF(IF(SelectedScope="All India",TRUE,'RAW_AR_CONTENT'!$B189=SelectedScope),'RAW_AR_CONTENT'!C189,"")</f>
        <v>Mathematics</v>
      </c>
      <c r="D190" s="12" t="str">
        <f>IF(IF(SelectedScope="All India",TRUE,'RAW_AR_CONTENT'!$B189=SelectedScope),'RAW_AR_CONTENT'!D189,"")</f>
        <v>Class 10</v>
      </c>
      <c r="E190" s="12" t="str">
        <f>IF(IF(SelectedScope="All India",TRUE,'RAW_AR_CONTENT'!$B189=SelectedScope),'RAW_AR_CONTENT'!E189,"")</f>
        <v>Trigonometry 3D</v>
      </c>
      <c r="F190" s="12" t="str">
        <f>IF(IF(SelectedScope="All India",TRUE,'RAW_AR_CONTENT'!$B189=SelectedScope),'RAW_AR_CONTENT'!F189,"")</f>
        <v>Animated</v>
      </c>
      <c r="G190" s="12" t="str">
        <f>IF(IF(SelectedScope="All India",TRUE,'RAW_AR_CONTENT'!$B189=SelectedScope),'RAW_AR_CONTENT'!G189,"")</f>
        <v>Active</v>
      </c>
      <c r="H190" s="12">
        <f>IF(IF(SelectedScope="All India",TRUE,'RAW_AR_CONTENT'!$B189=SelectedScope),'RAW_AR_CONTENT'!H189,"")</f>
        <v>0</v>
      </c>
      <c r="I190" s="12">
        <f>IF(IF(SelectedScope="All India",TRUE,'RAW_AR_CONTENT'!$B189=SelectedScope),'RAW_AR_CONTENT'!I189,"")</f>
        <v>0</v>
      </c>
      <c r="J190" s="12">
        <f>IF(IF(SelectedScope="All India",TRUE,'RAW_AR_CONTENT'!$B189=SelectedScope),'RAW_AR_CONTENT'!J189,"")</f>
        <v>0</v>
      </c>
      <c r="K190" s="12">
        <f>IF(IF(SelectedScope="All India",TRUE,'RAW_AR_CONTENT'!$B189=SelectedScope),'RAW_AR_CONTENT'!K189,"")</f>
        <v>0</v>
      </c>
      <c r="L190" s="12">
        <f>IF(IF(SelectedScope="All India",TRUE,'RAW_AR_CONTENT'!$B189=SelectedScope),'RAW_AR_CONTENT'!L189,"")</f>
        <v>0</v>
      </c>
      <c r="M190" s="12">
        <f>IF(IF(SelectedScope="All India",TRUE,'RAW_AR_CONTENT'!$B189=SelectedScope),'RAW_AR_CONTENT'!M189,"")</f>
        <v>0</v>
      </c>
      <c r="N190" s="12">
        <f>IF(IF(SelectedScope="All India",TRUE,'RAW_AR_CONTENT'!$B189=SelectedScope),'RAW_AR_CONTENT'!N189,"")</f>
        <v>0</v>
      </c>
      <c r="O190" s="12">
        <f>IF(IF(SelectedScope="All India",TRUE,'RAW_AR_CONTENT'!$B189=SelectedScope),'RAW_AR_CONTENT'!O189,"")</f>
        <v>0</v>
      </c>
      <c r="P190" s="12">
        <f>IF(IF(SelectedScope="All India",TRUE,'RAW_AR_CONTENT'!$B189=SelectedScope),'RAW_AR_CONTENT'!P189,"")</f>
        <v>0</v>
      </c>
      <c r="Q190" s="12">
        <f>IF(IF(SelectedScope="All India",TRUE,'RAW_AR_CONTENT'!$B189=SelectedScope),'RAW_AR_CONTENT'!Q189,"")</f>
        <v>0</v>
      </c>
      <c r="R190" s="12">
        <f>IF(IF(SelectedScope="All India",TRUE,'RAW_AR_CONTENT'!$B189=SelectedScope),'RAW_AR_CONTENT'!R189,"")</f>
        <v>0</v>
      </c>
    </row>
    <row r="191" spans="1:18" ht="15" customHeight="1" x14ac:dyDescent="0.3">
      <c r="A191" s="9">
        <f>IF(IF(SelectedScope="All India",TRUE,'RAW_AR_CONTENT'!$B190=SelectedScope),'RAW_AR_CONTENT'!A190,"")</f>
        <v>187</v>
      </c>
      <c r="B191" s="9" t="str">
        <f>IF(IF(SelectedScope="All India",TRUE,'RAW_AR_CONTENT'!$B190=SelectedScope),'RAW_AR_CONTENT'!B190,"")</f>
        <v>Himachal Pradesh</v>
      </c>
      <c r="C191" s="9" t="str">
        <f>IF(IF(SelectedScope="All India",TRUE,'RAW_AR_CONTENT'!$B190=SelectedScope),'RAW_AR_CONTENT'!C190,"")</f>
        <v>History</v>
      </c>
      <c r="D191" s="9" t="str">
        <f>IF(IF(SelectedScope="All India",TRUE,'RAW_AR_CONTENT'!$B190=SelectedScope),'RAW_AR_CONTENT'!D190,"")</f>
        <v>Class 10</v>
      </c>
      <c r="E191" s="9" t="str">
        <f>IF(IF(SelectedScope="All India",TRUE,'RAW_AR_CONTENT'!$B190=SelectedScope),'RAW_AR_CONTENT'!E190,"")</f>
        <v>Mughal Empire AR</v>
      </c>
      <c r="F191" s="9" t="str">
        <f>IF(IF(SelectedScope="All India",TRUE,'RAW_AR_CONTENT'!$B190=SelectedScope),'RAW_AR_CONTENT'!F190,"")</f>
        <v>Basic 3D</v>
      </c>
      <c r="G191" s="9" t="str">
        <f>IF(IF(SelectedScope="All India",TRUE,'RAW_AR_CONTENT'!$B190=SelectedScope),'RAW_AR_CONTENT'!G190,"")</f>
        <v>Active</v>
      </c>
      <c r="H191" s="9">
        <f>IF(IF(SelectedScope="All India",TRUE,'RAW_AR_CONTENT'!$B190=SelectedScope),'RAW_AR_CONTENT'!H190,"")</f>
        <v>0</v>
      </c>
      <c r="I191" s="9">
        <f>IF(IF(SelectedScope="All India",TRUE,'RAW_AR_CONTENT'!$B190=SelectedScope),'RAW_AR_CONTENT'!I190,"")</f>
        <v>0</v>
      </c>
      <c r="J191" s="9">
        <f>IF(IF(SelectedScope="All India",TRUE,'RAW_AR_CONTENT'!$B190=SelectedScope),'RAW_AR_CONTENT'!J190,"")</f>
        <v>0</v>
      </c>
      <c r="K191" s="9">
        <f>IF(IF(SelectedScope="All India",TRUE,'RAW_AR_CONTENT'!$B190=SelectedScope),'RAW_AR_CONTENT'!K190,"")</f>
        <v>0</v>
      </c>
      <c r="L191" s="9">
        <f>IF(IF(SelectedScope="All India",TRUE,'RAW_AR_CONTENT'!$B190=SelectedScope),'RAW_AR_CONTENT'!L190,"")</f>
        <v>0</v>
      </c>
      <c r="M191" s="9">
        <f>IF(IF(SelectedScope="All India",TRUE,'RAW_AR_CONTENT'!$B190=SelectedScope),'RAW_AR_CONTENT'!M190,"")</f>
        <v>0</v>
      </c>
      <c r="N191" s="9">
        <f>IF(IF(SelectedScope="All India",TRUE,'RAW_AR_CONTENT'!$B190=SelectedScope),'RAW_AR_CONTENT'!N190,"")</f>
        <v>0</v>
      </c>
      <c r="O191" s="9">
        <f>IF(IF(SelectedScope="All India",TRUE,'RAW_AR_CONTENT'!$B190=SelectedScope),'RAW_AR_CONTENT'!O190,"")</f>
        <v>0</v>
      </c>
      <c r="P191" s="9">
        <f>IF(IF(SelectedScope="All India",TRUE,'RAW_AR_CONTENT'!$B190=SelectedScope),'RAW_AR_CONTENT'!P190,"")</f>
        <v>0</v>
      </c>
      <c r="Q191" s="9">
        <f>IF(IF(SelectedScope="All India",TRUE,'RAW_AR_CONTENT'!$B190=SelectedScope),'RAW_AR_CONTENT'!Q190,"")</f>
        <v>0</v>
      </c>
      <c r="R191" s="9">
        <f>IF(IF(SelectedScope="All India",TRUE,'RAW_AR_CONTENT'!$B190=SelectedScope),'RAW_AR_CONTENT'!R190,"")</f>
        <v>0</v>
      </c>
    </row>
    <row r="192" spans="1:18" ht="15" customHeight="1" x14ac:dyDescent="0.3">
      <c r="A192" s="12">
        <f>IF(IF(SelectedScope="All India",TRUE,'RAW_AR_CONTENT'!$B191=SelectedScope),'RAW_AR_CONTENT'!A191,"")</f>
        <v>188</v>
      </c>
      <c r="B192" s="12" t="str">
        <f>IF(IF(SelectedScope="All India",TRUE,'RAW_AR_CONTENT'!$B191=SelectedScope),'RAW_AR_CONTENT'!B191,"")</f>
        <v>Himachal Pradesh</v>
      </c>
      <c r="C192" s="12" t="str">
        <f>IF(IF(SelectedScope="All India",TRUE,'RAW_AR_CONTENT'!$B191=SelectedScope),'RAW_AR_CONTENT'!C191,"")</f>
        <v>Geography</v>
      </c>
      <c r="D192" s="12" t="str">
        <f>IF(IF(SelectedScope="All India",TRUE,'RAW_AR_CONTENT'!$B191=SelectedScope),'RAW_AR_CONTENT'!D191,"")</f>
        <v>Class 6</v>
      </c>
      <c r="E192" s="12" t="str">
        <f>IF(IF(SelectedScope="All India",TRUE,'RAW_AR_CONTENT'!$B191=SelectedScope),'RAW_AR_CONTENT'!E191,"")</f>
        <v>Water Cycle Simulation</v>
      </c>
      <c r="F192" s="12" t="str">
        <f>IF(IF(SelectedScope="All India",TRUE,'RAW_AR_CONTENT'!$B191=SelectedScope),'RAW_AR_CONTENT'!F191,"")</f>
        <v>Animated</v>
      </c>
      <c r="G192" s="12" t="str">
        <f>IF(IF(SelectedScope="All India",TRUE,'RAW_AR_CONTENT'!$B191=SelectedScope),'RAW_AR_CONTENT'!G191,"")</f>
        <v>Active</v>
      </c>
      <c r="H192" s="12">
        <f>IF(IF(SelectedScope="All India",TRUE,'RAW_AR_CONTENT'!$B191=SelectedScope),'RAW_AR_CONTENT'!H191,"")</f>
        <v>0</v>
      </c>
      <c r="I192" s="12">
        <f>IF(IF(SelectedScope="All India",TRUE,'RAW_AR_CONTENT'!$B191=SelectedScope),'RAW_AR_CONTENT'!I191,"")</f>
        <v>0</v>
      </c>
      <c r="J192" s="12">
        <f>IF(IF(SelectedScope="All India",TRUE,'RAW_AR_CONTENT'!$B191=SelectedScope),'RAW_AR_CONTENT'!J191,"")</f>
        <v>0</v>
      </c>
      <c r="K192" s="12">
        <f>IF(IF(SelectedScope="All India",TRUE,'RAW_AR_CONTENT'!$B191=SelectedScope),'RAW_AR_CONTENT'!K191,"")</f>
        <v>0</v>
      </c>
      <c r="L192" s="12">
        <f>IF(IF(SelectedScope="All India",TRUE,'RAW_AR_CONTENT'!$B191=SelectedScope),'RAW_AR_CONTENT'!L191,"")</f>
        <v>0</v>
      </c>
      <c r="M192" s="12">
        <f>IF(IF(SelectedScope="All India",TRUE,'RAW_AR_CONTENT'!$B191=SelectedScope),'RAW_AR_CONTENT'!M191,"")</f>
        <v>0</v>
      </c>
      <c r="N192" s="12">
        <f>IF(IF(SelectedScope="All India",TRUE,'RAW_AR_CONTENT'!$B191=SelectedScope),'RAW_AR_CONTENT'!N191,"")</f>
        <v>0</v>
      </c>
      <c r="O192" s="12">
        <f>IF(IF(SelectedScope="All India",TRUE,'RAW_AR_CONTENT'!$B191=SelectedScope),'RAW_AR_CONTENT'!O191,"")</f>
        <v>0</v>
      </c>
      <c r="P192" s="12">
        <f>IF(IF(SelectedScope="All India",TRUE,'RAW_AR_CONTENT'!$B191=SelectedScope),'RAW_AR_CONTENT'!P191,"")</f>
        <v>0</v>
      </c>
      <c r="Q192" s="12">
        <f>IF(IF(SelectedScope="All India",TRUE,'RAW_AR_CONTENT'!$B191=SelectedScope),'RAW_AR_CONTENT'!Q191,"")</f>
        <v>0</v>
      </c>
      <c r="R192" s="12">
        <f>IF(IF(SelectedScope="All India",TRUE,'RAW_AR_CONTENT'!$B191=SelectedScope),'RAW_AR_CONTENT'!R191,"")</f>
        <v>0</v>
      </c>
    </row>
    <row r="193" spans="1:18" ht="15" customHeight="1" x14ac:dyDescent="0.3">
      <c r="A193" s="9">
        <f>IF(IF(SelectedScope="All India",TRUE,'RAW_AR_CONTENT'!$B192=SelectedScope),'RAW_AR_CONTENT'!A192,"")</f>
        <v>189</v>
      </c>
      <c r="B193" s="9" t="str">
        <f>IF(IF(SelectedScope="All India",TRUE,'RAW_AR_CONTENT'!$B192=SelectedScope),'RAW_AR_CONTENT'!B192,"")</f>
        <v>Himachal Pradesh</v>
      </c>
      <c r="C193" s="9" t="str">
        <f>IF(IF(SelectedScope="All India",TRUE,'RAW_AR_CONTENT'!$B192=SelectedScope),'RAW_AR_CONTENT'!C192,"")</f>
        <v>Biology</v>
      </c>
      <c r="D193" s="9" t="str">
        <f>IF(IF(SelectedScope="All India",TRUE,'RAW_AR_CONTENT'!$B192=SelectedScope),'RAW_AR_CONTENT'!D192,"")</f>
        <v>Class 11</v>
      </c>
      <c r="E193" s="9" t="str">
        <f>IF(IF(SelectedScope="All India",TRUE,'RAW_AR_CONTENT'!$B192=SelectedScope),'RAW_AR_CONTENT'!E192,"")</f>
        <v>Human Anatomy AR</v>
      </c>
      <c r="F193" s="9" t="str">
        <f>IF(IF(SelectedScope="All India",TRUE,'RAW_AR_CONTENT'!$B192=SelectedScope),'RAW_AR_CONTENT'!F192,"")</f>
        <v>Fully Immersive</v>
      </c>
      <c r="G193" s="9" t="str">
        <f>IF(IF(SelectedScope="All India",TRUE,'RAW_AR_CONTENT'!$B192=SelectedScope),'RAW_AR_CONTENT'!G192,"")</f>
        <v>Active</v>
      </c>
      <c r="H193" s="9">
        <f>IF(IF(SelectedScope="All India",TRUE,'RAW_AR_CONTENT'!$B192=SelectedScope),'RAW_AR_CONTENT'!H192,"")</f>
        <v>0</v>
      </c>
      <c r="I193" s="9">
        <f>IF(IF(SelectedScope="All India",TRUE,'RAW_AR_CONTENT'!$B192=SelectedScope),'RAW_AR_CONTENT'!I192,"")</f>
        <v>0</v>
      </c>
      <c r="J193" s="9">
        <f>IF(IF(SelectedScope="All India",TRUE,'RAW_AR_CONTENT'!$B192=SelectedScope),'RAW_AR_CONTENT'!J192,"")</f>
        <v>0</v>
      </c>
      <c r="K193" s="9">
        <f>IF(IF(SelectedScope="All India",TRUE,'RAW_AR_CONTENT'!$B192=SelectedScope),'RAW_AR_CONTENT'!K192,"")</f>
        <v>0</v>
      </c>
      <c r="L193" s="9">
        <f>IF(IF(SelectedScope="All India",TRUE,'RAW_AR_CONTENT'!$B192=SelectedScope),'RAW_AR_CONTENT'!L192,"")</f>
        <v>0</v>
      </c>
      <c r="M193" s="9">
        <f>IF(IF(SelectedScope="All India",TRUE,'RAW_AR_CONTENT'!$B192=SelectedScope),'RAW_AR_CONTENT'!M192,"")</f>
        <v>0</v>
      </c>
      <c r="N193" s="9">
        <f>IF(IF(SelectedScope="All India",TRUE,'RAW_AR_CONTENT'!$B192=SelectedScope),'RAW_AR_CONTENT'!N192,"")</f>
        <v>0</v>
      </c>
      <c r="O193" s="9">
        <f>IF(IF(SelectedScope="All India",TRUE,'RAW_AR_CONTENT'!$B192=SelectedScope),'RAW_AR_CONTENT'!O192,"")</f>
        <v>0</v>
      </c>
      <c r="P193" s="9">
        <f>IF(IF(SelectedScope="All India",TRUE,'RAW_AR_CONTENT'!$B192=SelectedScope),'RAW_AR_CONTENT'!P192,"")</f>
        <v>0</v>
      </c>
      <c r="Q193" s="9">
        <f>IF(IF(SelectedScope="All India",TRUE,'RAW_AR_CONTENT'!$B192=SelectedScope),'RAW_AR_CONTENT'!Q192,"")</f>
        <v>0</v>
      </c>
      <c r="R193" s="9">
        <f>IF(IF(SelectedScope="All India",TRUE,'RAW_AR_CONTENT'!$B192=SelectedScope),'RAW_AR_CONTENT'!R192,"")</f>
        <v>0</v>
      </c>
    </row>
    <row r="194" spans="1:18" ht="15" customHeight="1" x14ac:dyDescent="0.3">
      <c r="A194" s="12">
        <f>IF(IF(SelectedScope="All India",TRUE,'RAW_AR_CONTENT'!$B193=SelectedScope),'RAW_AR_CONTENT'!A193,"")</f>
        <v>190</v>
      </c>
      <c r="B194" s="12" t="str">
        <f>IF(IF(SelectedScope="All India",TRUE,'RAW_AR_CONTENT'!$B193=SelectedScope),'RAW_AR_CONTENT'!B193,"")</f>
        <v>Himachal Pradesh</v>
      </c>
      <c r="C194" s="12" t="str">
        <f>IF(IF(SelectedScope="All India",TRUE,'RAW_AR_CONTENT'!$B193=SelectedScope),'RAW_AR_CONTENT'!C193,"")</f>
        <v>Physics</v>
      </c>
      <c r="D194" s="12" t="str">
        <f>IF(IF(SelectedScope="All India",TRUE,'RAW_AR_CONTENT'!$B193=SelectedScope),'RAW_AR_CONTENT'!D193,"")</f>
        <v>Class 9</v>
      </c>
      <c r="E194" s="12" t="str">
        <f>IF(IF(SelectedScope="All India",TRUE,'RAW_AR_CONTENT'!$B193=SelectedScope),'RAW_AR_CONTENT'!E193,"")</f>
        <v>Laws of Motion</v>
      </c>
      <c r="F194" s="12" t="str">
        <f>IF(IF(SelectedScope="All India",TRUE,'RAW_AR_CONTENT'!$B193=SelectedScope),'RAW_AR_CONTENT'!F193,"")</f>
        <v>Interactive</v>
      </c>
      <c r="G194" s="12" t="str">
        <f>IF(IF(SelectedScope="All India",TRUE,'RAW_AR_CONTENT'!$B193=SelectedScope),'RAW_AR_CONTENT'!G193,"")</f>
        <v>Active</v>
      </c>
      <c r="H194" s="12">
        <f>IF(IF(SelectedScope="All India",TRUE,'RAW_AR_CONTENT'!$B193=SelectedScope),'RAW_AR_CONTENT'!H193,"")</f>
        <v>0</v>
      </c>
      <c r="I194" s="12">
        <f>IF(IF(SelectedScope="All India",TRUE,'RAW_AR_CONTENT'!$B193=SelectedScope),'RAW_AR_CONTENT'!I193,"")</f>
        <v>0</v>
      </c>
      <c r="J194" s="12">
        <f>IF(IF(SelectedScope="All India",TRUE,'RAW_AR_CONTENT'!$B193=SelectedScope),'RAW_AR_CONTENT'!J193,"")</f>
        <v>0</v>
      </c>
      <c r="K194" s="12">
        <f>IF(IF(SelectedScope="All India",TRUE,'RAW_AR_CONTENT'!$B193=SelectedScope),'RAW_AR_CONTENT'!K193,"")</f>
        <v>0</v>
      </c>
      <c r="L194" s="12">
        <f>IF(IF(SelectedScope="All India",TRUE,'RAW_AR_CONTENT'!$B193=SelectedScope),'RAW_AR_CONTENT'!L193,"")</f>
        <v>0</v>
      </c>
      <c r="M194" s="12">
        <f>IF(IF(SelectedScope="All India",TRUE,'RAW_AR_CONTENT'!$B193=SelectedScope),'RAW_AR_CONTENT'!M193,"")</f>
        <v>0</v>
      </c>
      <c r="N194" s="12">
        <f>IF(IF(SelectedScope="All India",TRUE,'RAW_AR_CONTENT'!$B193=SelectedScope),'RAW_AR_CONTENT'!N193,"")</f>
        <v>0</v>
      </c>
      <c r="O194" s="12">
        <f>IF(IF(SelectedScope="All India",TRUE,'RAW_AR_CONTENT'!$B193=SelectedScope),'RAW_AR_CONTENT'!O193,"")</f>
        <v>0</v>
      </c>
      <c r="P194" s="12">
        <f>IF(IF(SelectedScope="All India",TRUE,'RAW_AR_CONTENT'!$B193=SelectedScope),'RAW_AR_CONTENT'!P193,"")</f>
        <v>0</v>
      </c>
      <c r="Q194" s="12">
        <f>IF(IF(SelectedScope="All India",TRUE,'RAW_AR_CONTENT'!$B193=SelectedScope),'RAW_AR_CONTENT'!Q193,"")</f>
        <v>0</v>
      </c>
      <c r="R194" s="12">
        <f>IF(IF(SelectedScope="All India",TRUE,'RAW_AR_CONTENT'!$B193=SelectedScope),'RAW_AR_CONTENT'!R193,"")</f>
        <v>0</v>
      </c>
    </row>
    <row r="195" spans="1:18" ht="15" customHeight="1" x14ac:dyDescent="0.3">
      <c r="A195" s="9">
        <f>IF(IF(SelectedScope="All India",TRUE,'RAW_AR_CONTENT'!$B194=SelectedScope),'RAW_AR_CONTENT'!A194,"")</f>
        <v>191</v>
      </c>
      <c r="B195" s="9" t="str">
        <f>IF(IF(SelectedScope="All India",TRUE,'RAW_AR_CONTENT'!$B194=SelectedScope),'RAW_AR_CONTENT'!B194,"")</f>
        <v>Himachal Pradesh</v>
      </c>
      <c r="C195" s="9" t="str">
        <f>IF(IF(SelectedScope="All India",TRUE,'RAW_AR_CONTENT'!$B194=SelectedScope),'RAW_AR_CONTENT'!C194,"")</f>
        <v>Chemistry</v>
      </c>
      <c r="D195" s="9" t="str">
        <f>IF(IF(SelectedScope="All India",TRUE,'RAW_AR_CONTENT'!$B194=SelectedScope),'RAW_AR_CONTENT'!D194,"")</f>
        <v>Class 11</v>
      </c>
      <c r="E195" s="9" t="str">
        <f>IF(IF(SelectedScope="All India",TRUE,'RAW_AR_CONTENT'!$B194=SelectedScope),'RAW_AR_CONTENT'!E194,"")</f>
        <v>Periodic Table 3D</v>
      </c>
      <c r="F195" s="9" t="str">
        <f>IF(IF(SelectedScope="All India",TRUE,'RAW_AR_CONTENT'!$B194=SelectedScope),'RAW_AR_CONTENT'!F194,"")</f>
        <v>Interactive</v>
      </c>
      <c r="G195" s="9" t="str">
        <f>IF(IF(SelectedScope="All India",TRUE,'RAW_AR_CONTENT'!$B194=SelectedScope),'RAW_AR_CONTENT'!G194,"")</f>
        <v>Active</v>
      </c>
      <c r="H195" s="9">
        <f>IF(IF(SelectedScope="All India",TRUE,'RAW_AR_CONTENT'!$B194=SelectedScope),'RAW_AR_CONTENT'!H194,"")</f>
        <v>0</v>
      </c>
      <c r="I195" s="9">
        <f>IF(IF(SelectedScope="All India",TRUE,'RAW_AR_CONTENT'!$B194=SelectedScope),'RAW_AR_CONTENT'!I194,"")</f>
        <v>0</v>
      </c>
      <c r="J195" s="9">
        <f>IF(IF(SelectedScope="All India",TRUE,'RAW_AR_CONTENT'!$B194=SelectedScope),'RAW_AR_CONTENT'!J194,"")</f>
        <v>0</v>
      </c>
      <c r="K195" s="9">
        <f>IF(IF(SelectedScope="All India",TRUE,'RAW_AR_CONTENT'!$B194=SelectedScope),'RAW_AR_CONTENT'!K194,"")</f>
        <v>0</v>
      </c>
      <c r="L195" s="9">
        <f>IF(IF(SelectedScope="All India",TRUE,'RAW_AR_CONTENT'!$B194=SelectedScope),'RAW_AR_CONTENT'!L194,"")</f>
        <v>0</v>
      </c>
      <c r="M195" s="9">
        <f>IF(IF(SelectedScope="All India",TRUE,'RAW_AR_CONTENT'!$B194=SelectedScope),'RAW_AR_CONTENT'!M194,"")</f>
        <v>0</v>
      </c>
      <c r="N195" s="9">
        <f>IF(IF(SelectedScope="All India",TRUE,'RAW_AR_CONTENT'!$B194=SelectedScope),'RAW_AR_CONTENT'!N194,"")</f>
        <v>0</v>
      </c>
      <c r="O195" s="9">
        <f>IF(IF(SelectedScope="All India",TRUE,'RAW_AR_CONTENT'!$B194=SelectedScope),'RAW_AR_CONTENT'!O194,"")</f>
        <v>0</v>
      </c>
      <c r="P195" s="9">
        <f>IF(IF(SelectedScope="All India",TRUE,'RAW_AR_CONTENT'!$B194=SelectedScope),'RAW_AR_CONTENT'!P194,"")</f>
        <v>0</v>
      </c>
      <c r="Q195" s="9">
        <f>IF(IF(SelectedScope="All India",TRUE,'RAW_AR_CONTENT'!$B194=SelectedScope),'RAW_AR_CONTENT'!Q194,"")</f>
        <v>0</v>
      </c>
      <c r="R195" s="9">
        <f>IF(IF(SelectedScope="All India",TRUE,'RAW_AR_CONTENT'!$B194=SelectedScope),'RAW_AR_CONTENT'!R194,"")</f>
        <v>0</v>
      </c>
    </row>
    <row r="196" spans="1:18" ht="15" customHeight="1" x14ac:dyDescent="0.3">
      <c r="A196" s="12">
        <f>IF(IF(SelectedScope="All India",TRUE,'RAW_AR_CONTENT'!$B195=SelectedScope),'RAW_AR_CONTENT'!A195,"")</f>
        <v>192</v>
      </c>
      <c r="B196" s="12" t="str">
        <f>IF(IF(SelectedScope="All India",TRUE,'RAW_AR_CONTENT'!$B195=SelectedScope),'RAW_AR_CONTENT'!B195,"")</f>
        <v>Himachal Pradesh</v>
      </c>
      <c r="C196" s="12" t="str">
        <f>IF(IF(SelectedScope="All India",TRUE,'RAW_AR_CONTENT'!$B195=SelectedScope),'RAW_AR_CONTENT'!C195,"")</f>
        <v>Physics</v>
      </c>
      <c r="D196" s="12" t="str">
        <f>IF(IF(SelectedScope="All India",TRUE,'RAW_AR_CONTENT'!$B195=SelectedScope),'RAW_AR_CONTENT'!D195,"")</f>
        <v>Class 10</v>
      </c>
      <c r="E196" s="12" t="str">
        <f>IF(IF(SelectedScope="All India",TRUE,'RAW_AR_CONTENT'!$B195=SelectedScope),'RAW_AR_CONTENT'!E195,"")</f>
        <v>Electricity Circuits</v>
      </c>
      <c r="F196" s="12" t="str">
        <f>IF(IF(SelectedScope="All India",TRUE,'RAW_AR_CONTENT'!$B195=SelectedScope),'RAW_AR_CONTENT'!F195,"")</f>
        <v>Interactive</v>
      </c>
      <c r="G196" s="12" t="str">
        <f>IF(IF(SelectedScope="All India",TRUE,'RAW_AR_CONTENT'!$B195=SelectedScope),'RAW_AR_CONTENT'!G195,"")</f>
        <v>Active</v>
      </c>
      <c r="H196" s="12">
        <f>IF(IF(SelectedScope="All India",TRUE,'RAW_AR_CONTENT'!$B195=SelectedScope),'RAW_AR_CONTENT'!H195,"")</f>
        <v>0</v>
      </c>
      <c r="I196" s="12">
        <f>IF(IF(SelectedScope="All India",TRUE,'RAW_AR_CONTENT'!$B195=SelectedScope),'RAW_AR_CONTENT'!I195,"")</f>
        <v>0</v>
      </c>
      <c r="J196" s="12">
        <f>IF(IF(SelectedScope="All India",TRUE,'RAW_AR_CONTENT'!$B195=SelectedScope),'RAW_AR_CONTENT'!J195,"")</f>
        <v>0</v>
      </c>
      <c r="K196" s="12">
        <f>IF(IF(SelectedScope="All India",TRUE,'RAW_AR_CONTENT'!$B195=SelectedScope),'RAW_AR_CONTENT'!K195,"")</f>
        <v>0</v>
      </c>
      <c r="L196" s="12">
        <f>IF(IF(SelectedScope="All India",TRUE,'RAW_AR_CONTENT'!$B195=SelectedScope),'RAW_AR_CONTENT'!L195,"")</f>
        <v>0</v>
      </c>
      <c r="M196" s="12">
        <f>IF(IF(SelectedScope="All India",TRUE,'RAW_AR_CONTENT'!$B195=SelectedScope),'RAW_AR_CONTENT'!M195,"")</f>
        <v>0</v>
      </c>
      <c r="N196" s="12">
        <f>IF(IF(SelectedScope="All India",TRUE,'RAW_AR_CONTENT'!$B195=SelectedScope),'RAW_AR_CONTENT'!N195,"")</f>
        <v>0</v>
      </c>
      <c r="O196" s="12">
        <f>IF(IF(SelectedScope="All India",TRUE,'RAW_AR_CONTENT'!$B195=SelectedScope),'RAW_AR_CONTENT'!O195,"")</f>
        <v>0</v>
      </c>
      <c r="P196" s="12">
        <f>IF(IF(SelectedScope="All India",TRUE,'RAW_AR_CONTENT'!$B195=SelectedScope),'RAW_AR_CONTENT'!P195,"")</f>
        <v>0</v>
      </c>
      <c r="Q196" s="12">
        <f>IF(IF(SelectedScope="All India",TRUE,'RAW_AR_CONTENT'!$B195=SelectedScope),'RAW_AR_CONTENT'!Q195,"")</f>
        <v>0</v>
      </c>
      <c r="R196" s="12">
        <f>IF(IF(SelectedScope="All India",TRUE,'RAW_AR_CONTENT'!$B195=SelectedScope),'RAW_AR_CONTENT'!R195,"")</f>
        <v>0</v>
      </c>
    </row>
    <row r="197" spans="1:18" ht="15" customHeight="1" x14ac:dyDescent="0.3">
      <c r="A197" s="9">
        <f>IF(IF(SelectedScope="All India",TRUE,'RAW_AR_CONTENT'!$B196=SelectedScope),'RAW_AR_CONTENT'!A196,"")</f>
        <v>193</v>
      </c>
      <c r="B197" s="9" t="str">
        <f>IF(IF(SelectedScope="All India",TRUE,'RAW_AR_CONTENT'!$B196=SelectedScope),'RAW_AR_CONTENT'!B196,"")</f>
        <v>Himachal Pradesh</v>
      </c>
      <c r="C197" s="9" t="str">
        <f>IF(IF(SelectedScope="All India",TRUE,'RAW_AR_CONTENT'!$B196=SelectedScope),'RAW_AR_CONTENT'!C196,"")</f>
        <v>Civics</v>
      </c>
      <c r="D197" s="9" t="str">
        <f>IF(IF(SelectedScope="All India",TRUE,'RAW_AR_CONTENT'!$B196=SelectedScope),'RAW_AR_CONTENT'!D196,"")</f>
        <v>Class 9</v>
      </c>
      <c r="E197" s="9" t="str">
        <f>IF(IF(SelectedScope="All India",TRUE,'RAW_AR_CONTENT'!$B196=SelectedScope),'RAW_AR_CONTENT'!E196,"")</f>
        <v>Indian Constitution</v>
      </c>
      <c r="F197" s="9" t="str">
        <f>IF(IF(SelectedScope="All India",TRUE,'RAW_AR_CONTENT'!$B196=SelectedScope),'RAW_AR_CONTENT'!F196,"")</f>
        <v>Basic 3D</v>
      </c>
      <c r="G197" s="9" t="str">
        <f>IF(IF(SelectedScope="All India",TRUE,'RAW_AR_CONTENT'!$B196=SelectedScope),'RAW_AR_CONTENT'!G196,"")</f>
        <v>Active</v>
      </c>
      <c r="H197" s="9">
        <f>IF(IF(SelectedScope="All India",TRUE,'RAW_AR_CONTENT'!$B196=SelectedScope),'RAW_AR_CONTENT'!H196,"")</f>
        <v>0</v>
      </c>
      <c r="I197" s="9">
        <f>IF(IF(SelectedScope="All India",TRUE,'RAW_AR_CONTENT'!$B196=SelectedScope),'RAW_AR_CONTENT'!I196,"")</f>
        <v>0</v>
      </c>
      <c r="J197" s="9">
        <f>IF(IF(SelectedScope="All India",TRUE,'RAW_AR_CONTENT'!$B196=SelectedScope),'RAW_AR_CONTENT'!J196,"")</f>
        <v>0</v>
      </c>
      <c r="K197" s="9">
        <f>IF(IF(SelectedScope="All India",TRUE,'RAW_AR_CONTENT'!$B196=SelectedScope),'RAW_AR_CONTENT'!K196,"")</f>
        <v>0</v>
      </c>
      <c r="L197" s="9">
        <f>IF(IF(SelectedScope="All India",TRUE,'RAW_AR_CONTENT'!$B196=SelectedScope),'RAW_AR_CONTENT'!L196,"")</f>
        <v>0</v>
      </c>
      <c r="M197" s="9">
        <f>IF(IF(SelectedScope="All India",TRUE,'RAW_AR_CONTENT'!$B196=SelectedScope),'RAW_AR_CONTENT'!M196,"")</f>
        <v>0</v>
      </c>
      <c r="N197" s="9">
        <f>IF(IF(SelectedScope="All India",TRUE,'RAW_AR_CONTENT'!$B196=SelectedScope),'RAW_AR_CONTENT'!N196,"")</f>
        <v>0</v>
      </c>
      <c r="O197" s="9">
        <f>IF(IF(SelectedScope="All India",TRUE,'RAW_AR_CONTENT'!$B196=SelectedScope),'RAW_AR_CONTENT'!O196,"")</f>
        <v>0</v>
      </c>
      <c r="P197" s="9">
        <f>IF(IF(SelectedScope="All India",TRUE,'RAW_AR_CONTENT'!$B196=SelectedScope),'RAW_AR_CONTENT'!P196,"")</f>
        <v>0</v>
      </c>
      <c r="Q197" s="9">
        <f>IF(IF(SelectedScope="All India",TRUE,'RAW_AR_CONTENT'!$B196=SelectedScope),'RAW_AR_CONTENT'!Q196,"")</f>
        <v>0</v>
      </c>
      <c r="R197" s="9">
        <f>IF(IF(SelectedScope="All India",TRUE,'RAW_AR_CONTENT'!$B196=SelectedScope),'RAW_AR_CONTENT'!R196,"")</f>
        <v>0</v>
      </c>
    </row>
    <row r="198" spans="1:18" ht="15" customHeight="1" x14ac:dyDescent="0.3">
      <c r="A198" s="12">
        <f>IF(IF(SelectedScope="All India",TRUE,'RAW_AR_CONTENT'!$B197=SelectedScope),'RAW_AR_CONTENT'!A197,"")</f>
        <v>194</v>
      </c>
      <c r="B198" s="12" t="str">
        <f>IF(IF(SelectedScope="All India",TRUE,'RAW_AR_CONTENT'!$B197=SelectedScope),'RAW_AR_CONTENT'!B197,"")</f>
        <v>Himachal Pradesh</v>
      </c>
      <c r="C198" s="12" t="str">
        <f>IF(IF(SelectedScope="All India",TRUE,'RAW_AR_CONTENT'!$B197=SelectedScope),'RAW_AR_CONTENT'!C197,"")</f>
        <v>Environmental Science</v>
      </c>
      <c r="D198" s="12" t="str">
        <f>IF(IF(SelectedScope="All India",TRUE,'RAW_AR_CONTENT'!$B197=SelectedScope),'RAW_AR_CONTENT'!D197,"")</f>
        <v>Class 6</v>
      </c>
      <c r="E198" s="12" t="str">
        <f>IF(IF(SelectedScope="All India",TRUE,'RAW_AR_CONTENT'!$B197=SelectedScope),'RAW_AR_CONTENT'!E197,"")</f>
        <v>Food Chain</v>
      </c>
      <c r="F198" s="12" t="str">
        <f>IF(IF(SelectedScope="All India",TRUE,'RAW_AR_CONTENT'!$B197=SelectedScope),'RAW_AR_CONTENT'!F197,"")</f>
        <v>Animated</v>
      </c>
      <c r="G198" s="12" t="str">
        <f>IF(IF(SelectedScope="All India",TRUE,'RAW_AR_CONTENT'!$B197=SelectedScope),'RAW_AR_CONTENT'!G197,"")</f>
        <v>Active</v>
      </c>
      <c r="H198" s="12">
        <f>IF(IF(SelectedScope="All India",TRUE,'RAW_AR_CONTENT'!$B197=SelectedScope),'RAW_AR_CONTENT'!H197,"")</f>
        <v>0</v>
      </c>
      <c r="I198" s="12">
        <f>IF(IF(SelectedScope="All India",TRUE,'RAW_AR_CONTENT'!$B197=SelectedScope),'RAW_AR_CONTENT'!I197,"")</f>
        <v>0</v>
      </c>
      <c r="J198" s="12">
        <f>IF(IF(SelectedScope="All India",TRUE,'RAW_AR_CONTENT'!$B197=SelectedScope),'RAW_AR_CONTENT'!J197,"")</f>
        <v>0</v>
      </c>
      <c r="K198" s="12">
        <f>IF(IF(SelectedScope="All India",TRUE,'RAW_AR_CONTENT'!$B197=SelectedScope),'RAW_AR_CONTENT'!K197,"")</f>
        <v>0</v>
      </c>
      <c r="L198" s="12">
        <f>IF(IF(SelectedScope="All India",TRUE,'RAW_AR_CONTENT'!$B197=SelectedScope),'RAW_AR_CONTENT'!L197,"")</f>
        <v>0</v>
      </c>
      <c r="M198" s="12">
        <f>IF(IF(SelectedScope="All India",TRUE,'RAW_AR_CONTENT'!$B197=SelectedScope),'RAW_AR_CONTENT'!M197,"")</f>
        <v>0</v>
      </c>
      <c r="N198" s="12">
        <f>IF(IF(SelectedScope="All India",TRUE,'RAW_AR_CONTENT'!$B197=SelectedScope),'RAW_AR_CONTENT'!N197,"")</f>
        <v>0</v>
      </c>
      <c r="O198" s="12">
        <f>IF(IF(SelectedScope="All India",TRUE,'RAW_AR_CONTENT'!$B197=SelectedScope),'RAW_AR_CONTENT'!O197,"")</f>
        <v>0</v>
      </c>
      <c r="P198" s="12">
        <f>IF(IF(SelectedScope="All India",TRUE,'RAW_AR_CONTENT'!$B197=SelectedScope),'RAW_AR_CONTENT'!P197,"")</f>
        <v>0</v>
      </c>
      <c r="Q198" s="12">
        <f>IF(IF(SelectedScope="All India",TRUE,'RAW_AR_CONTENT'!$B197=SelectedScope),'RAW_AR_CONTENT'!Q197,"")</f>
        <v>0</v>
      </c>
      <c r="R198" s="12">
        <f>IF(IF(SelectedScope="All India",TRUE,'RAW_AR_CONTENT'!$B197=SelectedScope),'RAW_AR_CONTENT'!R197,"")</f>
        <v>0</v>
      </c>
    </row>
    <row r="199" spans="1:18" ht="15" customHeight="1" x14ac:dyDescent="0.3">
      <c r="A199" s="9">
        <f>IF(IF(SelectedScope="All India",TRUE,'RAW_AR_CONTENT'!$B198=SelectedScope),'RAW_AR_CONTENT'!A198,"")</f>
        <v>195</v>
      </c>
      <c r="B199" s="9" t="str">
        <f>IF(IF(SelectedScope="All India",TRUE,'RAW_AR_CONTENT'!$B198=SelectedScope),'RAW_AR_CONTENT'!B198,"")</f>
        <v>Himachal Pradesh</v>
      </c>
      <c r="C199" s="9" t="str">
        <f>IF(IF(SelectedScope="All India",TRUE,'RAW_AR_CONTENT'!$B198=SelectedScope),'RAW_AR_CONTENT'!C198,"")</f>
        <v>Mathematics</v>
      </c>
      <c r="D199" s="9" t="str">
        <f>IF(IF(SelectedScope="All India",TRUE,'RAW_AR_CONTENT'!$B198=SelectedScope),'RAW_AR_CONTENT'!D198,"")</f>
        <v>Class 10</v>
      </c>
      <c r="E199" s="9" t="str">
        <f>IF(IF(SelectedScope="All India",TRUE,'RAW_AR_CONTENT'!$B198=SelectedScope),'RAW_AR_CONTENT'!E198,"")</f>
        <v>Quadratic Equations</v>
      </c>
      <c r="F199" s="9" t="str">
        <f>IF(IF(SelectedScope="All India",TRUE,'RAW_AR_CONTENT'!$B198=SelectedScope),'RAW_AR_CONTENT'!F198,"")</f>
        <v>Animated</v>
      </c>
      <c r="G199" s="9" t="str">
        <f>IF(IF(SelectedScope="All India",TRUE,'RAW_AR_CONTENT'!$B198=SelectedScope),'RAW_AR_CONTENT'!G198,"")</f>
        <v>Active</v>
      </c>
      <c r="H199" s="9">
        <f>IF(IF(SelectedScope="All India",TRUE,'RAW_AR_CONTENT'!$B198=SelectedScope),'RAW_AR_CONTENT'!H198,"")</f>
        <v>0</v>
      </c>
      <c r="I199" s="9">
        <f>IF(IF(SelectedScope="All India",TRUE,'RAW_AR_CONTENT'!$B198=SelectedScope),'RAW_AR_CONTENT'!I198,"")</f>
        <v>0</v>
      </c>
      <c r="J199" s="9">
        <f>IF(IF(SelectedScope="All India",TRUE,'RAW_AR_CONTENT'!$B198=SelectedScope),'RAW_AR_CONTENT'!J198,"")</f>
        <v>0</v>
      </c>
      <c r="K199" s="9">
        <f>IF(IF(SelectedScope="All India",TRUE,'RAW_AR_CONTENT'!$B198=SelectedScope),'RAW_AR_CONTENT'!K198,"")</f>
        <v>0</v>
      </c>
      <c r="L199" s="9">
        <f>IF(IF(SelectedScope="All India",TRUE,'RAW_AR_CONTENT'!$B198=SelectedScope),'RAW_AR_CONTENT'!L198,"")</f>
        <v>0</v>
      </c>
      <c r="M199" s="9">
        <f>IF(IF(SelectedScope="All India",TRUE,'RAW_AR_CONTENT'!$B198=SelectedScope),'RAW_AR_CONTENT'!M198,"")</f>
        <v>0</v>
      </c>
      <c r="N199" s="9">
        <f>IF(IF(SelectedScope="All India",TRUE,'RAW_AR_CONTENT'!$B198=SelectedScope),'RAW_AR_CONTENT'!N198,"")</f>
        <v>0</v>
      </c>
      <c r="O199" s="9">
        <f>IF(IF(SelectedScope="All India",TRUE,'RAW_AR_CONTENT'!$B198=SelectedScope),'RAW_AR_CONTENT'!O198,"")</f>
        <v>0</v>
      </c>
      <c r="P199" s="9">
        <f>IF(IF(SelectedScope="All India",TRUE,'RAW_AR_CONTENT'!$B198=SelectedScope),'RAW_AR_CONTENT'!P198,"")</f>
        <v>0</v>
      </c>
      <c r="Q199" s="9">
        <f>IF(IF(SelectedScope="All India",TRUE,'RAW_AR_CONTENT'!$B198=SelectedScope),'RAW_AR_CONTENT'!Q198,"")</f>
        <v>0</v>
      </c>
      <c r="R199" s="9">
        <f>IF(IF(SelectedScope="All India",TRUE,'RAW_AR_CONTENT'!$B198=SelectedScope),'RAW_AR_CONTENT'!R198,"")</f>
        <v>0</v>
      </c>
    </row>
    <row r="200" spans="1:18" ht="15" customHeight="1" x14ac:dyDescent="0.3">
      <c r="A200" s="12">
        <f>IF(IF(SelectedScope="All India",TRUE,'RAW_AR_CONTENT'!$B199=SelectedScope),'RAW_AR_CONTENT'!A199,"")</f>
        <v>196</v>
      </c>
      <c r="B200" s="12" t="str">
        <f>IF(IF(SelectedScope="All India",TRUE,'RAW_AR_CONTENT'!$B199=SelectedScope),'RAW_AR_CONTENT'!B199,"")</f>
        <v>Jammu and Kashmir</v>
      </c>
      <c r="C200" s="12" t="str">
        <f>IF(IF(SelectedScope="All India",TRUE,'RAW_AR_CONTENT'!$B199=SelectedScope),'RAW_AR_CONTENT'!C199,"")</f>
        <v>Science</v>
      </c>
      <c r="D200" s="12" t="str">
        <f>IF(IF(SelectedScope="All India",TRUE,'RAW_AR_CONTENT'!$B199=SelectedScope),'RAW_AR_CONTENT'!D199,"")</f>
        <v>Class 8</v>
      </c>
      <c r="E200" s="12" t="str">
        <f>IF(IF(SelectedScope="All India",TRUE,'RAW_AR_CONTENT'!$B199=SelectedScope),'RAW_AR_CONTENT'!E199,"")</f>
        <v>Solar System 3D</v>
      </c>
      <c r="F200" s="12" t="str">
        <f>IF(IF(SelectedScope="All India",TRUE,'RAW_AR_CONTENT'!$B199=SelectedScope),'RAW_AR_CONTENT'!F199,"")</f>
        <v>Animated</v>
      </c>
      <c r="G200" s="12" t="str">
        <f>IF(IF(SelectedScope="All India",TRUE,'RAW_AR_CONTENT'!$B199=SelectedScope),'RAW_AR_CONTENT'!G199,"")</f>
        <v>Active</v>
      </c>
      <c r="H200" s="12">
        <f>IF(IF(SelectedScope="All India",TRUE,'RAW_AR_CONTENT'!$B199=SelectedScope),'RAW_AR_CONTENT'!H199,"")</f>
        <v>0</v>
      </c>
      <c r="I200" s="12">
        <f>IF(IF(SelectedScope="All India",TRUE,'RAW_AR_CONTENT'!$B199=SelectedScope),'RAW_AR_CONTENT'!I199,"")</f>
        <v>0</v>
      </c>
      <c r="J200" s="12">
        <f>IF(IF(SelectedScope="All India",TRUE,'RAW_AR_CONTENT'!$B199=SelectedScope),'RAW_AR_CONTENT'!J199,"")</f>
        <v>0</v>
      </c>
      <c r="K200" s="12">
        <f>IF(IF(SelectedScope="All India",TRUE,'RAW_AR_CONTENT'!$B199=SelectedScope),'RAW_AR_CONTENT'!K199,"")</f>
        <v>0</v>
      </c>
      <c r="L200" s="12">
        <f>IF(IF(SelectedScope="All India",TRUE,'RAW_AR_CONTENT'!$B199=SelectedScope),'RAW_AR_CONTENT'!L199,"")</f>
        <v>0</v>
      </c>
      <c r="M200" s="12">
        <f>IF(IF(SelectedScope="All India",TRUE,'RAW_AR_CONTENT'!$B199=SelectedScope),'RAW_AR_CONTENT'!M199,"")</f>
        <v>0</v>
      </c>
      <c r="N200" s="12">
        <f>IF(IF(SelectedScope="All India",TRUE,'RAW_AR_CONTENT'!$B199=SelectedScope),'RAW_AR_CONTENT'!N199,"")</f>
        <v>0</v>
      </c>
      <c r="O200" s="12">
        <f>IF(IF(SelectedScope="All India",TRUE,'RAW_AR_CONTENT'!$B199=SelectedScope),'RAW_AR_CONTENT'!O199,"")</f>
        <v>0</v>
      </c>
      <c r="P200" s="12">
        <f>IF(IF(SelectedScope="All India",TRUE,'RAW_AR_CONTENT'!$B199=SelectedScope),'RAW_AR_CONTENT'!P199,"")</f>
        <v>0</v>
      </c>
      <c r="Q200" s="12">
        <f>IF(IF(SelectedScope="All India",TRUE,'RAW_AR_CONTENT'!$B199=SelectedScope),'RAW_AR_CONTENT'!Q199,"")</f>
        <v>0</v>
      </c>
      <c r="R200" s="12">
        <f>IF(IF(SelectedScope="All India",TRUE,'RAW_AR_CONTENT'!$B199=SelectedScope),'RAW_AR_CONTENT'!R199,"")</f>
        <v>0</v>
      </c>
    </row>
    <row r="201" spans="1:18" ht="15" customHeight="1" x14ac:dyDescent="0.3">
      <c r="A201" s="9">
        <f>IF(IF(SelectedScope="All India",TRUE,'RAW_AR_CONTENT'!$B200=SelectedScope),'RAW_AR_CONTENT'!A200,"")</f>
        <v>197</v>
      </c>
      <c r="B201" s="9" t="str">
        <f>IF(IF(SelectedScope="All India",TRUE,'RAW_AR_CONTENT'!$B200=SelectedScope),'RAW_AR_CONTENT'!B200,"")</f>
        <v>Jammu and Kashmir</v>
      </c>
      <c r="C201" s="9" t="str">
        <f>IF(IF(SelectedScope="All India",TRUE,'RAW_AR_CONTENT'!$B200=SelectedScope),'RAW_AR_CONTENT'!C200,"")</f>
        <v>Biology</v>
      </c>
      <c r="D201" s="9" t="str">
        <f>IF(IF(SelectedScope="All India",TRUE,'RAW_AR_CONTENT'!$B200=SelectedScope),'RAW_AR_CONTENT'!D200,"")</f>
        <v>Class 9</v>
      </c>
      <c r="E201" s="9" t="str">
        <f>IF(IF(SelectedScope="All India",TRUE,'RAW_AR_CONTENT'!$B200=SelectedScope),'RAW_AR_CONTENT'!E200,"")</f>
        <v>Cell Division</v>
      </c>
      <c r="F201" s="9" t="str">
        <f>IF(IF(SelectedScope="All India",TRUE,'RAW_AR_CONTENT'!$B200=SelectedScope),'RAW_AR_CONTENT'!F200,"")</f>
        <v>Interactive</v>
      </c>
      <c r="G201" s="9" t="str">
        <f>IF(IF(SelectedScope="All India",TRUE,'RAW_AR_CONTENT'!$B200=SelectedScope),'RAW_AR_CONTENT'!G200,"")</f>
        <v>Active</v>
      </c>
      <c r="H201" s="9">
        <f>IF(IF(SelectedScope="All India",TRUE,'RAW_AR_CONTENT'!$B200=SelectedScope),'RAW_AR_CONTENT'!H200,"")</f>
        <v>0</v>
      </c>
      <c r="I201" s="9">
        <f>IF(IF(SelectedScope="All India",TRUE,'RAW_AR_CONTENT'!$B200=SelectedScope),'RAW_AR_CONTENT'!I200,"")</f>
        <v>0</v>
      </c>
      <c r="J201" s="9">
        <f>IF(IF(SelectedScope="All India",TRUE,'RAW_AR_CONTENT'!$B200=SelectedScope),'RAW_AR_CONTENT'!J200,"")</f>
        <v>0</v>
      </c>
      <c r="K201" s="9">
        <f>IF(IF(SelectedScope="All India",TRUE,'RAW_AR_CONTENT'!$B200=SelectedScope),'RAW_AR_CONTENT'!K200,"")</f>
        <v>0</v>
      </c>
      <c r="L201" s="9">
        <f>IF(IF(SelectedScope="All India",TRUE,'RAW_AR_CONTENT'!$B200=SelectedScope),'RAW_AR_CONTENT'!L200,"")</f>
        <v>0</v>
      </c>
      <c r="M201" s="9">
        <f>IF(IF(SelectedScope="All India",TRUE,'RAW_AR_CONTENT'!$B200=SelectedScope),'RAW_AR_CONTENT'!M200,"")</f>
        <v>0</v>
      </c>
      <c r="N201" s="9">
        <f>IF(IF(SelectedScope="All India",TRUE,'RAW_AR_CONTENT'!$B200=SelectedScope),'RAW_AR_CONTENT'!N200,"")</f>
        <v>0</v>
      </c>
      <c r="O201" s="9">
        <f>IF(IF(SelectedScope="All India",TRUE,'RAW_AR_CONTENT'!$B200=SelectedScope),'RAW_AR_CONTENT'!O200,"")</f>
        <v>0</v>
      </c>
      <c r="P201" s="9">
        <f>IF(IF(SelectedScope="All India",TRUE,'RAW_AR_CONTENT'!$B200=SelectedScope),'RAW_AR_CONTENT'!P200,"")</f>
        <v>0</v>
      </c>
      <c r="Q201" s="9">
        <f>IF(IF(SelectedScope="All India",TRUE,'RAW_AR_CONTENT'!$B200=SelectedScope),'RAW_AR_CONTENT'!Q200,"")</f>
        <v>0</v>
      </c>
      <c r="R201" s="9">
        <f>IF(IF(SelectedScope="All India",TRUE,'RAW_AR_CONTENT'!$B200=SelectedScope),'RAW_AR_CONTENT'!R200,"")</f>
        <v>0</v>
      </c>
    </row>
    <row r="202" spans="1:18" ht="15" customHeight="1" x14ac:dyDescent="0.3">
      <c r="A202" s="12">
        <f>IF(IF(SelectedScope="All India",TRUE,'RAW_AR_CONTENT'!$B201=SelectedScope),'RAW_AR_CONTENT'!A201,"")</f>
        <v>198</v>
      </c>
      <c r="B202" s="12" t="str">
        <f>IF(IF(SelectedScope="All India",TRUE,'RAW_AR_CONTENT'!$B201=SelectedScope),'RAW_AR_CONTENT'!B201,"")</f>
        <v>Jammu and Kashmir</v>
      </c>
      <c r="C202" s="12" t="str">
        <f>IF(IF(SelectedScope="All India",TRUE,'RAW_AR_CONTENT'!$B201=SelectedScope),'RAW_AR_CONTENT'!C201,"")</f>
        <v>Chemistry</v>
      </c>
      <c r="D202" s="12" t="str">
        <f>IF(IF(SelectedScope="All India",TRUE,'RAW_AR_CONTENT'!$B201=SelectedScope),'RAW_AR_CONTENT'!D201,"")</f>
        <v>Class 9</v>
      </c>
      <c r="E202" s="12" t="str">
        <f>IF(IF(SelectedScope="All India",TRUE,'RAW_AR_CONTENT'!$B201=SelectedScope),'RAW_AR_CONTENT'!E201,"")</f>
        <v>Atoms and Molecules</v>
      </c>
      <c r="F202" s="12" t="str">
        <f>IF(IF(SelectedScope="All India",TRUE,'RAW_AR_CONTENT'!$B201=SelectedScope),'RAW_AR_CONTENT'!F201,"")</f>
        <v>Animated</v>
      </c>
      <c r="G202" s="12" t="str">
        <f>IF(IF(SelectedScope="All India",TRUE,'RAW_AR_CONTENT'!$B201=SelectedScope),'RAW_AR_CONTENT'!G201,"")</f>
        <v>Active</v>
      </c>
      <c r="H202" s="12">
        <f>IF(IF(SelectedScope="All India",TRUE,'RAW_AR_CONTENT'!$B201=SelectedScope),'RAW_AR_CONTENT'!H201,"")</f>
        <v>0</v>
      </c>
      <c r="I202" s="12">
        <f>IF(IF(SelectedScope="All India",TRUE,'RAW_AR_CONTENT'!$B201=SelectedScope),'RAW_AR_CONTENT'!I201,"")</f>
        <v>0</v>
      </c>
      <c r="J202" s="12">
        <f>IF(IF(SelectedScope="All India",TRUE,'RAW_AR_CONTENT'!$B201=SelectedScope),'RAW_AR_CONTENT'!J201,"")</f>
        <v>0</v>
      </c>
      <c r="K202" s="12">
        <f>IF(IF(SelectedScope="All India",TRUE,'RAW_AR_CONTENT'!$B201=SelectedScope),'RAW_AR_CONTENT'!K201,"")</f>
        <v>0</v>
      </c>
      <c r="L202" s="12">
        <f>IF(IF(SelectedScope="All India",TRUE,'RAW_AR_CONTENT'!$B201=SelectedScope),'RAW_AR_CONTENT'!L201,"")</f>
        <v>0</v>
      </c>
      <c r="M202" s="12">
        <f>IF(IF(SelectedScope="All India",TRUE,'RAW_AR_CONTENT'!$B201=SelectedScope),'RAW_AR_CONTENT'!M201,"")</f>
        <v>0</v>
      </c>
      <c r="N202" s="12">
        <f>IF(IF(SelectedScope="All India",TRUE,'RAW_AR_CONTENT'!$B201=SelectedScope),'RAW_AR_CONTENT'!N201,"")</f>
        <v>0</v>
      </c>
      <c r="O202" s="12">
        <f>IF(IF(SelectedScope="All India",TRUE,'RAW_AR_CONTENT'!$B201=SelectedScope),'RAW_AR_CONTENT'!O201,"")</f>
        <v>0</v>
      </c>
      <c r="P202" s="12">
        <f>IF(IF(SelectedScope="All India",TRUE,'RAW_AR_CONTENT'!$B201=SelectedScope),'RAW_AR_CONTENT'!P201,"")</f>
        <v>0</v>
      </c>
      <c r="Q202" s="12">
        <f>IF(IF(SelectedScope="All India",TRUE,'RAW_AR_CONTENT'!$B201=SelectedScope),'RAW_AR_CONTENT'!Q201,"")</f>
        <v>0</v>
      </c>
      <c r="R202" s="12">
        <f>IF(IF(SelectedScope="All India",TRUE,'RAW_AR_CONTENT'!$B201=SelectedScope),'RAW_AR_CONTENT'!R201,"")</f>
        <v>0</v>
      </c>
    </row>
    <row r="203" spans="1:18" ht="15" customHeight="1" x14ac:dyDescent="0.3">
      <c r="A203" s="9">
        <f>IF(IF(SelectedScope="All India",TRUE,'RAW_AR_CONTENT'!$B202=SelectedScope),'RAW_AR_CONTENT'!A202,"")</f>
        <v>199</v>
      </c>
      <c r="B203" s="9" t="str">
        <f>IF(IF(SelectedScope="All India",TRUE,'RAW_AR_CONTENT'!$B202=SelectedScope),'RAW_AR_CONTENT'!B202,"")</f>
        <v>Jammu and Kashmir</v>
      </c>
      <c r="C203" s="9" t="str">
        <f>IF(IF(SelectedScope="All India",TRUE,'RAW_AR_CONTENT'!$B202=SelectedScope),'RAW_AR_CONTENT'!C202,"")</f>
        <v>Biology</v>
      </c>
      <c r="D203" s="9" t="str">
        <f>IF(IF(SelectedScope="All India",TRUE,'RAW_AR_CONTENT'!$B202=SelectedScope),'RAW_AR_CONTENT'!D202,"")</f>
        <v>Class 7</v>
      </c>
      <c r="E203" s="9" t="str">
        <f>IF(IF(SelectedScope="All India",TRUE,'RAW_AR_CONTENT'!$B202=SelectedScope),'RAW_AR_CONTENT'!E202,"")</f>
        <v>Photosynthesis</v>
      </c>
      <c r="F203" s="9" t="str">
        <f>IF(IF(SelectedScope="All India",TRUE,'RAW_AR_CONTENT'!$B202=SelectedScope),'RAW_AR_CONTENT'!F202,"")</f>
        <v>Basic 3D</v>
      </c>
      <c r="G203" s="9" t="str">
        <f>IF(IF(SelectedScope="All India",TRUE,'RAW_AR_CONTENT'!$B202=SelectedScope),'RAW_AR_CONTENT'!G202,"")</f>
        <v>Active</v>
      </c>
      <c r="H203" s="9">
        <f>IF(IF(SelectedScope="All India",TRUE,'RAW_AR_CONTENT'!$B202=SelectedScope),'RAW_AR_CONTENT'!H202,"")</f>
        <v>0</v>
      </c>
      <c r="I203" s="9">
        <f>IF(IF(SelectedScope="All India",TRUE,'RAW_AR_CONTENT'!$B202=SelectedScope),'RAW_AR_CONTENT'!I202,"")</f>
        <v>0</v>
      </c>
      <c r="J203" s="9">
        <f>IF(IF(SelectedScope="All India",TRUE,'RAW_AR_CONTENT'!$B202=SelectedScope),'RAW_AR_CONTENT'!J202,"")</f>
        <v>0</v>
      </c>
      <c r="K203" s="9">
        <f>IF(IF(SelectedScope="All India",TRUE,'RAW_AR_CONTENT'!$B202=SelectedScope),'RAW_AR_CONTENT'!K202,"")</f>
        <v>0</v>
      </c>
      <c r="L203" s="9">
        <f>IF(IF(SelectedScope="All India",TRUE,'RAW_AR_CONTENT'!$B202=SelectedScope),'RAW_AR_CONTENT'!L202,"")</f>
        <v>0</v>
      </c>
      <c r="M203" s="9">
        <f>IF(IF(SelectedScope="All India",TRUE,'RAW_AR_CONTENT'!$B202=SelectedScope),'RAW_AR_CONTENT'!M202,"")</f>
        <v>0</v>
      </c>
      <c r="N203" s="9">
        <f>IF(IF(SelectedScope="All India",TRUE,'RAW_AR_CONTENT'!$B202=SelectedScope),'RAW_AR_CONTENT'!N202,"")</f>
        <v>0</v>
      </c>
      <c r="O203" s="9">
        <f>IF(IF(SelectedScope="All India",TRUE,'RAW_AR_CONTENT'!$B202=SelectedScope),'RAW_AR_CONTENT'!O202,"")</f>
        <v>0</v>
      </c>
      <c r="P203" s="9">
        <f>IF(IF(SelectedScope="All India",TRUE,'RAW_AR_CONTENT'!$B202=SelectedScope),'RAW_AR_CONTENT'!P202,"")</f>
        <v>0</v>
      </c>
      <c r="Q203" s="9">
        <f>IF(IF(SelectedScope="All India",TRUE,'RAW_AR_CONTENT'!$B202=SelectedScope),'RAW_AR_CONTENT'!Q202,"")</f>
        <v>0</v>
      </c>
      <c r="R203" s="9">
        <f>IF(IF(SelectedScope="All India",TRUE,'RAW_AR_CONTENT'!$B202=SelectedScope),'RAW_AR_CONTENT'!R202,"")</f>
        <v>0</v>
      </c>
    </row>
    <row r="204" spans="1:18" ht="15" customHeight="1" x14ac:dyDescent="0.3">
      <c r="A204" s="12">
        <f>IF(IF(SelectedScope="All India",TRUE,'RAW_AR_CONTENT'!$B203=SelectedScope),'RAW_AR_CONTENT'!A203,"")</f>
        <v>200</v>
      </c>
      <c r="B204" s="12" t="str">
        <f>IF(IF(SelectedScope="All India",TRUE,'RAW_AR_CONTENT'!$B203=SelectedScope),'RAW_AR_CONTENT'!B203,"")</f>
        <v>Jammu and Kashmir</v>
      </c>
      <c r="C204" s="12" t="str">
        <f>IF(IF(SelectedScope="All India",TRUE,'RAW_AR_CONTENT'!$B203=SelectedScope),'RAW_AR_CONTENT'!C203,"")</f>
        <v>Mathematics</v>
      </c>
      <c r="D204" s="12" t="str">
        <f>IF(IF(SelectedScope="All India",TRUE,'RAW_AR_CONTENT'!$B203=SelectedScope),'RAW_AR_CONTENT'!D203,"")</f>
        <v>Class 7</v>
      </c>
      <c r="E204" s="12" t="str">
        <f>IF(IF(SelectedScope="All India",TRUE,'RAW_AR_CONTENT'!$B203=SelectedScope),'RAW_AR_CONTENT'!E203,"")</f>
        <v>Fractions 3D Model</v>
      </c>
      <c r="F204" s="12" t="str">
        <f>IF(IF(SelectedScope="All India",TRUE,'RAW_AR_CONTENT'!$B203=SelectedScope),'RAW_AR_CONTENT'!F203,"")</f>
        <v>Interactive</v>
      </c>
      <c r="G204" s="12" t="str">
        <f>IF(IF(SelectedScope="All India",TRUE,'RAW_AR_CONTENT'!$B203=SelectedScope),'RAW_AR_CONTENT'!G203,"")</f>
        <v>Active</v>
      </c>
      <c r="H204" s="12">
        <f>IF(IF(SelectedScope="All India",TRUE,'RAW_AR_CONTENT'!$B203=SelectedScope),'RAW_AR_CONTENT'!H203,"")</f>
        <v>0</v>
      </c>
      <c r="I204" s="12">
        <f>IF(IF(SelectedScope="All India",TRUE,'RAW_AR_CONTENT'!$B203=SelectedScope),'RAW_AR_CONTENT'!I203,"")</f>
        <v>0</v>
      </c>
      <c r="J204" s="12">
        <f>IF(IF(SelectedScope="All India",TRUE,'RAW_AR_CONTENT'!$B203=SelectedScope),'RAW_AR_CONTENT'!J203,"")</f>
        <v>0</v>
      </c>
      <c r="K204" s="12">
        <f>IF(IF(SelectedScope="All India",TRUE,'RAW_AR_CONTENT'!$B203=SelectedScope),'RAW_AR_CONTENT'!K203,"")</f>
        <v>0</v>
      </c>
      <c r="L204" s="12">
        <f>IF(IF(SelectedScope="All India",TRUE,'RAW_AR_CONTENT'!$B203=SelectedScope),'RAW_AR_CONTENT'!L203,"")</f>
        <v>0</v>
      </c>
      <c r="M204" s="12">
        <f>IF(IF(SelectedScope="All India",TRUE,'RAW_AR_CONTENT'!$B203=SelectedScope),'RAW_AR_CONTENT'!M203,"")</f>
        <v>0</v>
      </c>
      <c r="N204" s="12">
        <f>IF(IF(SelectedScope="All India",TRUE,'RAW_AR_CONTENT'!$B203=SelectedScope),'RAW_AR_CONTENT'!N203,"")</f>
        <v>0</v>
      </c>
      <c r="O204" s="12">
        <f>IF(IF(SelectedScope="All India",TRUE,'RAW_AR_CONTENT'!$B203=SelectedScope),'RAW_AR_CONTENT'!O203,"")</f>
        <v>0</v>
      </c>
      <c r="P204" s="12">
        <f>IF(IF(SelectedScope="All India",TRUE,'RAW_AR_CONTENT'!$B203=SelectedScope),'RAW_AR_CONTENT'!P203,"")</f>
        <v>0</v>
      </c>
      <c r="Q204" s="12">
        <f>IF(IF(SelectedScope="All India",TRUE,'RAW_AR_CONTENT'!$B203=SelectedScope),'RAW_AR_CONTENT'!Q203,"")</f>
        <v>0</v>
      </c>
      <c r="R204" s="12">
        <f>IF(IF(SelectedScope="All India",TRUE,'RAW_AR_CONTENT'!$B203=SelectedScope),'RAW_AR_CONTENT'!R203,"")</f>
        <v>0</v>
      </c>
    </row>
    <row r="205" spans="1:18" ht="15" customHeight="1" x14ac:dyDescent="0.3">
      <c r="A205" s="9">
        <f>IF(IF(SelectedScope="All India",TRUE,'RAW_AR_CONTENT'!$B204=SelectedScope),'RAW_AR_CONTENT'!A204,"")</f>
        <v>201</v>
      </c>
      <c r="B205" s="9" t="str">
        <f>IF(IF(SelectedScope="All India",TRUE,'RAW_AR_CONTENT'!$B204=SelectedScope),'RAW_AR_CONTENT'!B204,"")</f>
        <v>Jammu and Kashmir</v>
      </c>
      <c r="C205" s="9" t="str">
        <f>IF(IF(SelectedScope="All India",TRUE,'RAW_AR_CONTENT'!$B204=SelectedScope),'RAW_AR_CONTENT'!C204,"")</f>
        <v>Mathematics</v>
      </c>
      <c r="D205" s="9" t="str">
        <f>IF(IF(SelectedScope="All India",TRUE,'RAW_AR_CONTENT'!$B204=SelectedScope),'RAW_AR_CONTENT'!D204,"")</f>
        <v>Class 10</v>
      </c>
      <c r="E205" s="9" t="str">
        <f>IF(IF(SelectedScope="All India",TRUE,'RAW_AR_CONTENT'!$B204=SelectedScope),'RAW_AR_CONTENT'!E204,"")</f>
        <v>Trigonometry 3D</v>
      </c>
      <c r="F205" s="9" t="str">
        <f>IF(IF(SelectedScope="All India",TRUE,'RAW_AR_CONTENT'!$B204=SelectedScope),'RAW_AR_CONTENT'!F204,"")</f>
        <v>Animated</v>
      </c>
      <c r="G205" s="9" t="str">
        <f>IF(IF(SelectedScope="All India",TRUE,'RAW_AR_CONTENT'!$B204=SelectedScope),'RAW_AR_CONTENT'!G204,"")</f>
        <v>Active</v>
      </c>
      <c r="H205" s="9">
        <f>IF(IF(SelectedScope="All India",TRUE,'RAW_AR_CONTENT'!$B204=SelectedScope),'RAW_AR_CONTENT'!H204,"")</f>
        <v>0</v>
      </c>
      <c r="I205" s="9">
        <f>IF(IF(SelectedScope="All India",TRUE,'RAW_AR_CONTENT'!$B204=SelectedScope),'RAW_AR_CONTENT'!I204,"")</f>
        <v>0</v>
      </c>
      <c r="J205" s="9">
        <f>IF(IF(SelectedScope="All India",TRUE,'RAW_AR_CONTENT'!$B204=SelectedScope),'RAW_AR_CONTENT'!J204,"")</f>
        <v>0</v>
      </c>
      <c r="K205" s="9">
        <f>IF(IF(SelectedScope="All India",TRUE,'RAW_AR_CONTENT'!$B204=SelectedScope),'RAW_AR_CONTENT'!K204,"")</f>
        <v>0</v>
      </c>
      <c r="L205" s="9">
        <f>IF(IF(SelectedScope="All India",TRUE,'RAW_AR_CONTENT'!$B204=SelectedScope),'RAW_AR_CONTENT'!L204,"")</f>
        <v>0</v>
      </c>
      <c r="M205" s="9">
        <f>IF(IF(SelectedScope="All India",TRUE,'RAW_AR_CONTENT'!$B204=SelectedScope),'RAW_AR_CONTENT'!M204,"")</f>
        <v>0</v>
      </c>
      <c r="N205" s="9">
        <f>IF(IF(SelectedScope="All India",TRUE,'RAW_AR_CONTENT'!$B204=SelectedScope),'RAW_AR_CONTENT'!N204,"")</f>
        <v>0</v>
      </c>
      <c r="O205" s="9">
        <f>IF(IF(SelectedScope="All India",TRUE,'RAW_AR_CONTENT'!$B204=SelectedScope),'RAW_AR_CONTENT'!O204,"")</f>
        <v>0</v>
      </c>
      <c r="P205" s="9">
        <f>IF(IF(SelectedScope="All India",TRUE,'RAW_AR_CONTENT'!$B204=SelectedScope),'RAW_AR_CONTENT'!P204,"")</f>
        <v>0</v>
      </c>
      <c r="Q205" s="9">
        <f>IF(IF(SelectedScope="All India",TRUE,'RAW_AR_CONTENT'!$B204=SelectedScope),'RAW_AR_CONTENT'!Q204,"")</f>
        <v>0</v>
      </c>
      <c r="R205" s="9">
        <f>IF(IF(SelectedScope="All India",TRUE,'RAW_AR_CONTENT'!$B204=SelectedScope),'RAW_AR_CONTENT'!R204,"")</f>
        <v>0</v>
      </c>
    </row>
    <row r="206" spans="1:18" ht="15" customHeight="1" x14ac:dyDescent="0.3">
      <c r="A206" s="12">
        <f>IF(IF(SelectedScope="All India",TRUE,'RAW_AR_CONTENT'!$B205=SelectedScope),'RAW_AR_CONTENT'!A205,"")</f>
        <v>202</v>
      </c>
      <c r="B206" s="12" t="str">
        <f>IF(IF(SelectedScope="All India",TRUE,'RAW_AR_CONTENT'!$B205=SelectedScope),'RAW_AR_CONTENT'!B205,"")</f>
        <v>Jammu and Kashmir</v>
      </c>
      <c r="C206" s="12" t="str">
        <f>IF(IF(SelectedScope="All India",TRUE,'RAW_AR_CONTENT'!$B205=SelectedScope),'RAW_AR_CONTENT'!C205,"")</f>
        <v>History</v>
      </c>
      <c r="D206" s="12" t="str">
        <f>IF(IF(SelectedScope="All India",TRUE,'RAW_AR_CONTENT'!$B205=SelectedScope),'RAW_AR_CONTENT'!D205,"")</f>
        <v>Class 10</v>
      </c>
      <c r="E206" s="12" t="str">
        <f>IF(IF(SelectedScope="All India",TRUE,'RAW_AR_CONTENT'!$B205=SelectedScope),'RAW_AR_CONTENT'!E205,"")</f>
        <v>Mughal Empire AR</v>
      </c>
      <c r="F206" s="12" t="str">
        <f>IF(IF(SelectedScope="All India",TRUE,'RAW_AR_CONTENT'!$B205=SelectedScope),'RAW_AR_CONTENT'!F205,"")</f>
        <v>Basic 3D</v>
      </c>
      <c r="G206" s="12" t="str">
        <f>IF(IF(SelectedScope="All India",TRUE,'RAW_AR_CONTENT'!$B205=SelectedScope),'RAW_AR_CONTENT'!G205,"")</f>
        <v>Active</v>
      </c>
      <c r="H206" s="12">
        <f>IF(IF(SelectedScope="All India",TRUE,'RAW_AR_CONTENT'!$B205=SelectedScope),'RAW_AR_CONTENT'!H205,"")</f>
        <v>0</v>
      </c>
      <c r="I206" s="12">
        <f>IF(IF(SelectedScope="All India",TRUE,'RAW_AR_CONTENT'!$B205=SelectedScope),'RAW_AR_CONTENT'!I205,"")</f>
        <v>0</v>
      </c>
      <c r="J206" s="12">
        <f>IF(IF(SelectedScope="All India",TRUE,'RAW_AR_CONTENT'!$B205=SelectedScope),'RAW_AR_CONTENT'!J205,"")</f>
        <v>0</v>
      </c>
      <c r="K206" s="12">
        <f>IF(IF(SelectedScope="All India",TRUE,'RAW_AR_CONTENT'!$B205=SelectedScope),'RAW_AR_CONTENT'!K205,"")</f>
        <v>0</v>
      </c>
      <c r="L206" s="12">
        <f>IF(IF(SelectedScope="All India",TRUE,'RAW_AR_CONTENT'!$B205=SelectedScope),'RAW_AR_CONTENT'!L205,"")</f>
        <v>0</v>
      </c>
      <c r="M206" s="12">
        <f>IF(IF(SelectedScope="All India",TRUE,'RAW_AR_CONTENT'!$B205=SelectedScope),'RAW_AR_CONTENT'!M205,"")</f>
        <v>0</v>
      </c>
      <c r="N206" s="12">
        <f>IF(IF(SelectedScope="All India",TRUE,'RAW_AR_CONTENT'!$B205=SelectedScope),'RAW_AR_CONTENT'!N205,"")</f>
        <v>0</v>
      </c>
      <c r="O206" s="12">
        <f>IF(IF(SelectedScope="All India",TRUE,'RAW_AR_CONTENT'!$B205=SelectedScope),'RAW_AR_CONTENT'!O205,"")</f>
        <v>0</v>
      </c>
      <c r="P206" s="12">
        <f>IF(IF(SelectedScope="All India",TRUE,'RAW_AR_CONTENT'!$B205=SelectedScope),'RAW_AR_CONTENT'!P205,"")</f>
        <v>0</v>
      </c>
      <c r="Q206" s="12">
        <f>IF(IF(SelectedScope="All India",TRUE,'RAW_AR_CONTENT'!$B205=SelectedScope),'RAW_AR_CONTENT'!Q205,"")</f>
        <v>0</v>
      </c>
      <c r="R206" s="12">
        <f>IF(IF(SelectedScope="All India",TRUE,'RAW_AR_CONTENT'!$B205=SelectedScope),'RAW_AR_CONTENT'!R205,"")</f>
        <v>0</v>
      </c>
    </row>
    <row r="207" spans="1:18" ht="15" customHeight="1" x14ac:dyDescent="0.3">
      <c r="A207" s="9">
        <f>IF(IF(SelectedScope="All India",TRUE,'RAW_AR_CONTENT'!$B206=SelectedScope),'RAW_AR_CONTENT'!A206,"")</f>
        <v>203</v>
      </c>
      <c r="B207" s="9" t="str">
        <f>IF(IF(SelectedScope="All India",TRUE,'RAW_AR_CONTENT'!$B206=SelectedScope),'RAW_AR_CONTENT'!B206,"")</f>
        <v>Jammu and Kashmir</v>
      </c>
      <c r="C207" s="9" t="str">
        <f>IF(IF(SelectedScope="All India",TRUE,'RAW_AR_CONTENT'!$B206=SelectedScope),'RAW_AR_CONTENT'!C206,"")</f>
        <v>Geography</v>
      </c>
      <c r="D207" s="9" t="str">
        <f>IF(IF(SelectedScope="All India",TRUE,'RAW_AR_CONTENT'!$B206=SelectedScope),'RAW_AR_CONTENT'!D206,"")</f>
        <v>Class 6</v>
      </c>
      <c r="E207" s="9" t="str">
        <f>IF(IF(SelectedScope="All India",TRUE,'RAW_AR_CONTENT'!$B206=SelectedScope),'RAW_AR_CONTENT'!E206,"")</f>
        <v>Water Cycle Simulation</v>
      </c>
      <c r="F207" s="9" t="str">
        <f>IF(IF(SelectedScope="All India",TRUE,'RAW_AR_CONTENT'!$B206=SelectedScope),'RAW_AR_CONTENT'!F206,"")</f>
        <v>Animated</v>
      </c>
      <c r="G207" s="9" t="str">
        <f>IF(IF(SelectedScope="All India",TRUE,'RAW_AR_CONTENT'!$B206=SelectedScope),'RAW_AR_CONTENT'!G206,"")</f>
        <v>Active</v>
      </c>
      <c r="H207" s="9">
        <f>IF(IF(SelectedScope="All India",TRUE,'RAW_AR_CONTENT'!$B206=SelectedScope),'RAW_AR_CONTENT'!H206,"")</f>
        <v>0</v>
      </c>
      <c r="I207" s="9">
        <f>IF(IF(SelectedScope="All India",TRUE,'RAW_AR_CONTENT'!$B206=SelectedScope),'RAW_AR_CONTENT'!I206,"")</f>
        <v>0</v>
      </c>
      <c r="J207" s="9">
        <f>IF(IF(SelectedScope="All India",TRUE,'RAW_AR_CONTENT'!$B206=SelectedScope),'RAW_AR_CONTENT'!J206,"")</f>
        <v>0</v>
      </c>
      <c r="K207" s="9">
        <f>IF(IF(SelectedScope="All India",TRUE,'RAW_AR_CONTENT'!$B206=SelectedScope),'RAW_AR_CONTENT'!K206,"")</f>
        <v>0</v>
      </c>
      <c r="L207" s="9">
        <f>IF(IF(SelectedScope="All India",TRUE,'RAW_AR_CONTENT'!$B206=SelectedScope),'RAW_AR_CONTENT'!L206,"")</f>
        <v>0</v>
      </c>
      <c r="M207" s="9">
        <f>IF(IF(SelectedScope="All India",TRUE,'RAW_AR_CONTENT'!$B206=SelectedScope),'RAW_AR_CONTENT'!M206,"")</f>
        <v>0</v>
      </c>
      <c r="N207" s="9">
        <f>IF(IF(SelectedScope="All India",TRUE,'RAW_AR_CONTENT'!$B206=SelectedScope),'RAW_AR_CONTENT'!N206,"")</f>
        <v>0</v>
      </c>
      <c r="O207" s="9">
        <f>IF(IF(SelectedScope="All India",TRUE,'RAW_AR_CONTENT'!$B206=SelectedScope),'RAW_AR_CONTENT'!O206,"")</f>
        <v>0</v>
      </c>
      <c r="P207" s="9">
        <f>IF(IF(SelectedScope="All India",TRUE,'RAW_AR_CONTENT'!$B206=SelectedScope),'RAW_AR_CONTENT'!P206,"")</f>
        <v>0</v>
      </c>
      <c r="Q207" s="9">
        <f>IF(IF(SelectedScope="All India",TRUE,'RAW_AR_CONTENT'!$B206=SelectedScope),'RAW_AR_CONTENT'!Q206,"")</f>
        <v>0</v>
      </c>
      <c r="R207" s="9">
        <f>IF(IF(SelectedScope="All India",TRUE,'RAW_AR_CONTENT'!$B206=SelectedScope),'RAW_AR_CONTENT'!R206,"")</f>
        <v>0</v>
      </c>
    </row>
    <row r="208" spans="1:18" ht="15" customHeight="1" x14ac:dyDescent="0.3">
      <c r="A208" s="12">
        <f>IF(IF(SelectedScope="All India",TRUE,'RAW_AR_CONTENT'!$B207=SelectedScope),'RAW_AR_CONTENT'!A207,"")</f>
        <v>204</v>
      </c>
      <c r="B208" s="12" t="str">
        <f>IF(IF(SelectedScope="All India",TRUE,'RAW_AR_CONTENT'!$B207=SelectedScope),'RAW_AR_CONTENT'!B207,"")</f>
        <v>Jammu and Kashmir</v>
      </c>
      <c r="C208" s="12" t="str">
        <f>IF(IF(SelectedScope="All India",TRUE,'RAW_AR_CONTENT'!$B207=SelectedScope),'RAW_AR_CONTENT'!C207,"")</f>
        <v>Biology</v>
      </c>
      <c r="D208" s="12" t="str">
        <f>IF(IF(SelectedScope="All India",TRUE,'RAW_AR_CONTENT'!$B207=SelectedScope),'RAW_AR_CONTENT'!D207,"")</f>
        <v>Class 11</v>
      </c>
      <c r="E208" s="12" t="str">
        <f>IF(IF(SelectedScope="All India",TRUE,'RAW_AR_CONTENT'!$B207=SelectedScope),'RAW_AR_CONTENT'!E207,"")</f>
        <v>Human Anatomy AR</v>
      </c>
      <c r="F208" s="12" t="str">
        <f>IF(IF(SelectedScope="All India",TRUE,'RAW_AR_CONTENT'!$B207=SelectedScope),'RAW_AR_CONTENT'!F207,"")</f>
        <v>Fully Immersive</v>
      </c>
      <c r="G208" s="12" t="str">
        <f>IF(IF(SelectedScope="All India",TRUE,'RAW_AR_CONTENT'!$B207=SelectedScope),'RAW_AR_CONTENT'!G207,"")</f>
        <v>Active</v>
      </c>
      <c r="H208" s="12">
        <f>IF(IF(SelectedScope="All India",TRUE,'RAW_AR_CONTENT'!$B207=SelectedScope),'RAW_AR_CONTENT'!H207,"")</f>
        <v>0</v>
      </c>
      <c r="I208" s="12">
        <f>IF(IF(SelectedScope="All India",TRUE,'RAW_AR_CONTENT'!$B207=SelectedScope),'RAW_AR_CONTENT'!I207,"")</f>
        <v>0</v>
      </c>
      <c r="J208" s="12">
        <f>IF(IF(SelectedScope="All India",TRUE,'RAW_AR_CONTENT'!$B207=SelectedScope),'RAW_AR_CONTENT'!J207,"")</f>
        <v>0</v>
      </c>
      <c r="K208" s="12">
        <f>IF(IF(SelectedScope="All India",TRUE,'RAW_AR_CONTENT'!$B207=SelectedScope),'RAW_AR_CONTENT'!K207,"")</f>
        <v>0</v>
      </c>
      <c r="L208" s="12">
        <f>IF(IF(SelectedScope="All India",TRUE,'RAW_AR_CONTENT'!$B207=SelectedScope),'RAW_AR_CONTENT'!L207,"")</f>
        <v>0</v>
      </c>
      <c r="M208" s="12">
        <f>IF(IF(SelectedScope="All India",TRUE,'RAW_AR_CONTENT'!$B207=SelectedScope),'RAW_AR_CONTENT'!M207,"")</f>
        <v>0</v>
      </c>
      <c r="N208" s="12">
        <f>IF(IF(SelectedScope="All India",TRUE,'RAW_AR_CONTENT'!$B207=SelectedScope),'RAW_AR_CONTENT'!N207,"")</f>
        <v>0</v>
      </c>
      <c r="O208" s="12">
        <f>IF(IF(SelectedScope="All India",TRUE,'RAW_AR_CONTENT'!$B207=SelectedScope),'RAW_AR_CONTENT'!O207,"")</f>
        <v>0</v>
      </c>
      <c r="P208" s="12">
        <f>IF(IF(SelectedScope="All India",TRUE,'RAW_AR_CONTENT'!$B207=SelectedScope),'RAW_AR_CONTENT'!P207,"")</f>
        <v>0</v>
      </c>
      <c r="Q208" s="12">
        <f>IF(IF(SelectedScope="All India",TRUE,'RAW_AR_CONTENT'!$B207=SelectedScope),'RAW_AR_CONTENT'!Q207,"")</f>
        <v>0</v>
      </c>
      <c r="R208" s="12">
        <f>IF(IF(SelectedScope="All India",TRUE,'RAW_AR_CONTENT'!$B207=SelectedScope),'RAW_AR_CONTENT'!R207,"")</f>
        <v>0</v>
      </c>
    </row>
    <row r="209" spans="1:18" ht="15" customHeight="1" x14ac:dyDescent="0.3">
      <c r="A209" s="9">
        <f>IF(IF(SelectedScope="All India",TRUE,'RAW_AR_CONTENT'!$B208=SelectedScope),'RAW_AR_CONTENT'!A208,"")</f>
        <v>205</v>
      </c>
      <c r="B209" s="9" t="str">
        <f>IF(IF(SelectedScope="All India",TRUE,'RAW_AR_CONTENT'!$B208=SelectedScope),'RAW_AR_CONTENT'!B208,"")</f>
        <v>Jammu and Kashmir</v>
      </c>
      <c r="C209" s="9" t="str">
        <f>IF(IF(SelectedScope="All India",TRUE,'RAW_AR_CONTENT'!$B208=SelectedScope),'RAW_AR_CONTENT'!C208,"")</f>
        <v>Physics</v>
      </c>
      <c r="D209" s="9" t="str">
        <f>IF(IF(SelectedScope="All India",TRUE,'RAW_AR_CONTENT'!$B208=SelectedScope),'RAW_AR_CONTENT'!D208,"")</f>
        <v>Class 9</v>
      </c>
      <c r="E209" s="9" t="str">
        <f>IF(IF(SelectedScope="All India",TRUE,'RAW_AR_CONTENT'!$B208=SelectedScope),'RAW_AR_CONTENT'!E208,"")</f>
        <v>Laws of Motion</v>
      </c>
      <c r="F209" s="9" t="str">
        <f>IF(IF(SelectedScope="All India",TRUE,'RAW_AR_CONTENT'!$B208=SelectedScope),'RAW_AR_CONTENT'!F208,"")</f>
        <v>Interactive</v>
      </c>
      <c r="G209" s="9" t="str">
        <f>IF(IF(SelectedScope="All India",TRUE,'RAW_AR_CONTENT'!$B208=SelectedScope),'RAW_AR_CONTENT'!G208,"")</f>
        <v>Active</v>
      </c>
      <c r="H209" s="9">
        <f>IF(IF(SelectedScope="All India",TRUE,'RAW_AR_CONTENT'!$B208=SelectedScope),'RAW_AR_CONTENT'!H208,"")</f>
        <v>0</v>
      </c>
      <c r="I209" s="9">
        <f>IF(IF(SelectedScope="All India",TRUE,'RAW_AR_CONTENT'!$B208=SelectedScope),'RAW_AR_CONTENT'!I208,"")</f>
        <v>0</v>
      </c>
      <c r="J209" s="9">
        <f>IF(IF(SelectedScope="All India",TRUE,'RAW_AR_CONTENT'!$B208=SelectedScope),'RAW_AR_CONTENT'!J208,"")</f>
        <v>0</v>
      </c>
      <c r="K209" s="9">
        <f>IF(IF(SelectedScope="All India",TRUE,'RAW_AR_CONTENT'!$B208=SelectedScope),'RAW_AR_CONTENT'!K208,"")</f>
        <v>0</v>
      </c>
      <c r="L209" s="9">
        <f>IF(IF(SelectedScope="All India",TRUE,'RAW_AR_CONTENT'!$B208=SelectedScope),'RAW_AR_CONTENT'!L208,"")</f>
        <v>0</v>
      </c>
      <c r="M209" s="9">
        <f>IF(IF(SelectedScope="All India",TRUE,'RAW_AR_CONTENT'!$B208=SelectedScope),'RAW_AR_CONTENT'!M208,"")</f>
        <v>0</v>
      </c>
      <c r="N209" s="9">
        <f>IF(IF(SelectedScope="All India",TRUE,'RAW_AR_CONTENT'!$B208=SelectedScope),'RAW_AR_CONTENT'!N208,"")</f>
        <v>0</v>
      </c>
      <c r="O209" s="9">
        <f>IF(IF(SelectedScope="All India",TRUE,'RAW_AR_CONTENT'!$B208=SelectedScope),'RAW_AR_CONTENT'!O208,"")</f>
        <v>0</v>
      </c>
      <c r="P209" s="9">
        <f>IF(IF(SelectedScope="All India",TRUE,'RAW_AR_CONTENT'!$B208=SelectedScope),'RAW_AR_CONTENT'!P208,"")</f>
        <v>0</v>
      </c>
      <c r="Q209" s="9">
        <f>IF(IF(SelectedScope="All India",TRUE,'RAW_AR_CONTENT'!$B208=SelectedScope),'RAW_AR_CONTENT'!Q208,"")</f>
        <v>0</v>
      </c>
      <c r="R209" s="9">
        <f>IF(IF(SelectedScope="All India",TRUE,'RAW_AR_CONTENT'!$B208=SelectedScope),'RAW_AR_CONTENT'!R208,"")</f>
        <v>0</v>
      </c>
    </row>
    <row r="210" spans="1:18" ht="15" customHeight="1" x14ac:dyDescent="0.3">
      <c r="A210" s="12">
        <f>IF(IF(SelectedScope="All India",TRUE,'RAW_AR_CONTENT'!$B209=SelectedScope),'RAW_AR_CONTENT'!A209,"")</f>
        <v>206</v>
      </c>
      <c r="B210" s="12" t="str">
        <f>IF(IF(SelectedScope="All India",TRUE,'RAW_AR_CONTENT'!$B209=SelectedScope),'RAW_AR_CONTENT'!B209,"")</f>
        <v>Jammu and Kashmir</v>
      </c>
      <c r="C210" s="12" t="str">
        <f>IF(IF(SelectedScope="All India",TRUE,'RAW_AR_CONTENT'!$B209=SelectedScope),'RAW_AR_CONTENT'!C209,"")</f>
        <v>Chemistry</v>
      </c>
      <c r="D210" s="12" t="str">
        <f>IF(IF(SelectedScope="All India",TRUE,'RAW_AR_CONTENT'!$B209=SelectedScope),'RAW_AR_CONTENT'!D209,"")</f>
        <v>Class 11</v>
      </c>
      <c r="E210" s="12" t="str">
        <f>IF(IF(SelectedScope="All India",TRUE,'RAW_AR_CONTENT'!$B209=SelectedScope),'RAW_AR_CONTENT'!E209,"")</f>
        <v>Periodic Table 3D</v>
      </c>
      <c r="F210" s="12" t="str">
        <f>IF(IF(SelectedScope="All India",TRUE,'RAW_AR_CONTENT'!$B209=SelectedScope),'RAW_AR_CONTENT'!F209,"")</f>
        <v>Interactive</v>
      </c>
      <c r="G210" s="12" t="str">
        <f>IF(IF(SelectedScope="All India",TRUE,'RAW_AR_CONTENT'!$B209=SelectedScope),'RAW_AR_CONTENT'!G209,"")</f>
        <v>Active</v>
      </c>
      <c r="H210" s="12">
        <f>IF(IF(SelectedScope="All India",TRUE,'RAW_AR_CONTENT'!$B209=SelectedScope),'RAW_AR_CONTENT'!H209,"")</f>
        <v>0</v>
      </c>
      <c r="I210" s="12">
        <f>IF(IF(SelectedScope="All India",TRUE,'RAW_AR_CONTENT'!$B209=SelectedScope),'RAW_AR_CONTENT'!I209,"")</f>
        <v>0</v>
      </c>
      <c r="J210" s="12">
        <f>IF(IF(SelectedScope="All India",TRUE,'RAW_AR_CONTENT'!$B209=SelectedScope),'RAW_AR_CONTENT'!J209,"")</f>
        <v>0</v>
      </c>
      <c r="K210" s="12">
        <f>IF(IF(SelectedScope="All India",TRUE,'RAW_AR_CONTENT'!$B209=SelectedScope),'RAW_AR_CONTENT'!K209,"")</f>
        <v>0</v>
      </c>
      <c r="L210" s="12">
        <f>IF(IF(SelectedScope="All India",TRUE,'RAW_AR_CONTENT'!$B209=SelectedScope),'RAW_AR_CONTENT'!L209,"")</f>
        <v>0</v>
      </c>
      <c r="M210" s="12">
        <f>IF(IF(SelectedScope="All India",TRUE,'RAW_AR_CONTENT'!$B209=SelectedScope),'RAW_AR_CONTENT'!M209,"")</f>
        <v>0</v>
      </c>
      <c r="N210" s="12">
        <f>IF(IF(SelectedScope="All India",TRUE,'RAW_AR_CONTENT'!$B209=SelectedScope),'RAW_AR_CONTENT'!N209,"")</f>
        <v>0</v>
      </c>
      <c r="O210" s="12">
        <f>IF(IF(SelectedScope="All India",TRUE,'RAW_AR_CONTENT'!$B209=SelectedScope),'RAW_AR_CONTENT'!O209,"")</f>
        <v>0</v>
      </c>
      <c r="P210" s="12">
        <f>IF(IF(SelectedScope="All India",TRUE,'RAW_AR_CONTENT'!$B209=SelectedScope),'RAW_AR_CONTENT'!P209,"")</f>
        <v>0</v>
      </c>
      <c r="Q210" s="12">
        <f>IF(IF(SelectedScope="All India",TRUE,'RAW_AR_CONTENT'!$B209=SelectedScope),'RAW_AR_CONTENT'!Q209,"")</f>
        <v>0</v>
      </c>
      <c r="R210" s="12">
        <f>IF(IF(SelectedScope="All India",TRUE,'RAW_AR_CONTENT'!$B209=SelectedScope),'RAW_AR_CONTENT'!R209,"")</f>
        <v>0</v>
      </c>
    </row>
    <row r="211" spans="1:18" ht="15" customHeight="1" x14ac:dyDescent="0.3">
      <c r="A211" s="9">
        <f>IF(IF(SelectedScope="All India",TRUE,'RAW_AR_CONTENT'!$B210=SelectedScope),'RAW_AR_CONTENT'!A210,"")</f>
        <v>207</v>
      </c>
      <c r="B211" s="9" t="str">
        <f>IF(IF(SelectedScope="All India",TRUE,'RAW_AR_CONTENT'!$B210=SelectedScope),'RAW_AR_CONTENT'!B210,"")</f>
        <v>Jammu and Kashmir</v>
      </c>
      <c r="C211" s="9" t="str">
        <f>IF(IF(SelectedScope="All India",TRUE,'RAW_AR_CONTENT'!$B210=SelectedScope),'RAW_AR_CONTENT'!C210,"")</f>
        <v>Physics</v>
      </c>
      <c r="D211" s="9" t="str">
        <f>IF(IF(SelectedScope="All India",TRUE,'RAW_AR_CONTENT'!$B210=SelectedScope),'RAW_AR_CONTENT'!D210,"")</f>
        <v>Class 10</v>
      </c>
      <c r="E211" s="9" t="str">
        <f>IF(IF(SelectedScope="All India",TRUE,'RAW_AR_CONTENT'!$B210=SelectedScope),'RAW_AR_CONTENT'!E210,"")</f>
        <v>Electricity Circuits</v>
      </c>
      <c r="F211" s="9" t="str">
        <f>IF(IF(SelectedScope="All India",TRUE,'RAW_AR_CONTENT'!$B210=SelectedScope),'RAW_AR_CONTENT'!F210,"")</f>
        <v>Interactive</v>
      </c>
      <c r="G211" s="9" t="str">
        <f>IF(IF(SelectedScope="All India",TRUE,'RAW_AR_CONTENT'!$B210=SelectedScope),'RAW_AR_CONTENT'!G210,"")</f>
        <v>Active</v>
      </c>
      <c r="H211" s="9">
        <f>IF(IF(SelectedScope="All India",TRUE,'RAW_AR_CONTENT'!$B210=SelectedScope),'RAW_AR_CONTENT'!H210,"")</f>
        <v>0</v>
      </c>
      <c r="I211" s="9">
        <f>IF(IF(SelectedScope="All India",TRUE,'RAW_AR_CONTENT'!$B210=SelectedScope),'RAW_AR_CONTENT'!I210,"")</f>
        <v>0</v>
      </c>
      <c r="J211" s="9">
        <f>IF(IF(SelectedScope="All India",TRUE,'RAW_AR_CONTENT'!$B210=SelectedScope),'RAW_AR_CONTENT'!J210,"")</f>
        <v>0</v>
      </c>
      <c r="K211" s="9">
        <f>IF(IF(SelectedScope="All India",TRUE,'RAW_AR_CONTENT'!$B210=SelectedScope),'RAW_AR_CONTENT'!K210,"")</f>
        <v>0</v>
      </c>
      <c r="L211" s="9">
        <f>IF(IF(SelectedScope="All India",TRUE,'RAW_AR_CONTENT'!$B210=SelectedScope),'RAW_AR_CONTENT'!L210,"")</f>
        <v>0</v>
      </c>
      <c r="M211" s="9">
        <f>IF(IF(SelectedScope="All India",TRUE,'RAW_AR_CONTENT'!$B210=SelectedScope),'RAW_AR_CONTENT'!M210,"")</f>
        <v>0</v>
      </c>
      <c r="N211" s="9">
        <f>IF(IF(SelectedScope="All India",TRUE,'RAW_AR_CONTENT'!$B210=SelectedScope),'RAW_AR_CONTENT'!N210,"")</f>
        <v>0</v>
      </c>
      <c r="O211" s="9">
        <f>IF(IF(SelectedScope="All India",TRUE,'RAW_AR_CONTENT'!$B210=SelectedScope),'RAW_AR_CONTENT'!O210,"")</f>
        <v>0</v>
      </c>
      <c r="P211" s="9">
        <f>IF(IF(SelectedScope="All India",TRUE,'RAW_AR_CONTENT'!$B210=SelectedScope),'RAW_AR_CONTENT'!P210,"")</f>
        <v>0</v>
      </c>
      <c r="Q211" s="9">
        <f>IF(IF(SelectedScope="All India",TRUE,'RAW_AR_CONTENT'!$B210=SelectedScope),'RAW_AR_CONTENT'!Q210,"")</f>
        <v>0</v>
      </c>
      <c r="R211" s="9">
        <f>IF(IF(SelectedScope="All India",TRUE,'RAW_AR_CONTENT'!$B210=SelectedScope),'RAW_AR_CONTENT'!R210,"")</f>
        <v>0</v>
      </c>
    </row>
    <row r="212" spans="1:18" ht="15" customHeight="1" x14ac:dyDescent="0.3">
      <c r="A212" s="12">
        <f>IF(IF(SelectedScope="All India",TRUE,'RAW_AR_CONTENT'!$B211=SelectedScope),'RAW_AR_CONTENT'!A211,"")</f>
        <v>208</v>
      </c>
      <c r="B212" s="12" t="str">
        <f>IF(IF(SelectedScope="All India",TRUE,'RAW_AR_CONTENT'!$B211=SelectedScope),'RAW_AR_CONTENT'!B211,"")</f>
        <v>Jammu and Kashmir</v>
      </c>
      <c r="C212" s="12" t="str">
        <f>IF(IF(SelectedScope="All India",TRUE,'RAW_AR_CONTENT'!$B211=SelectedScope),'RAW_AR_CONTENT'!C211,"")</f>
        <v>Civics</v>
      </c>
      <c r="D212" s="12" t="str">
        <f>IF(IF(SelectedScope="All India",TRUE,'RAW_AR_CONTENT'!$B211=SelectedScope),'RAW_AR_CONTENT'!D211,"")</f>
        <v>Class 9</v>
      </c>
      <c r="E212" s="12" t="str">
        <f>IF(IF(SelectedScope="All India",TRUE,'RAW_AR_CONTENT'!$B211=SelectedScope),'RAW_AR_CONTENT'!E211,"")</f>
        <v>Indian Constitution</v>
      </c>
      <c r="F212" s="12" t="str">
        <f>IF(IF(SelectedScope="All India",TRUE,'RAW_AR_CONTENT'!$B211=SelectedScope),'RAW_AR_CONTENT'!F211,"")</f>
        <v>Basic 3D</v>
      </c>
      <c r="G212" s="12" t="str">
        <f>IF(IF(SelectedScope="All India",TRUE,'RAW_AR_CONTENT'!$B211=SelectedScope),'RAW_AR_CONTENT'!G211,"")</f>
        <v>Active</v>
      </c>
      <c r="H212" s="12">
        <f>IF(IF(SelectedScope="All India",TRUE,'RAW_AR_CONTENT'!$B211=SelectedScope),'RAW_AR_CONTENT'!H211,"")</f>
        <v>0</v>
      </c>
      <c r="I212" s="12">
        <f>IF(IF(SelectedScope="All India",TRUE,'RAW_AR_CONTENT'!$B211=SelectedScope),'RAW_AR_CONTENT'!I211,"")</f>
        <v>0</v>
      </c>
      <c r="J212" s="12">
        <f>IF(IF(SelectedScope="All India",TRUE,'RAW_AR_CONTENT'!$B211=SelectedScope),'RAW_AR_CONTENT'!J211,"")</f>
        <v>0</v>
      </c>
      <c r="K212" s="12">
        <f>IF(IF(SelectedScope="All India",TRUE,'RAW_AR_CONTENT'!$B211=SelectedScope),'RAW_AR_CONTENT'!K211,"")</f>
        <v>0</v>
      </c>
      <c r="L212" s="12">
        <f>IF(IF(SelectedScope="All India",TRUE,'RAW_AR_CONTENT'!$B211=SelectedScope),'RAW_AR_CONTENT'!L211,"")</f>
        <v>0</v>
      </c>
      <c r="M212" s="12">
        <f>IF(IF(SelectedScope="All India",TRUE,'RAW_AR_CONTENT'!$B211=SelectedScope),'RAW_AR_CONTENT'!M211,"")</f>
        <v>0</v>
      </c>
      <c r="N212" s="12">
        <f>IF(IF(SelectedScope="All India",TRUE,'RAW_AR_CONTENT'!$B211=SelectedScope),'RAW_AR_CONTENT'!N211,"")</f>
        <v>0</v>
      </c>
      <c r="O212" s="12">
        <f>IF(IF(SelectedScope="All India",TRUE,'RAW_AR_CONTENT'!$B211=SelectedScope),'RAW_AR_CONTENT'!O211,"")</f>
        <v>0</v>
      </c>
      <c r="P212" s="12">
        <f>IF(IF(SelectedScope="All India",TRUE,'RAW_AR_CONTENT'!$B211=SelectedScope),'RAW_AR_CONTENT'!P211,"")</f>
        <v>0</v>
      </c>
      <c r="Q212" s="12">
        <f>IF(IF(SelectedScope="All India",TRUE,'RAW_AR_CONTENT'!$B211=SelectedScope),'RAW_AR_CONTENT'!Q211,"")</f>
        <v>0</v>
      </c>
      <c r="R212" s="12">
        <f>IF(IF(SelectedScope="All India",TRUE,'RAW_AR_CONTENT'!$B211=SelectedScope),'RAW_AR_CONTENT'!R211,"")</f>
        <v>0</v>
      </c>
    </row>
    <row r="213" spans="1:18" ht="15" customHeight="1" x14ac:dyDescent="0.3">
      <c r="A213" s="9">
        <f>IF(IF(SelectedScope="All India",TRUE,'RAW_AR_CONTENT'!$B212=SelectedScope),'RAW_AR_CONTENT'!A212,"")</f>
        <v>209</v>
      </c>
      <c r="B213" s="9" t="str">
        <f>IF(IF(SelectedScope="All India",TRUE,'RAW_AR_CONTENT'!$B212=SelectedScope),'RAW_AR_CONTENT'!B212,"")</f>
        <v>Jammu and Kashmir</v>
      </c>
      <c r="C213" s="9" t="str">
        <f>IF(IF(SelectedScope="All India",TRUE,'RAW_AR_CONTENT'!$B212=SelectedScope),'RAW_AR_CONTENT'!C212,"")</f>
        <v>Environmental Science</v>
      </c>
      <c r="D213" s="9" t="str">
        <f>IF(IF(SelectedScope="All India",TRUE,'RAW_AR_CONTENT'!$B212=SelectedScope),'RAW_AR_CONTENT'!D212,"")</f>
        <v>Class 6</v>
      </c>
      <c r="E213" s="9" t="str">
        <f>IF(IF(SelectedScope="All India",TRUE,'RAW_AR_CONTENT'!$B212=SelectedScope),'RAW_AR_CONTENT'!E212,"")</f>
        <v>Food Chain</v>
      </c>
      <c r="F213" s="9" t="str">
        <f>IF(IF(SelectedScope="All India",TRUE,'RAW_AR_CONTENT'!$B212=SelectedScope),'RAW_AR_CONTENT'!F212,"")</f>
        <v>Animated</v>
      </c>
      <c r="G213" s="9" t="str">
        <f>IF(IF(SelectedScope="All India",TRUE,'RAW_AR_CONTENT'!$B212=SelectedScope),'RAW_AR_CONTENT'!G212,"")</f>
        <v>Active</v>
      </c>
      <c r="H213" s="9">
        <f>IF(IF(SelectedScope="All India",TRUE,'RAW_AR_CONTENT'!$B212=SelectedScope),'RAW_AR_CONTENT'!H212,"")</f>
        <v>0</v>
      </c>
      <c r="I213" s="9">
        <f>IF(IF(SelectedScope="All India",TRUE,'RAW_AR_CONTENT'!$B212=SelectedScope),'RAW_AR_CONTENT'!I212,"")</f>
        <v>0</v>
      </c>
      <c r="J213" s="9">
        <f>IF(IF(SelectedScope="All India",TRUE,'RAW_AR_CONTENT'!$B212=SelectedScope),'RAW_AR_CONTENT'!J212,"")</f>
        <v>0</v>
      </c>
      <c r="K213" s="9">
        <f>IF(IF(SelectedScope="All India",TRUE,'RAW_AR_CONTENT'!$B212=SelectedScope),'RAW_AR_CONTENT'!K212,"")</f>
        <v>0</v>
      </c>
      <c r="L213" s="9">
        <f>IF(IF(SelectedScope="All India",TRUE,'RAW_AR_CONTENT'!$B212=SelectedScope),'RAW_AR_CONTENT'!L212,"")</f>
        <v>0</v>
      </c>
      <c r="M213" s="9">
        <f>IF(IF(SelectedScope="All India",TRUE,'RAW_AR_CONTENT'!$B212=SelectedScope),'RAW_AR_CONTENT'!M212,"")</f>
        <v>0</v>
      </c>
      <c r="N213" s="9">
        <f>IF(IF(SelectedScope="All India",TRUE,'RAW_AR_CONTENT'!$B212=SelectedScope),'RAW_AR_CONTENT'!N212,"")</f>
        <v>0</v>
      </c>
      <c r="O213" s="9">
        <f>IF(IF(SelectedScope="All India",TRUE,'RAW_AR_CONTENT'!$B212=SelectedScope),'RAW_AR_CONTENT'!O212,"")</f>
        <v>0</v>
      </c>
      <c r="P213" s="9">
        <f>IF(IF(SelectedScope="All India",TRUE,'RAW_AR_CONTENT'!$B212=SelectedScope),'RAW_AR_CONTENT'!P212,"")</f>
        <v>0</v>
      </c>
      <c r="Q213" s="9">
        <f>IF(IF(SelectedScope="All India",TRUE,'RAW_AR_CONTENT'!$B212=SelectedScope),'RAW_AR_CONTENT'!Q212,"")</f>
        <v>0</v>
      </c>
      <c r="R213" s="9">
        <f>IF(IF(SelectedScope="All India",TRUE,'RAW_AR_CONTENT'!$B212=SelectedScope),'RAW_AR_CONTENT'!R212,"")</f>
        <v>0</v>
      </c>
    </row>
    <row r="214" spans="1:18" ht="15" customHeight="1" x14ac:dyDescent="0.3">
      <c r="A214" s="12">
        <f>IF(IF(SelectedScope="All India",TRUE,'RAW_AR_CONTENT'!$B213=SelectedScope),'RAW_AR_CONTENT'!A213,"")</f>
        <v>210</v>
      </c>
      <c r="B214" s="12" t="str">
        <f>IF(IF(SelectedScope="All India",TRUE,'RAW_AR_CONTENT'!$B213=SelectedScope),'RAW_AR_CONTENT'!B213,"")</f>
        <v>Jammu and Kashmir</v>
      </c>
      <c r="C214" s="12" t="str">
        <f>IF(IF(SelectedScope="All India",TRUE,'RAW_AR_CONTENT'!$B213=SelectedScope),'RAW_AR_CONTENT'!C213,"")</f>
        <v>Mathematics</v>
      </c>
      <c r="D214" s="12" t="str">
        <f>IF(IF(SelectedScope="All India",TRUE,'RAW_AR_CONTENT'!$B213=SelectedScope),'RAW_AR_CONTENT'!D213,"")</f>
        <v>Class 10</v>
      </c>
      <c r="E214" s="12" t="str">
        <f>IF(IF(SelectedScope="All India",TRUE,'RAW_AR_CONTENT'!$B213=SelectedScope),'RAW_AR_CONTENT'!E213,"")</f>
        <v>Quadratic Equations</v>
      </c>
      <c r="F214" s="12" t="str">
        <f>IF(IF(SelectedScope="All India",TRUE,'RAW_AR_CONTENT'!$B213=SelectedScope),'RAW_AR_CONTENT'!F213,"")</f>
        <v>Animated</v>
      </c>
      <c r="G214" s="12" t="str">
        <f>IF(IF(SelectedScope="All India",TRUE,'RAW_AR_CONTENT'!$B213=SelectedScope),'RAW_AR_CONTENT'!G213,"")</f>
        <v>Active</v>
      </c>
      <c r="H214" s="12">
        <f>IF(IF(SelectedScope="All India",TRUE,'RAW_AR_CONTENT'!$B213=SelectedScope),'RAW_AR_CONTENT'!H213,"")</f>
        <v>0</v>
      </c>
      <c r="I214" s="12">
        <f>IF(IF(SelectedScope="All India",TRUE,'RAW_AR_CONTENT'!$B213=SelectedScope),'RAW_AR_CONTENT'!I213,"")</f>
        <v>0</v>
      </c>
      <c r="J214" s="12">
        <f>IF(IF(SelectedScope="All India",TRUE,'RAW_AR_CONTENT'!$B213=SelectedScope),'RAW_AR_CONTENT'!J213,"")</f>
        <v>0</v>
      </c>
      <c r="K214" s="12">
        <f>IF(IF(SelectedScope="All India",TRUE,'RAW_AR_CONTENT'!$B213=SelectedScope),'RAW_AR_CONTENT'!K213,"")</f>
        <v>0</v>
      </c>
      <c r="L214" s="12">
        <f>IF(IF(SelectedScope="All India",TRUE,'RAW_AR_CONTENT'!$B213=SelectedScope),'RAW_AR_CONTENT'!L213,"")</f>
        <v>0</v>
      </c>
      <c r="M214" s="12">
        <f>IF(IF(SelectedScope="All India",TRUE,'RAW_AR_CONTENT'!$B213=SelectedScope),'RAW_AR_CONTENT'!M213,"")</f>
        <v>0</v>
      </c>
      <c r="N214" s="12">
        <f>IF(IF(SelectedScope="All India",TRUE,'RAW_AR_CONTENT'!$B213=SelectedScope),'RAW_AR_CONTENT'!N213,"")</f>
        <v>0</v>
      </c>
      <c r="O214" s="12">
        <f>IF(IF(SelectedScope="All India",TRUE,'RAW_AR_CONTENT'!$B213=SelectedScope),'RAW_AR_CONTENT'!O213,"")</f>
        <v>0</v>
      </c>
      <c r="P214" s="12">
        <f>IF(IF(SelectedScope="All India",TRUE,'RAW_AR_CONTENT'!$B213=SelectedScope),'RAW_AR_CONTENT'!P213,"")</f>
        <v>0</v>
      </c>
      <c r="Q214" s="12">
        <f>IF(IF(SelectedScope="All India",TRUE,'RAW_AR_CONTENT'!$B213=SelectedScope),'RAW_AR_CONTENT'!Q213,"")</f>
        <v>0</v>
      </c>
      <c r="R214" s="12">
        <f>IF(IF(SelectedScope="All India",TRUE,'RAW_AR_CONTENT'!$B213=SelectedScope),'RAW_AR_CONTENT'!R213,"")</f>
        <v>0</v>
      </c>
    </row>
    <row r="215" spans="1:18" ht="15" customHeight="1" x14ac:dyDescent="0.3">
      <c r="A215" s="9">
        <f>IF(IF(SelectedScope="All India",TRUE,'RAW_AR_CONTENT'!$B214=SelectedScope),'RAW_AR_CONTENT'!A214,"")</f>
        <v>211</v>
      </c>
      <c r="B215" s="9" t="str">
        <f>IF(IF(SelectedScope="All India",TRUE,'RAW_AR_CONTENT'!$B214=SelectedScope),'RAW_AR_CONTENT'!B214,"")</f>
        <v>Jharkhand</v>
      </c>
      <c r="C215" s="9" t="str">
        <f>IF(IF(SelectedScope="All India",TRUE,'RAW_AR_CONTENT'!$B214=SelectedScope),'RAW_AR_CONTENT'!C214,"")</f>
        <v>Science</v>
      </c>
      <c r="D215" s="9" t="str">
        <f>IF(IF(SelectedScope="All India",TRUE,'RAW_AR_CONTENT'!$B214=SelectedScope),'RAW_AR_CONTENT'!D214,"")</f>
        <v>Class 8</v>
      </c>
      <c r="E215" s="9" t="str">
        <f>IF(IF(SelectedScope="All India",TRUE,'RAW_AR_CONTENT'!$B214=SelectedScope),'RAW_AR_CONTENT'!E214,"")</f>
        <v>Solar System 3D</v>
      </c>
      <c r="F215" s="9" t="str">
        <f>IF(IF(SelectedScope="All India",TRUE,'RAW_AR_CONTENT'!$B214=SelectedScope),'RAW_AR_CONTENT'!F214,"")</f>
        <v>Animated</v>
      </c>
      <c r="G215" s="9" t="str">
        <f>IF(IF(SelectedScope="All India",TRUE,'RAW_AR_CONTENT'!$B214=SelectedScope),'RAW_AR_CONTENT'!G214,"")</f>
        <v>Active</v>
      </c>
      <c r="H215" s="9">
        <f>IF(IF(SelectedScope="All India",TRUE,'RAW_AR_CONTENT'!$B214=SelectedScope),'RAW_AR_CONTENT'!H214,"")</f>
        <v>0</v>
      </c>
      <c r="I215" s="9">
        <f>IF(IF(SelectedScope="All India",TRUE,'RAW_AR_CONTENT'!$B214=SelectedScope),'RAW_AR_CONTENT'!I214,"")</f>
        <v>0</v>
      </c>
      <c r="J215" s="9">
        <f>IF(IF(SelectedScope="All India",TRUE,'RAW_AR_CONTENT'!$B214=SelectedScope),'RAW_AR_CONTENT'!J214,"")</f>
        <v>0</v>
      </c>
      <c r="K215" s="9">
        <f>IF(IF(SelectedScope="All India",TRUE,'RAW_AR_CONTENT'!$B214=SelectedScope),'RAW_AR_CONTENT'!K214,"")</f>
        <v>0</v>
      </c>
      <c r="L215" s="9">
        <f>IF(IF(SelectedScope="All India",TRUE,'RAW_AR_CONTENT'!$B214=SelectedScope),'RAW_AR_CONTENT'!L214,"")</f>
        <v>0</v>
      </c>
      <c r="M215" s="9">
        <f>IF(IF(SelectedScope="All India",TRUE,'RAW_AR_CONTENT'!$B214=SelectedScope),'RAW_AR_CONTENT'!M214,"")</f>
        <v>0</v>
      </c>
      <c r="N215" s="9">
        <f>IF(IF(SelectedScope="All India",TRUE,'RAW_AR_CONTENT'!$B214=SelectedScope),'RAW_AR_CONTENT'!N214,"")</f>
        <v>0</v>
      </c>
      <c r="O215" s="9">
        <f>IF(IF(SelectedScope="All India",TRUE,'RAW_AR_CONTENT'!$B214=SelectedScope),'RAW_AR_CONTENT'!O214,"")</f>
        <v>0</v>
      </c>
      <c r="P215" s="9">
        <f>IF(IF(SelectedScope="All India",TRUE,'RAW_AR_CONTENT'!$B214=SelectedScope),'RAW_AR_CONTENT'!P214,"")</f>
        <v>0</v>
      </c>
      <c r="Q215" s="9">
        <f>IF(IF(SelectedScope="All India",TRUE,'RAW_AR_CONTENT'!$B214=SelectedScope),'RAW_AR_CONTENT'!Q214,"")</f>
        <v>0</v>
      </c>
      <c r="R215" s="9">
        <f>IF(IF(SelectedScope="All India",TRUE,'RAW_AR_CONTENT'!$B214=SelectedScope),'RAW_AR_CONTENT'!R214,"")</f>
        <v>0</v>
      </c>
    </row>
    <row r="216" spans="1:18" ht="15" customHeight="1" x14ac:dyDescent="0.3">
      <c r="A216" s="12">
        <f>IF(IF(SelectedScope="All India",TRUE,'RAW_AR_CONTENT'!$B215=SelectedScope),'RAW_AR_CONTENT'!A215,"")</f>
        <v>212</v>
      </c>
      <c r="B216" s="12" t="str">
        <f>IF(IF(SelectedScope="All India",TRUE,'RAW_AR_CONTENT'!$B215=SelectedScope),'RAW_AR_CONTENT'!B215,"")</f>
        <v>Jharkhand</v>
      </c>
      <c r="C216" s="12" t="str">
        <f>IF(IF(SelectedScope="All India",TRUE,'RAW_AR_CONTENT'!$B215=SelectedScope),'RAW_AR_CONTENT'!C215,"")</f>
        <v>Biology</v>
      </c>
      <c r="D216" s="12" t="str">
        <f>IF(IF(SelectedScope="All India",TRUE,'RAW_AR_CONTENT'!$B215=SelectedScope),'RAW_AR_CONTENT'!D215,"")</f>
        <v>Class 9</v>
      </c>
      <c r="E216" s="12" t="str">
        <f>IF(IF(SelectedScope="All India",TRUE,'RAW_AR_CONTENT'!$B215=SelectedScope),'RAW_AR_CONTENT'!E215,"")</f>
        <v>Cell Division</v>
      </c>
      <c r="F216" s="12" t="str">
        <f>IF(IF(SelectedScope="All India",TRUE,'RAW_AR_CONTENT'!$B215=SelectedScope),'RAW_AR_CONTENT'!F215,"")</f>
        <v>Interactive</v>
      </c>
      <c r="G216" s="12" t="str">
        <f>IF(IF(SelectedScope="All India",TRUE,'RAW_AR_CONTENT'!$B215=SelectedScope),'RAW_AR_CONTENT'!G215,"")</f>
        <v>Active</v>
      </c>
      <c r="H216" s="12">
        <f>IF(IF(SelectedScope="All India",TRUE,'RAW_AR_CONTENT'!$B215=SelectedScope),'RAW_AR_CONTENT'!H215,"")</f>
        <v>0</v>
      </c>
      <c r="I216" s="12">
        <f>IF(IF(SelectedScope="All India",TRUE,'RAW_AR_CONTENT'!$B215=SelectedScope),'RAW_AR_CONTENT'!I215,"")</f>
        <v>0</v>
      </c>
      <c r="J216" s="12">
        <f>IF(IF(SelectedScope="All India",TRUE,'RAW_AR_CONTENT'!$B215=SelectedScope),'RAW_AR_CONTENT'!J215,"")</f>
        <v>0</v>
      </c>
      <c r="K216" s="12">
        <f>IF(IF(SelectedScope="All India",TRUE,'RAW_AR_CONTENT'!$B215=SelectedScope),'RAW_AR_CONTENT'!K215,"")</f>
        <v>0</v>
      </c>
      <c r="L216" s="12">
        <f>IF(IF(SelectedScope="All India",TRUE,'RAW_AR_CONTENT'!$B215=SelectedScope),'RAW_AR_CONTENT'!L215,"")</f>
        <v>0</v>
      </c>
      <c r="M216" s="12">
        <f>IF(IF(SelectedScope="All India",TRUE,'RAW_AR_CONTENT'!$B215=SelectedScope),'RAW_AR_CONTENT'!M215,"")</f>
        <v>0</v>
      </c>
      <c r="N216" s="12">
        <f>IF(IF(SelectedScope="All India",TRUE,'RAW_AR_CONTENT'!$B215=SelectedScope),'RAW_AR_CONTENT'!N215,"")</f>
        <v>0</v>
      </c>
      <c r="O216" s="12">
        <f>IF(IF(SelectedScope="All India",TRUE,'RAW_AR_CONTENT'!$B215=SelectedScope),'RAW_AR_CONTENT'!O215,"")</f>
        <v>0</v>
      </c>
      <c r="P216" s="12">
        <f>IF(IF(SelectedScope="All India",TRUE,'RAW_AR_CONTENT'!$B215=SelectedScope),'RAW_AR_CONTENT'!P215,"")</f>
        <v>0</v>
      </c>
      <c r="Q216" s="12">
        <f>IF(IF(SelectedScope="All India",TRUE,'RAW_AR_CONTENT'!$B215=SelectedScope),'RAW_AR_CONTENT'!Q215,"")</f>
        <v>0</v>
      </c>
      <c r="R216" s="12">
        <f>IF(IF(SelectedScope="All India",TRUE,'RAW_AR_CONTENT'!$B215=SelectedScope),'RAW_AR_CONTENT'!R215,"")</f>
        <v>0</v>
      </c>
    </row>
    <row r="217" spans="1:18" ht="15" customHeight="1" x14ac:dyDescent="0.3">
      <c r="A217" s="9">
        <f>IF(IF(SelectedScope="All India",TRUE,'RAW_AR_CONTENT'!$B216=SelectedScope),'RAW_AR_CONTENT'!A216,"")</f>
        <v>213</v>
      </c>
      <c r="B217" s="9" t="str">
        <f>IF(IF(SelectedScope="All India",TRUE,'RAW_AR_CONTENT'!$B216=SelectedScope),'RAW_AR_CONTENT'!B216,"")</f>
        <v>Jharkhand</v>
      </c>
      <c r="C217" s="9" t="str">
        <f>IF(IF(SelectedScope="All India",TRUE,'RAW_AR_CONTENT'!$B216=SelectedScope),'RAW_AR_CONTENT'!C216,"")</f>
        <v>Chemistry</v>
      </c>
      <c r="D217" s="9" t="str">
        <f>IF(IF(SelectedScope="All India",TRUE,'RAW_AR_CONTENT'!$B216=SelectedScope),'RAW_AR_CONTENT'!D216,"")</f>
        <v>Class 9</v>
      </c>
      <c r="E217" s="9" t="str">
        <f>IF(IF(SelectedScope="All India",TRUE,'RAW_AR_CONTENT'!$B216=SelectedScope),'RAW_AR_CONTENT'!E216,"")</f>
        <v>Atoms and Molecules</v>
      </c>
      <c r="F217" s="9" t="str">
        <f>IF(IF(SelectedScope="All India",TRUE,'RAW_AR_CONTENT'!$B216=SelectedScope),'RAW_AR_CONTENT'!F216,"")</f>
        <v>Animated</v>
      </c>
      <c r="G217" s="9" t="str">
        <f>IF(IF(SelectedScope="All India",TRUE,'RAW_AR_CONTENT'!$B216=SelectedScope),'RAW_AR_CONTENT'!G216,"")</f>
        <v>Active</v>
      </c>
      <c r="H217" s="9">
        <f>IF(IF(SelectedScope="All India",TRUE,'RAW_AR_CONTENT'!$B216=SelectedScope),'RAW_AR_CONTENT'!H216,"")</f>
        <v>0</v>
      </c>
      <c r="I217" s="9">
        <f>IF(IF(SelectedScope="All India",TRUE,'RAW_AR_CONTENT'!$B216=SelectedScope),'RAW_AR_CONTENT'!I216,"")</f>
        <v>0</v>
      </c>
      <c r="J217" s="9">
        <f>IF(IF(SelectedScope="All India",TRUE,'RAW_AR_CONTENT'!$B216=SelectedScope),'RAW_AR_CONTENT'!J216,"")</f>
        <v>0</v>
      </c>
      <c r="K217" s="9">
        <f>IF(IF(SelectedScope="All India",TRUE,'RAW_AR_CONTENT'!$B216=SelectedScope),'RAW_AR_CONTENT'!K216,"")</f>
        <v>0</v>
      </c>
      <c r="L217" s="9">
        <f>IF(IF(SelectedScope="All India",TRUE,'RAW_AR_CONTENT'!$B216=SelectedScope),'RAW_AR_CONTENT'!L216,"")</f>
        <v>0</v>
      </c>
      <c r="M217" s="9">
        <f>IF(IF(SelectedScope="All India",TRUE,'RAW_AR_CONTENT'!$B216=SelectedScope),'RAW_AR_CONTENT'!M216,"")</f>
        <v>0</v>
      </c>
      <c r="N217" s="9">
        <f>IF(IF(SelectedScope="All India",TRUE,'RAW_AR_CONTENT'!$B216=SelectedScope),'RAW_AR_CONTENT'!N216,"")</f>
        <v>0</v>
      </c>
      <c r="O217" s="9">
        <f>IF(IF(SelectedScope="All India",TRUE,'RAW_AR_CONTENT'!$B216=SelectedScope),'RAW_AR_CONTENT'!O216,"")</f>
        <v>0</v>
      </c>
      <c r="P217" s="9">
        <f>IF(IF(SelectedScope="All India",TRUE,'RAW_AR_CONTENT'!$B216=SelectedScope),'RAW_AR_CONTENT'!P216,"")</f>
        <v>0</v>
      </c>
      <c r="Q217" s="9">
        <f>IF(IF(SelectedScope="All India",TRUE,'RAW_AR_CONTENT'!$B216=SelectedScope),'RAW_AR_CONTENT'!Q216,"")</f>
        <v>0</v>
      </c>
      <c r="R217" s="9">
        <f>IF(IF(SelectedScope="All India",TRUE,'RAW_AR_CONTENT'!$B216=SelectedScope),'RAW_AR_CONTENT'!R216,"")</f>
        <v>0</v>
      </c>
    </row>
    <row r="218" spans="1:18" ht="15" customHeight="1" x14ac:dyDescent="0.3">
      <c r="A218" s="12">
        <f>IF(IF(SelectedScope="All India",TRUE,'RAW_AR_CONTENT'!$B217=SelectedScope),'RAW_AR_CONTENT'!A217,"")</f>
        <v>214</v>
      </c>
      <c r="B218" s="12" t="str">
        <f>IF(IF(SelectedScope="All India",TRUE,'RAW_AR_CONTENT'!$B217=SelectedScope),'RAW_AR_CONTENT'!B217,"")</f>
        <v>Jharkhand</v>
      </c>
      <c r="C218" s="12" t="str">
        <f>IF(IF(SelectedScope="All India",TRUE,'RAW_AR_CONTENT'!$B217=SelectedScope),'RAW_AR_CONTENT'!C217,"")</f>
        <v>Biology</v>
      </c>
      <c r="D218" s="12" t="str">
        <f>IF(IF(SelectedScope="All India",TRUE,'RAW_AR_CONTENT'!$B217=SelectedScope),'RAW_AR_CONTENT'!D217,"")</f>
        <v>Class 7</v>
      </c>
      <c r="E218" s="12" t="str">
        <f>IF(IF(SelectedScope="All India",TRUE,'RAW_AR_CONTENT'!$B217=SelectedScope),'RAW_AR_CONTENT'!E217,"")</f>
        <v>Photosynthesis</v>
      </c>
      <c r="F218" s="12" t="str">
        <f>IF(IF(SelectedScope="All India",TRUE,'RAW_AR_CONTENT'!$B217=SelectedScope),'RAW_AR_CONTENT'!F217,"")</f>
        <v>Basic 3D</v>
      </c>
      <c r="G218" s="12" t="str">
        <f>IF(IF(SelectedScope="All India",TRUE,'RAW_AR_CONTENT'!$B217=SelectedScope),'RAW_AR_CONTENT'!G217,"")</f>
        <v>Active</v>
      </c>
      <c r="H218" s="12">
        <f>IF(IF(SelectedScope="All India",TRUE,'RAW_AR_CONTENT'!$B217=SelectedScope),'RAW_AR_CONTENT'!H217,"")</f>
        <v>0</v>
      </c>
      <c r="I218" s="12">
        <f>IF(IF(SelectedScope="All India",TRUE,'RAW_AR_CONTENT'!$B217=SelectedScope),'RAW_AR_CONTENT'!I217,"")</f>
        <v>0</v>
      </c>
      <c r="J218" s="12">
        <f>IF(IF(SelectedScope="All India",TRUE,'RAW_AR_CONTENT'!$B217=SelectedScope),'RAW_AR_CONTENT'!J217,"")</f>
        <v>0</v>
      </c>
      <c r="K218" s="12">
        <f>IF(IF(SelectedScope="All India",TRUE,'RAW_AR_CONTENT'!$B217=SelectedScope),'RAW_AR_CONTENT'!K217,"")</f>
        <v>0</v>
      </c>
      <c r="L218" s="12">
        <f>IF(IF(SelectedScope="All India",TRUE,'RAW_AR_CONTENT'!$B217=SelectedScope),'RAW_AR_CONTENT'!L217,"")</f>
        <v>0</v>
      </c>
      <c r="M218" s="12">
        <f>IF(IF(SelectedScope="All India",TRUE,'RAW_AR_CONTENT'!$B217=SelectedScope),'RAW_AR_CONTENT'!M217,"")</f>
        <v>0</v>
      </c>
      <c r="N218" s="12">
        <f>IF(IF(SelectedScope="All India",TRUE,'RAW_AR_CONTENT'!$B217=SelectedScope),'RAW_AR_CONTENT'!N217,"")</f>
        <v>0</v>
      </c>
      <c r="O218" s="12">
        <f>IF(IF(SelectedScope="All India",TRUE,'RAW_AR_CONTENT'!$B217=SelectedScope),'RAW_AR_CONTENT'!O217,"")</f>
        <v>0</v>
      </c>
      <c r="P218" s="12">
        <f>IF(IF(SelectedScope="All India",TRUE,'RAW_AR_CONTENT'!$B217=SelectedScope),'RAW_AR_CONTENT'!P217,"")</f>
        <v>0</v>
      </c>
      <c r="Q218" s="12">
        <f>IF(IF(SelectedScope="All India",TRUE,'RAW_AR_CONTENT'!$B217=SelectedScope),'RAW_AR_CONTENT'!Q217,"")</f>
        <v>0</v>
      </c>
      <c r="R218" s="12">
        <f>IF(IF(SelectedScope="All India",TRUE,'RAW_AR_CONTENT'!$B217=SelectedScope),'RAW_AR_CONTENT'!R217,"")</f>
        <v>0</v>
      </c>
    </row>
    <row r="219" spans="1:18" ht="15" customHeight="1" x14ac:dyDescent="0.3">
      <c r="A219" s="9">
        <f>IF(IF(SelectedScope="All India",TRUE,'RAW_AR_CONTENT'!$B218=SelectedScope),'RAW_AR_CONTENT'!A218,"")</f>
        <v>215</v>
      </c>
      <c r="B219" s="9" t="str">
        <f>IF(IF(SelectedScope="All India",TRUE,'RAW_AR_CONTENT'!$B218=SelectedScope),'RAW_AR_CONTENT'!B218,"")</f>
        <v>Jharkhand</v>
      </c>
      <c r="C219" s="9" t="str">
        <f>IF(IF(SelectedScope="All India",TRUE,'RAW_AR_CONTENT'!$B218=SelectedScope),'RAW_AR_CONTENT'!C218,"")</f>
        <v>Mathematics</v>
      </c>
      <c r="D219" s="9" t="str">
        <f>IF(IF(SelectedScope="All India",TRUE,'RAW_AR_CONTENT'!$B218=SelectedScope),'RAW_AR_CONTENT'!D218,"")</f>
        <v>Class 7</v>
      </c>
      <c r="E219" s="9" t="str">
        <f>IF(IF(SelectedScope="All India",TRUE,'RAW_AR_CONTENT'!$B218=SelectedScope),'RAW_AR_CONTENT'!E218,"")</f>
        <v>Fractions 3D Model</v>
      </c>
      <c r="F219" s="9" t="str">
        <f>IF(IF(SelectedScope="All India",TRUE,'RAW_AR_CONTENT'!$B218=SelectedScope),'RAW_AR_CONTENT'!F218,"")</f>
        <v>Interactive</v>
      </c>
      <c r="G219" s="9" t="str">
        <f>IF(IF(SelectedScope="All India",TRUE,'RAW_AR_CONTENT'!$B218=SelectedScope),'RAW_AR_CONTENT'!G218,"")</f>
        <v>Active</v>
      </c>
      <c r="H219" s="9">
        <f>IF(IF(SelectedScope="All India",TRUE,'RAW_AR_CONTENT'!$B218=SelectedScope),'RAW_AR_CONTENT'!H218,"")</f>
        <v>0</v>
      </c>
      <c r="I219" s="9">
        <f>IF(IF(SelectedScope="All India",TRUE,'RAW_AR_CONTENT'!$B218=SelectedScope),'RAW_AR_CONTENT'!I218,"")</f>
        <v>0</v>
      </c>
      <c r="J219" s="9">
        <f>IF(IF(SelectedScope="All India",TRUE,'RAW_AR_CONTENT'!$B218=SelectedScope),'RAW_AR_CONTENT'!J218,"")</f>
        <v>0</v>
      </c>
      <c r="K219" s="9">
        <f>IF(IF(SelectedScope="All India",TRUE,'RAW_AR_CONTENT'!$B218=SelectedScope),'RAW_AR_CONTENT'!K218,"")</f>
        <v>0</v>
      </c>
      <c r="L219" s="9">
        <f>IF(IF(SelectedScope="All India",TRUE,'RAW_AR_CONTENT'!$B218=SelectedScope),'RAW_AR_CONTENT'!L218,"")</f>
        <v>0</v>
      </c>
      <c r="M219" s="9">
        <f>IF(IF(SelectedScope="All India",TRUE,'RAW_AR_CONTENT'!$B218=SelectedScope),'RAW_AR_CONTENT'!M218,"")</f>
        <v>0</v>
      </c>
      <c r="N219" s="9">
        <f>IF(IF(SelectedScope="All India",TRUE,'RAW_AR_CONTENT'!$B218=SelectedScope),'RAW_AR_CONTENT'!N218,"")</f>
        <v>0</v>
      </c>
      <c r="O219" s="9">
        <f>IF(IF(SelectedScope="All India",TRUE,'RAW_AR_CONTENT'!$B218=SelectedScope),'RAW_AR_CONTENT'!O218,"")</f>
        <v>0</v>
      </c>
      <c r="P219" s="9">
        <f>IF(IF(SelectedScope="All India",TRUE,'RAW_AR_CONTENT'!$B218=SelectedScope),'RAW_AR_CONTENT'!P218,"")</f>
        <v>0</v>
      </c>
      <c r="Q219" s="9">
        <f>IF(IF(SelectedScope="All India",TRUE,'RAW_AR_CONTENT'!$B218=SelectedScope),'RAW_AR_CONTENT'!Q218,"")</f>
        <v>0</v>
      </c>
      <c r="R219" s="9">
        <f>IF(IF(SelectedScope="All India",TRUE,'RAW_AR_CONTENT'!$B218=SelectedScope),'RAW_AR_CONTENT'!R218,"")</f>
        <v>0</v>
      </c>
    </row>
    <row r="220" spans="1:18" ht="15" customHeight="1" x14ac:dyDescent="0.3">
      <c r="A220" s="12">
        <f>IF(IF(SelectedScope="All India",TRUE,'RAW_AR_CONTENT'!$B219=SelectedScope),'RAW_AR_CONTENT'!A219,"")</f>
        <v>216</v>
      </c>
      <c r="B220" s="12" t="str">
        <f>IF(IF(SelectedScope="All India",TRUE,'RAW_AR_CONTENT'!$B219=SelectedScope),'RAW_AR_CONTENT'!B219,"")</f>
        <v>Jharkhand</v>
      </c>
      <c r="C220" s="12" t="str">
        <f>IF(IF(SelectedScope="All India",TRUE,'RAW_AR_CONTENT'!$B219=SelectedScope),'RAW_AR_CONTENT'!C219,"")</f>
        <v>Mathematics</v>
      </c>
      <c r="D220" s="12" t="str">
        <f>IF(IF(SelectedScope="All India",TRUE,'RAW_AR_CONTENT'!$B219=SelectedScope),'RAW_AR_CONTENT'!D219,"")</f>
        <v>Class 10</v>
      </c>
      <c r="E220" s="12" t="str">
        <f>IF(IF(SelectedScope="All India",TRUE,'RAW_AR_CONTENT'!$B219=SelectedScope),'RAW_AR_CONTENT'!E219,"")</f>
        <v>Trigonometry 3D</v>
      </c>
      <c r="F220" s="12" t="str">
        <f>IF(IF(SelectedScope="All India",TRUE,'RAW_AR_CONTENT'!$B219=SelectedScope),'RAW_AR_CONTENT'!F219,"")</f>
        <v>Animated</v>
      </c>
      <c r="G220" s="12" t="str">
        <f>IF(IF(SelectedScope="All India",TRUE,'RAW_AR_CONTENT'!$B219=SelectedScope),'RAW_AR_CONTENT'!G219,"")</f>
        <v>Active</v>
      </c>
      <c r="H220" s="12">
        <f>IF(IF(SelectedScope="All India",TRUE,'RAW_AR_CONTENT'!$B219=SelectedScope),'RAW_AR_CONTENT'!H219,"")</f>
        <v>0</v>
      </c>
      <c r="I220" s="12">
        <f>IF(IF(SelectedScope="All India",TRUE,'RAW_AR_CONTENT'!$B219=SelectedScope),'RAW_AR_CONTENT'!I219,"")</f>
        <v>0</v>
      </c>
      <c r="J220" s="12">
        <f>IF(IF(SelectedScope="All India",TRUE,'RAW_AR_CONTENT'!$B219=SelectedScope),'RAW_AR_CONTENT'!J219,"")</f>
        <v>0</v>
      </c>
      <c r="K220" s="12">
        <f>IF(IF(SelectedScope="All India",TRUE,'RAW_AR_CONTENT'!$B219=SelectedScope),'RAW_AR_CONTENT'!K219,"")</f>
        <v>0</v>
      </c>
      <c r="L220" s="12">
        <f>IF(IF(SelectedScope="All India",TRUE,'RAW_AR_CONTENT'!$B219=SelectedScope),'RAW_AR_CONTENT'!L219,"")</f>
        <v>0</v>
      </c>
      <c r="M220" s="12">
        <f>IF(IF(SelectedScope="All India",TRUE,'RAW_AR_CONTENT'!$B219=SelectedScope),'RAW_AR_CONTENT'!M219,"")</f>
        <v>0</v>
      </c>
      <c r="N220" s="12">
        <f>IF(IF(SelectedScope="All India",TRUE,'RAW_AR_CONTENT'!$B219=SelectedScope),'RAW_AR_CONTENT'!N219,"")</f>
        <v>0</v>
      </c>
      <c r="O220" s="12">
        <f>IF(IF(SelectedScope="All India",TRUE,'RAW_AR_CONTENT'!$B219=SelectedScope),'RAW_AR_CONTENT'!O219,"")</f>
        <v>0</v>
      </c>
      <c r="P220" s="12">
        <f>IF(IF(SelectedScope="All India",TRUE,'RAW_AR_CONTENT'!$B219=SelectedScope),'RAW_AR_CONTENT'!P219,"")</f>
        <v>0</v>
      </c>
      <c r="Q220" s="12">
        <f>IF(IF(SelectedScope="All India",TRUE,'RAW_AR_CONTENT'!$B219=SelectedScope),'RAW_AR_CONTENT'!Q219,"")</f>
        <v>0</v>
      </c>
      <c r="R220" s="12">
        <f>IF(IF(SelectedScope="All India",TRUE,'RAW_AR_CONTENT'!$B219=SelectedScope),'RAW_AR_CONTENT'!R219,"")</f>
        <v>0</v>
      </c>
    </row>
    <row r="221" spans="1:18" ht="15" customHeight="1" x14ac:dyDescent="0.3">
      <c r="A221" s="9">
        <f>IF(IF(SelectedScope="All India",TRUE,'RAW_AR_CONTENT'!$B220=SelectedScope),'RAW_AR_CONTENT'!A220,"")</f>
        <v>217</v>
      </c>
      <c r="B221" s="9" t="str">
        <f>IF(IF(SelectedScope="All India",TRUE,'RAW_AR_CONTENT'!$B220=SelectedScope),'RAW_AR_CONTENT'!B220,"")</f>
        <v>Jharkhand</v>
      </c>
      <c r="C221" s="9" t="str">
        <f>IF(IF(SelectedScope="All India",TRUE,'RAW_AR_CONTENT'!$B220=SelectedScope),'RAW_AR_CONTENT'!C220,"")</f>
        <v>History</v>
      </c>
      <c r="D221" s="9" t="str">
        <f>IF(IF(SelectedScope="All India",TRUE,'RAW_AR_CONTENT'!$B220=SelectedScope),'RAW_AR_CONTENT'!D220,"")</f>
        <v>Class 10</v>
      </c>
      <c r="E221" s="9" t="str">
        <f>IF(IF(SelectedScope="All India",TRUE,'RAW_AR_CONTENT'!$B220=SelectedScope),'RAW_AR_CONTENT'!E220,"")</f>
        <v>Mughal Empire AR</v>
      </c>
      <c r="F221" s="9" t="str">
        <f>IF(IF(SelectedScope="All India",TRUE,'RAW_AR_CONTENT'!$B220=SelectedScope),'RAW_AR_CONTENT'!F220,"")</f>
        <v>Basic 3D</v>
      </c>
      <c r="G221" s="9" t="str">
        <f>IF(IF(SelectedScope="All India",TRUE,'RAW_AR_CONTENT'!$B220=SelectedScope),'RAW_AR_CONTENT'!G220,"")</f>
        <v>Active</v>
      </c>
      <c r="H221" s="9">
        <f>IF(IF(SelectedScope="All India",TRUE,'RAW_AR_CONTENT'!$B220=SelectedScope),'RAW_AR_CONTENT'!H220,"")</f>
        <v>0</v>
      </c>
      <c r="I221" s="9">
        <f>IF(IF(SelectedScope="All India",TRUE,'RAW_AR_CONTENT'!$B220=SelectedScope),'RAW_AR_CONTENT'!I220,"")</f>
        <v>0</v>
      </c>
      <c r="J221" s="9">
        <f>IF(IF(SelectedScope="All India",TRUE,'RAW_AR_CONTENT'!$B220=SelectedScope),'RAW_AR_CONTENT'!J220,"")</f>
        <v>0</v>
      </c>
      <c r="K221" s="9">
        <f>IF(IF(SelectedScope="All India",TRUE,'RAW_AR_CONTENT'!$B220=SelectedScope),'RAW_AR_CONTENT'!K220,"")</f>
        <v>0</v>
      </c>
      <c r="L221" s="9">
        <f>IF(IF(SelectedScope="All India",TRUE,'RAW_AR_CONTENT'!$B220=SelectedScope),'RAW_AR_CONTENT'!L220,"")</f>
        <v>0</v>
      </c>
      <c r="M221" s="9">
        <f>IF(IF(SelectedScope="All India",TRUE,'RAW_AR_CONTENT'!$B220=SelectedScope),'RAW_AR_CONTENT'!M220,"")</f>
        <v>0</v>
      </c>
      <c r="N221" s="9">
        <f>IF(IF(SelectedScope="All India",TRUE,'RAW_AR_CONTENT'!$B220=SelectedScope),'RAW_AR_CONTENT'!N220,"")</f>
        <v>0</v>
      </c>
      <c r="O221" s="9">
        <f>IF(IF(SelectedScope="All India",TRUE,'RAW_AR_CONTENT'!$B220=SelectedScope),'RAW_AR_CONTENT'!O220,"")</f>
        <v>0</v>
      </c>
      <c r="P221" s="9">
        <f>IF(IF(SelectedScope="All India",TRUE,'RAW_AR_CONTENT'!$B220=SelectedScope),'RAW_AR_CONTENT'!P220,"")</f>
        <v>0</v>
      </c>
      <c r="Q221" s="9">
        <f>IF(IF(SelectedScope="All India",TRUE,'RAW_AR_CONTENT'!$B220=SelectedScope),'RAW_AR_CONTENT'!Q220,"")</f>
        <v>0</v>
      </c>
      <c r="R221" s="9">
        <f>IF(IF(SelectedScope="All India",TRUE,'RAW_AR_CONTENT'!$B220=SelectedScope),'RAW_AR_CONTENT'!R220,"")</f>
        <v>0</v>
      </c>
    </row>
    <row r="222" spans="1:18" ht="15" customHeight="1" x14ac:dyDescent="0.3">
      <c r="A222" s="12">
        <f>IF(IF(SelectedScope="All India",TRUE,'RAW_AR_CONTENT'!$B221=SelectedScope),'RAW_AR_CONTENT'!A221,"")</f>
        <v>218</v>
      </c>
      <c r="B222" s="12" t="str">
        <f>IF(IF(SelectedScope="All India",TRUE,'RAW_AR_CONTENT'!$B221=SelectedScope),'RAW_AR_CONTENT'!B221,"")</f>
        <v>Jharkhand</v>
      </c>
      <c r="C222" s="12" t="str">
        <f>IF(IF(SelectedScope="All India",TRUE,'RAW_AR_CONTENT'!$B221=SelectedScope),'RAW_AR_CONTENT'!C221,"")</f>
        <v>Geography</v>
      </c>
      <c r="D222" s="12" t="str">
        <f>IF(IF(SelectedScope="All India",TRUE,'RAW_AR_CONTENT'!$B221=SelectedScope),'RAW_AR_CONTENT'!D221,"")</f>
        <v>Class 6</v>
      </c>
      <c r="E222" s="12" t="str">
        <f>IF(IF(SelectedScope="All India",TRUE,'RAW_AR_CONTENT'!$B221=SelectedScope),'RAW_AR_CONTENT'!E221,"")</f>
        <v>Water Cycle Simulation</v>
      </c>
      <c r="F222" s="12" t="str">
        <f>IF(IF(SelectedScope="All India",TRUE,'RAW_AR_CONTENT'!$B221=SelectedScope),'RAW_AR_CONTENT'!F221,"")</f>
        <v>Animated</v>
      </c>
      <c r="G222" s="12" t="str">
        <f>IF(IF(SelectedScope="All India",TRUE,'RAW_AR_CONTENT'!$B221=SelectedScope),'RAW_AR_CONTENT'!G221,"")</f>
        <v>Active</v>
      </c>
      <c r="H222" s="12">
        <f>IF(IF(SelectedScope="All India",TRUE,'RAW_AR_CONTENT'!$B221=SelectedScope),'RAW_AR_CONTENT'!H221,"")</f>
        <v>0</v>
      </c>
      <c r="I222" s="12">
        <f>IF(IF(SelectedScope="All India",TRUE,'RAW_AR_CONTENT'!$B221=SelectedScope),'RAW_AR_CONTENT'!I221,"")</f>
        <v>0</v>
      </c>
      <c r="J222" s="12">
        <f>IF(IF(SelectedScope="All India",TRUE,'RAW_AR_CONTENT'!$B221=SelectedScope),'RAW_AR_CONTENT'!J221,"")</f>
        <v>0</v>
      </c>
      <c r="K222" s="12">
        <f>IF(IF(SelectedScope="All India",TRUE,'RAW_AR_CONTENT'!$B221=SelectedScope),'RAW_AR_CONTENT'!K221,"")</f>
        <v>0</v>
      </c>
      <c r="L222" s="12">
        <f>IF(IF(SelectedScope="All India",TRUE,'RAW_AR_CONTENT'!$B221=SelectedScope),'RAW_AR_CONTENT'!L221,"")</f>
        <v>0</v>
      </c>
      <c r="M222" s="12">
        <f>IF(IF(SelectedScope="All India",TRUE,'RAW_AR_CONTENT'!$B221=SelectedScope),'RAW_AR_CONTENT'!M221,"")</f>
        <v>0</v>
      </c>
      <c r="N222" s="12">
        <f>IF(IF(SelectedScope="All India",TRUE,'RAW_AR_CONTENT'!$B221=SelectedScope),'RAW_AR_CONTENT'!N221,"")</f>
        <v>0</v>
      </c>
      <c r="O222" s="12">
        <f>IF(IF(SelectedScope="All India",TRUE,'RAW_AR_CONTENT'!$B221=SelectedScope),'RAW_AR_CONTENT'!O221,"")</f>
        <v>0</v>
      </c>
      <c r="P222" s="12">
        <f>IF(IF(SelectedScope="All India",TRUE,'RAW_AR_CONTENT'!$B221=SelectedScope),'RAW_AR_CONTENT'!P221,"")</f>
        <v>0</v>
      </c>
      <c r="Q222" s="12">
        <f>IF(IF(SelectedScope="All India",TRUE,'RAW_AR_CONTENT'!$B221=SelectedScope),'RAW_AR_CONTENT'!Q221,"")</f>
        <v>0</v>
      </c>
      <c r="R222" s="12">
        <f>IF(IF(SelectedScope="All India",TRUE,'RAW_AR_CONTENT'!$B221=SelectedScope),'RAW_AR_CONTENT'!R221,"")</f>
        <v>0</v>
      </c>
    </row>
    <row r="223" spans="1:18" ht="15" customHeight="1" x14ac:dyDescent="0.3">
      <c r="A223" s="9">
        <f>IF(IF(SelectedScope="All India",TRUE,'RAW_AR_CONTENT'!$B222=SelectedScope),'RAW_AR_CONTENT'!A222,"")</f>
        <v>219</v>
      </c>
      <c r="B223" s="9" t="str">
        <f>IF(IF(SelectedScope="All India",TRUE,'RAW_AR_CONTENT'!$B222=SelectedScope),'RAW_AR_CONTENT'!B222,"")</f>
        <v>Jharkhand</v>
      </c>
      <c r="C223" s="9" t="str">
        <f>IF(IF(SelectedScope="All India",TRUE,'RAW_AR_CONTENT'!$B222=SelectedScope),'RAW_AR_CONTENT'!C222,"")</f>
        <v>Biology</v>
      </c>
      <c r="D223" s="9" t="str">
        <f>IF(IF(SelectedScope="All India",TRUE,'RAW_AR_CONTENT'!$B222=SelectedScope),'RAW_AR_CONTENT'!D222,"")</f>
        <v>Class 11</v>
      </c>
      <c r="E223" s="9" t="str">
        <f>IF(IF(SelectedScope="All India",TRUE,'RAW_AR_CONTENT'!$B222=SelectedScope),'RAW_AR_CONTENT'!E222,"")</f>
        <v>Human Anatomy AR</v>
      </c>
      <c r="F223" s="9" t="str">
        <f>IF(IF(SelectedScope="All India",TRUE,'RAW_AR_CONTENT'!$B222=SelectedScope),'RAW_AR_CONTENT'!F222,"")</f>
        <v>Fully Immersive</v>
      </c>
      <c r="G223" s="9" t="str">
        <f>IF(IF(SelectedScope="All India",TRUE,'RAW_AR_CONTENT'!$B222=SelectedScope),'RAW_AR_CONTENT'!G222,"")</f>
        <v>Active</v>
      </c>
      <c r="H223" s="9">
        <f>IF(IF(SelectedScope="All India",TRUE,'RAW_AR_CONTENT'!$B222=SelectedScope),'RAW_AR_CONTENT'!H222,"")</f>
        <v>0</v>
      </c>
      <c r="I223" s="9">
        <f>IF(IF(SelectedScope="All India",TRUE,'RAW_AR_CONTENT'!$B222=SelectedScope),'RAW_AR_CONTENT'!I222,"")</f>
        <v>0</v>
      </c>
      <c r="J223" s="9">
        <f>IF(IF(SelectedScope="All India",TRUE,'RAW_AR_CONTENT'!$B222=SelectedScope),'RAW_AR_CONTENT'!J222,"")</f>
        <v>0</v>
      </c>
      <c r="K223" s="9">
        <f>IF(IF(SelectedScope="All India",TRUE,'RAW_AR_CONTENT'!$B222=SelectedScope),'RAW_AR_CONTENT'!K222,"")</f>
        <v>0</v>
      </c>
      <c r="L223" s="9">
        <f>IF(IF(SelectedScope="All India",TRUE,'RAW_AR_CONTENT'!$B222=SelectedScope),'RAW_AR_CONTENT'!L222,"")</f>
        <v>0</v>
      </c>
      <c r="M223" s="9">
        <f>IF(IF(SelectedScope="All India",TRUE,'RAW_AR_CONTENT'!$B222=SelectedScope),'RAW_AR_CONTENT'!M222,"")</f>
        <v>0</v>
      </c>
      <c r="N223" s="9">
        <f>IF(IF(SelectedScope="All India",TRUE,'RAW_AR_CONTENT'!$B222=SelectedScope),'RAW_AR_CONTENT'!N222,"")</f>
        <v>0</v>
      </c>
      <c r="O223" s="9">
        <f>IF(IF(SelectedScope="All India",TRUE,'RAW_AR_CONTENT'!$B222=SelectedScope),'RAW_AR_CONTENT'!O222,"")</f>
        <v>0</v>
      </c>
      <c r="P223" s="9">
        <f>IF(IF(SelectedScope="All India",TRUE,'RAW_AR_CONTENT'!$B222=SelectedScope),'RAW_AR_CONTENT'!P222,"")</f>
        <v>0</v>
      </c>
      <c r="Q223" s="9">
        <f>IF(IF(SelectedScope="All India",TRUE,'RAW_AR_CONTENT'!$B222=SelectedScope),'RAW_AR_CONTENT'!Q222,"")</f>
        <v>0</v>
      </c>
      <c r="R223" s="9">
        <f>IF(IF(SelectedScope="All India",TRUE,'RAW_AR_CONTENT'!$B222=SelectedScope),'RAW_AR_CONTENT'!R222,"")</f>
        <v>0</v>
      </c>
    </row>
    <row r="224" spans="1:18" ht="15" customHeight="1" x14ac:dyDescent="0.3">
      <c r="A224" s="12">
        <f>IF(IF(SelectedScope="All India",TRUE,'RAW_AR_CONTENT'!$B223=SelectedScope),'RAW_AR_CONTENT'!A223,"")</f>
        <v>220</v>
      </c>
      <c r="B224" s="12" t="str">
        <f>IF(IF(SelectedScope="All India",TRUE,'RAW_AR_CONTENT'!$B223=SelectedScope),'RAW_AR_CONTENT'!B223,"")</f>
        <v>Jharkhand</v>
      </c>
      <c r="C224" s="12" t="str">
        <f>IF(IF(SelectedScope="All India",TRUE,'RAW_AR_CONTENT'!$B223=SelectedScope),'RAW_AR_CONTENT'!C223,"")</f>
        <v>Physics</v>
      </c>
      <c r="D224" s="12" t="str">
        <f>IF(IF(SelectedScope="All India",TRUE,'RAW_AR_CONTENT'!$B223=SelectedScope),'RAW_AR_CONTENT'!D223,"")</f>
        <v>Class 9</v>
      </c>
      <c r="E224" s="12" t="str">
        <f>IF(IF(SelectedScope="All India",TRUE,'RAW_AR_CONTENT'!$B223=SelectedScope),'RAW_AR_CONTENT'!E223,"")</f>
        <v>Laws of Motion</v>
      </c>
      <c r="F224" s="12" t="str">
        <f>IF(IF(SelectedScope="All India",TRUE,'RAW_AR_CONTENT'!$B223=SelectedScope),'RAW_AR_CONTENT'!F223,"")</f>
        <v>Interactive</v>
      </c>
      <c r="G224" s="12" t="str">
        <f>IF(IF(SelectedScope="All India",TRUE,'RAW_AR_CONTENT'!$B223=SelectedScope),'RAW_AR_CONTENT'!G223,"")</f>
        <v>Active</v>
      </c>
      <c r="H224" s="12">
        <f>IF(IF(SelectedScope="All India",TRUE,'RAW_AR_CONTENT'!$B223=SelectedScope),'RAW_AR_CONTENT'!H223,"")</f>
        <v>0</v>
      </c>
      <c r="I224" s="12">
        <f>IF(IF(SelectedScope="All India",TRUE,'RAW_AR_CONTENT'!$B223=SelectedScope),'RAW_AR_CONTENT'!I223,"")</f>
        <v>0</v>
      </c>
      <c r="J224" s="12">
        <f>IF(IF(SelectedScope="All India",TRUE,'RAW_AR_CONTENT'!$B223=SelectedScope),'RAW_AR_CONTENT'!J223,"")</f>
        <v>0</v>
      </c>
      <c r="K224" s="12">
        <f>IF(IF(SelectedScope="All India",TRUE,'RAW_AR_CONTENT'!$B223=SelectedScope),'RAW_AR_CONTENT'!K223,"")</f>
        <v>0</v>
      </c>
      <c r="L224" s="12">
        <f>IF(IF(SelectedScope="All India",TRUE,'RAW_AR_CONTENT'!$B223=SelectedScope),'RAW_AR_CONTENT'!L223,"")</f>
        <v>0</v>
      </c>
      <c r="M224" s="12">
        <f>IF(IF(SelectedScope="All India",TRUE,'RAW_AR_CONTENT'!$B223=SelectedScope),'RAW_AR_CONTENT'!M223,"")</f>
        <v>0</v>
      </c>
      <c r="N224" s="12">
        <f>IF(IF(SelectedScope="All India",TRUE,'RAW_AR_CONTENT'!$B223=SelectedScope),'RAW_AR_CONTENT'!N223,"")</f>
        <v>0</v>
      </c>
      <c r="O224" s="12">
        <f>IF(IF(SelectedScope="All India",TRUE,'RAW_AR_CONTENT'!$B223=SelectedScope),'RAW_AR_CONTENT'!O223,"")</f>
        <v>0</v>
      </c>
      <c r="P224" s="12">
        <f>IF(IF(SelectedScope="All India",TRUE,'RAW_AR_CONTENT'!$B223=SelectedScope),'RAW_AR_CONTENT'!P223,"")</f>
        <v>0</v>
      </c>
      <c r="Q224" s="12">
        <f>IF(IF(SelectedScope="All India",TRUE,'RAW_AR_CONTENT'!$B223=SelectedScope),'RAW_AR_CONTENT'!Q223,"")</f>
        <v>0</v>
      </c>
      <c r="R224" s="12">
        <f>IF(IF(SelectedScope="All India",TRUE,'RAW_AR_CONTENT'!$B223=SelectedScope),'RAW_AR_CONTENT'!R223,"")</f>
        <v>0</v>
      </c>
    </row>
    <row r="225" spans="1:18" ht="15" customHeight="1" x14ac:dyDescent="0.3">
      <c r="A225" s="9">
        <f>IF(IF(SelectedScope="All India",TRUE,'RAW_AR_CONTENT'!$B224=SelectedScope),'RAW_AR_CONTENT'!A224,"")</f>
        <v>221</v>
      </c>
      <c r="B225" s="9" t="str">
        <f>IF(IF(SelectedScope="All India",TRUE,'RAW_AR_CONTENT'!$B224=SelectedScope),'RAW_AR_CONTENT'!B224,"")</f>
        <v>Jharkhand</v>
      </c>
      <c r="C225" s="9" t="str">
        <f>IF(IF(SelectedScope="All India",TRUE,'RAW_AR_CONTENT'!$B224=SelectedScope),'RAW_AR_CONTENT'!C224,"")</f>
        <v>Chemistry</v>
      </c>
      <c r="D225" s="9" t="str">
        <f>IF(IF(SelectedScope="All India",TRUE,'RAW_AR_CONTENT'!$B224=SelectedScope),'RAW_AR_CONTENT'!D224,"")</f>
        <v>Class 11</v>
      </c>
      <c r="E225" s="9" t="str">
        <f>IF(IF(SelectedScope="All India",TRUE,'RAW_AR_CONTENT'!$B224=SelectedScope),'RAW_AR_CONTENT'!E224,"")</f>
        <v>Periodic Table 3D</v>
      </c>
      <c r="F225" s="9" t="str">
        <f>IF(IF(SelectedScope="All India",TRUE,'RAW_AR_CONTENT'!$B224=SelectedScope),'RAW_AR_CONTENT'!F224,"")</f>
        <v>Interactive</v>
      </c>
      <c r="G225" s="9" t="str">
        <f>IF(IF(SelectedScope="All India",TRUE,'RAW_AR_CONTENT'!$B224=SelectedScope),'RAW_AR_CONTENT'!G224,"")</f>
        <v>Active</v>
      </c>
      <c r="H225" s="9">
        <f>IF(IF(SelectedScope="All India",TRUE,'RAW_AR_CONTENT'!$B224=SelectedScope),'RAW_AR_CONTENT'!H224,"")</f>
        <v>0</v>
      </c>
      <c r="I225" s="9">
        <f>IF(IF(SelectedScope="All India",TRUE,'RAW_AR_CONTENT'!$B224=SelectedScope),'RAW_AR_CONTENT'!I224,"")</f>
        <v>0</v>
      </c>
      <c r="J225" s="9">
        <f>IF(IF(SelectedScope="All India",TRUE,'RAW_AR_CONTENT'!$B224=SelectedScope),'RAW_AR_CONTENT'!J224,"")</f>
        <v>0</v>
      </c>
      <c r="K225" s="9">
        <f>IF(IF(SelectedScope="All India",TRUE,'RAW_AR_CONTENT'!$B224=SelectedScope),'RAW_AR_CONTENT'!K224,"")</f>
        <v>0</v>
      </c>
      <c r="L225" s="9">
        <f>IF(IF(SelectedScope="All India",TRUE,'RAW_AR_CONTENT'!$B224=SelectedScope),'RAW_AR_CONTENT'!L224,"")</f>
        <v>0</v>
      </c>
      <c r="M225" s="9">
        <f>IF(IF(SelectedScope="All India",TRUE,'RAW_AR_CONTENT'!$B224=SelectedScope),'RAW_AR_CONTENT'!M224,"")</f>
        <v>0</v>
      </c>
      <c r="N225" s="9">
        <f>IF(IF(SelectedScope="All India",TRUE,'RAW_AR_CONTENT'!$B224=SelectedScope),'RAW_AR_CONTENT'!N224,"")</f>
        <v>0</v>
      </c>
      <c r="O225" s="9">
        <f>IF(IF(SelectedScope="All India",TRUE,'RAW_AR_CONTENT'!$B224=SelectedScope),'RAW_AR_CONTENT'!O224,"")</f>
        <v>0</v>
      </c>
      <c r="P225" s="9">
        <f>IF(IF(SelectedScope="All India",TRUE,'RAW_AR_CONTENT'!$B224=SelectedScope),'RAW_AR_CONTENT'!P224,"")</f>
        <v>0</v>
      </c>
      <c r="Q225" s="9">
        <f>IF(IF(SelectedScope="All India",TRUE,'RAW_AR_CONTENT'!$B224=SelectedScope),'RAW_AR_CONTENT'!Q224,"")</f>
        <v>0</v>
      </c>
      <c r="R225" s="9">
        <f>IF(IF(SelectedScope="All India",TRUE,'RAW_AR_CONTENT'!$B224=SelectedScope),'RAW_AR_CONTENT'!R224,"")</f>
        <v>0</v>
      </c>
    </row>
    <row r="226" spans="1:18" ht="15" customHeight="1" x14ac:dyDescent="0.3">
      <c r="A226" s="12">
        <f>IF(IF(SelectedScope="All India",TRUE,'RAW_AR_CONTENT'!$B225=SelectedScope),'RAW_AR_CONTENT'!A225,"")</f>
        <v>222</v>
      </c>
      <c r="B226" s="12" t="str">
        <f>IF(IF(SelectedScope="All India",TRUE,'RAW_AR_CONTENT'!$B225=SelectedScope),'RAW_AR_CONTENT'!B225,"")</f>
        <v>Jharkhand</v>
      </c>
      <c r="C226" s="12" t="str">
        <f>IF(IF(SelectedScope="All India",TRUE,'RAW_AR_CONTENT'!$B225=SelectedScope),'RAW_AR_CONTENT'!C225,"")</f>
        <v>Physics</v>
      </c>
      <c r="D226" s="12" t="str">
        <f>IF(IF(SelectedScope="All India",TRUE,'RAW_AR_CONTENT'!$B225=SelectedScope),'RAW_AR_CONTENT'!D225,"")</f>
        <v>Class 10</v>
      </c>
      <c r="E226" s="12" t="str">
        <f>IF(IF(SelectedScope="All India",TRUE,'RAW_AR_CONTENT'!$B225=SelectedScope),'RAW_AR_CONTENT'!E225,"")</f>
        <v>Electricity Circuits</v>
      </c>
      <c r="F226" s="12" t="str">
        <f>IF(IF(SelectedScope="All India",TRUE,'RAW_AR_CONTENT'!$B225=SelectedScope),'RAW_AR_CONTENT'!F225,"")</f>
        <v>Interactive</v>
      </c>
      <c r="G226" s="12" t="str">
        <f>IF(IF(SelectedScope="All India",TRUE,'RAW_AR_CONTENT'!$B225=SelectedScope),'RAW_AR_CONTENT'!G225,"")</f>
        <v>Active</v>
      </c>
      <c r="H226" s="12">
        <f>IF(IF(SelectedScope="All India",TRUE,'RAW_AR_CONTENT'!$B225=SelectedScope),'RAW_AR_CONTENT'!H225,"")</f>
        <v>0</v>
      </c>
      <c r="I226" s="12">
        <f>IF(IF(SelectedScope="All India",TRUE,'RAW_AR_CONTENT'!$B225=SelectedScope),'RAW_AR_CONTENT'!I225,"")</f>
        <v>0</v>
      </c>
      <c r="J226" s="12">
        <f>IF(IF(SelectedScope="All India",TRUE,'RAW_AR_CONTENT'!$B225=SelectedScope),'RAW_AR_CONTENT'!J225,"")</f>
        <v>0</v>
      </c>
      <c r="K226" s="12">
        <f>IF(IF(SelectedScope="All India",TRUE,'RAW_AR_CONTENT'!$B225=SelectedScope),'RAW_AR_CONTENT'!K225,"")</f>
        <v>0</v>
      </c>
      <c r="L226" s="12">
        <f>IF(IF(SelectedScope="All India",TRUE,'RAW_AR_CONTENT'!$B225=SelectedScope),'RAW_AR_CONTENT'!L225,"")</f>
        <v>0</v>
      </c>
      <c r="M226" s="12">
        <f>IF(IF(SelectedScope="All India",TRUE,'RAW_AR_CONTENT'!$B225=SelectedScope),'RAW_AR_CONTENT'!M225,"")</f>
        <v>0</v>
      </c>
      <c r="N226" s="12">
        <f>IF(IF(SelectedScope="All India",TRUE,'RAW_AR_CONTENT'!$B225=SelectedScope),'RAW_AR_CONTENT'!N225,"")</f>
        <v>0</v>
      </c>
      <c r="O226" s="12">
        <f>IF(IF(SelectedScope="All India",TRUE,'RAW_AR_CONTENT'!$B225=SelectedScope),'RAW_AR_CONTENT'!O225,"")</f>
        <v>0</v>
      </c>
      <c r="P226" s="12">
        <f>IF(IF(SelectedScope="All India",TRUE,'RAW_AR_CONTENT'!$B225=SelectedScope),'RAW_AR_CONTENT'!P225,"")</f>
        <v>0</v>
      </c>
      <c r="Q226" s="12">
        <f>IF(IF(SelectedScope="All India",TRUE,'RAW_AR_CONTENT'!$B225=SelectedScope),'RAW_AR_CONTENT'!Q225,"")</f>
        <v>0</v>
      </c>
      <c r="R226" s="12">
        <f>IF(IF(SelectedScope="All India",TRUE,'RAW_AR_CONTENT'!$B225=SelectedScope),'RAW_AR_CONTENT'!R225,"")</f>
        <v>0</v>
      </c>
    </row>
    <row r="227" spans="1:18" ht="15" customHeight="1" x14ac:dyDescent="0.3">
      <c r="A227" s="9">
        <f>IF(IF(SelectedScope="All India",TRUE,'RAW_AR_CONTENT'!$B226=SelectedScope),'RAW_AR_CONTENT'!A226,"")</f>
        <v>223</v>
      </c>
      <c r="B227" s="9" t="str">
        <f>IF(IF(SelectedScope="All India",TRUE,'RAW_AR_CONTENT'!$B226=SelectedScope),'RAW_AR_CONTENT'!B226,"")</f>
        <v>Jharkhand</v>
      </c>
      <c r="C227" s="9" t="str">
        <f>IF(IF(SelectedScope="All India",TRUE,'RAW_AR_CONTENT'!$B226=SelectedScope),'RAW_AR_CONTENT'!C226,"")</f>
        <v>Civics</v>
      </c>
      <c r="D227" s="9" t="str">
        <f>IF(IF(SelectedScope="All India",TRUE,'RAW_AR_CONTENT'!$B226=SelectedScope),'RAW_AR_CONTENT'!D226,"")</f>
        <v>Class 9</v>
      </c>
      <c r="E227" s="9" t="str">
        <f>IF(IF(SelectedScope="All India",TRUE,'RAW_AR_CONTENT'!$B226=SelectedScope),'RAW_AR_CONTENT'!E226,"")</f>
        <v>Indian Constitution</v>
      </c>
      <c r="F227" s="9" t="str">
        <f>IF(IF(SelectedScope="All India",TRUE,'RAW_AR_CONTENT'!$B226=SelectedScope),'RAW_AR_CONTENT'!F226,"")</f>
        <v>Basic 3D</v>
      </c>
      <c r="G227" s="9" t="str">
        <f>IF(IF(SelectedScope="All India",TRUE,'RAW_AR_CONTENT'!$B226=SelectedScope),'RAW_AR_CONTENT'!G226,"")</f>
        <v>Active</v>
      </c>
      <c r="H227" s="9">
        <f>IF(IF(SelectedScope="All India",TRUE,'RAW_AR_CONTENT'!$B226=SelectedScope),'RAW_AR_CONTENT'!H226,"")</f>
        <v>0</v>
      </c>
      <c r="I227" s="9">
        <f>IF(IF(SelectedScope="All India",TRUE,'RAW_AR_CONTENT'!$B226=SelectedScope),'RAW_AR_CONTENT'!I226,"")</f>
        <v>0</v>
      </c>
      <c r="J227" s="9">
        <f>IF(IF(SelectedScope="All India",TRUE,'RAW_AR_CONTENT'!$B226=SelectedScope),'RAW_AR_CONTENT'!J226,"")</f>
        <v>0</v>
      </c>
      <c r="K227" s="9">
        <f>IF(IF(SelectedScope="All India",TRUE,'RAW_AR_CONTENT'!$B226=SelectedScope),'RAW_AR_CONTENT'!K226,"")</f>
        <v>0</v>
      </c>
      <c r="L227" s="9">
        <f>IF(IF(SelectedScope="All India",TRUE,'RAW_AR_CONTENT'!$B226=SelectedScope),'RAW_AR_CONTENT'!L226,"")</f>
        <v>0</v>
      </c>
      <c r="M227" s="9">
        <f>IF(IF(SelectedScope="All India",TRUE,'RAW_AR_CONTENT'!$B226=SelectedScope),'RAW_AR_CONTENT'!M226,"")</f>
        <v>0</v>
      </c>
      <c r="N227" s="9">
        <f>IF(IF(SelectedScope="All India",TRUE,'RAW_AR_CONTENT'!$B226=SelectedScope),'RAW_AR_CONTENT'!N226,"")</f>
        <v>0</v>
      </c>
      <c r="O227" s="9">
        <f>IF(IF(SelectedScope="All India",TRUE,'RAW_AR_CONTENT'!$B226=SelectedScope),'RAW_AR_CONTENT'!O226,"")</f>
        <v>0</v>
      </c>
      <c r="P227" s="9">
        <f>IF(IF(SelectedScope="All India",TRUE,'RAW_AR_CONTENT'!$B226=SelectedScope),'RAW_AR_CONTENT'!P226,"")</f>
        <v>0</v>
      </c>
      <c r="Q227" s="9">
        <f>IF(IF(SelectedScope="All India",TRUE,'RAW_AR_CONTENT'!$B226=SelectedScope),'RAW_AR_CONTENT'!Q226,"")</f>
        <v>0</v>
      </c>
      <c r="R227" s="9">
        <f>IF(IF(SelectedScope="All India",TRUE,'RAW_AR_CONTENT'!$B226=SelectedScope),'RAW_AR_CONTENT'!R226,"")</f>
        <v>0</v>
      </c>
    </row>
    <row r="228" spans="1:18" ht="15" customHeight="1" x14ac:dyDescent="0.3">
      <c r="A228" s="12">
        <f>IF(IF(SelectedScope="All India",TRUE,'RAW_AR_CONTENT'!$B227=SelectedScope),'RAW_AR_CONTENT'!A227,"")</f>
        <v>224</v>
      </c>
      <c r="B228" s="12" t="str">
        <f>IF(IF(SelectedScope="All India",TRUE,'RAW_AR_CONTENT'!$B227=SelectedScope),'RAW_AR_CONTENT'!B227,"")</f>
        <v>Jharkhand</v>
      </c>
      <c r="C228" s="12" t="str">
        <f>IF(IF(SelectedScope="All India",TRUE,'RAW_AR_CONTENT'!$B227=SelectedScope),'RAW_AR_CONTENT'!C227,"")</f>
        <v>Environmental Science</v>
      </c>
      <c r="D228" s="12" t="str">
        <f>IF(IF(SelectedScope="All India",TRUE,'RAW_AR_CONTENT'!$B227=SelectedScope),'RAW_AR_CONTENT'!D227,"")</f>
        <v>Class 6</v>
      </c>
      <c r="E228" s="12" t="str">
        <f>IF(IF(SelectedScope="All India",TRUE,'RAW_AR_CONTENT'!$B227=SelectedScope),'RAW_AR_CONTENT'!E227,"")</f>
        <v>Food Chain</v>
      </c>
      <c r="F228" s="12" t="str">
        <f>IF(IF(SelectedScope="All India",TRUE,'RAW_AR_CONTENT'!$B227=SelectedScope),'RAW_AR_CONTENT'!F227,"")</f>
        <v>Animated</v>
      </c>
      <c r="G228" s="12" t="str">
        <f>IF(IF(SelectedScope="All India",TRUE,'RAW_AR_CONTENT'!$B227=SelectedScope),'RAW_AR_CONTENT'!G227,"")</f>
        <v>Active</v>
      </c>
      <c r="H228" s="12">
        <f>IF(IF(SelectedScope="All India",TRUE,'RAW_AR_CONTENT'!$B227=SelectedScope),'RAW_AR_CONTENT'!H227,"")</f>
        <v>0</v>
      </c>
      <c r="I228" s="12">
        <f>IF(IF(SelectedScope="All India",TRUE,'RAW_AR_CONTENT'!$B227=SelectedScope),'RAW_AR_CONTENT'!I227,"")</f>
        <v>0</v>
      </c>
      <c r="J228" s="12">
        <f>IF(IF(SelectedScope="All India",TRUE,'RAW_AR_CONTENT'!$B227=SelectedScope),'RAW_AR_CONTENT'!J227,"")</f>
        <v>0</v>
      </c>
      <c r="K228" s="12">
        <f>IF(IF(SelectedScope="All India",TRUE,'RAW_AR_CONTENT'!$B227=SelectedScope),'RAW_AR_CONTENT'!K227,"")</f>
        <v>0</v>
      </c>
      <c r="L228" s="12">
        <f>IF(IF(SelectedScope="All India",TRUE,'RAW_AR_CONTENT'!$B227=SelectedScope),'RAW_AR_CONTENT'!L227,"")</f>
        <v>0</v>
      </c>
      <c r="M228" s="12">
        <f>IF(IF(SelectedScope="All India",TRUE,'RAW_AR_CONTENT'!$B227=SelectedScope),'RAW_AR_CONTENT'!M227,"")</f>
        <v>0</v>
      </c>
      <c r="N228" s="12">
        <f>IF(IF(SelectedScope="All India",TRUE,'RAW_AR_CONTENT'!$B227=SelectedScope),'RAW_AR_CONTENT'!N227,"")</f>
        <v>0</v>
      </c>
      <c r="O228" s="12">
        <f>IF(IF(SelectedScope="All India",TRUE,'RAW_AR_CONTENT'!$B227=SelectedScope),'RAW_AR_CONTENT'!O227,"")</f>
        <v>0</v>
      </c>
      <c r="P228" s="12">
        <f>IF(IF(SelectedScope="All India",TRUE,'RAW_AR_CONTENT'!$B227=SelectedScope),'RAW_AR_CONTENT'!P227,"")</f>
        <v>0</v>
      </c>
      <c r="Q228" s="12">
        <f>IF(IF(SelectedScope="All India",TRUE,'RAW_AR_CONTENT'!$B227=SelectedScope),'RAW_AR_CONTENT'!Q227,"")</f>
        <v>0</v>
      </c>
      <c r="R228" s="12">
        <f>IF(IF(SelectedScope="All India",TRUE,'RAW_AR_CONTENT'!$B227=SelectedScope),'RAW_AR_CONTENT'!R227,"")</f>
        <v>0</v>
      </c>
    </row>
    <row r="229" spans="1:18" ht="15" customHeight="1" x14ac:dyDescent="0.3">
      <c r="A229" s="9">
        <f>IF(IF(SelectedScope="All India",TRUE,'RAW_AR_CONTENT'!$B228=SelectedScope),'RAW_AR_CONTENT'!A228,"")</f>
        <v>225</v>
      </c>
      <c r="B229" s="9" t="str">
        <f>IF(IF(SelectedScope="All India",TRUE,'RAW_AR_CONTENT'!$B228=SelectedScope),'RAW_AR_CONTENT'!B228,"")</f>
        <v>Jharkhand</v>
      </c>
      <c r="C229" s="9" t="str">
        <f>IF(IF(SelectedScope="All India",TRUE,'RAW_AR_CONTENT'!$B228=SelectedScope),'RAW_AR_CONTENT'!C228,"")</f>
        <v>Mathematics</v>
      </c>
      <c r="D229" s="9" t="str">
        <f>IF(IF(SelectedScope="All India",TRUE,'RAW_AR_CONTENT'!$B228=SelectedScope),'RAW_AR_CONTENT'!D228,"")</f>
        <v>Class 10</v>
      </c>
      <c r="E229" s="9" t="str">
        <f>IF(IF(SelectedScope="All India",TRUE,'RAW_AR_CONTENT'!$B228=SelectedScope),'RAW_AR_CONTENT'!E228,"")</f>
        <v>Quadratic Equations</v>
      </c>
      <c r="F229" s="9" t="str">
        <f>IF(IF(SelectedScope="All India",TRUE,'RAW_AR_CONTENT'!$B228=SelectedScope),'RAW_AR_CONTENT'!F228,"")</f>
        <v>Animated</v>
      </c>
      <c r="G229" s="9" t="str">
        <f>IF(IF(SelectedScope="All India",TRUE,'RAW_AR_CONTENT'!$B228=SelectedScope),'RAW_AR_CONTENT'!G228,"")</f>
        <v>Active</v>
      </c>
      <c r="H229" s="9">
        <f>IF(IF(SelectedScope="All India",TRUE,'RAW_AR_CONTENT'!$B228=SelectedScope),'RAW_AR_CONTENT'!H228,"")</f>
        <v>0</v>
      </c>
      <c r="I229" s="9">
        <f>IF(IF(SelectedScope="All India",TRUE,'RAW_AR_CONTENT'!$B228=SelectedScope),'RAW_AR_CONTENT'!I228,"")</f>
        <v>0</v>
      </c>
      <c r="J229" s="9">
        <f>IF(IF(SelectedScope="All India",TRUE,'RAW_AR_CONTENT'!$B228=SelectedScope),'RAW_AR_CONTENT'!J228,"")</f>
        <v>0</v>
      </c>
      <c r="K229" s="9">
        <f>IF(IF(SelectedScope="All India",TRUE,'RAW_AR_CONTENT'!$B228=SelectedScope),'RAW_AR_CONTENT'!K228,"")</f>
        <v>0</v>
      </c>
      <c r="L229" s="9">
        <f>IF(IF(SelectedScope="All India",TRUE,'RAW_AR_CONTENT'!$B228=SelectedScope),'RAW_AR_CONTENT'!L228,"")</f>
        <v>0</v>
      </c>
      <c r="M229" s="9">
        <f>IF(IF(SelectedScope="All India",TRUE,'RAW_AR_CONTENT'!$B228=SelectedScope),'RAW_AR_CONTENT'!M228,"")</f>
        <v>0</v>
      </c>
      <c r="N229" s="9">
        <f>IF(IF(SelectedScope="All India",TRUE,'RAW_AR_CONTENT'!$B228=SelectedScope),'RAW_AR_CONTENT'!N228,"")</f>
        <v>0</v>
      </c>
      <c r="O229" s="9">
        <f>IF(IF(SelectedScope="All India",TRUE,'RAW_AR_CONTENT'!$B228=SelectedScope),'RAW_AR_CONTENT'!O228,"")</f>
        <v>0</v>
      </c>
      <c r="P229" s="9">
        <f>IF(IF(SelectedScope="All India",TRUE,'RAW_AR_CONTENT'!$B228=SelectedScope),'RAW_AR_CONTENT'!P228,"")</f>
        <v>0</v>
      </c>
      <c r="Q229" s="9">
        <f>IF(IF(SelectedScope="All India",TRUE,'RAW_AR_CONTENT'!$B228=SelectedScope),'RAW_AR_CONTENT'!Q228,"")</f>
        <v>0</v>
      </c>
      <c r="R229" s="9">
        <f>IF(IF(SelectedScope="All India",TRUE,'RAW_AR_CONTENT'!$B228=SelectedScope),'RAW_AR_CONTENT'!R228,"")</f>
        <v>0</v>
      </c>
    </row>
    <row r="230" spans="1:18" ht="15" customHeight="1" x14ac:dyDescent="0.3">
      <c r="A230" s="12">
        <f>IF(IF(SelectedScope="All India",TRUE,'RAW_AR_CONTENT'!$B229=SelectedScope),'RAW_AR_CONTENT'!A229,"")</f>
        <v>226</v>
      </c>
      <c r="B230" s="12" t="str">
        <f>IF(IF(SelectedScope="All India",TRUE,'RAW_AR_CONTENT'!$B229=SelectedScope),'RAW_AR_CONTENT'!B229,"")</f>
        <v>Karnataka</v>
      </c>
      <c r="C230" s="12" t="str">
        <f>IF(IF(SelectedScope="All India",TRUE,'RAW_AR_CONTENT'!$B229=SelectedScope),'RAW_AR_CONTENT'!C229,"")</f>
        <v>Science</v>
      </c>
      <c r="D230" s="12" t="str">
        <f>IF(IF(SelectedScope="All India",TRUE,'RAW_AR_CONTENT'!$B229=SelectedScope),'RAW_AR_CONTENT'!D229,"")</f>
        <v>Class 8</v>
      </c>
      <c r="E230" s="12" t="str">
        <f>IF(IF(SelectedScope="All India",TRUE,'RAW_AR_CONTENT'!$B229=SelectedScope),'RAW_AR_CONTENT'!E229,"")</f>
        <v>Solar System 3D</v>
      </c>
      <c r="F230" s="12" t="str">
        <f>IF(IF(SelectedScope="All India",TRUE,'RAW_AR_CONTENT'!$B229=SelectedScope),'RAW_AR_CONTENT'!F229,"")</f>
        <v>Animated</v>
      </c>
      <c r="G230" s="12" t="str">
        <f>IF(IF(SelectedScope="All India",TRUE,'RAW_AR_CONTENT'!$B229=SelectedScope),'RAW_AR_CONTENT'!G229,"")</f>
        <v>Active</v>
      </c>
      <c r="H230" s="12">
        <f>IF(IF(SelectedScope="All India",TRUE,'RAW_AR_CONTENT'!$B229=SelectedScope),'RAW_AR_CONTENT'!H229,"")</f>
        <v>0</v>
      </c>
      <c r="I230" s="12">
        <f>IF(IF(SelectedScope="All India",TRUE,'RAW_AR_CONTENT'!$B229=SelectedScope),'RAW_AR_CONTENT'!I229,"")</f>
        <v>0</v>
      </c>
      <c r="J230" s="12">
        <f>IF(IF(SelectedScope="All India",TRUE,'RAW_AR_CONTENT'!$B229=SelectedScope),'RAW_AR_CONTENT'!J229,"")</f>
        <v>0</v>
      </c>
      <c r="K230" s="12">
        <f>IF(IF(SelectedScope="All India",TRUE,'RAW_AR_CONTENT'!$B229=SelectedScope),'RAW_AR_CONTENT'!K229,"")</f>
        <v>0</v>
      </c>
      <c r="L230" s="12">
        <f>IF(IF(SelectedScope="All India",TRUE,'RAW_AR_CONTENT'!$B229=SelectedScope),'RAW_AR_CONTENT'!L229,"")</f>
        <v>0</v>
      </c>
      <c r="M230" s="12">
        <f>IF(IF(SelectedScope="All India",TRUE,'RAW_AR_CONTENT'!$B229=SelectedScope),'RAW_AR_CONTENT'!M229,"")</f>
        <v>0</v>
      </c>
      <c r="N230" s="12">
        <f>IF(IF(SelectedScope="All India",TRUE,'RAW_AR_CONTENT'!$B229=SelectedScope),'RAW_AR_CONTENT'!N229,"")</f>
        <v>0</v>
      </c>
      <c r="O230" s="12">
        <f>IF(IF(SelectedScope="All India",TRUE,'RAW_AR_CONTENT'!$B229=SelectedScope),'RAW_AR_CONTENT'!O229,"")</f>
        <v>0</v>
      </c>
      <c r="P230" s="12">
        <f>IF(IF(SelectedScope="All India",TRUE,'RAW_AR_CONTENT'!$B229=SelectedScope),'RAW_AR_CONTENT'!P229,"")</f>
        <v>0</v>
      </c>
      <c r="Q230" s="12">
        <f>IF(IF(SelectedScope="All India",TRUE,'RAW_AR_CONTENT'!$B229=SelectedScope),'RAW_AR_CONTENT'!Q229,"")</f>
        <v>0</v>
      </c>
      <c r="R230" s="12">
        <f>IF(IF(SelectedScope="All India",TRUE,'RAW_AR_CONTENT'!$B229=SelectedScope),'RAW_AR_CONTENT'!R229,"")</f>
        <v>0</v>
      </c>
    </row>
    <row r="231" spans="1:18" ht="15" customHeight="1" x14ac:dyDescent="0.3">
      <c r="A231" s="9">
        <f>IF(IF(SelectedScope="All India",TRUE,'RAW_AR_CONTENT'!$B230=SelectedScope),'RAW_AR_CONTENT'!A230,"")</f>
        <v>227</v>
      </c>
      <c r="B231" s="9" t="str">
        <f>IF(IF(SelectedScope="All India",TRUE,'RAW_AR_CONTENT'!$B230=SelectedScope),'RAW_AR_CONTENT'!B230,"")</f>
        <v>Karnataka</v>
      </c>
      <c r="C231" s="9" t="str">
        <f>IF(IF(SelectedScope="All India",TRUE,'RAW_AR_CONTENT'!$B230=SelectedScope),'RAW_AR_CONTENT'!C230,"")</f>
        <v>Biology</v>
      </c>
      <c r="D231" s="9" t="str">
        <f>IF(IF(SelectedScope="All India",TRUE,'RAW_AR_CONTENT'!$B230=SelectedScope),'RAW_AR_CONTENT'!D230,"")</f>
        <v>Class 9</v>
      </c>
      <c r="E231" s="9" t="str">
        <f>IF(IF(SelectedScope="All India",TRUE,'RAW_AR_CONTENT'!$B230=SelectedScope),'RAW_AR_CONTENT'!E230,"")</f>
        <v>Cell Division</v>
      </c>
      <c r="F231" s="9" t="str">
        <f>IF(IF(SelectedScope="All India",TRUE,'RAW_AR_CONTENT'!$B230=SelectedScope),'RAW_AR_CONTENT'!F230,"")</f>
        <v>Interactive</v>
      </c>
      <c r="G231" s="9" t="str">
        <f>IF(IF(SelectedScope="All India",TRUE,'RAW_AR_CONTENT'!$B230=SelectedScope),'RAW_AR_CONTENT'!G230,"")</f>
        <v>Active</v>
      </c>
      <c r="H231" s="9">
        <f>IF(IF(SelectedScope="All India",TRUE,'RAW_AR_CONTENT'!$B230=SelectedScope),'RAW_AR_CONTENT'!H230,"")</f>
        <v>0</v>
      </c>
      <c r="I231" s="9">
        <f>IF(IF(SelectedScope="All India",TRUE,'RAW_AR_CONTENT'!$B230=SelectedScope),'RAW_AR_CONTENT'!I230,"")</f>
        <v>0</v>
      </c>
      <c r="J231" s="9">
        <f>IF(IF(SelectedScope="All India",TRUE,'RAW_AR_CONTENT'!$B230=SelectedScope),'RAW_AR_CONTENT'!J230,"")</f>
        <v>0</v>
      </c>
      <c r="K231" s="9">
        <f>IF(IF(SelectedScope="All India",TRUE,'RAW_AR_CONTENT'!$B230=SelectedScope),'RAW_AR_CONTENT'!K230,"")</f>
        <v>0</v>
      </c>
      <c r="L231" s="9">
        <f>IF(IF(SelectedScope="All India",TRUE,'RAW_AR_CONTENT'!$B230=SelectedScope),'RAW_AR_CONTENT'!L230,"")</f>
        <v>0</v>
      </c>
      <c r="M231" s="9">
        <f>IF(IF(SelectedScope="All India",TRUE,'RAW_AR_CONTENT'!$B230=SelectedScope),'RAW_AR_CONTENT'!M230,"")</f>
        <v>0</v>
      </c>
      <c r="N231" s="9">
        <f>IF(IF(SelectedScope="All India",TRUE,'RAW_AR_CONTENT'!$B230=SelectedScope),'RAW_AR_CONTENT'!N230,"")</f>
        <v>0</v>
      </c>
      <c r="O231" s="9">
        <f>IF(IF(SelectedScope="All India",TRUE,'RAW_AR_CONTENT'!$B230=SelectedScope),'RAW_AR_CONTENT'!O230,"")</f>
        <v>0</v>
      </c>
      <c r="P231" s="9">
        <f>IF(IF(SelectedScope="All India",TRUE,'RAW_AR_CONTENT'!$B230=SelectedScope),'RAW_AR_CONTENT'!P230,"")</f>
        <v>0</v>
      </c>
      <c r="Q231" s="9">
        <f>IF(IF(SelectedScope="All India",TRUE,'RAW_AR_CONTENT'!$B230=SelectedScope),'RAW_AR_CONTENT'!Q230,"")</f>
        <v>0</v>
      </c>
      <c r="R231" s="9">
        <f>IF(IF(SelectedScope="All India",TRUE,'RAW_AR_CONTENT'!$B230=SelectedScope),'RAW_AR_CONTENT'!R230,"")</f>
        <v>0</v>
      </c>
    </row>
    <row r="232" spans="1:18" ht="15" customHeight="1" x14ac:dyDescent="0.3">
      <c r="A232" s="12">
        <f>IF(IF(SelectedScope="All India",TRUE,'RAW_AR_CONTENT'!$B231=SelectedScope),'RAW_AR_CONTENT'!A231,"")</f>
        <v>228</v>
      </c>
      <c r="B232" s="12" t="str">
        <f>IF(IF(SelectedScope="All India",TRUE,'RAW_AR_CONTENT'!$B231=SelectedScope),'RAW_AR_CONTENT'!B231,"")</f>
        <v>Karnataka</v>
      </c>
      <c r="C232" s="12" t="str">
        <f>IF(IF(SelectedScope="All India",TRUE,'RAW_AR_CONTENT'!$B231=SelectedScope),'RAW_AR_CONTENT'!C231,"")</f>
        <v>Chemistry</v>
      </c>
      <c r="D232" s="12" t="str">
        <f>IF(IF(SelectedScope="All India",TRUE,'RAW_AR_CONTENT'!$B231=SelectedScope),'RAW_AR_CONTENT'!D231,"")</f>
        <v>Class 9</v>
      </c>
      <c r="E232" s="12" t="str">
        <f>IF(IF(SelectedScope="All India",TRUE,'RAW_AR_CONTENT'!$B231=SelectedScope),'RAW_AR_CONTENT'!E231,"")</f>
        <v>Atoms and Molecules</v>
      </c>
      <c r="F232" s="12" t="str">
        <f>IF(IF(SelectedScope="All India",TRUE,'RAW_AR_CONTENT'!$B231=SelectedScope),'RAW_AR_CONTENT'!F231,"")</f>
        <v>Animated</v>
      </c>
      <c r="G232" s="12" t="str">
        <f>IF(IF(SelectedScope="All India",TRUE,'RAW_AR_CONTENT'!$B231=SelectedScope),'RAW_AR_CONTENT'!G231,"")</f>
        <v>Active</v>
      </c>
      <c r="H232" s="12">
        <f>IF(IF(SelectedScope="All India",TRUE,'RAW_AR_CONTENT'!$B231=SelectedScope),'RAW_AR_CONTENT'!H231,"")</f>
        <v>0</v>
      </c>
      <c r="I232" s="12">
        <f>IF(IF(SelectedScope="All India",TRUE,'RAW_AR_CONTENT'!$B231=SelectedScope),'RAW_AR_CONTENT'!I231,"")</f>
        <v>0</v>
      </c>
      <c r="J232" s="12">
        <f>IF(IF(SelectedScope="All India",TRUE,'RAW_AR_CONTENT'!$B231=SelectedScope),'RAW_AR_CONTENT'!J231,"")</f>
        <v>0</v>
      </c>
      <c r="K232" s="12">
        <f>IF(IF(SelectedScope="All India",TRUE,'RAW_AR_CONTENT'!$B231=SelectedScope),'RAW_AR_CONTENT'!K231,"")</f>
        <v>0</v>
      </c>
      <c r="L232" s="12">
        <f>IF(IF(SelectedScope="All India",TRUE,'RAW_AR_CONTENT'!$B231=SelectedScope),'RAW_AR_CONTENT'!L231,"")</f>
        <v>0</v>
      </c>
      <c r="M232" s="12">
        <f>IF(IF(SelectedScope="All India",TRUE,'RAW_AR_CONTENT'!$B231=SelectedScope),'RAW_AR_CONTENT'!M231,"")</f>
        <v>0</v>
      </c>
      <c r="N232" s="12">
        <f>IF(IF(SelectedScope="All India",TRUE,'RAW_AR_CONTENT'!$B231=SelectedScope),'RAW_AR_CONTENT'!N231,"")</f>
        <v>0</v>
      </c>
      <c r="O232" s="12">
        <f>IF(IF(SelectedScope="All India",TRUE,'RAW_AR_CONTENT'!$B231=SelectedScope),'RAW_AR_CONTENT'!O231,"")</f>
        <v>0</v>
      </c>
      <c r="P232" s="12">
        <f>IF(IF(SelectedScope="All India",TRUE,'RAW_AR_CONTENT'!$B231=SelectedScope),'RAW_AR_CONTENT'!P231,"")</f>
        <v>0</v>
      </c>
      <c r="Q232" s="12">
        <f>IF(IF(SelectedScope="All India",TRUE,'RAW_AR_CONTENT'!$B231=SelectedScope),'RAW_AR_CONTENT'!Q231,"")</f>
        <v>0</v>
      </c>
      <c r="R232" s="12">
        <f>IF(IF(SelectedScope="All India",TRUE,'RAW_AR_CONTENT'!$B231=SelectedScope),'RAW_AR_CONTENT'!R231,"")</f>
        <v>0</v>
      </c>
    </row>
    <row r="233" spans="1:18" ht="15" customHeight="1" x14ac:dyDescent="0.3">
      <c r="A233" s="9">
        <f>IF(IF(SelectedScope="All India",TRUE,'RAW_AR_CONTENT'!$B232=SelectedScope),'RAW_AR_CONTENT'!A232,"")</f>
        <v>229</v>
      </c>
      <c r="B233" s="9" t="str">
        <f>IF(IF(SelectedScope="All India",TRUE,'RAW_AR_CONTENT'!$B232=SelectedScope),'RAW_AR_CONTENT'!B232,"")</f>
        <v>Karnataka</v>
      </c>
      <c r="C233" s="9" t="str">
        <f>IF(IF(SelectedScope="All India",TRUE,'RAW_AR_CONTENT'!$B232=SelectedScope),'RAW_AR_CONTENT'!C232,"")</f>
        <v>Biology</v>
      </c>
      <c r="D233" s="9" t="str">
        <f>IF(IF(SelectedScope="All India",TRUE,'RAW_AR_CONTENT'!$B232=SelectedScope),'RAW_AR_CONTENT'!D232,"")</f>
        <v>Class 7</v>
      </c>
      <c r="E233" s="9" t="str">
        <f>IF(IF(SelectedScope="All India",TRUE,'RAW_AR_CONTENT'!$B232=SelectedScope),'RAW_AR_CONTENT'!E232,"")</f>
        <v>Photosynthesis</v>
      </c>
      <c r="F233" s="9" t="str">
        <f>IF(IF(SelectedScope="All India",TRUE,'RAW_AR_CONTENT'!$B232=SelectedScope),'RAW_AR_CONTENT'!F232,"")</f>
        <v>Basic 3D</v>
      </c>
      <c r="G233" s="9" t="str">
        <f>IF(IF(SelectedScope="All India",TRUE,'RAW_AR_CONTENT'!$B232=SelectedScope),'RAW_AR_CONTENT'!G232,"")</f>
        <v>Active</v>
      </c>
      <c r="H233" s="9">
        <f>IF(IF(SelectedScope="All India",TRUE,'RAW_AR_CONTENT'!$B232=SelectedScope),'RAW_AR_CONTENT'!H232,"")</f>
        <v>0</v>
      </c>
      <c r="I233" s="9">
        <f>IF(IF(SelectedScope="All India",TRUE,'RAW_AR_CONTENT'!$B232=SelectedScope),'RAW_AR_CONTENT'!I232,"")</f>
        <v>0</v>
      </c>
      <c r="J233" s="9">
        <f>IF(IF(SelectedScope="All India",TRUE,'RAW_AR_CONTENT'!$B232=SelectedScope),'RAW_AR_CONTENT'!J232,"")</f>
        <v>0</v>
      </c>
      <c r="K233" s="9">
        <f>IF(IF(SelectedScope="All India",TRUE,'RAW_AR_CONTENT'!$B232=SelectedScope),'RAW_AR_CONTENT'!K232,"")</f>
        <v>0</v>
      </c>
      <c r="L233" s="9">
        <f>IF(IF(SelectedScope="All India",TRUE,'RAW_AR_CONTENT'!$B232=SelectedScope),'RAW_AR_CONTENT'!L232,"")</f>
        <v>0</v>
      </c>
      <c r="M233" s="9">
        <f>IF(IF(SelectedScope="All India",TRUE,'RAW_AR_CONTENT'!$B232=SelectedScope),'RAW_AR_CONTENT'!M232,"")</f>
        <v>0</v>
      </c>
      <c r="N233" s="9">
        <f>IF(IF(SelectedScope="All India",TRUE,'RAW_AR_CONTENT'!$B232=SelectedScope),'RAW_AR_CONTENT'!N232,"")</f>
        <v>0</v>
      </c>
      <c r="O233" s="9">
        <f>IF(IF(SelectedScope="All India",TRUE,'RAW_AR_CONTENT'!$B232=SelectedScope),'RAW_AR_CONTENT'!O232,"")</f>
        <v>0</v>
      </c>
      <c r="P233" s="9">
        <f>IF(IF(SelectedScope="All India",TRUE,'RAW_AR_CONTENT'!$B232=SelectedScope),'RAW_AR_CONTENT'!P232,"")</f>
        <v>0</v>
      </c>
      <c r="Q233" s="9">
        <f>IF(IF(SelectedScope="All India",TRUE,'RAW_AR_CONTENT'!$B232=SelectedScope),'RAW_AR_CONTENT'!Q232,"")</f>
        <v>0</v>
      </c>
      <c r="R233" s="9">
        <f>IF(IF(SelectedScope="All India",TRUE,'RAW_AR_CONTENT'!$B232=SelectedScope),'RAW_AR_CONTENT'!R232,"")</f>
        <v>0</v>
      </c>
    </row>
    <row r="234" spans="1:18" ht="15" customHeight="1" x14ac:dyDescent="0.3">
      <c r="A234" s="12">
        <f>IF(IF(SelectedScope="All India",TRUE,'RAW_AR_CONTENT'!$B233=SelectedScope),'RAW_AR_CONTENT'!A233,"")</f>
        <v>230</v>
      </c>
      <c r="B234" s="12" t="str">
        <f>IF(IF(SelectedScope="All India",TRUE,'RAW_AR_CONTENT'!$B233=SelectedScope),'RAW_AR_CONTENT'!B233,"")</f>
        <v>Karnataka</v>
      </c>
      <c r="C234" s="12" t="str">
        <f>IF(IF(SelectedScope="All India",TRUE,'RAW_AR_CONTENT'!$B233=SelectedScope),'RAW_AR_CONTENT'!C233,"")</f>
        <v>Mathematics</v>
      </c>
      <c r="D234" s="12" t="str">
        <f>IF(IF(SelectedScope="All India",TRUE,'RAW_AR_CONTENT'!$B233=SelectedScope),'RAW_AR_CONTENT'!D233,"")</f>
        <v>Class 7</v>
      </c>
      <c r="E234" s="12" t="str">
        <f>IF(IF(SelectedScope="All India",TRUE,'RAW_AR_CONTENT'!$B233=SelectedScope),'RAW_AR_CONTENT'!E233,"")</f>
        <v>Fractions 3D Model</v>
      </c>
      <c r="F234" s="12" t="str">
        <f>IF(IF(SelectedScope="All India",TRUE,'RAW_AR_CONTENT'!$B233=SelectedScope),'RAW_AR_CONTENT'!F233,"")</f>
        <v>Interactive</v>
      </c>
      <c r="G234" s="12" t="str">
        <f>IF(IF(SelectedScope="All India",TRUE,'RAW_AR_CONTENT'!$B233=SelectedScope),'RAW_AR_CONTENT'!G233,"")</f>
        <v>Active</v>
      </c>
      <c r="H234" s="12">
        <f>IF(IF(SelectedScope="All India",TRUE,'RAW_AR_CONTENT'!$B233=SelectedScope),'RAW_AR_CONTENT'!H233,"")</f>
        <v>0</v>
      </c>
      <c r="I234" s="12">
        <f>IF(IF(SelectedScope="All India",TRUE,'RAW_AR_CONTENT'!$B233=SelectedScope),'RAW_AR_CONTENT'!I233,"")</f>
        <v>0</v>
      </c>
      <c r="J234" s="12">
        <f>IF(IF(SelectedScope="All India",TRUE,'RAW_AR_CONTENT'!$B233=SelectedScope),'RAW_AR_CONTENT'!J233,"")</f>
        <v>0</v>
      </c>
      <c r="K234" s="12">
        <f>IF(IF(SelectedScope="All India",TRUE,'RAW_AR_CONTENT'!$B233=SelectedScope),'RAW_AR_CONTENT'!K233,"")</f>
        <v>0</v>
      </c>
      <c r="L234" s="12">
        <f>IF(IF(SelectedScope="All India",TRUE,'RAW_AR_CONTENT'!$B233=SelectedScope),'RAW_AR_CONTENT'!L233,"")</f>
        <v>0</v>
      </c>
      <c r="M234" s="12">
        <f>IF(IF(SelectedScope="All India",TRUE,'RAW_AR_CONTENT'!$B233=SelectedScope),'RAW_AR_CONTENT'!M233,"")</f>
        <v>0</v>
      </c>
      <c r="N234" s="12">
        <f>IF(IF(SelectedScope="All India",TRUE,'RAW_AR_CONTENT'!$B233=SelectedScope),'RAW_AR_CONTENT'!N233,"")</f>
        <v>0</v>
      </c>
      <c r="O234" s="12">
        <f>IF(IF(SelectedScope="All India",TRUE,'RAW_AR_CONTENT'!$B233=SelectedScope),'RAW_AR_CONTENT'!O233,"")</f>
        <v>0</v>
      </c>
      <c r="P234" s="12">
        <f>IF(IF(SelectedScope="All India",TRUE,'RAW_AR_CONTENT'!$B233=SelectedScope),'RAW_AR_CONTENT'!P233,"")</f>
        <v>0</v>
      </c>
      <c r="Q234" s="12">
        <f>IF(IF(SelectedScope="All India",TRUE,'RAW_AR_CONTENT'!$B233=SelectedScope),'RAW_AR_CONTENT'!Q233,"")</f>
        <v>0</v>
      </c>
      <c r="R234" s="12">
        <f>IF(IF(SelectedScope="All India",TRUE,'RAW_AR_CONTENT'!$B233=SelectedScope),'RAW_AR_CONTENT'!R233,"")</f>
        <v>0</v>
      </c>
    </row>
    <row r="235" spans="1:18" ht="15" customHeight="1" x14ac:dyDescent="0.3">
      <c r="A235" s="9">
        <f>IF(IF(SelectedScope="All India",TRUE,'RAW_AR_CONTENT'!$B234=SelectedScope),'RAW_AR_CONTENT'!A234,"")</f>
        <v>231</v>
      </c>
      <c r="B235" s="9" t="str">
        <f>IF(IF(SelectedScope="All India",TRUE,'RAW_AR_CONTENT'!$B234=SelectedScope),'RAW_AR_CONTENT'!B234,"")</f>
        <v>Karnataka</v>
      </c>
      <c r="C235" s="9" t="str">
        <f>IF(IF(SelectedScope="All India",TRUE,'RAW_AR_CONTENT'!$B234=SelectedScope),'RAW_AR_CONTENT'!C234,"")</f>
        <v>Mathematics</v>
      </c>
      <c r="D235" s="9" t="str">
        <f>IF(IF(SelectedScope="All India",TRUE,'RAW_AR_CONTENT'!$B234=SelectedScope),'RAW_AR_CONTENT'!D234,"")</f>
        <v>Class 10</v>
      </c>
      <c r="E235" s="9" t="str">
        <f>IF(IF(SelectedScope="All India",TRUE,'RAW_AR_CONTENT'!$B234=SelectedScope),'RAW_AR_CONTENT'!E234,"")</f>
        <v>Trigonometry 3D</v>
      </c>
      <c r="F235" s="9" t="str">
        <f>IF(IF(SelectedScope="All India",TRUE,'RAW_AR_CONTENT'!$B234=SelectedScope),'RAW_AR_CONTENT'!F234,"")</f>
        <v>Animated</v>
      </c>
      <c r="G235" s="9" t="str">
        <f>IF(IF(SelectedScope="All India",TRUE,'RAW_AR_CONTENT'!$B234=SelectedScope),'RAW_AR_CONTENT'!G234,"")</f>
        <v>Active</v>
      </c>
      <c r="H235" s="9">
        <f>IF(IF(SelectedScope="All India",TRUE,'RAW_AR_CONTENT'!$B234=SelectedScope),'RAW_AR_CONTENT'!H234,"")</f>
        <v>0</v>
      </c>
      <c r="I235" s="9">
        <f>IF(IF(SelectedScope="All India",TRUE,'RAW_AR_CONTENT'!$B234=SelectedScope),'RAW_AR_CONTENT'!I234,"")</f>
        <v>0</v>
      </c>
      <c r="J235" s="9">
        <f>IF(IF(SelectedScope="All India",TRUE,'RAW_AR_CONTENT'!$B234=SelectedScope),'RAW_AR_CONTENT'!J234,"")</f>
        <v>0</v>
      </c>
      <c r="K235" s="9">
        <f>IF(IF(SelectedScope="All India",TRUE,'RAW_AR_CONTENT'!$B234=SelectedScope),'RAW_AR_CONTENT'!K234,"")</f>
        <v>0</v>
      </c>
      <c r="L235" s="9">
        <f>IF(IF(SelectedScope="All India",TRUE,'RAW_AR_CONTENT'!$B234=SelectedScope),'RAW_AR_CONTENT'!L234,"")</f>
        <v>0</v>
      </c>
      <c r="M235" s="9">
        <f>IF(IF(SelectedScope="All India",TRUE,'RAW_AR_CONTENT'!$B234=SelectedScope),'RAW_AR_CONTENT'!M234,"")</f>
        <v>0</v>
      </c>
      <c r="N235" s="9">
        <f>IF(IF(SelectedScope="All India",TRUE,'RAW_AR_CONTENT'!$B234=SelectedScope),'RAW_AR_CONTENT'!N234,"")</f>
        <v>0</v>
      </c>
      <c r="O235" s="9">
        <f>IF(IF(SelectedScope="All India",TRUE,'RAW_AR_CONTENT'!$B234=SelectedScope),'RAW_AR_CONTENT'!O234,"")</f>
        <v>0</v>
      </c>
      <c r="P235" s="9">
        <f>IF(IF(SelectedScope="All India",TRUE,'RAW_AR_CONTENT'!$B234=SelectedScope),'RAW_AR_CONTENT'!P234,"")</f>
        <v>0</v>
      </c>
      <c r="Q235" s="9">
        <f>IF(IF(SelectedScope="All India",TRUE,'RAW_AR_CONTENT'!$B234=SelectedScope),'RAW_AR_CONTENT'!Q234,"")</f>
        <v>0</v>
      </c>
      <c r="R235" s="9">
        <f>IF(IF(SelectedScope="All India",TRUE,'RAW_AR_CONTENT'!$B234=SelectedScope),'RAW_AR_CONTENT'!R234,"")</f>
        <v>0</v>
      </c>
    </row>
    <row r="236" spans="1:18" ht="15" customHeight="1" x14ac:dyDescent="0.3">
      <c r="A236" s="12">
        <f>IF(IF(SelectedScope="All India",TRUE,'RAW_AR_CONTENT'!$B235=SelectedScope),'RAW_AR_CONTENT'!A235,"")</f>
        <v>232</v>
      </c>
      <c r="B236" s="12" t="str">
        <f>IF(IF(SelectedScope="All India",TRUE,'RAW_AR_CONTENT'!$B235=SelectedScope),'RAW_AR_CONTENT'!B235,"")</f>
        <v>Karnataka</v>
      </c>
      <c r="C236" s="12" t="str">
        <f>IF(IF(SelectedScope="All India",TRUE,'RAW_AR_CONTENT'!$B235=SelectedScope),'RAW_AR_CONTENT'!C235,"")</f>
        <v>History</v>
      </c>
      <c r="D236" s="12" t="str">
        <f>IF(IF(SelectedScope="All India",TRUE,'RAW_AR_CONTENT'!$B235=SelectedScope),'RAW_AR_CONTENT'!D235,"")</f>
        <v>Class 10</v>
      </c>
      <c r="E236" s="12" t="str">
        <f>IF(IF(SelectedScope="All India",TRUE,'RAW_AR_CONTENT'!$B235=SelectedScope),'RAW_AR_CONTENT'!E235,"")</f>
        <v>Mughal Empire AR</v>
      </c>
      <c r="F236" s="12" t="str">
        <f>IF(IF(SelectedScope="All India",TRUE,'RAW_AR_CONTENT'!$B235=SelectedScope),'RAW_AR_CONTENT'!F235,"")</f>
        <v>Basic 3D</v>
      </c>
      <c r="G236" s="12" t="str">
        <f>IF(IF(SelectedScope="All India",TRUE,'RAW_AR_CONTENT'!$B235=SelectedScope),'RAW_AR_CONTENT'!G235,"")</f>
        <v>Active</v>
      </c>
      <c r="H236" s="12">
        <f>IF(IF(SelectedScope="All India",TRUE,'RAW_AR_CONTENT'!$B235=SelectedScope),'RAW_AR_CONTENT'!H235,"")</f>
        <v>0</v>
      </c>
      <c r="I236" s="12">
        <f>IF(IF(SelectedScope="All India",TRUE,'RAW_AR_CONTENT'!$B235=SelectedScope),'RAW_AR_CONTENT'!I235,"")</f>
        <v>0</v>
      </c>
      <c r="J236" s="12">
        <f>IF(IF(SelectedScope="All India",TRUE,'RAW_AR_CONTENT'!$B235=SelectedScope),'RAW_AR_CONTENT'!J235,"")</f>
        <v>0</v>
      </c>
      <c r="K236" s="12">
        <f>IF(IF(SelectedScope="All India",TRUE,'RAW_AR_CONTENT'!$B235=SelectedScope),'RAW_AR_CONTENT'!K235,"")</f>
        <v>0</v>
      </c>
      <c r="L236" s="12">
        <f>IF(IF(SelectedScope="All India",TRUE,'RAW_AR_CONTENT'!$B235=SelectedScope),'RAW_AR_CONTENT'!L235,"")</f>
        <v>0</v>
      </c>
      <c r="M236" s="12">
        <f>IF(IF(SelectedScope="All India",TRUE,'RAW_AR_CONTENT'!$B235=SelectedScope),'RAW_AR_CONTENT'!M235,"")</f>
        <v>0</v>
      </c>
      <c r="N236" s="12">
        <f>IF(IF(SelectedScope="All India",TRUE,'RAW_AR_CONTENT'!$B235=SelectedScope),'RAW_AR_CONTENT'!N235,"")</f>
        <v>0</v>
      </c>
      <c r="O236" s="12">
        <f>IF(IF(SelectedScope="All India",TRUE,'RAW_AR_CONTENT'!$B235=SelectedScope),'RAW_AR_CONTENT'!O235,"")</f>
        <v>0</v>
      </c>
      <c r="P236" s="12">
        <f>IF(IF(SelectedScope="All India",TRUE,'RAW_AR_CONTENT'!$B235=SelectedScope),'RAW_AR_CONTENT'!P235,"")</f>
        <v>0</v>
      </c>
      <c r="Q236" s="12">
        <f>IF(IF(SelectedScope="All India",TRUE,'RAW_AR_CONTENT'!$B235=SelectedScope),'RAW_AR_CONTENT'!Q235,"")</f>
        <v>0</v>
      </c>
      <c r="R236" s="12">
        <f>IF(IF(SelectedScope="All India",TRUE,'RAW_AR_CONTENT'!$B235=SelectedScope),'RAW_AR_CONTENT'!R235,"")</f>
        <v>0</v>
      </c>
    </row>
    <row r="237" spans="1:18" ht="15" customHeight="1" x14ac:dyDescent="0.3">
      <c r="A237" s="9">
        <f>IF(IF(SelectedScope="All India",TRUE,'RAW_AR_CONTENT'!$B236=SelectedScope),'RAW_AR_CONTENT'!A236,"")</f>
        <v>233</v>
      </c>
      <c r="B237" s="9" t="str">
        <f>IF(IF(SelectedScope="All India",TRUE,'RAW_AR_CONTENT'!$B236=SelectedScope),'RAW_AR_CONTENT'!B236,"")</f>
        <v>Karnataka</v>
      </c>
      <c r="C237" s="9" t="str">
        <f>IF(IF(SelectedScope="All India",TRUE,'RAW_AR_CONTENT'!$B236=SelectedScope),'RAW_AR_CONTENT'!C236,"")</f>
        <v>Geography</v>
      </c>
      <c r="D237" s="9" t="str">
        <f>IF(IF(SelectedScope="All India",TRUE,'RAW_AR_CONTENT'!$B236=SelectedScope),'RAW_AR_CONTENT'!D236,"")</f>
        <v>Class 6</v>
      </c>
      <c r="E237" s="9" t="str">
        <f>IF(IF(SelectedScope="All India",TRUE,'RAW_AR_CONTENT'!$B236=SelectedScope),'RAW_AR_CONTENT'!E236,"")</f>
        <v>Water Cycle Simulation</v>
      </c>
      <c r="F237" s="9" t="str">
        <f>IF(IF(SelectedScope="All India",TRUE,'RAW_AR_CONTENT'!$B236=SelectedScope),'RAW_AR_CONTENT'!F236,"")</f>
        <v>Animated</v>
      </c>
      <c r="G237" s="9" t="str">
        <f>IF(IF(SelectedScope="All India",TRUE,'RAW_AR_CONTENT'!$B236=SelectedScope),'RAW_AR_CONTENT'!G236,"")</f>
        <v>Active</v>
      </c>
      <c r="H237" s="9">
        <f>IF(IF(SelectedScope="All India",TRUE,'RAW_AR_CONTENT'!$B236=SelectedScope),'RAW_AR_CONTENT'!H236,"")</f>
        <v>0</v>
      </c>
      <c r="I237" s="9">
        <f>IF(IF(SelectedScope="All India",TRUE,'RAW_AR_CONTENT'!$B236=SelectedScope),'RAW_AR_CONTENT'!I236,"")</f>
        <v>0</v>
      </c>
      <c r="J237" s="9">
        <f>IF(IF(SelectedScope="All India",TRUE,'RAW_AR_CONTENT'!$B236=SelectedScope),'RAW_AR_CONTENT'!J236,"")</f>
        <v>0</v>
      </c>
      <c r="K237" s="9">
        <f>IF(IF(SelectedScope="All India",TRUE,'RAW_AR_CONTENT'!$B236=SelectedScope),'RAW_AR_CONTENT'!K236,"")</f>
        <v>0</v>
      </c>
      <c r="L237" s="9">
        <f>IF(IF(SelectedScope="All India",TRUE,'RAW_AR_CONTENT'!$B236=SelectedScope),'RAW_AR_CONTENT'!L236,"")</f>
        <v>0</v>
      </c>
      <c r="M237" s="9">
        <f>IF(IF(SelectedScope="All India",TRUE,'RAW_AR_CONTENT'!$B236=SelectedScope),'RAW_AR_CONTENT'!M236,"")</f>
        <v>0</v>
      </c>
      <c r="N237" s="9">
        <f>IF(IF(SelectedScope="All India",TRUE,'RAW_AR_CONTENT'!$B236=SelectedScope),'RAW_AR_CONTENT'!N236,"")</f>
        <v>0</v>
      </c>
      <c r="O237" s="9">
        <f>IF(IF(SelectedScope="All India",TRUE,'RAW_AR_CONTENT'!$B236=SelectedScope),'RAW_AR_CONTENT'!O236,"")</f>
        <v>0</v>
      </c>
      <c r="P237" s="9">
        <f>IF(IF(SelectedScope="All India",TRUE,'RAW_AR_CONTENT'!$B236=SelectedScope),'RAW_AR_CONTENT'!P236,"")</f>
        <v>0</v>
      </c>
      <c r="Q237" s="9">
        <f>IF(IF(SelectedScope="All India",TRUE,'RAW_AR_CONTENT'!$B236=SelectedScope),'RAW_AR_CONTENT'!Q236,"")</f>
        <v>0</v>
      </c>
      <c r="R237" s="9">
        <f>IF(IF(SelectedScope="All India",TRUE,'RAW_AR_CONTENT'!$B236=SelectedScope),'RAW_AR_CONTENT'!R236,"")</f>
        <v>0</v>
      </c>
    </row>
    <row r="238" spans="1:18" ht="15" customHeight="1" x14ac:dyDescent="0.3">
      <c r="A238" s="12">
        <f>IF(IF(SelectedScope="All India",TRUE,'RAW_AR_CONTENT'!$B237=SelectedScope),'RAW_AR_CONTENT'!A237,"")</f>
        <v>234</v>
      </c>
      <c r="B238" s="12" t="str">
        <f>IF(IF(SelectedScope="All India",TRUE,'RAW_AR_CONTENT'!$B237=SelectedScope),'RAW_AR_CONTENT'!B237,"")</f>
        <v>Karnataka</v>
      </c>
      <c r="C238" s="12" t="str">
        <f>IF(IF(SelectedScope="All India",TRUE,'RAW_AR_CONTENT'!$B237=SelectedScope),'RAW_AR_CONTENT'!C237,"")</f>
        <v>Biology</v>
      </c>
      <c r="D238" s="12" t="str">
        <f>IF(IF(SelectedScope="All India",TRUE,'RAW_AR_CONTENT'!$B237=SelectedScope),'RAW_AR_CONTENT'!D237,"")</f>
        <v>Class 11</v>
      </c>
      <c r="E238" s="12" t="str">
        <f>IF(IF(SelectedScope="All India",TRUE,'RAW_AR_CONTENT'!$B237=SelectedScope),'RAW_AR_CONTENT'!E237,"")</f>
        <v>Human Anatomy AR</v>
      </c>
      <c r="F238" s="12" t="str">
        <f>IF(IF(SelectedScope="All India",TRUE,'RAW_AR_CONTENT'!$B237=SelectedScope),'RAW_AR_CONTENT'!F237,"")</f>
        <v>Fully Immersive</v>
      </c>
      <c r="G238" s="12" t="str">
        <f>IF(IF(SelectedScope="All India",TRUE,'RAW_AR_CONTENT'!$B237=SelectedScope),'RAW_AR_CONTENT'!G237,"")</f>
        <v>Active</v>
      </c>
      <c r="H238" s="12">
        <f>IF(IF(SelectedScope="All India",TRUE,'RAW_AR_CONTENT'!$B237=SelectedScope),'RAW_AR_CONTENT'!H237,"")</f>
        <v>0</v>
      </c>
      <c r="I238" s="12">
        <f>IF(IF(SelectedScope="All India",TRUE,'RAW_AR_CONTENT'!$B237=SelectedScope),'RAW_AR_CONTENT'!I237,"")</f>
        <v>0</v>
      </c>
      <c r="J238" s="12">
        <f>IF(IF(SelectedScope="All India",TRUE,'RAW_AR_CONTENT'!$B237=SelectedScope),'RAW_AR_CONTENT'!J237,"")</f>
        <v>0</v>
      </c>
      <c r="K238" s="12">
        <f>IF(IF(SelectedScope="All India",TRUE,'RAW_AR_CONTENT'!$B237=SelectedScope),'RAW_AR_CONTENT'!K237,"")</f>
        <v>0</v>
      </c>
      <c r="L238" s="12">
        <f>IF(IF(SelectedScope="All India",TRUE,'RAW_AR_CONTENT'!$B237=SelectedScope),'RAW_AR_CONTENT'!L237,"")</f>
        <v>0</v>
      </c>
      <c r="M238" s="12">
        <f>IF(IF(SelectedScope="All India",TRUE,'RAW_AR_CONTENT'!$B237=SelectedScope),'RAW_AR_CONTENT'!M237,"")</f>
        <v>0</v>
      </c>
      <c r="N238" s="12">
        <f>IF(IF(SelectedScope="All India",TRUE,'RAW_AR_CONTENT'!$B237=SelectedScope),'RAW_AR_CONTENT'!N237,"")</f>
        <v>0</v>
      </c>
      <c r="O238" s="12">
        <f>IF(IF(SelectedScope="All India",TRUE,'RAW_AR_CONTENT'!$B237=SelectedScope),'RAW_AR_CONTENT'!O237,"")</f>
        <v>0</v>
      </c>
      <c r="P238" s="12">
        <f>IF(IF(SelectedScope="All India",TRUE,'RAW_AR_CONTENT'!$B237=SelectedScope),'RAW_AR_CONTENT'!P237,"")</f>
        <v>0</v>
      </c>
      <c r="Q238" s="12">
        <f>IF(IF(SelectedScope="All India",TRUE,'RAW_AR_CONTENT'!$B237=SelectedScope),'RAW_AR_CONTENT'!Q237,"")</f>
        <v>0</v>
      </c>
      <c r="R238" s="12">
        <f>IF(IF(SelectedScope="All India",TRUE,'RAW_AR_CONTENT'!$B237=SelectedScope),'RAW_AR_CONTENT'!R237,"")</f>
        <v>0</v>
      </c>
    </row>
    <row r="239" spans="1:18" ht="15" customHeight="1" x14ac:dyDescent="0.3">
      <c r="A239" s="9">
        <f>IF(IF(SelectedScope="All India",TRUE,'RAW_AR_CONTENT'!$B238=SelectedScope),'RAW_AR_CONTENT'!A238,"")</f>
        <v>235</v>
      </c>
      <c r="B239" s="9" t="str">
        <f>IF(IF(SelectedScope="All India",TRUE,'RAW_AR_CONTENT'!$B238=SelectedScope),'RAW_AR_CONTENT'!B238,"")</f>
        <v>Karnataka</v>
      </c>
      <c r="C239" s="9" t="str">
        <f>IF(IF(SelectedScope="All India",TRUE,'RAW_AR_CONTENT'!$B238=SelectedScope),'RAW_AR_CONTENT'!C238,"")</f>
        <v>Physics</v>
      </c>
      <c r="D239" s="9" t="str">
        <f>IF(IF(SelectedScope="All India",TRUE,'RAW_AR_CONTENT'!$B238=SelectedScope),'RAW_AR_CONTENT'!D238,"")</f>
        <v>Class 9</v>
      </c>
      <c r="E239" s="9" t="str">
        <f>IF(IF(SelectedScope="All India",TRUE,'RAW_AR_CONTENT'!$B238=SelectedScope),'RAW_AR_CONTENT'!E238,"")</f>
        <v>Laws of Motion</v>
      </c>
      <c r="F239" s="9" t="str">
        <f>IF(IF(SelectedScope="All India",TRUE,'RAW_AR_CONTENT'!$B238=SelectedScope),'RAW_AR_CONTENT'!F238,"")</f>
        <v>Interactive</v>
      </c>
      <c r="G239" s="9" t="str">
        <f>IF(IF(SelectedScope="All India",TRUE,'RAW_AR_CONTENT'!$B238=SelectedScope),'RAW_AR_CONTENT'!G238,"")</f>
        <v>Active</v>
      </c>
      <c r="H239" s="9">
        <f>IF(IF(SelectedScope="All India",TRUE,'RAW_AR_CONTENT'!$B238=SelectedScope),'RAW_AR_CONTENT'!H238,"")</f>
        <v>0</v>
      </c>
      <c r="I239" s="9">
        <f>IF(IF(SelectedScope="All India",TRUE,'RAW_AR_CONTENT'!$B238=SelectedScope),'RAW_AR_CONTENT'!I238,"")</f>
        <v>0</v>
      </c>
      <c r="J239" s="9">
        <f>IF(IF(SelectedScope="All India",TRUE,'RAW_AR_CONTENT'!$B238=SelectedScope),'RAW_AR_CONTENT'!J238,"")</f>
        <v>0</v>
      </c>
      <c r="K239" s="9">
        <f>IF(IF(SelectedScope="All India",TRUE,'RAW_AR_CONTENT'!$B238=SelectedScope),'RAW_AR_CONTENT'!K238,"")</f>
        <v>0</v>
      </c>
      <c r="L239" s="9">
        <f>IF(IF(SelectedScope="All India",TRUE,'RAW_AR_CONTENT'!$B238=SelectedScope),'RAW_AR_CONTENT'!L238,"")</f>
        <v>0</v>
      </c>
      <c r="M239" s="9">
        <f>IF(IF(SelectedScope="All India",TRUE,'RAW_AR_CONTENT'!$B238=SelectedScope),'RAW_AR_CONTENT'!M238,"")</f>
        <v>0</v>
      </c>
      <c r="N239" s="9">
        <f>IF(IF(SelectedScope="All India",TRUE,'RAW_AR_CONTENT'!$B238=SelectedScope),'RAW_AR_CONTENT'!N238,"")</f>
        <v>0</v>
      </c>
      <c r="O239" s="9">
        <f>IF(IF(SelectedScope="All India",TRUE,'RAW_AR_CONTENT'!$B238=SelectedScope),'RAW_AR_CONTENT'!O238,"")</f>
        <v>0</v>
      </c>
      <c r="P239" s="9">
        <f>IF(IF(SelectedScope="All India",TRUE,'RAW_AR_CONTENT'!$B238=SelectedScope),'RAW_AR_CONTENT'!P238,"")</f>
        <v>0</v>
      </c>
      <c r="Q239" s="9">
        <f>IF(IF(SelectedScope="All India",TRUE,'RAW_AR_CONTENT'!$B238=SelectedScope),'RAW_AR_CONTENT'!Q238,"")</f>
        <v>0</v>
      </c>
      <c r="R239" s="9">
        <f>IF(IF(SelectedScope="All India",TRUE,'RAW_AR_CONTENT'!$B238=SelectedScope),'RAW_AR_CONTENT'!R238,"")</f>
        <v>0</v>
      </c>
    </row>
    <row r="240" spans="1:18" ht="15" customHeight="1" x14ac:dyDescent="0.3">
      <c r="A240" s="12">
        <f>IF(IF(SelectedScope="All India",TRUE,'RAW_AR_CONTENT'!$B239=SelectedScope),'RAW_AR_CONTENT'!A239,"")</f>
        <v>236</v>
      </c>
      <c r="B240" s="12" t="str">
        <f>IF(IF(SelectedScope="All India",TRUE,'RAW_AR_CONTENT'!$B239=SelectedScope),'RAW_AR_CONTENT'!B239,"")</f>
        <v>Karnataka</v>
      </c>
      <c r="C240" s="12" t="str">
        <f>IF(IF(SelectedScope="All India",TRUE,'RAW_AR_CONTENT'!$B239=SelectedScope),'RAW_AR_CONTENT'!C239,"")</f>
        <v>Chemistry</v>
      </c>
      <c r="D240" s="12" t="str">
        <f>IF(IF(SelectedScope="All India",TRUE,'RAW_AR_CONTENT'!$B239=SelectedScope),'RAW_AR_CONTENT'!D239,"")</f>
        <v>Class 11</v>
      </c>
      <c r="E240" s="12" t="str">
        <f>IF(IF(SelectedScope="All India",TRUE,'RAW_AR_CONTENT'!$B239=SelectedScope),'RAW_AR_CONTENT'!E239,"")</f>
        <v>Periodic Table 3D</v>
      </c>
      <c r="F240" s="12" t="str">
        <f>IF(IF(SelectedScope="All India",TRUE,'RAW_AR_CONTENT'!$B239=SelectedScope),'RAW_AR_CONTENT'!F239,"")</f>
        <v>Interactive</v>
      </c>
      <c r="G240" s="12" t="str">
        <f>IF(IF(SelectedScope="All India",TRUE,'RAW_AR_CONTENT'!$B239=SelectedScope),'RAW_AR_CONTENT'!G239,"")</f>
        <v>Active</v>
      </c>
      <c r="H240" s="12">
        <f>IF(IF(SelectedScope="All India",TRUE,'RAW_AR_CONTENT'!$B239=SelectedScope),'RAW_AR_CONTENT'!H239,"")</f>
        <v>0</v>
      </c>
      <c r="I240" s="12">
        <f>IF(IF(SelectedScope="All India",TRUE,'RAW_AR_CONTENT'!$B239=SelectedScope),'RAW_AR_CONTENT'!I239,"")</f>
        <v>0</v>
      </c>
      <c r="J240" s="12">
        <f>IF(IF(SelectedScope="All India",TRUE,'RAW_AR_CONTENT'!$B239=SelectedScope),'RAW_AR_CONTENT'!J239,"")</f>
        <v>0</v>
      </c>
      <c r="K240" s="12">
        <f>IF(IF(SelectedScope="All India",TRUE,'RAW_AR_CONTENT'!$B239=SelectedScope),'RAW_AR_CONTENT'!K239,"")</f>
        <v>0</v>
      </c>
      <c r="L240" s="12">
        <f>IF(IF(SelectedScope="All India",TRUE,'RAW_AR_CONTENT'!$B239=SelectedScope),'RAW_AR_CONTENT'!L239,"")</f>
        <v>0</v>
      </c>
      <c r="M240" s="12">
        <f>IF(IF(SelectedScope="All India",TRUE,'RAW_AR_CONTENT'!$B239=SelectedScope),'RAW_AR_CONTENT'!M239,"")</f>
        <v>0</v>
      </c>
      <c r="N240" s="12">
        <f>IF(IF(SelectedScope="All India",TRUE,'RAW_AR_CONTENT'!$B239=SelectedScope),'RAW_AR_CONTENT'!N239,"")</f>
        <v>0</v>
      </c>
      <c r="O240" s="12">
        <f>IF(IF(SelectedScope="All India",TRUE,'RAW_AR_CONTENT'!$B239=SelectedScope),'RAW_AR_CONTENT'!O239,"")</f>
        <v>0</v>
      </c>
      <c r="P240" s="12">
        <f>IF(IF(SelectedScope="All India",TRUE,'RAW_AR_CONTENT'!$B239=SelectedScope),'RAW_AR_CONTENT'!P239,"")</f>
        <v>0</v>
      </c>
      <c r="Q240" s="12">
        <f>IF(IF(SelectedScope="All India",TRUE,'RAW_AR_CONTENT'!$B239=SelectedScope),'RAW_AR_CONTENT'!Q239,"")</f>
        <v>0</v>
      </c>
      <c r="R240" s="12">
        <f>IF(IF(SelectedScope="All India",TRUE,'RAW_AR_CONTENT'!$B239=SelectedScope),'RAW_AR_CONTENT'!R239,"")</f>
        <v>0</v>
      </c>
    </row>
    <row r="241" spans="1:18" ht="15" customHeight="1" x14ac:dyDescent="0.3">
      <c r="A241" s="9">
        <f>IF(IF(SelectedScope="All India",TRUE,'RAW_AR_CONTENT'!$B240=SelectedScope),'RAW_AR_CONTENT'!A240,"")</f>
        <v>237</v>
      </c>
      <c r="B241" s="9" t="str">
        <f>IF(IF(SelectedScope="All India",TRUE,'RAW_AR_CONTENT'!$B240=SelectedScope),'RAW_AR_CONTENT'!B240,"")</f>
        <v>Karnataka</v>
      </c>
      <c r="C241" s="9" t="str">
        <f>IF(IF(SelectedScope="All India",TRUE,'RAW_AR_CONTENT'!$B240=SelectedScope),'RAW_AR_CONTENT'!C240,"")</f>
        <v>Physics</v>
      </c>
      <c r="D241" s="9" t="str">
        <f>IF(IF(SelectedScope="All India",TRUE,'RAW_AR_CONTENT'!$B240=SelectedScope),'RAW_AR_CONTENT'!D240,"")</f>
        <v>Class 10</v>
      </c>
      <c r="E241" s="9" t="str">
        <f>IF(IF(SelectedScope="All India",TRUE,'RAW_AR_CONTENT'!$B240=SelectedScope),'RAW_AR_CONTENT'!E240,"")</f>
        <v>Electricity Circuits</v>
      </c>
      <c r="F241" s="9" t="str">
        <f>IF(IF(SelectedScope="All India",TRUE,'RAW_AR_CONTENT'!$B240=SelectedScope),'RAW_AR_CONTENT'!F240,"")</f>
        <v>Interactive</v>
      </c>
      <c r="G241" s="9" t="str">
        <f>IF(IF(SelectedScope="All India",TRUE,'RAW_AR_CONTENT'!$B240=SelectedScope),'RAW_AR_CONTENT'!G240,"")</f>
        <v>Active</v>
      </c>
      <c r="H241" s="9">
        <f>IF(IF(SelectedScope="All India",TRUE,'RAW_AR_CONTENT'!$B240=SelectedScope),'RAW_AR_CONTENT'!H240,"")</f>
        <v>0</v>
      </c>
      <c r="I241" s="9">
        <f>IF(IF(SelectedScope="All India",TRUE,'RAW_AR_CONTENT'!$B240=SelectedScope),'RAW_AR_CONTENT'!I240,"")</f>
        <v>0</v>
      </c>
      <c r="J241" s="9">
        <f>IF(IF(SelectedScope="All India",TRUE,'RAW_AR_CONTENT'!$B240=SelectedScope),'RAW_AR_CONTENT'!J240,"")</f>
        <v>0</v>
      </c>
      <c r="K241" s="9">
        <f>IF(IF(SelectedScope="All India",TRUE,'RAW_AR_CONTENT'!$B240=SelectedScope),'RAW_AR_CONTENT'!K240,"")</f>
        <v>0</v>
      </c>
      <c r="L241" s="9">
        <f>IF(IF(SelectedScope="All India",TRUE,'RAW_AR_CONTENT'!$B240=SelectedScope),'RAW_AR_CONTENT'!L240,"")</f>
        <v>0</v>
      </c>
      <c r="M241" s="9">
        <f>IF(IF(SelectedScope="All India",TRUE,'RAW_AR_CONTENT'!$B240=SelectedScope),'RAW_AR_CONTENT'!M240,"")</f>
        <v>0</v>
      </c>
      <c r="N241" s="9">
        <f>IF(IF(SelectedScope="All India",TRUE,'RAW_AR_CONTENT'!$B240=SelectedScope),'RAW_AR_CONTENT'!N240,"")</f>
        <v>0</v>
      </c>
      <c r="O241" s="9">
        <f>IF(IF(SelectedScope="All India",TRUE,'RAW_AR_CONTENT'!$B240=SelectedScope),'RAW_AR_CONTENT'!O240,"")</f>
        <v>0</v>
      </c>
      <c r="P241" s="9">
        <f>IF(IF(SelectedScope="All India",TRUE,'RAW_AR_CONTENT'!$B240=SelectedScope),'RAW_AR_CONTENT'!P240,"")</f>
        <v>0</v>
      </c>
      <c r="Q241" s="9">
        <f>IF(IF(SelectedScope="All India",TRUE,'RAW_AR_CONTENT'!$B240=SelectedScope),'RAW_AR_CONTENT'!Q240,"")</f>
        <v>0</v>
      </c>
      <c r="R241" s="9">
        <f>IF(IF(SelectedScope="All India",TRUE,'RAW_AR_CONTENT'!$B240=SelectedScope),'RAW_AR_CONTENT'!R240,"")</f>
        <v>0</v>
      </c>
    </row>
    <row r="242" spans="1:18" ht="15" customHeight="1" x14ac:dyDescent="0.3">
      <c r="A242" s="12">
        <f>IF(IF(SelectedScope="All India",TRUE,'RAW_AR_CONTENT'!$B241=SelectedScope),'RAW_AR_CONTENT'!A241,"")</f>
        <v>238</v>
      </c>
      <c r="B242" s="12" t="str">
        <f>IF(IF(SelectedScope="All India",TRUE,'RAW_AR_CONTENT'!$B241=SelectedScope),'RAW_AR_CONTENT'!B241,"")</f>
        <v>Karnataka</v>
      </c>
      <c r="C242" s="12" t="str">
        <f>IF(IF(SelectedScope="All India",TRUE,'RAW_AR_CONTENT'!$B241=SelectedScope),'RAW_AR_CONTENT'!C241,"")</f>
        <v>Civics</v>
      </c>
      <c r="D242" s="12" t="str">
        <f>IF(IF(SelectedScope="All India",TRUE,'RAW_AR_CONTENT'!$B241=SelectedScope),'RAW_AR_CONTENT'!D241,"")</f>
        <v>Class 9</v>
      </c>
      <c r="E242" s="12" t="str">
        <f>IF(IF(SelectedScope="All India",TRUE,'RAW_AR_CONTENT'!$B241=SelectedScope),'RAW_AR_CONTENT'!E241,"")</f>
        <v>Indian Constitution</v>
      </c>
      <c r="F242" s="12" t="str">
        <f>IF(IF(SelectedScope="All India",TRUE,'RAW_AR_CONTENT'!$B241=SelectedScope),'RAW_AR_CONTENT'!F241,"")</f>
        <v>Basic 3D</v>
      </c>
      <c r="G242" s="12" t="str">
        <f>IF(IF(SelectedScope="All India",TRUE,'RAW_AR_CONTENT'!$B241=SelectedScope),'RAW_AR_CONTENT'!G241,"")</f>
        <v>Active</v>
      </c>
      <c r="H242" s="12">
        <f>IF(IF(SelectedScope="All India",TRUE,'RAW_AR_CONTENT'!$B241=SelectedScope),'RAW_AR_CONTENT'!H241,"")</f>
        <v>0</v>
      </c>
      <c r="I242" s="12">
        <f>IF(IF(SelectedScope="All India",TRUE,'RAW_AR_CONTENT'!$B241=SelectedScope),'RAW_AR_CONTENT'!I241,"")</f>
        <v>0</v>
      </c>
      <c r="J242" s="12">
        <f>IF(IF(SelectedScope="All India",TRUE,'RAW_AR_CONTENT'!$B241=SelectedScope),'RAW_AR_CONTENT'!J241,"")</f>
        <v>0</v>
      </c>
      <c r="K242" s="12">
        <f>IF(IF(SelectedScope="All India",TRUE,'RAW_AR_CONTENT'!$B241=SelectedScope),'RAW_AR_CONTENT'!K241,"")</f>
        <v>0</v>
      </c>
      <c r="L242" s="12">
        <f>IF(IF(SelectedScope="All India",TRUE,'RAW_AR_CONTENT'!$B241=SelectedScope),'RAW_AR_CONTENT'!L241,"")</f>
        <v>0</v>
      </c>
      <c r="M242" s="12">
        <f>IF(IF(SelectedScope="All India",TRUE,'RAW_AR_CONTENT'!$B241=SelectedScope),'RAW_AR_CONTENT'!M241,"")</f>
        <v>0</v>
      </c>
      <c r="N242" s="12">
        <f>IF(IF(SelectedScope="All India",TRUE,'RAW_AR_CONTENT'!$B241=SelectedScope),'RAW_AR_CONTENT'!N241,"")</f>
        <v>0</v>
      </c>
      <c r="O242" s="12">
        <f>IF(IF(SelectedScope="All India",TRUE,'RAW_AR_CONTENT'!$B241=SelectedScope),'RAW_AR_CONTENT'!O241,"")</f>
        <v>0</v>
      </c>
      <c r="P242" s="12">
        <f>IF(IF(SelectedScope="All India",TRUE,'RAW_AR_CONTENT'!$B241=SelectedScope),'RAW_AR_CONTENT'!P241,"")</f>
        <v>0</v>
      </c>
      <c r="Q242" s="12">
        <f>IF(IF(SelectedScope="All India",TRUE,'RAW_AR_CONTENT'!$B241=SelectedScope),'RAW_AR_CONTENT'!Q241,"")</f>
        <v>0</v>
      </c>
      <c r="R242" s="12">
        <f>IF(IF(SelectedScope="All India",TRUE,'RAW_AR_CONTENT'!$B241=SelectedScope),'RAW_AR_CONTENT'!R241,"")</f>
        <v>0</v>
      </c>
    </row>
    <row r="243" spans="1:18" ht="15" customHeight="1" x14ac:dyDescent="0.3">
      <c r="A243" s="9">
        <f>IF(IF(SelectedScope="All India",TRUE,'RAW_AR_CONTENT'!$B242=SelectedScope),'RAW_AR_CONTENT'!A242,"")</f>
        <v>239</v>
      </c>
      <c r="B243" s="9" t="str">
        <f>IF(IF(SelectedScope="All India",TRUE,'RAW_AR_CONTENT'!$B242=SelectedScope),'RAW_AR_CONTENT'!B242,"")</f>
        <v>Karnataka</v>
      </c>
      <c r="C243" s="9" t="str">
        <f>IF(IF(SelectedScope="All India",TRUE,'RAW_AR_CONTENT'!$B242=SelectedScope),'RAW_AR_CONTENT'!C242,"")</f>
        <v>Environmental Science</v>
      </c>
      <c r="D243" s="9" t="str">
        <f>IF(IF(SelectedScope="All India",TRUE,'RAW_AR_CONTENT'!$B242=SelectedScope),'RAW_AR_CONTENT'!D242,"")</f>
        <v>Class 6</v>
      </c>
      <c r="E243" s="9" t="str">
        <f>IF(IF(SelectedScope="All India",TRUE,'RAW_AR_CONTENT'!$B242=SelectedScope),'RAW_AR_CONTENT'!E242,"")</f>
        <v>Food Chain</v>
      </c>
      <c r="F243" s="9" t="str">
        <f>IF(IF(SelectedScope="All India",TRUE,'RAW_AR_CONTENT'!$B242=SelectedScope),'RAW_AR_CONTENT'!F242,"")</f>
        <v>Animated</v>
      </c>
      <c r="G243" s="9" t="str">
        <f>IF(IF(SelectedScope="All India",TRUE,'RAW_AR_CONTENT'!$B242=SelectedScope),'RAW_AR_CONTENT'!G242,"")</f>
        <v>Active</v>
      </c>
      <c r="H243" s="9">
        <f>IF(IF(SelectedScope="All India",TRUE,'RAW_AR_CONTENT'!$B242=SelectedScope),'RAW_AR_CONTENT'!H242,"")</f>
        <v>0</v>
      </c>
      <c r="I243" s="9">
        <f>IF(IF(SelectedScope="All India",TRUE,'RAW_AR_CONTENT'!$B242=SelectedScope),'RAW_AR_CONTENT'!I242,"")</f>
        <v>0</v>
      </c>
      <c r="J243" s="9">
        <f>IF(IF(SelectedScope="All India",TRUE,'RAW_AR_CONTENT'!$B242=SelectedScope),'RAW_AR_CONTENT'!J242,"")</f>
        <v>0</v>
      </c>
      <c r="K243" s="9">
        <f>IF(IF(SelectedScope="All India",TRUE,'RAW_AR_CONTENT'!$B242=SelectedScope),'RAW_AR_CONTENT'!K242,"")</f>
        <v>0</v>
      </c>
      <c r="L243" s="9">
        <f>IF(IF(SelectedScope="All India",TRUE,'RAW_AR_CONTENT'!$B242=SelectedScope),'RAW_AR_CONTENT'!L242,"")</f>
        <v>0</v>
      </c>
      <c r="M243" s="9">
        <f>IF(IF(SelectedScope="All India",TRUE,'RAW_AR_CONTENT'!$B242=SelectedScope),'RAW_AR_CONTENT'!M242,"")</f>
        <v>0</v>
      </c>
      <c r="N243" s="9">
        <f>IF(IF(SelectedScope="All India",TRUE,'RAW_AR_CONTENT'!$B242=SelectedScope),'RAW_AR_CONTENT'!N242,"")</f>
        <v>0</v>
      </c>
      <c r="O243" s="9">
        <f>IF(IF(SelectedScope="All India",TRUE,'RAW_AR_CONTENT'!$B242=SelectedScope),'RAW_AR_CONTENT'!O242,"")</f>
        <v>0</v>
      </c>
      <c r="P243" s="9">
        <f>IF(IF(SelectedScope="All India",TRUE,'RAW_AR_CONTENT'!$B242=SelectedScope),'RAW_AR_CONTENT'!P242,"")</f>
        <v>0</v>
      </c>
      <c r="Q243" s="9">
        <f>IF(IF(SelectedScope="All India",TRUE,'RAW_AR_CONTENT'!$B242=SelectedScope),'RAW_AR_CONTENT'!Q242,"")</f>
        <v>0</v>
      </c>
      <c r="R243" s="9">
        <f>IF(IF(SelectedScope="All India",TRUE,'RAW_AR_CONTENT'!$B242=SelectedScope),'RAW_AR_CONTENT'!R242,"")</f>
        <v>0</v>
      </c>
    </row>
    <row r="244" spans="1:18" ht="15" customHeight="1" x14ac:dyDescent="0.3">
      <c r="A244" s="12">
        <f>IF(IF(SelectedScope="All India",TRUE,'RAW_AR_CONTENT'!$B243=SelectedScope),'RAW_AR_CONTENT'!A243,"")</f>
        <v>240</v>
      </c>
      <c r="B244" s="12" t="str">
        <f>IF(IF(SelectedScope="All India",TRUE,'RAW_AR_CONTENT'!$B243=SelectedScope),'RAW_AR_CONTENT'!B243,"")</f>
        <v>Karnataka</v>
      </c>
      <c r="C244" s="12" t="str">
        <f>IF(IF(SelectedScope="All India",TRUE,'RAW_AR_CONTENT'!$B243=SelectedScope),'RAW_AR_CONTENT'!C243,"")</f>
        <v>Mathematics</v>
      </c>
      <c r="D244" s="12" t="str">
        <f>IF(IF(SelectedScope="All India",TRUE,'RAW_AR_CONTENT'!$B243=SelectedScope),'RAW_AR_CONTENT'!D243,"")</f>
        <v>Class 10</v>
      </c>
      <c r="E244" s="12" t="str">
        <f>IF(IF(SelectedScope="All India",TRUE,'RAW_AR_CONTENT'!$B243=SelectedScope),'RAW_AR_CONTENT'!E243,"")</f>
        <v>Quadratic Equations</v>
      </c>
      <c r="F244" s="12" t="str">
        <f>IF(IF(SelectedScope="All India",TRUE,'RAW_AR_CONTENT'!$B243=SelectedScope),'RAW_AR_CONTENT'!F243,"")</f>
        <v>Animated</v>
      </c>
      <c r="G244" s="12" t="str">
        <f>IF(IF(SelectedScope="All India",TRUE,'RAW_AR_CONTENT'!$B243=SelectedScope),'RAW_AR_CONTENT'!G243,"")</f>
        <v>Active</v>
      </c>
      <c r="H244" s="12">
        <f>IF(IF(SelectedScope="All India",TRUE,'RAW_AR_CONTENT'!$B243=SelectedScope),'RAW_AR_CONTENT'!H243,"")</f>
        <v>0</v>
      </c>
      <c r="I244" s="12">
        <f>IF(IF(SelectedScope="All India",TRUE,'RAW_AR_CONTENT'!$B243=SelectedScope),'RAW_AR_CONTENT'!I243,"")</f>
        <v>0</v>
      </c>
      <c r="J244" s="12">
        <f>IF(IF(SelectedScope="All India",TRUE,'RAW_AR_CONTENT'!$B243=SelectedScope),'RAW_AR_CONTENT'!J243,"")</f>
        <v>0</v>
      </c>
      <c r="K244" s="12">
        <f>IF(IF(SelectedScope="All India",TRUE,'RAW_AR_CONTENT'!$B243=SelectedScope),'RAW_AR_CONTENT'!K243,"")</f>
        <v>0</v>
      </c>
      <c r="L244" s="12">
        <f>IF(IF(SelectedScope="All India",TRUE,'RAW_AR_CONTENT'!$B243=SelectedScope),'RAW_AR_CONTENT'!L243,"")</f>
        <v>0</v>
      </c>
      <c r="M244" s="12">
        <f>IF(IF(SelectedScope="All India",TRUE,'RAW_AR_CONTENT'!$B243=SelectedScope),'RAW_AR_CONTENT'!M243,"")</f>
        <v>0</v>
      </c>
      <c r="N244" s="12">
        <f>IF(IF(SelectedScope="All India",TRUE,'RAW_AR_CONTENT'!$B243=SelectedScope),'RAW_AR_CONTENT'!N243,"")</f>
        <v>0</v>
      </c>
      <c r="O244" s="12">
        <f>IF(IF(SelectedScope="All India",TRUE,'RAW_AR_CONTENT'!$B243=SelectedScope),'RAW_AR_CONTENT'!O243,"")</f>
        <v>0</v>
      </c>
      <c r="P244" s="12">
        <f>IF(IF(SelectedScope="All India",TRUE,'RAW_AR_CONTENT'!$B243=SelectedScope),'RAW_AR_CONTENT'!P243,"")</f>
        <v>0</v>
      </c>
      <c r="Q244" s="12">
        <f>IF(IF(SelectedScope="All India",TRUE,'RAW_AR_CONTENT'!$B243=SelectedScope),'RAW_AR_CONTENT'!Q243,"")</f>
        <v>0</v>
      </c>
      <c r="R244" s="12">
        <f>IF(IF(SelectedScope="All India",TRUE,'RAW_AR_CONTENT'!$B243=SelectedScope),'RAW_AR_CONTENT'!R243,"")</f>
        <v>0</v>
      </c>
    </row>
    <row r="245" spans="1:18" ht="15" customHeight="1" x14ac:dyDescent="0.3">
      <c r="A245" s="9">
        <f>IF(IF(SelectedScope="All India",TRUE,'RAW_AR_CONTENT'!$B244=SelectedScope),'RAW_AR_CONTENT'!A244,"")</f>
        <v>241</v>
      </c>
      <c r="B245" s="9" t="str">
        <f>IF(IF(SelectedScope="All India",TRUE,'RAW_AR_CONTENT'!$B244=SelectedScope),'RAW_AR_CONTENT'!B244,"")</f>
        <v>Kerala</v>
      </c>
      <c r="C245" s="9" t="str">
        <f>IF(IF(SelectedScope="All India",TRUE,'RAW_AR_CONTENT'!$B244=SelectedScope),'RAW_AR_CONTENT'!C244,"")</f>
        <v>Science</v>
      </c>
      <c r="D245" s="9" t="str">
        <f>IF(IF(SelectedScope="All India",TRUE,'RAW_AR_CONTENT'!$B244=SelectedScope),'RAW_AR_CONTENT'!D244,"")</f>
        <v>Class 8</v>
      </c>
      <c r="E245" s="9" t="str">
        <f>IF(IF(SelectedScope="All India",TRUE,'RAW_AR_CONTENT'!$B244=SelectedScope),'RAW_AR_CONTENT'!E244,"")</f>
        <v>Solar System 3D</v>
      </c>
      <c r="F245" s="9" t="str">
        <f>IF(IF(SelectedScope="All India",TRUE,'RAW_AR_CONTENT'!$B244=SelectedScope),'RAW_AR_CONTENT'!F244,"")</f>
        <v>Animated</v>
      </c>
      <c r="G245" s="9" t="str">
        <f>IF(IF(SelectedScope="All India",TRUE,'RAW_AR_CONTENT'!$B244=SelectedScope),'RAW_AR_CONTENT'!G244,"")</f>
        <v>Active</v>
      </c>
      <c r="H245" s="9">
        <f>IF(IF(SelectedScope="All India",TRUE,'RAW_AR_CONTENT'!$B244=SelectedScope),'RAW_AR_CONTENT'!H244,"")</f>
        <v>0</v>
      </c>
      <c r="I245" s="9">
        <f>IF(IF(SelectedScope="All India",TRUE,'RAW_AR_CONTENT'!$B244=SelectedScope),'RAW_AR_CONTENT'!I244,"")</f>
        <v>0</v>
      </c>
      <c r="J245" s="9">
        <f>IF(IF(SelectedScope="All India",TRUE,'RAW_AR_CONTENT'!$B244=SelectedScope),'RAW_AR_CONTENT'!J244,"")</f>
        <v>0</v>
      </c>
      <c r="K245" s="9">
        <f>IF(IF(SelectedScope="All India",TRUE,'RAW_AR_CONTENT'!$B244=SelectedScope),'RAW_AR_CONTENT'!K244,"")</f>
        <v>0</v>
      </c>
      <c r="L245" s="9">
        <f>IF(IF(SelectedScope="All India",TRUE,'RAW_AR_CONTENT'!$B244=SelectedScope),'RAW_AR_CONTENT'!L244,"")</f>
        <v>0</v>
      </c>
      <c r="M245" s="9">
        <f>IF(IF(SelectedScope="All India",TRUE,'RAW_AR_CONTENT'!$B244=SelectedScope),'RAW_AR_CONTENT'!M244,"")</f>
        <v>0</v>
      </c>
      <c r="N245" s="9">
        <f>IF(IF(SelectedScope="All India",TRUE,'RAW_AR_CONTENT'!$B244=SelectedScope),'RAW_AR_CONTENT'!N244,"")</f>
        <v>0</v>
      </c>
      <c r="O245" s="9">
        <f>IF(IF(SelectedScope="All India",TRUE,'RAW_AR_CONTENT'!$B244=SelectedScope),'RAW_AR_CONTENT'!O244,"")</f>
        <v>0</v>
      </c>
      <c r="P245" s="9">
        <f>IF(IF(SelectedScope="All India",TRUE,'RAW_AR_CONTENT'!$B244=SelectedScope),'RAW_AR_CONTENT'!P244,"")</f>
        <v>0</v>
      </c>
      <c r="Q245" s="9">
        <f>IF(IF(SelectedScope="All India",TRUE,'RAW_AR_CONTENT'!$B244=SelectedScope),'RAW_AR_CONTENT'!Q244,"")</f>
        <v>0</v>
      </c>
      <c r="R245" s="9">
        <f>IF(IF(SelectedScope="All India",TRUE,'RAW_AR_CONTENT'!$B244=SelectedScope),'RAW_AR_CONTENT'!R244,"")</f>
        <v>0</v>
      </c>
    </row>
    <row r="246" spans="1:18" ht="15" customHeight="1" x14ac:dyDescent="0.3">
      <c r="A246" s="12">
        <f>IF(IF(SelectedScope="All India",TRUE,'RAW_AR_CONTENT'!$B245=SelectedScope),'RAW_AR_CONTENT'!A245,"")</f>
        <v>242</v>
      </c>
      <c r="B246" s="12" t="str">
        <f>IF(IF(SelectedScope="All India",TRUE,'RAW_AR_CONTENT'!$B245=SelectedScope),'RAW_AR_CONTENT'!B245,"")</f>
        <v>Kerala</v>
      </c>
      <c r="C246" s="12" t="str">
        <f>IF(IF(SelectedScope="All India",TRUE,'RAW_AR_CONTENT'!$B245=SelectedScope),'RAW_AR_CONTENT'!C245,"")</f>
        <v>Biology</v>
      </c>
      <c r="D246" s="12" t="str">
        <f>IF(IF(SelectedScope="All India",TRUE,'RAW_AR_CONTENT'!$B245=SelectedScope),'RAW_AR_CONTENT'!D245,"")</f>
        <v>Class 9</v>
      </c>
      <c r="E246" s="12" t="str">
        <f>IF(IF(SelectedScope="All India",TRUE,'RAW_AR_CONTENT'!$B245=SelectedScope),'RAW_AR_CONTENT'!E245,"")</f>
        <v>Cell Division</v>
      </c>
      <c r="F246" s="12" t="str">
        <f>IF(IF(SelectedScope="All India",TRUE,'RAW_AR_CONTENT'!$B245=SelectedScope),'RAW_AR_CONTENT'!F245,"")</f>
        <v>Interactive</v>
      </c>
      <c r="G246" s="12" t="str">
        <f>IF(IF(SelectedScope="All India",TRUE,'RAW_AR_CONTENT'!$B245=SelectedScope),'RAW_AR_CONTENT'!G245,"")</f>
        <v>Active</v>
      </c>
      <c r="H246" s="12">
        <f>IF(IF(SelectedScope="All India",TRUE,'RAW_AR_CONTENT'!$B245=SelectedScope),'RAW_AR_CONTENT'!H245,"")</f>
        <v>0</v>
      </c>
      <c r="I246" s="12">
        <f>IF(IF(SelectedScope="All India",TRUE,'RAW_AR_CONTENT'!$B245=SelectedScope),'RAW_AR_CONTENT'!I245,"")</f>
        <v>0</v>
      </c>
      <c r="J246" s="12">
        <f>IF(IF(SelectedScope="All India",TRUE,'RAW_AR_CONTENT'!$B245=SelectedScope),'RAW_AR_CONTENT'!J245,"")</f>
        <v>0</v>
      </c>
      <c r="K246" s="12">
        <f>IF(IF(SelectedScope="All India",TRUE,'RAW_AR_CONTENT'!$B245=SelectedScope),'RAW_AR_CONTENT'!K245,"")</f>
        <v>0</v>
      </c>
      <c r="L246" s="12">
        <f>IF(IF(SelectedScope="All India",TRUE,'RAW_AR_CONTENT'!$B245=SelectedScope),'RAW_AR_CONTENT'!L245,"")</f>
        <v>0</v>
      </c>
      <c r="M246" s="12">
        <f>IF(IF(SelectedScope="All India",TRUE,'RAW_AR_CONTENT'!$B245=SelectedScope),'RAW_AR_CONTENT'!M245,"")</f>
        <v>0</v>
      </c>
      <c r="N246" s="12">
        <f>IF(IF(SelectedScope="All India",TRUE,'RAW_AR_CONTENT'!$B245=SelectedScope),'RAW_AR_CONTENT'!N245,"")</f>
        <v>0</v>
      </c>
      <c r="O246" s="12">
        <f>IF(IF(SelectedScope="All India",TRUE,'RAW_AR_CONTENT'!$B245=SelectedScope),'RAW_AR_CONTENT'!O245,"")</f>
        <v>0</v>
      </c>
      <c r="P246" s="12">
        <f>IF(IF(SelectedScope="All India",TRUE,'RAW_AR_CONTENT'!$B245=SelectedScope),'RAW_AR_CONTENT'!P245,"")</f>
        <v>0</v>
      </c>
      <c r="Q246" s="12">
        <f>IF(IF(SelectedScope="All India",TRUE,'RAW_AR_CONTENT'!$B245=SelectedScope),'RAW_AR_CONTENT'!Q245,"")</f>
        <v>0</v>
      </c>
      <c r="R246" s="12">
        <f>IF(IF(SelectedScope="All India",TRUE,'RAW_AR_CONTENT'!$B245=SelectedScope),'RAW_AR_CONTENT'!R245,"")</f>
        <v>0</v>
      </c>
    </row>
    <row r="247" spans="1:18" ht="15" customHeight="1" x14ac:dyDescent="0.3">
      <c r="A247" s="9">
        <f>IF(IF(SelectedScope="All India",TRUE,'RAW_AR_CONTENT'!$B246=SelectedScope),'RAW_AR_CONTENT'!A246,"")</f>
        <v>243</v>
      </c>
      <c r="B247" s="9" t="str">
        <f>IF(IF(SelectedScope="All India",TRUE,'RAW_AR_CONTENT'!$B246=SelectedScope),'RAW_AR_CONTENT'!B246,"")</f>
        <v>Kerala</v>
      </c>
      <c r="C247" s="9" t="str">
        <f>IF(IF(SelectedScope="All India",TRUE,'RAW_AR_CONTENT'!$B246=SelectedScope),'RAW_AR_CONTENT'!C246,"")</f>
        <v>Chemistry</v>
      </c>
      <c r="D247" s="9" t="str">
        <f>IF(IF(SelectedScope="All India",TRUE,'RAW_AR_CONTENT'!$B246=SelectedScope),'RAW_AR_CONTENT'!D246,"")</f>
        <v>Class 9</v>
      </c>
      <c r="E247" s="9" t="str">
        <f>IF(IF(SelectedScope="All India",TRUE,'RAW_AR_CONTENT'!$B246=SelectedScope),'RAW_AR_CONTENT'!E246,"")</f>
        <v>Atoms and Molecules</v>
      </c>
      <c r="F247" s="9" t="str">
        <f>IF(IF(SelectedScope="All India",TRUE,'RAW_AR_CONTENT'!$B246=SelectedScope),'RAW_AR_CONTENT'!F246,"")</f>
        <v>Animated</v>
      </c>
      <c r="G247" s="9" t="str">
        <f>IF(IF(SelectedScope="All India",TRUE,'RAW_AR_CONTENT'!$B246=SelectedScope),'RAW_AR_CONTENT'!G246,"")</f>
        <v>Active</v>
      </c>
      <c r="H247" s="9">
        <f>IF(IF(SelectedScope="All India",TRUE,'RAW_AR_CONTENT'!$B246=SelectedScope),'RAW_AR_CONTENT'!H246,"")</f>
        <v>0</v>
      </c>
      <c r="I247" s="9">
        <f>IF(IF(SelectedScope="All India",TRUE,'RAW_AR_CONTENT'!$B246=SelectedScope),'RAW_AR_CONTENT'!I246,"")</f>
        <v>0</v>
      </c>
      <c r="J247" s="9">
        <f>IF(IF(SelectedScope="All India",TRUE,'RAW_AR_CONTENT'!$B246=SelectedScope),'RAW_AR_CONTENT'!J246,"")</f>
        <v>0</v>
      </c>
      <c r="K247" s="9">
        <f>IF(IF(SelectedScope="All India",TRUE,'RAW_AR_CONTENT'!$B246=SelectedScope),'RAW_AR_CONTENT'!K246,"")</f>
        <v>0</v>
      </c>
      <c r="L247" s="9">
        <f>IF(IF(SelectedScope="All India",TRUE,'RAW_AR_CONTENT'!$B246=SelectedScope),'RAW_AR_CONTENT'!L246,"")</f>
        <v>0</v>
      </c>
      <c r="M247" s="9">
        <f>IF(IF(SelectedScope="All India",TRUE,'RAW_AR_CONTENT'!$B246=SelectedScope),'RAW_AR_CONTENT'!M246,"")</f>
        <v>0</v>
      </c>
      <c r="N247" s="9">
        <f>IF(IF(SelectedScope="All India",TRUE,'RAW_AR_CONTENT'!$B246=SelectedScope),'RAW_AR_CONTENT'!N246,"")</f>
        <v>0</v>
      </c>
      <c r="O247" s="9">
        <f>IF(IF(SelectedScope="All India",TRUE,'RAW_AR_CONTENT'!$B246=SelectedScope),'RAW_AR_CONTENT'!O246,"")</f>
        <v>0</v>
      </c>
      <c r="P247" s="9">
        <f>IF(IF(SelectedScope="All India",TRUE,'RAW_AR_CONTENT'!$B246=SelectedScope),'RAW_AR_CONTENT'!P246,"")</f>
        <v>0</v>
      </c>
      <c r="Q247" s="9">
        <f>IF(IF(SelectedScope="All India",TRUE,'RAW_AR_CONTENT'!$B246=SelectedScope),'RAW_AR_CONTENT'!Q246,"")</f>
        <v>0</v>
      </c>
      <c r="R247" s="9">
        <f>IF(IF(SelectedScope="All India",TRUE,'RAW_AR_CONTENT'!$B246=SelectedScope),'RAW_AR_CONTENT'!R246,"")</f>
        <v>0</v>
      </c>
    </row>
    <row r="248" spans="1:18" ht="15" customHeight="1" x14ac:dyDescent="0.3">
      <c r="A248" s="12">
        <f>IF(IF(SelectedScope="All India",TRUE,'RAW_AR_CONTENT'!$B247=SelectedScope),'RAW_AR_CONTENT'!A247,"")</f>
        <v>244</v>
      </c>
      <c r="B248" s="12" t="str">
        <f>IF(IF(SelectedScope="All India",TRUE,'RAW_AR_CONTENT'!$B247=SelectedScope),'RAW_AR_CONTENT'!B247,"")</f>
        <v>Kerala</v>
      </c>
      <c r="C248" s="12" t="str">
        <f>IF(IF(SelectedScope="All India",TRUE,'RAW_AR_CONTENT'!$B247=SelectedScope),'RAW_AR_CONTENT'!C247,"")</f>
        <v>Biology</v>
      </c>
      <c r="D248" s="12" t="str">
        <f>IF(IF(SelectedScope="All India",TRUE,'RAW_AR_CONTENT'!$B247=SelectedScope),'RAW_AR_CONTENT'!D247,"")</f>
        <v>Class 7</v>
      </c>
      <c r="E248" s="12" t="str">
        <f>IF(IF(SelectedScope="All India",TRUE,'RAW_AR_CONTENT'!$B247=SelectedScope),'RAW_AR_CONTENT'!E247,"")</f>
        <v>Photosynthesis</v>
      </c>
      <c r="F248" s="12" t="str">
        <f>IF(IF(SelectedScope="All India",TRUE,'RAW_AR_CONTENT'!$B247=SelectedScope),'RAW_AR_CONTENT'!F247,"")</f>
        <v>Basic 3D</v>
      </c>
      <c r="G248" s="12" t="str">
        <f>IF(IF(SelectedScope="All India",TRUE,'RAW_AR_CONTENT'!$B247=SelectedScope),'RAW_AR_CONTENT'!G247,"")</f>
        <v>Active</v>
      </c>
      <c r="H248" s="12">
        <f>IF(IF(SelectedScope="All India",TRUE,'RAW_AR_CONTENT'!$B247=SelectedScope),'RAW_AR_CONTENT'!H247,"")</f>
        <v>0</v>
      </c>
      <c r="I248" s="12">
        <f>IF(IF(SelectedScope="All India",TRUE,'RAW_AR_CONTENT'!$B247=SelectedScope),'RAW_AR_CONTENT'!I247,"")</f>
        <v>0</v>
      </c>
      <c r="J248" s="12">
        <f>IF(IF(SelectedScope="All India",TRUE,'RAW_AR_CONTENT'!$B247=SelectedScope),'RAW_AR_CONTENT'!J247,"")</f>
        <v>0</v>
      </c>
      <c r="K248" s="12">
        <f>IF(IF(SelectedScope="All India",TRUE,'RAW_AR_CONTENT'!$B247=SelectedScope),'RAW_AR_CONTENT'!K247,"")</f>
        <v>0</v>
      </c>
      <c r="L248" s="12">
        <f>IF(IF(SelectedScope="All India",TRUE,'RAW_AR_CONTENT'!$B247=SelectedScope),'RAW_AR_CONTENT'!L247,"")</f>
        <v>0</v>
      </c>
      <c r="M248" s="12">
        <f>IF(IF(SelectedScope="All India",TRUE,'RAW_AR_CONTENT'!$B247=SelectedScope),'RAW_AR_CONTENT'!M247,"")</f>
        <v>0</v>
      </c>
      <c r="N248" s="12">
        <f>IF(IF(SelectedScope="All India",TRUE,'RAW_AR_CONTENT'!$B247=SelectedScope),'RAW_AR_CONTENT'!N247,"")</f>
        <v>0</v>
      </c>
      <c r="O248" s="12">
        <f>IF(IF(SelectedScope="All India",TRUE,'RAW_AR_CONTENT'!$B247=SelectedScope),'RAW_AR_CONTENT'!O247,"")</f>
        <v>0</v>
      </c>
      <c r="P248" s="12">
        <f>IF(IF(SelectedScope="All India",TRUE,'RAW_AR_CONTENT'!$B247=SelectedScope),'RAW_AR_CONTENT'!P247,"")</f>
        <v>0</v>
      </c>
      <c r="Q248" s="12">
        <f>IF(IF(SelectedScope="All India",TRUE,'RAW_AR_CONTENT'!$B247=SelectedScope),'RAW_AR_CONTENT'!Q247,"")</f>
        <v>0</v>
      </c>
      <c r="R248" s="12">
        <f>IF(IF(SelectedScope="All India",TRUE,'RAW_AR_CONTENT'!$B247=SelectedScope),'RAW_AR_CONTENT'!R247,"")</f>
        <v>0</v>
      </c>
    </row>
    <row r="249" spans="1:18" ht="15" customHeight="1" x14ac:dyDescent="0.3">
      <c r="A249" s="9">
        <f>IF(IF(SelectedScope="All India",TRUE,'RAW_AR_CONTENT'!$B248=SelectedScope),'RAW_AR_CONTENT'!A248,"")</f>
        <v>245</v>
      </c>
      <c r="B249" s="9" t="str">
        <f>IF(IF(SelectedScope="All India",TRUE,'RAW_AR_CONTENT'!$B248=SelectedScope),'RAW_AR_CONTENT'!B248,"")</f>
        <v>Kerala</v>
      </c>
      <c r="C249" s="9" t="str">
        <f>IF(IF(SelectedScope="All India",TRUE,'RAW_AR_CONTENT'!$B248=SelectedScope),'RAW_AR_CONTENT'!C248,"")</f>
        <v>Mathematics</v>
      </c>
      <c r="D249" s="9" t="str">
        <f>IF(IF(SelectedScope="All India",TRUE,'RAW_AR_CONTENT'!$B248=SelectedScope),'RAW_AR_CONTENT'!D248,"")</f>
        <v>Class 7</v>
      </c>
      <c r="E249" s="9" t="str">
        <f>IF(IF(SelectedScope="All India",TRUE,'RAW_AR_CONTENT'!$B248=SelectedScope),'RAW_AR_CONTENT'!E248,"")</f>
        <v>Fractions 3D Model</v>
      </c>
      <c r="F249" s="9" t="str">
        <f>IF(IF(SelectedScope="All India",TRUE,'RAW_AR_CONTENT'!$B248=SelectedScope),'RAW_AR_CONTENT'!F248,"")</f>
        <v>Interactive</v>
      </c>
      <c r="G249" s="9" t="str">
        <f>IF(IF(SelectedScope="All India",TRUE,'RAW_AR_CONTENT'!$B248=SelectedScope),'RAW_AR_CONTENT'!G248,"")</f>
        <v>Active</v>
      </c>
      <c r="H249" s="9">
        <f>IF(IF(SelectedScope="All India",TRUE,'RAW_AR_CONTENT'!$B248=SelectedScope),'RAW_AR_CONTENT'!H248,"")</f>
        <v>0</v>
      </c>
      <c r="I249" s="9">
        <f>IF(IF(SelectedScope="All India",TRUE,'RAW_AR_CONTENT'!$B248=SelectedScope),'RAW_AR_CONTENT'!I248,"")</f>
        <v>0</v>
      </c>
      <c r="J249" s="9">
        <f>IF(IF(SelectedScope="All India",TRUE,'RAW_AR_CONTENT'!$B248=SelectedScope),'RAW_AR_CONTENT'!J248,"")</f>
        <v>0</v>
      </c>
      <c r="K249" s="9">
        <f>IF(IF(SelectedScope="All India",TRUE,'RAW_AR_CONTENT'!$B248=SelectedScope),'RAW_AR_CONTENT'!K248,"")</f>
        <v>0</v>
      </c>
      <c r="L249" s="9">
        <f>IF(IF(SelectedScope="All India",TRUE,'RAW_AR_CONTENT'!$B248=SelectedScope),'RAW_AR_CONTENT'!L248,"")</f>
        <v>0</v>
      </c>
      <c r="M249" s="9">
        <f>IF(IF(SelectedScope="All India",TRUE,'RAW_AR_CONTENT'!$B248=SelectedScope),'RAW_AR_CONTENT'!M248,"")</f>
        <v>0</v>
      </c>
      <c r="N249" s="9">
        <f>IF(IF(SelectedScope="All India",TRUE,'RAW_AR_CONTENT'!$B248=SelectedScope),'RAW_AR_CONTENT'!N248,"")</f>
        <v>0</v>
      </c>
      <c r="O249" s="9">
        <f>IF(IF(SelectedScope="All India",TRUE,'RAW_AR_CONTENT'!$B248=SelectedScope),'RAW_AR_CONTENT'!O248,"")</f>
        <v>0</v>
      </c>
      <c r="P249" s="9">
        <f>IF(IF(SelectedScope="All India",TRUE,'RAW_AR_CONTENT'!$B248=SelectedScope),'RAW_AR_CONTENT'!P248,"")</f>
        <v>0</v>
      </c>
      <c r="Q249" s="9">
        <f>IF(IF(SelectedScope="All India",TRUE,'RAW_AR_CONTENT'!$B248=SelectedScope),'RAW_AR_CONTENT'!Q248,"")</f>
        <v>0</v>
      </c>
      <c r="R249" s="9">
        <f>IF(IF(SelectedScope="All India",TRUE,'RAW_AR_CONTENT'!$B248=SelectedScope),'RAW_AR_CONTENT'!R248,"")</f>
        <v>0</v>
      </c>
    </row>
    <row r="250" spans="1:18" ht="15" customHeight="1" x14ac:dyDescent="0.3">
      <c r="A250" s="12">
        <f>IF(IF(SelectedScope="All India",TRUE,'RAW_AR_CONTENT'!$B249=SelectedScope),'RAW_AR_CONTENT'!A249,"")</f>
        <v>246</v>
      </c>
      <c r="B250" s="12" t="str">
        <f>IF(IF(SelectedScope="All India",TRUE,'RAW_AR_CONTENT'!$B249=SelectedScope),'RAW_AR_CONTENT'!B249,"")</f>
        <v>Kerala</v>
      </c>
      <c r="C250" s="12" t="str">
        <f>IF(IF(SelectedScope="All India",TRUE,'RAW_AR_CONTENT'!$B249=SelectedScope),'RAW_AR_CONTENT'!C249,"")</f>
        <v>Mathematics</v>
      </c>
      <c r="D250" s="12" t="str">
        <f>IF(IF(SelectedScope="All India",TRUE,'RAW_AR_CONTENT'!$B249=SelectedScope),'RAW_AR_CONTENT'!D249,"")</f>
        <v>Class 10</v>
      </c>
      <c r="E250" s="12" t="str">
        <f>IF(IF(SelectedScope="All India",TRUE,'RAW_AR_CONTENT'!$B249=SelectedScope),'RAW_AR_CONTENT'!E249,"")</f>
        <v>Trigonometry 3D</v>
      </c>
      <c r="F250" s="12" t="str">
        <f>IF(IF(SelectedScope="All India",TRUE,'RAW_AR_CONTENT'!$B249=SelectedScope),'RAW_AR_CONTENT'!F249,"")</f>
        <v>Animated</v>
      </c>
      <c r="G250" s="12" t="str">
        <f>IF(IF(SelectedScope="All India",TRUE,'RAW_AR_CONTENT'!$B249=SelectedScope),'RAW_AR_CONTENT'!G249,"")</f>
        <v>Active</v>
      </c>
      <c r="H250" s="12">
        <f>IF(IF(SelectedScope="All India",TRUE,'RAW_AR_CONTENT'!$B249=SelectedScope),'RAW_AR_CONTENT'!H249,"")</f>
        <v>0</v>
      </c>
      <c r="I250" s="12">
        <f>IF(IF(SelectedScope="All India",TRUE,'RAW_AR_CONTENT'!$B249=SelectedScope),'RAW_AR_CONTENT'!I249,"")</f>
        <v>0</v>
      </c>
      <c r="J250" s="12">
        <f>IF(IF(SelectedScope="All India",TRUE,'RAW_AR_CONTENT'!$B249=SelectedScope),'RAW_AR_CONTENT'!J249,"")</f>
        <v>0</v>
      </c>
      <c r="K250" s="12">
        <f>IF(IF(SelectedScope="All India",TRUE,'RAW_AR_CONTENT'!$B249=SelectedScope),'RAW_AR_CONTENT'!K249,"")</f>
        <v>0</v>
      </c>
      <c r="L250" s="12">
        <f>IF(IF(SelectedScope="All India",TRUE,'RAW_AR_CONTENT'!$B249=SelectedScope),'RAW_AR_CONTENT'!L249,"")</f>
        <v>0</v>
      </c>
      <c r="M250" s="12">
        <f>IF(IF(SelectedScope="All India",TRUE,'RAW_AR_CONTENT'!$B249=SelectedScope),'RAW_AR_CONTENT'!M249,"")</f>
        <v>0</v>
      </c>
      <c r="N250" s="12">
        <f>IF(IF(SelectedScope="All India",TRUE,'RAW_AR_CONTENT'!$B249=SelectedScope),'RAW_AR_CONTENT'!N249,"")</f>
        <v>0</v>
      </c>
      <c r="O250" s="12">
        <f>IF(IF(SelectedScope="All India",TRUE,'RAW_AR_CONTENT'!$B249=SelectedScope),'RAW_AR_CONTENT'!O249,"")</f>
        <v>0</v>
      </c>
      <c r="P250" s="12">
        <f>IF(IF(SelectedScope="All India",TRUE,'RAW_AR_CONTENT'!$B249=SelectedScope),'RAW_AR_CONTENT'!P249,"")</f>
        <v>0</v>
      </c>
      <c r="Q250" s="12">
        <f>IF(IF(SelectedScope="All India",TRUE,'RAW_AR_CONTENT'!$B249=SelectedScope),'RAW_AR_CONTENT'!Q249,"")</f>
        <v>0</v>
      </c>
      <c r="R250" s="12">
        <f>IF(IF(SelectedScope="All India",TRUE,'RAW_AR_CONTENT'!$B249=SelectedScope),'RAW_AR_CONTENT'!R249,"")</f>
        <v>0</v>
      </c>
    </row>
    <row r="251" spans="1:18" ht="15" customHeight="1" x14ac:dyDescent="0.3">
      <c r="A251" s="9">
        <f>IF(IF(SelectedScope="All India",TRUE,'RAW_AR_CONTENT'!$B250=SelectedScope),'RAW_AR_CONTENT'!A250,"")</f>
        <v>247</v>
      </c>
      <c r="B251" s="9" t="str">
        <f>IF(IF(SelectedScope="All India",TRUE,'RAW_AR_CONTENT'!$B250=SelectedScope),'RAW_AR_CONTENT'!B250,"")</f>
        <v>Kerala</v>
      </c>
      <c r="C251" s="9" t="str">
        <f>IF(IF(SelectedScope="All India",TRUE,'RAW_AR_CONTENT'!$B250=SelectedScope),'RAW_AR_CONTENT'!C250,"")</f>
        <v>History</v>
      </c>
      <c r="D251" s="9" t="str">
        <f>IF(IF(SelectedScope="All India",TRUE,'RAW_AR_CONTENT'!$B250=SelectedScope),'RAW_AR_CONTENT'!D250,"")</f>
        <v>Class 10</v>
      </c>
      <c r="E251" s="9" t="str">
        <f>IF(IF(SelectedScope="All India",TRUE,'RAW_AR_CONTENT'!$B250=SelectedScope),'RAW_AR_CONTENT'!E250,"")</f>
        <v>Mughal Empire AR</v>
      </c>
      <c r="F251" s="9" t="str">
        <f>IF(IF(SelectedScope="All India",TRUE,'RAW_AR_CONTENT'!$B250=SelectedScope),'RAW_AR_CONTENT'!F250,"")</f>
        <v>Basic 3D</v>
      </c>
      <c r="G251" s="9" t="str">
        <f>IF(IF(SelectedScope="All India",TRUE,'RAW_AR_CONTENT'!$B250=SelectedScope),'RAW_AR_CONTENT'!G250,"")</f>
        <v>Active</v>
      </c>
      <c r="H251" s="9">
        <f>IF(IF(SelectedScope="All India",TRUE,'RAW_AR_CONTENT'!$B250=SelectedScope),'RAW_AR_CONTENT'!H250,"")</f>
        <v>0</v>
      </c>
      <c r="I251" s="9">
        <f>IF(IF(SelectedScope="All India",TRUE,'RAW_AR_CONTENT'!$B250=SelectedScope),'RAW_AR_CONTENT'!I250,"")</f>
        <v>0</v>
      </c>
      <c r="J251" s="9">
        <f>IF(IF(SelectedScope="All India",TRUE,'RAW_AR_CONTENT'!$B250=SelectedScope),'RAW_AR_CONTENT'!J250,"")</f>
        <v>0</v>
      </c>
      <c r="K251" s="9">
        <f>IF(IF(SelectedScope="All India",TRUE,'RAW_AR_CONTENT'!$B250=SelectedScope),'RAW_AR_CONTENT'!K250,"")</f>
        <v>0</v>
      </c>
      <c r="L251" s="9">
        <f>IF(IF(SelectedScope="All India",TRUE,'RAW_AR_CONTENT'!$B250=SelectedScope),'RAW_AR_CONTENT'!L250,"")</f>
        <v>0</v>
      </c>
      <c r="M251" s="9">
        <f>IF(IF(SelectedScope="All India",TRUE,'RAW_AR_CONTENT'!$B250=SelectedScope),'RAW_AR_CONTENT'!M250,"")</f>
        <v>0</v>
      </c>
      <c r="N251" s="9">
        <f>IF(IF(SelectedScope="All India",TRUE,'RAW_AR_CONTENT'!$B250=SelectedScope),'RAW_AR_CONTENT'!N250,"")</f>
        <v>0</v>
      </c>
      <c r="O251" s="9">
        <f>IF(IF(SelectedScope="All India",TRUE,'RAW_AR_CONTENT'!$B250=SelectedScope),'RAW_AR_CONTENT'!O250,"")</f>
        <v>0</v>
      </c>
      <c r="P251" s="9">
        <f>IF(IF(SelectedScope="All India",TRUE,'RAW_AR_CONTENT'!$B250=SelectedScope),'RAW_AR_CONTENT'!P250,"")</f>
        <v>0</v>
      </c>
      <c r="Q251" s="9">
        <f>IF(IF(SelectedScope="All India",TRUE,'RAW_AR_CONTENT'!$B250=SelectedScope),'RAW_AR_CONTENT'!Q250,"")</f>
        <v>0</v>
      </c>
      <c r="R251" s="9">
        <f>IF(IF(SelectedScope="All India",TRUE,'RAW_AR_CONTENT'!$B250=SelectedScope),'RAW_AR_CONTENT'!R250,"")</f>
        <v>0</v>
      </c>
    </row>
    <row r="252" spans="1:18" ht="15" customHeight="1" x14ac:dyDescent="0.3">
      <c r="A252" s="12">
        <f>IF(IF(SelectedScope="All India",TRUE,'RAW_AR_CONTENT'!$B251=SelectedScope),'RAW_AR_CONTENT'!A251,"")</f>
        <v>248</v>
      </c>
      <c r="B252" s="12" t="str">
        <f>IF(IF(SelectedScope="All India",TRUE,'RAW_AR_CONTENT'!$B251=SelectedScope),'RAW_AR_CONTENT'!B251,"")</f>
        <v>Kerala</v>
      </c>
      <c r="C252" s="12" t="str">
        <f>IF(IF(SelectedScope="All India",TRUE,'RAW_AR_CONTENT'!$B251=SelectedScope),'RAW_AR_CONTENT'!C251,"")</f>
        <v>Geography</v>
      </c>
      <c r="D252" s="12" t="str">
        <f>IF(IF(SelectedScope="All India",TRUE,'RAW_AR_CONTENT'!$B251=SelectedScope),'RAW_AR_CONTENT'!D251,"")</f>
        <v>Class 6</v>
      </c>
      <c r="E252" s="12" t="str">
        <f>IF(IF(SelectedScope="All India",TRUE,'RAW_AR_CONTENT'!$B251=SelectedScope),'RAW_AR_CONTENT'!E251,"")</f>
        <v>Water Cycle Simulation</v>
      </c>
      <c r="F252" s="12" t="str">
        <f>IF(IF(SelectedScope="All India",TRUE,'RAW_AR_CONTENT'!$B251=SelectedScope),'RAW_AR_CONTENT'!F251,"")</f>
        <v>Animated</v>
      </c>
      <c r="G252" s="12" t="str">
        <f>IF(IF(SelectedScope="All India",TRUE,'RAW_AR_CONTENT'!$B251=SelectedScope),'RAW_AR_CONTENT'!G251,"")</f>
        <v>Active</v>
      </c>
      <c r="H252" s="12">
        <f>IF(IF(SelectedScope="All India",TRUE,'RAW_AR_CONTENT'!$B251=SelectedScope),'RAW_AR_CONTENT'!H251,"")</f>
        <v>0</v>
      </c>
      <c r="I252" s="12">
        <f>IF(IF(SelectedScope="All India",TRUE,'RAW_AR_CONTENT'!$B251=SelectedScope),'RAW_AR_CONTENT'!I251,"")</f>
        <v>0</v>
      </c>
      <c r="J252" s="12">
        <f>IF(IF(SelectedScope="All India",TRUE,'RAW_AR_CONTENT'!$B251=SelectedScope),'RAW_AR_CONTENT'!J251,"")</f>
        <v>0</v>
      </c>
      <c r="K252" s="12">
        <f>IF(IF(SelectedScope="All India",TRUE,'RAW_AR_CONTENT'!$B251=SelectedScope),'RAW_AR_CONTENT'!K251,"")</f>
        <v>0</v>
      </c>
      <c r="L252" s="12">
        <f>IF(IF(SelectedScope="All India",TRUE,'RAW_AR_CONTENT'!$B251=SelectedScope),'RAW_AR_CONTENT'!L251,"")</f>
        <v>0</v>
      </c>
      <c r="M252" s="12">
        <f>IF(IF(SelectedScope="All India",TRUE,'RAW_AR_CONTENT'!$B251=SelectedScope),'RAW_AR_CONTENT'!M251,"")</f>
        <v>0</v>
      </c>
      <c r="N252" s="12">
        <f>IF(IF(SelectedScope="All India",TRUE,'RAW_AR_CONTENT'!$B251=SelectedScope),'RAW_AR_CONTENT'!N251,"")</f>
        <v>0</v>
      </c>
      <c r="O252" s="12">
        <f>IF(IF(SelectedScope="All India",TRUE,'RAW_AR_CONTENT'!$B251=SelectedScope),'RAW_AR_CONTENT'!O251,"")</f>
        <v>0</v>
      </c>
      <c r="P252" s="12">
        <f>IF(IF(SelectedScope="All India",TRUE,'RAW_AR_CONTENT'!$B251=SelectedScope),'RAW_AR_CONTENT'!P251,"")</f>
        <v>0</v>
      </c>
      <c r="Q252" s="12">
        <f>IF(IF(SelectedScope="All India",TRUE,'RAW_AR_CONTENT'!$B251=SelectedScope),'RAW_AR_CONTENT'!Q251,"")</f>
        <v>0</v>
      </c>
      <c r="R252" s="12">
        <f>IF(IF(SelectedScope="All India",TRUE,'RAW_AR_CONTENT'!$B251=SelectedScope),'RAW_AR_CONTENT'!R251,"")</f>
        <v>0</v>
      </c>
    </row>
    <row r="253" spans="1:18" ht="15" customHeight="1" x14ac:dyDescent="0.3">
      <c r="A253" s="9">
        <f>IF(IF(SelectedScope="All India",TRUE,'RAW_AR_CONTENT'!$B252=SelectedScope),'RAW_AR_CONTENT'!A252,"")</f>
        <v>249</v>
      </c>
      <c r="B253" s="9" t="str">
        <f>IF(IF(SelectedScope="All India",TRUE,'RAW_AR_CONTENT'!$B252=SelectedScope),'RAW_AR_CONTENT'!B252,"")</f>
        <v>Kerala</v>
      </c>
      <c r="C253" s="9" t="str">
        <f>IF(IF(SelectedScope="All India",TRUE,'RAW_AR_CONTENT'!$B252=SelectedScope),'RAW_AR_CONTENT'!C252,"")</f>
        <v>Biology</v>
      </c>
      <c r="D253" s="9" t="str">
        <f>IF(IF(SelectedScope="All India",TRUE,'RAW_AR_CONTENT'!$B252=SelectedScope),'RAW_AR_CONTENT'!D252,"")</f>
        <v>Class 11</v>
      </c>
      <c r="E253" s="9" t="str">
        <f>IF(IF(SelectedScope="All India",TRUE,'RAW_AR_CONTENT'!$B252=SelectedScope),'RAW_AR_CONTENT'!E252,"")</f>
        <v>Human Anatomy AR</v>
      </c>
      <c r="F253" s="9" t="str">
        <f>IF(IF(SelectedScope="All India",TRUE,'RAW_AR_CONTENT'!$B252=SelectedScope),'RAW_AR_CONTENT'!F252,"")</f>
        <v>Fully Immersive</v>
      </c>
      <c r="G253" s="9" t="str">
        <f>IF(IF(SelectedScope="All India",TRUE,'RAW_AR_CONTENT'!$B252=SelectedScope),'RAW_AR_CONTENT'!G252,"")</f>
        <v>Active</v>
      </c>
      <c r="H253" s="9">
        <f>IF(IF(SelectedScope="All India",TRUE,'RAW_AR_CONTENT'!$B252=SelectedScope),'RAW_AR_CONTENT'!H252,"")</f>
        <v>0</v>
      </c>
      <c r="I253" s="9">
        <f>IF(IF(SelectedScope="All India",TRUE,'RAW_AR_CONTENT'!$B252=SelectedScope),'RAW_AR_CONTENT'!I252,"")</f>
        <v>0</v>
      </c>
      <c r="J253" s="9">
        <f>IF(IF(SelectedScope="All India",TRUE,'RAW_AR_CONTENT'!$B252=SelectedScope),'RAW_AR_CONTENT'!J252,"")</f>
        <v>0</v>
      </c>
      <c r="K253" s="9">
        <f>IF(IF(SelectedScope="All India",TRUE,'RAW_AR_CONTENT'!$B252=SelectedScope),'RAW_AR_CONTENT'!K252,"")</f>
        <v>0</v>
      </c>
      <c r="L253" s="9">
        <f>IF(IF(SelectedScope="All India",TRUE,'RAW_AR_CONTENT'!$B252=SelectedScope),'RAW_AR_CONTENT'!L252,"")</f>
        <v>0</v>
      </c>
      <c r="M253" s="9">
        <f>IF(IF(SelectedScope="All India",TRUE,'RAW_AR_CONTENT'!$B252=SelectedScope),'RAW_AR_CONTENT'!M252,"")</f>
        <v>0</v>
      </c>
      <c r="N253" s="9">
        <f>IF(IF(SelectedScope="All India",TRUE,'RAW_AR_CONTENT'!$B252=SelectedScope),'RAW_AR_CONTENT'!N252,"")</f>
        <v>0</v>
      </c>
      <c r="O253" s="9">
        <f>IF(IF(SelectedScope="All India",TRUE,'RAW_AR_CONTENT'!$B252=SelectedScope),'RAW_AR_CONTENT'!O252,"")</f>
        <v>0</v>
      </c>
      <c r="P253" s="9">
        <f>IF(IF(SelectedScope="All India",TRUE,'RAW_AR_CONTENT'!$B252=SelectedScope),'RAW_AR_CONTENT'!P252,"")</f>
        <v>0</v>
      </c>
      <c r="Q253" s="9">
        <f>IF(IF(SelectedScope="All India",TRUE,'RAW_AR_CONTENT'!$B252=SelectedScope),'RAW_AR_CONTENT'!Q252,"")</f>
        <v>0</v>
      </c>
      <c r="R253" s="9">
        <f>IF(IF(SelectedScope="All India",TRUE,'RAW_AR_CONTENT'!$B252=SelectedScope),'RAW_AR_CONTENT'!R252,"")</f>
        <v>0</v>
      </c>
    </row>
    <row r="254" spans="1:18" ht="15" customHeight="1" x14ac:dyDescent="0.3">
      <c r="A254" s="12">
        <f>IF(IF(SelectedScope="All India",TRUE,'RAW_AR_CONTENT'!$B253=SelectedScope),'RAW_AR_CONTENT'!A253,"")</f>
        <v>250</v>
      </c>
      <c r="B254" s="12" t="str">
        <f>IF(IF(SelectedScope="All India",TRUE,'RAW_AR_CONTENT'!$B253=SelectedScope),'RAW_AR_CONTENT'!B253,"")</f>
        <v>Kerala</v>
      </c>
      <c r="C254" s="12" t="str">
        <f>IF(IF(SelectedScope="All India",TRUE,'RAW_AR_CONTENT'!$B253=SelectedScope),'RAW_AR_CONTENT'!C253,"")</f>
        <v>Physics</v>
      </c>
      <c r="D254" s="12" t="str">
        <f>IF(IF(SelectedScope="All India",TRUE,'RAW_AR_CONTENT'!$B253=SelectedScope),'RAW_AR_CONTENT'!D253,"")</f>
        <v>Class 9</v>
      </c>
      <c r="E254" s="12" t="str">
        <f>IF(IF(SelectedScope="All India",TRUE,'RAW_AR_CONTENT'!$B253=SelectedScope),'RAW_AR_CONTENT'!E253,"")</f>
        <v>Laws of Motion</v>
      </c>
      <c r="F254" s="12" t="str">
        <f>IF(IF(SelectedScope="All India",TRUE,'RAW_AR_CONTENT'!$B253=SelectedScope),'RAW_AR_CONTENT'!F253,"")</f>
        <v>Interactive</v>
      </c>
      <c r="G254" s="12" t="str">
        <f>IF(IF(SelectedScope="All India",TRUE,'RAW_AR_CONTENT'!$B253=SelectedScope),'RAW_AR_CONTENT'!G253,"")</f>
        <v>Active</v>
      </c>
      <c r="H254" s="12">
        <f>IF(IF(SelectedScope="All India",TRUE,'RAW_AR_CONTENT'!$B253=SelectedScope),'RAW_AR_CONTENT'!H253,"")</f>
        <v>0</v>
      </c>
      <c r="I254" s="12">
        <f>IF(IF(SelectedScope="All India",TRUE,'RAW_AR_CONTENT'!$B253=SelectedScope),'RAW_AR_CONTENT'!I253,"")</f>
        <v>0</v>
      </c>
      <c r="J254" s="12">
        <f>IF(IF(SelectedScope="All India",TRUE,'RAW_AR_CONTENT'!$B253=SelectedScope),'RAW_AR_CONTENT'!J253,"")</f>
        <v>0</v>
      </c>
      <c r="K254" s="12">
        <f>IF(IF(SelectedScope="All India",TRUE,'RAW_AR_CONTENT'!$B253=SelectedScope),'RAW_AR_CONTENT'!K253,"")</f>
        <v>0</v>
      </c>
      <c r="L254" s="12">
        <f>IF(IF(SelectedScope="All India",TRUE,'RAW_AR_CONTENT'!$B253=SelectedScope),'RAW_AR_CONTENT'!L253,"")</f>
        <v>0</v>
      </c>
      <c r="M254" s="12">
        <f>IF(IF(SelectedScope="All India",TRUE,'RAW_AR_CONTENT'!$B253=SelectedScope),'RAW_AR_CONTENT'!M253,"")</f>
        <v>0</v>
      </c>
      <c r="N254" s="12">
        <f>IF(IF(SelectedScope="All India",TRUE,'RAW_AR_CONTENT'!$B253=SelectedScope),'RAW_AR_CONTENT'!N253,"")</f>
        <v>0</v>
      </c>
      <c r="O254" s="12">
        <f>IF(IF(SelectedScope="All India",TRUE,'RAW_AR_CONTENT'!$B253=SelectedScope),'RAW_AR_CONTENT'!O253,"")</f>
        <v>0</v>
      </c>
      <c r="P254" s="12">
        <f>IF(IF(SelectedScope="All India",TRUE,'RAW_AR_CONTENT'!$B253=SelectedScope),'RAW_AR_CONTENT'!P253,"")</f>
        <v>0</v>
      </c>
      <c r="Q254" s="12">
        <f>IF(IF(SelectedScope="All India",TRUE,'RAW_AR_CONTENT'!$B253=SelectedScope),'RAW_AR_CONTENT'!Q253,"")</f>
        <v>0</v>
      </c>
      <c r="R254" s="12">
        <f>IF(IF(SelectedScope="All India",TRUE,'RAW_AR_CONTENT'!$B253=SelectedScope),'RAW_AR_CONTENT'!R253,"")</f>
        <v>0</v>
      </c>
    </row>
    <row r="255" spans="1:18" ht="15" customHeight="1" x14ac:dyDescent="0.3">
      <c r="A255" s="9">
        <f>IF(IF(SelectedScope="All India",TRUE,'RAW_AR_CONTENT'!$B254=SelectedScope),'RAW_AR_CONTENT'!A254,"")</f>
        <v>251</v>
      </c>
      <c r="B255" s="9" t="str">
        <f>IF(IF(SelectedScope="All India",TRUE,'RAW_AR_CONTENT'!$B254=SelectedScope),'RAW_AR_CONTENT'!B254,"")</f>
        <v>Kerala</v>
      </c>
      <c r="C255" s="9" t="str">
        <f>IF(IF(SelectedScope="All India",TRUE,'RAW_AR_CONTENT'!$B254=SelectedScope),'RAW_AR_CONTENT'!C254,"")</f>
        <v>Chemistry</v>
      </c>
      <c r="D255" s="9" t="str">
        <f>IF(IF(SelectedScope="All India",TRUE,'RAW_AR_CONTENT'!$B254=SelectedScope),'RAW_AR_CONTENT'!D254,"")</f>
        <v>Class 11</v>
      </c>
      <c r="E255" s="9" t="str">
        <f>IF(IF(SelectedScope="All India",TRUE,'RAW_AR_CONTENT'!$B254=SelectedScope),'RAW_AR_CONTENT'!E254,"")</f>
        <v>Periodic Table 3D</v>
      </c>
      <c r="F255" s="9" t="str">
        <f>IF(IF(SelectedScope="All India",TRUE,'RAW_AR_CONTENT'!$B254=SelectedScope),'RAW_AR_CONTENT'!F254,"")</f>
        <v>Interactive</v>
      </c>
      <c r="G255" s="9" t="str">
        <f>IF(IF(SelectedScope="All India",TRUE,'RAW_AR_CONTENT'!$B254=SelectedScope),'RAW_AR_CONTENT'!G254,"")</f>
        <v>Active</v>
      </c>
      <c r="H255" s="9">
        <f>IF(IF(SelectedScope="All India",TRUE,'RAW_AR_CONTENT'!$B254=SelectedScope),'RAW_AR_CONTENT'!H254,"")</f>
        <v>0</v>
      </c>
      <c r="I255" s="9">
        <f>IF(IF(SelectedScope="All India",TRUE,'RAW_AR_CONTENT'!$B254=SelectedScope),'RAW_AR_CONTENT'!I254,"")</f>
        <v>0</v>
      </c>
      <c r="J255" s="9">
        <f>IF(IF(SelectedScope="All India",TRUE,'RAW_AR_CONTENT'!$B254=SelectedScope),'RAW_AR_CONTENT'!J254,"")</f>
        <v>0</v>
      </c>
      <c r="K255" s="9">
        <f>IF(IF(SelectedScope="All India",TRUE,'RAW_AR_CONTENT'!$B254=SelectedScope),'RAW_AR_CONTENT'!K254,"")</f>
        <v>0</v>
      </c>
      <c r="L255" s="9">
        <f>IF(IF(SelectedScope="All India",TRUE,'RAW_AR_CONTENT'!$B254=SelectedScope),'RAW_AR_CONTENT'!L254,"")</f>
        <v>0</v>
      </c>
      <c r="M255" s="9">
        <f>IF(IF(SelectedScope="All India",TRUE,'RAW_AR_CONTENT'!$B254=SelectedScope),'RAW_AR_CONTENT'!M254,"")</f>
        <v>0</v>
      </c>
      <c r="N255" s="9">
        <f>IF(IF(SelectedScope="All India",TRUE,'RAW_AR_CONTENT'!$B254=SelectedScope),'RAW_AR_CONTENT'!N254,"")</f>
        <v>0</v>
      </c>
      <c r="O255" s="9">
        <f>IF(IF(SelectedScope="All India",TRUE,'RAW_AR_CONTENT'!$B254=SelectedScope),'RAW_AR_CONTENT'!O254,"")</f>
        <v>0</v>
      </c>
      <c r="P255" s="9">
        <f>IF(IF(SelectedScope="All India",TRUE,'RAW_AR_CONTENT'!$B254=SelectedScope),'RAW_AR_CONTENT'!P254,"")</f>
        <v>0</v>
      </c>
      <c r="Q255" s="9">
        <f>IF(IF(SelectedScope="All India",TRUE,'RAW_AR_CONTENT'!$B254=SelectedScope),'RAW_AR_CONTENT'!Q254,"")</f>
        <v>0</v>
      </c>
      <c r="R255" s="9">
        <f>IF(IF(SelectedScope="All India",TRUE,'RAW_AR_CONTENT'!$B254=SelectedScope),'RAW_AR_CONTENT'!R254,"")</f>
        <v>0</v>
      </c>
    </row>
    <row r="256" spans="1:18" ht="15" customHeight="1" x14ac:dyDescent="0.3">
      <c r="A256" s="12">
        <f>IF(IF(SelectedScope="All India",TRUE,'RAW_AR_CONTENT'!$B255=SelectedScope),'RAW_AR_CONTENT'!A255,"")</f>
        <v>252</v>
      </c>
      <c r="B256" s="12" t="str">
        <f>IF(IF(SelectedScope="All India",TRUE,'RAW_AR_CONTENT'!$B255=SelectedScope),'RAW_AR_CONTENT'!B255,"")</f>
        <v>Kerala</v>
      </c>
      <c r="C256" s="12" t="str">
        <f>IF(IF(SelectedScope="All India",TRUE,'RAW_AR_CONTENT'!$B255=SelectedScope),'RAW_AR_CONTENT'!C255,"")</f>
        <v>Physics</v>
      </c>
      <c r="D256" s="12" t="str">
        <f>IF(IF(SelectedScope="All India",TRUE,'RAW_AR_CONTENT'!$B255=SelectedScope),'RAW_AR_CONTENT'!D255,"")</f>
        <v>Class 10</v>
      </c>
      <c r="E256" s="12" t="str">
        <f>IF(IF(SelectedScope="All India",TRUE,'RAW_AR_CONTENT'!$B255=SelectedScope),'RAW_AR_CONTENT'!E255,"")</f>
        <v>Electricity Circuits</v>
      </c>
      <c r="F256" s="12" t="str">
        <f>IF(IF(SelectedScope="All India",TRUE,'RAW_AR_CONTENT'!$B255=SelectedScope),'RAW_AR_CONTENT'!F255,"")</f>
        <v>Interactive</v>
      </c>
      <c r="G256" s="12" t="str">
        <f>IF(IF(SelectedScope="All India",TRUE,'RAW_AR_CONTENT'!$B255=SelectedScope),'RAW_AR_CONTENT'!G255,"")</f>
        <v>Active</v>
      </c>
      <c r="H256" s="12">
        <f>IF(IF(SelectedScope="All India",TRUE,'RAW_AR_CONTENT'!$B255=SelectedScope),'RAW_AR_CONTENT'!H255,"")</f>
        <v>0</v>
      </c>
      <c r="I256" s="12">
        <f>IF(IF(SelectedScope="All India",TRUE,'RAW_AR_CONTENT'!$B255=SelectedScope),'RAW_AR_CONTENT'!I255,"")</f>
        <v>0</v>
      </c>
      <c r="J256" s="12">
        <f>IF(IF(SelectedScope="All India",TRUE,'RAW_AR_CONTENT'!$B255=SelectedScope),'RAW_AR_CONTENT'!J255,"")</f>
        <v>0</v>
      </c>
      <c r="K256" s="12">
        <f>IF(IF(SelectedScope="All India",TRUE,'RAW_AR_CONTENT'!$B255=SelectedScope),'RAW_AR_CONTENT'!K255,"")</f>
        <v>0</v>
      </c>
      <c r="L256" s="12">
        <f>IF(IF(SelectedScope="All India",TRUE,'RAW_AR_CONTENT'!$B255=SelectedScope),'RAW_AR_CONTENT'!L255,"")</f>
        <v>0</v>
      </c>
      <c r="M256" s="12">
        <f>IF(IF(SelectedScope="All India",TRUE,'RAW_AR_CONTENT'!$B255=SelectedScope),'RAW_AR_CONTENT'!M255,"")</f>
        <v>0</v>
      </c>
      <c r="N256" s="12">
        <f>IF(IF(SelectedScope="All India",TRUE,'RAW_AR_CONTENT'!$B255=SelectedScope),'RAW_AR_CONTENT'!N255,"")</f>
        <v>0</v>
      </c>
      <c r="O256" s="12">
        <f>IF(IF(SelectedScope="All India",TRUE,'RAW_AR_CONTENT'!$B255=SelectedScope),'RAW_AR_CONTENT'!O255,"")</f>
        <v>0</v>
      </c>
      <c r="P256" s="12">
        <f>IF(IF(SelectedScope="All India",TRUE,'RAW_AR_CONTENT'!$B255=SelectedScope),'RAW_AR_CONTENT'!P255,"")</f>
        <v>0</v>
      </c>
      <c r="Q256" s="12">
        <f>IF(IF(SelectedScope="All India",TRUE,'RAW_AR_CONTENT'!$B255=SelectedScope),'RAW_AR_CONTENT'!Q255,"")</f>
        <v>0</v>
      </c>
      <c r="R256" s="12">
        <f>IF(IF(SelectedScope="All India",TRUE,'RAW_AR_CONTENT'!$B255=SelectedScope),'RAW_AR_CONTENT'!R255,"")</f>
        <v>0</v>
      </c>
    </row>
    <row r="257" spans="1:18" ht="15" customHeight="1" x14ac:dyDescent="0.3">
      <c r="A257" s="9">
        <f>IF(IF(SelectedScope="All India",TRUE,'RAW_AR_CONTENT'!$B256=SelectedScope),'RAW_AR_CONTENT'!A256,"")</f>
        <v>253</v>
      </c>
      <c r="B257" s="9" t="str">
        <f>IF(IF(SelectedScope="All India",TRUE,'RAW_AR_CONTENT'!$B256=SelectedScope),'RAW_AR_CONTENT'!B256,"")</f>
        <v>Kerala</v>
      </c>
      <c r="C257" s="9" t="str">
        <f>IF(IF(SelectedScope="All India",TRUE,'RAW_AR_CONTENT'!$B256=SelectedScope),'RAW_AR_CONTENT'!C256,"")</f>
        <v>Civics</v>
      </c>
      <c r="D257" s="9" t="str">
        <f>IF(IF(SelectedScope="All India",TRUE,'RAW_AR_CONTENT'!$B256=SelectedScope),'RAW_AR_CONTENT'!D256,"")</f>
        <v>Class 9</v>
      </c>
      <c r="E257" s="9" t="str">
        <f>IF(IF(SelectedScope="All India",TRUE,'RAW_AR_CONTENT'!$B256=SelectedScope),'RAW_AR_CONTENT'!E256,"")</f>
        <v>Indian Constitution</v>
      </c>
      <c r="F257" s="9" t="str">
        <f>IF(IF(SelectedScope="All India",TRUE,'RAW_AR_CONTENT'!$B256=SelectedScope),'RAW_AR_CONTENT'!F256,"")</f>
        <v>Basic 3D</v>
      </c>
      <c r="G257" s="9" t="str">
        <f>IF(IF(SelectedScope="All India",TRUE,'RAW_AR_CONTENT'!$B256=SelectedScope),'RAW_AR_CONTENT'!G256,"")</f>
        <v>Active</v>
      </c>
      <c r="H257" s="9">
        <f>IF(IF(SelectedScope="All India",TRUE,'RAW_AR_CONTENT'!$B256=SelectedScope),'RAW_AR_CONTENT'!H256,"")</f>
        <v>0</v>
      </c>
      <c r="I257" s="9">
        <f>IF(IF(SelectedScope="All India",TRUE,'RAW_AR_CONTENT'!$B256=SelectedScope),'RAW_AR_CONTENT'!I256,"")</f>
        <v>0</v>
      </c>
      <c r="J257" s="9">
        <f>IF(IF(SelectedScope="All India",TRUE,'RAW_AR_CONTENT'!$B256=SelectedScope),'RAW_AR_CONTENT'!J256,"")</f>
        <v>0</v>
      </c>
      <c r="K257" s="9">
        <f>IF(IF(SelectedScope="All India",TRUE,'RAW_AR_CONTENT'!$B256=SelectedScope),'RAW_AR_CONTENT'!K256,"")</f>
        <v>0</v>
      </c>
      <c r="L257" s="9">
        <f>IF(IF(SelectedScope="All India",TRUE,'RAW_AR_CONTENT'!$B256=SelectedScope),'RAW_AR_CONTENT'!L256,"")</f>
        <v>0</v>
      </c>
      <c r="M257" s="9">
        <f>IF(IF(SelectedScope="All India",TRUE,'RAW_AR_CONTENT'!$B256=SelectedScope),'RAW_AR_CONTENT'!M256,"")</f>
        <v>0</v>
      </c>
      <c r="N257" s="9">
        <f>IF(IF(SelectedScope="All India",TRUE,'RAW_AR_CONTENT'!$B256=SelectedScope),'RAW_AR_CONTENT'!N256,"")</f>
        <v>0</v>
      </c>
      <c r="O257" s="9">
        <f>IF(IF(SelectedScope="All India",TRUE,'RAW_AR_CONTENT'!$B256=SelectedScope),'RAW_AR_CONTENT'!O256,"")</f>
        <v>0</v>
      </c>
      <c r="P257" s="9">
        <f>IF(IF(SelectedScope="All India",TRUE,'RAW_AR_CONTENT'!$B256=SelectedScope),'RAW_AR_CONTENT'!P256,"")</f>
        <v>0</v>
      </c>
      <c r="Q257" s="9">
        <f>IF(IF(SelectedScope="All India",TRUE,'RAW_AR_CONTENT'!$B256=SelectedScope),'RAW_AR_CONTENT'!Q256,"")</f>
        <v>0</v>
      </c>
      <c r="R257" s="9">
        <f>IF(IF(SelectedScope="All India",TRUE,'RAW_AR_CONTENT'!$B256=SelectedScope),'RAW_AR_CONTENT'!R256,"")</f>
        <v>0</v>
      </c>
    </row>
    <row r="258" spans="1:18" ht="15" customHeight="1" x14ac:dyDescent="0.3">
      <c r="A258" s="12">
        <f>IF(IF(SelectedScope="All India",TRUE,'RAW_AR_CONTENT'!$B257=SelectedScope),'RAW_AR_CONTENT'!A257,"")</f>
        <v>254</v>
      </c>
      <c r="B258" s="12" t="str">
        <f>IF(IF(SelectedScope="All India",TRUE,'RAW_AR_CONTENT'!$B257=SelectedScope),'RAW_AR_CONTENT'!B257,"")</f>
        <v>Kerala</v>
      </c>
      <c r="C258" s="12" t="str">
        <f>IF(IF(SelectedScope="All India",TRUE,'RAW_AR_CONTENT'!$B257=SelectedScope),'RAW_AR_CONTENT'!C257,"")</f>
        <v>Environmental Science</v>
      </c>
      <c r="D258" s="12" t="str">
        <f>IF(IF(SelectedScope="All India",TRUE,'RAW_AR_CONTENT'!$B257=SelectedScope),'RAW_AR_CONTENT'!D257,"")</f>
        <v>Class 6</v>
      </c>
      <c r="E258" s="12" t="str">
        <f>IF(IF(SelectedScope="All India",TRUE,'RAW_AR_CONTENT'!$B257=SelectedScope),'RAW_AR_CONTENT'!E257,"")</f>
        <v>Food Chain</v>
      </c>
      <c r="F258" s="12" t="str">
        <f>IF(IF(SelectedScope="All India",TRUE,'RAW_AR_CONTENT'!$B257=SelectedScope),'RAW_AR_CONTENT'!F257,"")</f>
        <v>Animated</v>
      </c>
      <c r="G258" s="12" t="str">
        <f>IF(IF(SelectedScope="All India",TRUE,'RAW_AR_CONTENT'!$B257=SelectedScope),'RAW_AR_CONTENT'!G257,"")</f>
        <v>Active</v>
      </c>
      <c r="H258" s="12">
        <f>IF(IF(SelectedScope="All India",TRUE,'RAW_AR_CONTENT'!$B257=SelectedScope),'RAW_AR_CONTENT'!H257,"")</f>
        <v>0</v>
      </c>
      <c r="I258" s="12">
        <f>IF(IF(SelectedScope="All India",TRUE,'RAW_AR_CONTENT'!$B257=SelectedScope),'RAW_AR_CONTENT'!I257,"")</f>
        <v>0</v>
      </c>
      <c r="J258" s="12">
        <f>IF(IF(SelectedScope="All India",TRUE,'RAW_AR_CONTENT'!$B257=SelectedScope),'RAW_AR_CONTENT'!J257,"")</f>
        <v>0</v>
      </c>
      <c r="K258" s="12">
        <f>IF(IF(SelectedScope="All India",TRUE,'RAW_AR_CONTENT'!$B257=SelectedScope),'RAW_AR_CONTENT'!K257,"")</f>
        <v>0</v>
      </c>
      <c r="L258" s="12">
        <f>IF(IF(SelectedScope="All India",TRUE,'RAW_AR_CONTENT'!$B257=SelectedScope),'RAW_AR_CONTENT'!L257,"")</f>
        <v>0</v>
      </c>
      <c r="M258" s="12">
        <f>IF(IF(SelectedScope="All India",TRUE,'RAW_AR_CONTENT'!$B257=SelectedScope),'RAW_AR_CONTENT'!M257,"")</f>
        <v>0</v>
      </c>
      <c r="N258" s="12">
        <f>IF(IF(SelectedScope="All India",TRUE,'RAW_AR_CONTENT'!$B257=SelectedScope),'RAW_AR_CONTENT'!N257,"")</f>
        <v>0</v>
      </c>
      <c r="O258" s="12">
        <f>IF(IF(SelectedScope="All India",TRUE,'RAW_AR_CONTENT'!$B257=SelectedScope),'RAW_AR_CONTENT'!O257,"")</f>
        <v>0</v>
      </c>
      <c r="P258" s="12">
        <f>IF(IF(SelectedScope="All India",TRUE,'RAW_AR_CONTENT'!$B257=SelectedScope),'RAW_AR_CONTENT'!P257,"")</f>
        <v>0</v>
      </c>
      <c r="Q258" s="12">
        <f>IF(IF(SelectedScope="All India",TRUE,'RAW_AR_CONTENT'!$B257=SelectedScope),'RAW_AR_CONTENT'!Q257,"")</f>
        <v>0</v>
      </c>
      <c r="R258" s="12">
        <f>IF(IF(SelectedScope="All India",TRUE,'RAW_AR_CONTENT'!$B257=SelectedScope),'RAW_AR_CONTENT'!R257,"")</f>
        <v>0</v>
      </c>
    </row>
    <row r="259" spans="1:18" ht="15" customHeight="1" x14ac:dyDescent="0.3">
      <c r="A259" s="9">
        <f>IF(IF(SelectedScope="All India",TRUE,'RAW_AR_CONTENT'!$B258=SelectedScope),'RAW_AR_CONTENT'!A258,"")</f>
        <v>255</v>
      </c>
      <c r="B259" s="9" t="str">
        <f>IF(IF(SelectedScope="All India",TRUE,'RAW_AR_CONTENT'!$B258=SelectedScope),'RAW_AR_CONTENT'!B258,"")</f>
        <v>Kerala</v>
      </c>
      <c r="C259" s="9" t="str">
        <f>IF(IF(SelectedScope="All India",TRUE,'RAW_AR_CONTENT'!$B258=SelectedScope),'RAW_AR_CONTENT'!C258,"")</f>
        <v>Mathematics</v>
      </c>
      <c r="D259" s="9" t="str">
        <f>IF(IF(SelectedScope="All India",TRUE,'RAW_AR_CONTENT'!$B258=SelectedScope),'RAW_AR_CONTENT'!D258,"")</f>
        <v>Class 10</v>
      </c>
      <c r="E259" s="9" t="str">
        <f>IF(IF(SelectedScope="All India",TRUE,'RAW_AR_CONTENT'!$B258=SelectedScope),'RAW_AR_CONTENT'!E258,"")</f>
        <v>Quadratic Equations</v>
      </c>
      <c r="F259" s="9" t="str">
        <f>IF(IF(SelectedScope="All India",TRUE,'RAW_AR_CONTENT'!$B258=SelectedScope),'RAW_AR_CONTENT'!F258,"")</f>
        <v>Animated</v>
      </c>
      <c r="G259" s="9" t="str">
        <f>IF(IF(SelectedScope="All India",TRUE,'RAW_AR_CONTENT'!$B258=SelectedScope),'RAW_AR_CONTENT'!G258,"")</f>
        <v>Active</v>
      </c>
      <c r="H259" s="9">
        <f>IF(IF(SelectedScope="All India",TRUE,'RAW_AR_CONTENT'!$B258=SelectedScope),'RAW_AR_CONTENT'!H258,"")</f>
        <v>0</v>
      </c>
      <c r="I259" s="9">
        <f>IF(IF(SelectedScope="All India",TRUE,'RAW_AR_CONTENT'!$B258=SelectedScope),'RAW_AR_CONTENT'!I258,"")</f>
        <v>0</v>
      </c>
      <c r="J259" s="9">
        <f>IF(IF(SelectedScope="All India",TRUE,'RAW_AR_CONTENT'!$B258=SelectedScope),'RAW_AR_CONTENT'!J258,"")</f>
        <v>0</v>
      </c>
      <c r="K259" s="9">
        <f>IF(IF(SelectedScope="All India",TRUE,'RAW_AR_CONTENT'!$B258=SelectedScope),'RAW_AR_CONTENT'!K258,"")</f>
        <v>0</v>
      </c>
      <c r="L259" s="9">
        <f>IF(IF(SelectedScope="All India",TRUE,'RAW_AR_CONTENT'!$B258=SelectedScope),'RAW_AR_CONTENT'!L258,"")</f>
        <v>0</v>
      </c>
      <c r="M259" s="9">
        <f>IF(IF(SelectedScope="All India",TRUE,'RAW_AR_CONTENT'!$B258=SelectedScope),'RAW_AR_CONTENT'!M258,"")</f>
        <v>0</v>
      </c>
      <c r="N259" s="9">
        <f>IF(IF(SelectedScope="All India",TRUE,'RAW_AR_CONTENT'!$B258=SelectedScope),'RAW_AR_CONTENT'!N258,"")</f>
        <v>0</v>
      </c>
      <c r="O259" s="9">
        <f>IF(IF(SelectedScope="All India",TRUE,'RAW_AR_CONTENT'!$B258=SelectedScope),'RAW_AR_CONTENT'!O258,"")</f>
        <v>0</v>
      </c>
      <c r="P259" s="9">
        <f>IF(IF(SelectedScope="All India",TRUE,'RAW_AR_CONTENT'!$B258=SelectedScope),'RAW_AR_CONTENT'!P258,"")</f>
        <v>0</v>
      </c>
      <c r="Q259" s="9">
        <f>IF(IF(SelectedScope="All India",TRUE,'RAW_AR_CONTENT'!$B258=SelectedScope),'RAW_AR_CONTENT'!Q258,"")</f>
        <v>0</v>
      </c>
      <c r="R259" s="9">
        <f>IF(IF(SelectedScope="All India",TRUE,'RAW_AR_CONTENT'!$B258=SelectedScope),'RAW_AR_CONTENT'!R258,"")</f>
        <v>0</v>
      </c>
    </row>
    <row r="260" spans="1:18" ht="15" customHeight="1" x14ac:dyDescent="0.3">
      <c r="A260" s="12">
        <f>IF(IF(SelectedScope="All India",TRUE,'RAW_AR_CONTENT'!$B259=SelectedScope),'RAW_AR_CONTENT'!A259,"")</f>
        <v>256</v>
      </c>
      <c r="B260" s="12" t="str">
        <f>IF(IF(SelectedScope="All India",TRUE,'RAW_AR_CONTENT'!$B259=SelectedScope),'RAW_AR_CONTENT'!B259,"")</f>
        <v>Ladakh</v>
      </c>
      <c r="C260" s="12" t="str">
        <f>IF(IF(SelectedScope="All India",TRUE,'RAW_AR_CONTENT'!$B259=SelectedScope),'RAW_AR_CONTENT'!C259,"")</f>
        <v>Science</v>
      </c>
      <c r="D260" s="12" t="str">
        <f>IF(IF(SelectedScope="All India",TRUE,'RAW_AR_CONTENT'!$B259=SelectedScope),'RAW_AR_CONTENT'!D259,"")</f>
        <v>Class 8</v>
      </c>
      <c r="E260" s="12" t="str">
        <f>IF(IF(SelectedScope="All India",TRUE,'RAW_AR_CONTENT'!$B259=SelectedScope),'RAW_AR_CONTENT'!E259,"")</f>
        <v>Solar System 3D</v>
      </c>
      <c r="F260" s="12" t="str">
        <f>IF(IF(SelectedScope="All India",TRUE,'RAW_AR_CONTENT'!$B259=SelectedScope),'RAW_AR_CONTENT'!F259,"")</f>
        <v>Animated</v>
      </c>
      <c r="G260" s="12" t="str">
        <f>IF(IF(SelectedScope="All India",TRUE,'RAW_AR_CONTENT'!$B259=SelectedScope),'RAW_AR_CONTENT'!G259,"")</f>
        <v>Active</v>
      </c>
      <c r="H260" s="12">
        <f>IF(IF(SelectedScope="All India",TRUE,'RAW_AR_CONTENT'!$B259=SelectedScope),'RAW_AR_CONTENT'!H259,"")</f>
        <v>0</v>
      </c>
      <c r="I260" s="12">
        <f>IF(IF(SelectedScope="All India",TRUE,'RAW_AR_CONTENT'!$B259=SelectedScope),'RAW_AR_CONTENT'!I259,"")</f>
        <v>0</v>
      </c>
      <c r="J260" s="12">
        <f>IF(IF(SelectedScope="All India",TRUE,'RAW_AR_CONTENT'!$B259=SelectedScope),'RAW_AR_CONTENT'!J259,"")</f>
        <v>0</v>
      </c>
      <c r="K260" s="12">
        <f>IF(IF(SelectedScope="All India",TRUE,'RAW_AR_CONTENT'!$B259=SelectedScope),'RAW_AR_CONTENT'!K259,"")</f>
        <v>0</v>
      </c>
      <c r="L260" s="12">
        <f>IF(IF(SelectedScope="All India",TRUE,'RAW_AR_CONTENT'!$B259=SelectedScope),'RAW_AR_CONTENT'!L259,"")</f>
        <v>0</v>
      </c>
      <c r="M260" s="12">
        <f>IF(IF(SelectedScope="All India",TRUE,'RAW_AR_CONTENT'!$B259=SelectedScope),'RAW_AR_CONTENT'!M259,"")</f>
        <v>0</v>
      </c>
      <c r="N260" s="12">
        <f>IF(IF(SelectedScope="All India",TRUE,'RAW_AR_CONTENT'!$B259=SelectedScope),'RAW_AR_CONTENT'!N259,"")</f>
        <v>0</v>
      </c>
      <c r="O260" s="12">
        <f>IF(IF(SelectedScope="All India",TRUE,'RAW_AR_CONTENT'!$B259=SelectedScope),'RAW_AR_CONTENT'!O259,"")</f>
        <v>0</v>
      </c>
      <c r="P260" s="12">
        <f>IF(IF(SelectedScope="All India",TRUE,'RAW_AR_CONTENT'!$B259=SelectedScope),'RAW_AR_CONTENT'!P259,"")</f>
        <v>0</v>
      </c>
      <c r="Q260" s="12">
        <f>IF(IF(SelectedScope="All India",TRUE,'RAW_AR_CONTENT'!$B259=SelectedScope),'RAW_AR_CONTENT'!Q259,"")</f>
        <v>0</v>
      </c>
      <c r="R260" s="12">
        <f>IF(IF(SelectedScope="All India",TRUE,'RAW_AR_CONTENT'!$B259=SelectedScope),'RAW_AR_CONTENT'!R259,"")</f>
        <v>0</v>
      </c>
    </row>
    <row r="261" spans="1:18" ht="15" customHeight="1" x14ac:dyDescent="0.3">
      <c r="A261" s="9">
        <f>IF(IF(SelectedScope="All India",TRUE,'RAW_AR_CONTENT'!$B260=SelectedScope),'RAW_AR_CONTENT'!A260,"")</f>
        <v>257</v>
      </c>
      <c r="B261" s="9" t="str">
        <f>IF(IF(SelectedScope="All India",TRUE,'RAW_AR_CONTENT'!$B260=SelectedScope),'RAW_AR_CONTENT'!B260,"")</f>
        <v>Ladakh</v>
      </c>
      <c r="C261" s="9" t="str">
        <f>IF(IF(SelectedScope="All India",TRUE,'RAW_AR_CONTENT'!$B260=SelectedScope),'RAW_AR_CONTENT'!C260,"")</f>
        <v>Biology</v>
      </c>
      <c r="D261" s="9" t="str">
        <f>IF(IF(SelectedScope="All India",TRUE,'RAW_AR_CONTENT'!$B260=SelectedScope),'RAW_AR_CONTENT'!D260,"")</f>
        <v>Class 9</v>
      </c>
      <c r="E261" s="9" t="str">
        <f>IF(IF(SelectedScope="All India",TRUE,'RAW_AR_CONTENT'!$B260=SelectedScope),'RAW_AR_CONTENT'!E260,"")</f>
        <v>Cell Division</v>
      </c>
      <c r="F261" s="9" t="str">
        <f>IF(IF(SelectedScope="All India",TRUE,'RAW_AR_CONTENT'!$B260=SelectedScope),'RAW_AR_CONTENT'!F260,"")</f>
        <v>Interactive</v>
      </c>
      <c r="G261" s="9" t="str">
        <f>IF(IF(SelectedScope="All India",TRUE,'RAW_AR_CONTENT'!$B260=SelectedScope),'RAW_AR_CONTENT'!G260,"")</f>
        <v>Active</v>
      </c>
      <c r="H261" s="9">
        <f>IF(IF(SelectedScope="All India",TRUE,'RAW_AR_CONTENT'!$B260=SelectedScope),'RAW_AR_CONTENT'!H260,"")</f>
        <v>0</v>
      </c>
      <c r="I261" s="9">
        <f>IF(IF(SelectedScope="All India",TRUE,'RAW_AR_CONTENT'!$B260=SelectedScope),'RAW_AR_CONTENT'!I260,"")</f>
        <v>0</v>
      </c>
      <c r="J261" s="9">
        <f>IF(IF(SelectedScope="All India",TRUE,'RAW_AR_CONTENT'!$B260=SelectedScope),'RAW_AR_CONTENT'!J260,"")</f>
        <v>0</v>
      </c>
      <c r="K261" s="9">
        <f>IF(IF(SelectedScope="All India",TRUE,'RAW_AR_CONTENT'!$B260=SelectedScope),'RAW_AR_CONTENT'!K260,"")</f>
        <v>0</v>
      </c>
      <c r="L261" s="9">
        <f>IF(IF(SelectedScope="All India",TRUE,'RAW_AR_CONTENT'!$B260=SelectedScope),'RAW_AR_CONTENT'!L260,"")</f>
        <v>0</v>
      </c>
      <c r="M261" s="9">
        <f>IF(IF(SelectedScope="All India",TRUE,'RAW_AR_CONTENT'!$B260=SelectedScope),'RAW_AR_CONTENT'!M260,"")</f>
        <v>0</v>
      </c>
      <c r="N261" s="9">
        <f>IF(IF(SelectedScope="All India",TRUE,'RAW_AR_CONTENT'!$B260=SelectedScope),'RAW_AR_CONTENT'!N260,"")</f>
        <v>0</v>
      </c>
      <c r="O261" s="9">
        <f>IF(IF(SelectedScope="All India",TRUE,'RAW_AR_CONTENT'!$B260=SelectedScope),'RAW_AR_CONTENT'!O260,"")</f>
        <v>0</v>
      </c>
      <c r="P261" s="9">
        <f>IF(IF(SelectedScope="All India",TRUE,'RAW_AR_CONTENT'!$B260=SelectedScope),'RAW_AR_CONTENT'!P260,"")</f>
        <v>0</v>
      </c>
      <c r="Q261" s="9">
        <f>IF(IF(SelectedScope="All India",TRUE,'RAW_AR_CONTENT'!$B260=SelectedScope),'RAW_AR_CONTENT'!Q260,"")</f>
        <v>0</v>
      </c>
      <c r="R261" s="9">
        <f>IF(IF(SelectedScope="All India",TRUE,'RAW_AR_CONTENT'!$B260=SelectedScope),'RAW_AR_CONTENT'!R260,"")</f>
        <v>0</v>
      </c>
    </row>
    <row r="262" spans="1:18" ht="15" customHeight="1" x14ac:dyDescent="0.3">
      <c r="A262" s="12">
        <f>IF(IF(SelectedScope="All India",TRUE,'RAW_AR_CONTENT'!$B261=SelectedScope),'RAW_AR_CONTENT'!A261,"")</f>
        <v>258</v>
      </c>
      <c r="B262" s="12" t="str">
        <f>IF(IF(SelectedScope="All India",TRUE,'RAW_AR_CONTENT'!$B261=SelectedScope),'RAW_AR_CONTENT'!B261,"")</f>
        <v>Ladakh</v>
      </c>
      <c r="C262" s="12" t="str">
        <f>IF(IF(SelectedScope="All India",TRUE,'RAW_AR_CONTENT'!$B261=SelectedScope),'RAW_AR_CONTENT'!C261,"")</f>
        <v>Chemistry</v>
      </c>
      <c r="D262" s="12" t="str">
        <f>IF(IF(SelectedScope="All India",TRUE,'RAW_AR_CONTENT'!$B261=SelectedScope),'RAW_AR_CONTENT'!D261,"")</f>
        <v>Class 9</v>
      </c>
      <c r="E262" s="12" t="str">
        <f>IF(IF(SelectedScope="All India",TRUE,'RAW_AR_CONTENT'!$B261=SelectedScope),'RAW_AR_CONTENT'!E261,"")</f>
        <v>Atoms and Molecules</v>
      </c>
      <c r="F262" s="12" t="str">
        <f>IF(IF(SelectedScope="All India",TRUE,'RAW_AR_CONTENT'!$B261=SelectedScope),'RAW_AR_CONTENT'!F261,"")</f>
        <v>Animated</v>
      </c>
      <c r="G262" s="12" t="str">
        <f>IF(IF(SelectedScope="All India",TRUE,'RAW_AR_CONTENT'!$B261=SelectedScope),'RAW_AR_CONTENT'!G261,"")</f>
        <v>Active</v>
      </c>
      <c r="H262" s="12">
        <f>IF(IF(SelectedScope="All India",TRUE,'RAW_AR_CONTENT'!$B261=SelectedScope),'RAW_AR_CONTENT'!H261,"")</f>
        <v>0</v>
      </c>
      <c r="I262" s="12">
        <f>IF(IF(SelectedScope="All India",TRUE,'RAW_AR_CONTENT'!$B261=SelectedScope),'RAW_AR_CONTENT'!I261,"")</f>
        <v>0</v>
      </c>
      <c r="J262" s="12">
        <f>IF(IF(SelectedScope="All India",TRUE,'RAW_AR_CONTENT'!$B261=SelectedScope),'RAW_AR_CONTENT'!J261,"")</f>
        <v>0</v>
      </c>
      <c r="K262" s="12">
        <f>IF(IF(SelectedScope="All India",TRUE,'RAW_AR_CONTENT'!$B261=SelectedScope),'RAW_AR_CONTENT'!K261,"")</f>
        <v>0</v>
      </c>
      <c r="L262" s="12">
        <f>IF(IF(SelectedScope="All India",TRUE,'RAW_AR_CONTENT'!$B261=SelectedScope),'RAW_AR_CONTENT'!L261,"")</f>
        <v>0</v>
      </c>
      <c r="M262" s="12">
        <f>IF(IF(SelectedScope="All India",TRUE,'RAW_AR_CONTENT'!$B261=SelectedScope),'RAW_AR_CONTENT'!M261,"")</f>
        <v>0</v>
      </c>
      <c r="N262" s="12">
        <f>IF(IF(SelectedScope="All India",TRUE,'RAW_AR_CONTENT'!$B261=SelectedScope),'RAW_AR_CONTENT'!N261,"")</f>
        <v>0</v>
      </c>
      <c r="O262" s="12">
        <f>IF(IF(SelectedScope="All India",TRUE,'RAW_AR_CONTENT'!$B261=SelectedScope),'RAW_AR_CONTENT'!O261,"")</f>
        <v>0</v>
      </c>
      <c r="P262" s="12">
        <f>IF(IF(SelectedScope="All India",TRUE,'RAW_AR_CONTENT'!$B261=SelectedScope),'RAW_AR_CONTENT'!P261,"")</f>
        <v>0</v>
      </c>
      <c r="Q262" s="12">
        <f>IF(IF(SelectedScope="All India",TRUE,'RAW_AR_CONTENT'!$B261=SelectedScope),'RAW_AR_CONTENT'!Q261,"")</f>
        <v>0</v>
      </c>
      <c r="R262" s="12">
        <f>IF(IF(SelectedScope="All India",TRUE,'RAW_AR_CONTENT'!$B261=SelectedScope),'RAW_AR_CONTENT'!R261,"")</f>
        <v>0</v>
      </c>
    </row>
    <row r="263" spans="1:18" ht="15" customHeight="1" x14ac:dyDescent="0.3">
      <c r="A263" s="9">
        <f>IF(IF(SelectedScope="All India",TRUE,'RAW_AR_CONTENT'!$B262=SelectedScope),'RAW_AR_CONTENT'!A262,"")</f>
        <v>259</v>
      </c>
      <c r="B263" s="9" t="str">
        <f>IF(IF(SelectedScope="All India",TRUE,'RAW_AR_CONTENT'!$B262=SelectedScope),'RAW_AR_CONTENT'!B262,"")</f>
        <v>Ladakh</v>
      </c>
      <c r="C263" s="9" t="str">
        <f>IF(IF(SelectedScope="All India",TRUE,'RAW_AR_CONTENT'!$B262=SelectedScope),'RAW_AR_CONTENT'!C262,"")</f>
        <v>Biology</v>
      </c>
      <c r="D263" s="9" t="str">
        <f>IF(IF(SelectedScope="All India",TRUE,'RAW_AR_CONTENT'!$B262=SelectedScope),'RAW_AR_CONTENT'!D262,"")</f>
        <v>Class 7</v>
      </c>
      <c r="E263" s="9" t="str">
        <f>IF(IF(SelectedScope="All India",TRUE,'RAW_AR_CONTENT'!$B262=SelectedScope),'RAW_AR_CONTENT'!E262,"")</f>
        <v>Photosynthesis</v>
      </c>
      <c r="F263" s="9" t="str">
        <f>IF(IF(SelectedScope="All India",TRUE,'RAW_AR_CONTENT'!$B262=SelectedScope),'RAW_AR_CONTENT'!F262,"")</f>
        <v>Basic 3D</v>
      </c>
      <c r="G263" s="9" t="str">
        <f>IF(IF(SelectedScope="All India",TRUE,'RAW_AR_CONTENT'!$B262=SelectedScope),'RAW_AR_CONTENT'!G262,"")</f>
        <v>Active</v>
      </c>
      <c r="H263" s="9">
        <f>IF(IF(SelectedScope="All India",TRUE,'RAW_AR_CONTENT'!$B262=SelectedScope),'RAW_AR_CONTENT'!H262,"")</f>
        <v>0</v>
      </c>
      <c r="I263" s="9">
        <f>IF(IF(SelectedScope="All India",TRUE,'RAW_AR_CONTENT'!$B262=SelectedScope),'RAW_AR_CONTENT'!I262,"")</f>
        <v>0</v>
      </c>
      <c r="J263" s="9">
        <f>IF(IF(SelectedScope="All India",TRUE,'RAW_AR_CONTENT'!$B262=SelectedScope),'RAW_AR_CONTENT'!J262,"")</f>
        <v>0</v>
      </c>
      <c r="K263" s="9">
        <f>IF(IF(SelectedScope="All India",TRUE,'RAW_AR_CONTENT'!$B262=SelectedScope),'RAW_AR_CONTENT'!K262,"")</f>
        <v>0</v>
      </c>
      <c r="L263" s="9">
        <f>IF(IF(SelectedScope="All India",TRUE,'RAW_AR_CONTENT'!$B262=SelectedScope),'RAW_AR_CONTENT'!L262,"")</f>
        <v>0</v>
      </c>
      <c r="M263" s="9">
        <f>IF(IF(SelectedScope="All India",TRUE,'RAW_AR_CONTENT'!$B262=SelectedScope),'RAW_AR_CONTENT'!M262,"")</f>
        <v>0</v>
      </c>
      <c r="N263" s="9">
        <f>IF(IF(SelectedScope="All India",TRUE,'RAW_AR_CONTENT'!$B262=SelectedScope),'RAW_AR_CONTENT'!N262,"")</f>
        <v>0</v>
      </c>
      <c r="O263" s="9">
        <f>IF(IF(SelectedScope="All India",TRUE,'RAW_AR_CONTENT'!$B262=SelectedScope),'RAW_AR_CONTENT'!O262,"")</f>
        <v>0</v>
      </c>
      <c r="P263" s="9">
        <f>IF(IF(SelectedScope="All India",TRUE,'RAW_AR_CONTENT'!$B262=SelectedScope),'RAW_AR_CONTENT'!P262,"")</f>
        <v>0</v>
      </c>
      <c r="Q263" s="9">
        <f>IF(IF(SelectedScope="All India",TRUE,'RAW_AR_CONTENT'!$B262=SelectedScope),'RAW_AR_CONTENT'!Q262,"")</f>
        <v>0</v>
      </c>
      <c r="R263" s="9">
        <f>IF(IF(SelectedScope="All India",TRUE,'RAW_AR_CONTENT'!$B262=SelectedScope),'RAW_AR_CONTENT'!R262,"")</f>
        <v>0</v>
      </c>
    </row>
    <row r="264" spans="1:18" ht="15" customHeight="1" x14ac:dyDescent="0.3">
      <c r="A264" s="12">
        <f>IF(IF(SelectedScope="All India",TRUE,'RAW_AR_CONTENT'!$B263=SelectedScope),'RAW_AR_CONTENT'!A263,"")</f>
        <v>260</v>
      </c>
      <c r="B264" s="12" t="str">
        <f>IF(IF(SelectedScope="All India",TRUE,'RAW_AR_CONTENT'!$B263=SelectedScope),'RAW_AR_CONTENT'!B263,"")</f>
        <v>Ladakh</v>
      </c>
      <c r="C264" s="12" t="str">
        <f>IF(IF(SelectedScope="All India",TRUE,'RAW_AR_CONTENT'!$B263=SelectedScope),'RAW_AR_CONTENT'!C263,"")</f>
        <v>Mathematics</v>
      </c>
      <c r="D264" s="12" t="str">
        <f>IF(IF(SelectedScope="All India",TRUE,'RAW_AR_CONTENT'!$B263=SelectedScope),'RAW_AR_CONTENT'!D263,"")</f>
        <v>Class 7</v>
      </c>
      <c r="E264" s="12" t="str">
        <f>IF(IF(SelectedScope="All India",TRUE,'RAW_AR_CONTENT'!$B263=SelectedScope),'RAW_AR_CONTENT'!E263,"")</f>
        <v>Fractions 3D Model</v>
      </c>
      <c r="F264" s="12" t="str">
        <f>IF(IF(SelectedScope="All India",TRUE,'RAW_AR_CONTENT'!$B263=SelectedScope),'RAW_AR_CONTENT'!F263,"")</f>
        <v>Interactive</v>
      </c>
      <c r="G264" s="12" t="str">
        <f>IF(IF(SelectedScope="All India",TRUE,'RAW_AR_CONTENT'!$B263=SelectedScope),'RAW_AR_CONTENT'!G263,"")</f>
        <v>Active</v>
      </c>
      <c r="H264" s="12">
        <f>IF(IF(SelectedScope="All India",TRUE,'RAW_AR_CONTENT'!$B263=SelectedScope),'RAW_AR_CONTENT'!H263,"")</f>
        <v>0</v>
      </c>
      <c r="I264" s="12">
        <f>IF(IF(SelectedScope="All India",TRUE,'RAW_AR_CONTENT'!$B263=SelectedScope),'RAW_AR_CONTENT'!I263,"")</f>
        <v>0</v>
      </c>
      <c r="J264" s="12">
        <f>IF(IF(SelectedScope="All India",TRUE,'RAW_AR_CONTENT'!$B263=SelectedScope),'RAW_AR_CONTENT'!J263,"")</f>
        <v>0</v>
      </c>
      <c r="K264" s="12">
        <f>IF(IF(SelectedScope="All India",TRUE,'RAW_AR_CONTENT'!$B263=SelectedScope),'RAW_AR_CONTENT'!K263,"")</f>
        <v>0</v>
      </c>
      <c r="L264" s="12">
        <f>IF(IF(SelectedScope="All India",TRUE,'RAW_AR_CONTENT'!$B263=SelectedScope),'RAW_AR_CONTENT'!L263,"")</f>
        <v>0</v>
      </c>
      <c r="M264" s="12">
        <f>IF(IF(SelectedScope="All India",TRUE,'RAW_AR_CONTENT'!$B263=SelectedScope),'RAW_AR_CONTENT'!M263,"")</f>
        <v>0</v>
      </c>
      <c r="N264" s="12">
        <f>IF(IF(SelectedScope="All India",TRUE,'RAW_AR_CONTENT'!$B263=SelectedScope),'RAW_AR_CONTENT'!N263,"")</f>
        <v>0</v>
      </c>
      <c r="O264" s="12">
        <f>IF(IF(SelectedScope="All India",TRUE,'RAW_AR_CONTENT'!$B263=SelectedScope),'RAW_AR_CONTENT'!O263,"")</f>
        <v>0</v>
      </c>
      <c r="P264" s="12">
        <f>IF(IF(SelectedScope="All India",TRUE,'RAW_AR_CONTENT'!$B263=SelectedScope),'RAW_AR_CONTENT'!P263,"")</f>
        <v>0</v>
      </c>
      <c r="Q264" s="12">
        <f>IF(IF(SelectedScope="All India",TRUE,'RAW_AR_CONTENT'!$B263=SelectedScope),'RAW_AR_CONTENT'!Q263,"")</f>
        <v>0</v>
      </c>
      <c r="R264" s="12">
        <f>IF(IF(SelectedScope="All India",TRUE,'RAW_AR_CONTENT'!$B263=SelectedScope),'RAW_AR_CONTENT'!R263,"")</f>
        <v>0</v>
      </c>
    </row>
    <row r="265" spans="1:18" ht="15" customHeight="1" x14ac:dyDescent="0.3">
      <c r="A265" s="9">
        <f>IF(IF(SelectedScope="All India",TRUE,'RAW_AR_CONTENT'!$B264=SelectedScope),'RAW_AR_CONTENT'!A264,"")</f>
        <v>261</v>
      </c>
      <c r="B265" s="9" t="str">
        <f>IF(IF(SelectedScope="All India",TRUE,'RAW_AR_CONTENT'!$B264=SelectedScope),'RAW_AR_CONTENT'!B264,"")</f>
        <v>Ladakh</v>
      </c>
      <c r="C265" s="9" t="str">
        <f>IF(IF(SelectedScope="All India",TRUE,'RAW_AR_CONTENT'!$B264=SelectedScope),'RAW_AR_CONTENT'!C264,"")</f>
        <v>Mathematics</v>
      </c>
      <c r="D265" s="9" t="str">
        <f>IF(IF(SelectedScope="All India",TRUE,'RAW_AR_CONTENT'!$B264=SelectedScope),'RAW_AR_CONTENT'!D264,"")</f>
        <v>Class 10</v>
      </c>
      <c r="E265" s="9" t="str">
        <f>IF(IF(SelectedScope="All India",TRUE,'RAW_AR_CONTENT'!$B264=SelectedScope),'RAW_AR_CONTENT'!E264,"")</f>
        <v>Trigonometry 3D</v>
      </c>
      <c r="F265" s="9" t="str">
        <f>IF(IF(SelectedScope="All India",TRUE,'RAW_AR_CONTENT'!$B264=SelectedScope),'RAW_AR_CONTENT'!F264,"")</f>
        <v>Animated</v>
      </c>
      <c r="G265" s="9" t="str">
        <f>IF(IF(SelectedScope="All India",TRUE,'RAW_AR_CONTENT'!$B264=SelectedScope),'RAW_AR_CONTENT'!G264,"")</f>
        <v>Active</v>
      </c>
      <c r="H265" s="9">
        <f>IF(IF(SelectedScope="All India",TRUE,'RAW_AR_CONTENT'!$B264=SelectedScope),'RAW_AR_CONTENT'!H264,"")</f>
        <v>0</v>
      </c>
      <c r="I265" s="9">
        <f>IF(IF(SelectedScope="All India",TRUE,'RAW_AR_CONTENT'!$B264=SelectedScope),'RAW_AR_CONTENT'!I264,"")</f>
        <v>0</v>
      </c>
      <c r="J265" s="9">
        <f>IF(IF(SelectedScope="All India",TRUE,'RAW_AR_CONTENT'!$B264=SelectedScope),'RAW_AR_CONTENT'!J264,"")</f>
        <v>0</v>
      </c>
      <c r="K265" s="9">
        <f>IF(IF(SelectedScope="All India",TRUE,'RAW_AR_CONTENT'!$B264=SelectedScope),'RAW_AR_CONTENT'!K264,"")</f>
        <v>0</v>
      </c>
      <c r="L265" s="9">
        <f>IF(IF(SelectedScope="All India",TRUE,'RAW_AR_CONTENT'!$B264=SelectedScope),'RAW_AR_CONTENT'!L264,"")</f>
        <v>0</v>
      </c>
      <c r="M265" s="9">
        <f>IF(IF(SelectedScope="All India",TRUE,'RAW_AR_CONTENT'!$B264=SelectedScope),'RAW_AR_CONTENT'!M264,"")</f>
        <v>0</v>
      </c>
      <c r="N265" s="9">
        <f>IF(IF(SelectedScope="All India",TRUE,'RAW_AR_CONTENT'!$B264=SelectedScope),'RAW_AR_CONTENT'!N264,"")</f>
        <v>0</v>
      </c>
      <c r="O265" s="9">
        <f>IF(IF(SelectedScope="All India",TRUE,'RAW_AR_CONTENT'!$B264=SelectedScope),'RAW_AR_CONTENT'!O264,"")</f>
        <v>0</v>
      </c>
      <c r="P265" s="9">
        <f>IF(IF(SelectedScope="All India",TRUE,'RAW_AR_CONTENT'!$B264=SelectedScope),'RAW_AR_CONTENT'!P264,"")</f>
        <v>0</v>
      </c>
      <c r="Q265" s="9">
        <f>IF(IF(SelectedScope="All India",TRUE,'RAW_AR_CONTENT'!$B264=SelectedScope),'RAW_AR_CONTENT'!Q264,"")</f>
        <v>0</v>
      </c>
      <c r="R265" s="9">
        <f>IF(IF(SelectedScope="All India",TRUE,'RAW_AR_CONTENT'!$B264=SelectedScope),'RAW_AR_CONTENT'!R264,"")</f>
        <v>0</v>
      </c>
    </row>
    <row r="266" spans="1:18" ht="15" customHeight="1" x14ac:dyDescent="0.3">
      <c r="A266" s="12">
        <f>IF(IF(SelectedScope="All India",TRUE,'RAW_AR_CONTENT'!$B265=SelectedScope),'RAW_AR_CONTENT'!A265,"")</f>
        <v>262</v>
      </c>
      <c r="B266" s="12" t="str">
        <f>IF(IF(SelectedScope="All India",TRUE,'RAW_AR_CONTENT'!$B265=SelectedScope),'RAW_AR_CONTENT'!B265,"")</f>
        <v>Ladakh</v>
      </c>
      <c r="C266" s="12" t="str">
        <f>IF(IF(SelectedScope="All India",TRUE,'RAW_AR_CONTENT'!$B265=SelectedScope),'RAW_AR_CONTENT'!C265,"")</f>
        <v>History</v>
      </c>
      <c r="D266" s="12" t="str">
        <f>IF(IF(SelectedScope="All India",TRUE,'RAW_AR_CONTENT'!$B265=SelectedScope),'RAW_AR_CONTENT'!D265,"")</f>
        <v>Class 10</v>
      </c>
      <c r="E266" s="12" t="str">
        <f>IF(IF(SelectedScope="All India",TRUE,'RAW_AR_CONTENT'!$B265=SelectedScope),'RAW_AR_CONTENT'!E265,"")</f>
        <v>Mughal Empire AR</v>
      </c>
      <c r="F266" s="12" t="str">
        <f>IF(IF(SelectedScope="All India",TRUE,'RAW_AR_CONTENT'!$B265=SelectedScope),'RAW_AR_CONTENT'!F265,"")</f>
        <v>Basic 3D</v>
      </c>
      <c r="G266" s="12" t="str">
        <f>IF(IF(SelectedScope="All India",TRUE,'RAW_AR_CONTENT'!$B265=SelectedScope),'RAW_AR_CONTENT'!G265,"")</f>
        <v>Active</v>
      </c>
      <c r="H266" s="12">
        <f>IF(IF(SelectedScope="All India",TRUE,'RAW_AR_CONTENT'!$B265=SelectedScope),'RAW_AR_CONTENT'!H265,"")</f>
        <v>0</v>
      </c>
      <c r="I266" s="12">
        <f>IF(IF(SelectedScope="All India",TRUE,'RAW_AR_CONTENT'!$B265=SelectedScope),'RAW_AR_CONTENT'!I265,"")</f>
        <v>0</v>
      </c>
      <c r="J266" s="12">
        <f>IF(IF(SelectedScope="All India",TRUE,'RAW_AR_CONTENT'!$B265=SelectedScope),'RAW_AR_CONTENT'!J265,"")</f>
        <v>0</v>
      </c>
      <c r="K266" s="12">
        <f>IF(IF(SelectedScope="All India",TRUE,'RAW_AR_CONTENT'!$B265=SelectedScope),'RAW_AR_CONTENT'!K265,"")</f>
        <v>0</v>
      </c>
      <c r="L266" s="12">
        <f>IF(IF(SelectedScope="All India",TRUE,'RAW_AR_CONTENT'!$B265=SelectedScope),'RAW_AR_CONTENT'!L265,"")</f>
        <v>0</v>
      </c>
      <c r="M266" s="12">
        <f>IF(IF(SelectedScope="All India",TRUE,'RAW_AR_CONTENT'!$B265=SelectedScope),'RAW_AR_CONTENT'!M265,"")</f>
        <v>0</v>
      </c>
      <c r="N266" s="12">
        <f>IF(IF(SelectedScope="All India",TRUE,'RAW_AR_CONTENT'!$B265=SelectedScope),'RAW_AR_CONTENT'!N265,"")</f>
        <v>0</v>
      </c>
      <c r="O266" s="12">
        <f>IF(IF(SelectedScope="All India",TRUE,'RAW_AR_CONTENT'!$B265=SelectedScope),'RAW_AR_CONTENT'!O265,"")</f>
        <v>0</v>
      </c>
      <c r="P266" s="12">
        <f>IF(IF(SelectedScope="All India",TRUE,'RAW_AR_CONTENT'!$B265=SelectedScope),'RAW_AR_CONTENT'!P265,"")</f>
        <v>0</v>
      </c>
      <c r="Q266" s="12">
        <f>IF(IF(SelectedScope="All India",TRUE,'RAW_AR_CONTENT'!$B265=SelectedScope),'RAW_AR_CONTENT'!Q265,"")</f>
        <v>0</v>
      </c>
      <c r="R266" s="12">
        <f>IF(IF(SelectedScope="All India",TRUE,'RAW_AR_CONTENT'!$B265=SelectedScope),'RAW_AR_CONTENT'!R265,"")</f>
        <v>0</v>
      </c>
    </row>
    <row r="267" spans="1:18" ht="15" customHeight="1" x14ac:dyDescent="0.3">
      <c r="A267" s="9">
        <f>IF(IF(SelectedScope="All India",TRUE,'RAW_AR_CONTENT'!$B266=SelectedScope),'RAW_AR_CONTENT'!A266,"")</f>
        <v>263</v>
      </c>
      <c r="B267" s="9" t="str">
        <f>IF(IF(SelectedScope="All India",TRUE,'RAW_AR_CONTENT'!$B266=SelectedScope),'RAW_AR_CONTENT'!B266,"")</f>
        <v>Ladakh</v>
      </c>
      <c r="C267" s="9" t="str">
        <f>IF(IF(SelectedScope="All India",TRUE,'RAW_AR_CONTENT'!$B266=SelectedScope),'RAW_AR_CONTENT'!C266,"")</f>
        <v>Geography</v>
      </c>
      <c r="D267" s="9" t="str">
        <f>IF(IF(SelectedScope="All India",TRUE,'RAW_AR_CONTENT'!$B266=SelectedScope),'RAW_AR_CONTENT'!D266,"")</f>
        <v>Class 6</v>
      </c>
      <c r="E267" s="9" t="str">
        <f>IF(IF(SelectedScope="All India",TRUE,'RAW_AR_CONTENT'!$B266=SelectedScope),'RAW_AR_CONTENT'!E266,"")</f>
        <v>Water Cycle Simulation</v>
      </c>
      <c r="F267" s="9" t="str">
        <f>IF(IF(SelectedScope="All India",TRUE,'RAW_AR_CONTENT'!$B266=SelectedScope),'RAW_AR_CONTENT'!F266,"")</f>
        <v>Animated</v>
      </c>
      <c r="G267" s="9" t="str">
        <f>IF(IF(SelectedScope="All India",TRUE,'RAW_AR_CONTENT'!$B266=SelectedScope),'RAW_AR_CONTENT'!G266,"")</f>
        <v>Active</v>
      </c>
      <c r="H267" s="9">
        <f>IF(IF(SelectedScope="All India",TRUE,'RAW_AR_CONTENT'!$B266=SelectedScope),'RAW_AR_CONTENT'!H266,"")</f>
        <v>0</v>
      </c>
      <c r="I267" s="9">
        <f>IF(IF(SelectedScope="All India",TRUE,'RAW_AR_CONTENT'!$B266=SelectedScope),'RAW_AR_CONTENT'!I266,"")</f>
        <v>0</v>
      </c>
      <c r="J267" s="9">
        <f>IF(IF(SelectedScope="All India",TRUE,'RAW_AR_CONTENT'!$B266=SelectedScope),'RAW_AR_CONTENT'!J266,"")</f>
        <v>0</v>
      </c>
      <c r="K267" s="9">
        <f>IF(IF(SelectedScope="All India",TRUE,'RAW_AR_CONTENT'!$B266=SelectedScope),'RAW_AR_CONTENT'!K266,"")</f>
        <v>0</v>
      </c>
      <c r="L267" s="9">
        <f>IF(IF(SelectedScope="All India",TRUE,'RAW_AR_CONTENT'!$B266=SelectedScope),'RAW_AR_CONTENT'!L266,"")</f>
        <v>0</v>
      </c>
      <c r="M267" s="9">
        <f>IF(IF(SelectedScope="All India",TRUE,'RAW_AR_CONTENT'!$B266=SelectedScope),'RAW_AR_CONTENT'!M266,"")</f>
        <v>0</v>
      </c>
      <c r="N267" s="9">
        <f>IF(IF(SelectedScope="All India",TRUE,'RAW_AR_CONTENT'!$B266=SelectedScope),'RAW_AR_CONTENT'!N266,"")</f>
        <v>0</v>
      </c>
      <c r="O267" s="9">
        <f>IF(IF(SelectedScope="All India",TRUE,'RAW_AR_CONTENT'!$B266=SelectedScope),'RAW_AR_CONTENT'!O266,"")</f>
        <v>0</v>
      </c>
      <c r="P267" s="9">
        <f>IF(IF(SelectedScope="All India",TRUE,'RAW_AR_CONTENT'!$B266=SelectedScope),'RAW_AR_CONTENT'!P266,"")</f>
        <v>0</v>
      </c>
      <c r="Q267" s="9">
        <f>IF(IF(SelectedScope="All India",TRUE,'RAW_AR_CONTENT'!$B266=SelectedScope),'RAW_AR_CONTENT'!Q266,"")</f>
        <v>0</v>
      </c>
      <c r="R267" s="9">
        <f>IF(IF(SelectedScope="All India",TRUE,'RAW_AR_CONTENT'!$B266=SelectedScope),'RAW_AR_CONTENT'!R266,"")</f>
        <v>0</v>
      </c>
    </row>
    <row r="268" spans="1:18" ht="15" customHeight="1" x14ac:dyDescent="0.3">
      <c r="A268" s="12">
        <f>IF(IF(SelectedScope="All India",TRUE,'RAW_AR_CONTENT'!$B267=SelectedScope),'RAW_AR_CONTENT'!A267,"")</f>
        <v>264</v>
      </c>
      <c r="B268" s="12" t="str">
        <f>IF(IF(SelectedScope="All India",TRUE,'RAW_AR_CONTENT'!$B267=SelectedScope),'RAW_AR_CONTENT'!B267,"")</f>
        <v>Ladakh</v>
      </c>
      <c r="C268" s="12" t="str">
        <f>IF(IF(SelectedScope="All India",TRUE,'RAW_AR_CONTENT'!$B267=SelectedScope),'RAW_AR_CONTENT'!C267,"")</f>
        <v>Biology</v>
      </c>
      <c r="D268" s="12" t="str">
        <f>IF(IF(SelectedScope="All India",TRUE,'RAW_AR_CONTENT'!$B267=SelectedScope),'RAW_AR_CONTENT'!D267,"")</f>
        <v>Class 11</v>
      </c>
      <c r="E268" s="12" t="str">
        <f>IF(IF(SelectedScope="All India",TRUE,'RAW_AR_CONTENT'!$B267=SelectedScope),'RAW_AR_CONTENT'!E267,"")</f>
        <v>Human Anatomy AR</v>
      </c>
      <c r="F268" s="12" t="str">
        <f>IF(IF(SelectedScope="All India",TRUE,'RAW_AR_CONTENT'!$B267=SelectedScope),'RAW_AR_CONTENT'!F267,"")</f>
        <v>Fully Immersive</v>
      </c>
      <c r="G268" s="12" t="str">
        <f>IF(IF(SelectedScope="All India",TRUE,'RAW_AR_CONTENT'!$B267=SelectedScope),'RAW_AR_CONTENT'!G267,"")</f>
        <v>Active</v>
      </c>
      <c r="H268" s="12">
        <f>IF(IF(SelectedScope="All India",TRUE,'RAW_AR_CONTENT'!$B267=SelectedScope),'RAW_AR_CONTENT'!H267,"")</f>
        <v>0</v>
      </c>
      <c r="I268" s="12">
        <f>IF(IF(SelectedScope="All India",TRUE,'RAW_AR_CONTENT'!$B267=SelectedScope),'RAW_AR_CONTENT'!I267,"")</f>
        <v>0</v>
      </c>
      <c r="J268" s="12">
        <f>IF(IF(SelectedScope="All India",TRUE,'RAW_AR_CONTENT'!$B267=SelectedScope),'RAW_AR_CONTENT'!J267,"")</f>
        <v>0</v>
      </c>
      <c r="K268" s="12">
        <f>IF(IF(SelectedScope="All India",TRUE,'RAW_AR_CONTENT'!$B267=SelectedScope),'RAW_AR_CONTENT'!K267,"")</f>
        <v>0</v>
      </c>
      <c r="L268" s="12">
        <f>IF(IF(SelectedScope="All India",TRUE,'RAW_AR_CONTENT'!$B267=SelectedScope),'RAW_AR_CONTENT'!L267,"")</f>
        <v>0</v>
      </c>
      <c r="M268" s="12">
        <f>IF(IF(SelectedScope="All India",TRUE,'RAW_AR_CONTENT'!$B267=SelectedScope),'RAW_AR_CONTENT'!M267,"")</f>
        <v>0</v>
      </c>
      <c r="N268" s="12">
        <f>IF(IF(SelectedScope="All India",TRUE,'RAW_AR_CONTENT'!$B267=SelectedScope),'RAW_AR_CONTENT'!N267,"")</f>
        <v>0</v>
      </c>
      <c r="O268" s="12">
        <f>IF(IF(SelectedScope="All India",TRUE,'RAW_AR_CONTENT'!$B267=SelectedScope),'RAW_AR_CONTENT'!O267,"")</f>
        <v>0</v>
      </c>
      <c r="P268" s="12">
        <f>IF(IF(SelectedScope="All India",TRUE,'RAW_AR_CONTENT'!$B267=SelectedScope),'RAW_AR_CONTENT'!P267,"")</f>
        <v>0</v>
      </c>
      <c r="Q268" s="12">
        <f>IF(IF(SelectedScope="All India",TRUE,'RAW_AR_CONTENT'!$B267=SelectedScope),'RAW_AR_CONTENT'!Q267,"")</f>
        <v>0</v>
      </c>
      <c r="R268" s="12">
        <f>IF(IF(SelectedScope="All India",TRUE,'RAW_AR_CONTENT'!$B267=SelectedScope),'RAW_AR_CONTENT'!R267,"")</f>
        <v>0</v>
      </c>
    </row>
    <row r="269" spans="1:18" ht="15" customHeight="1" x14ac:dyDescent="0.3">
      <c r="A269" s="9">
        <f>IF(IF(SelectedScope="All India",TRUE,'RAW_AR_CONTENT'!$B268=SelectedScope),'RAW_AR_CONTENT'!A268,"")</f>
        <v>265</v>
      </c>
      <c r="B269" s="9" t="str">
        <f>IF(IF(SelectedScope="All India",TRUE,'RAW_AR_CONTENT'!$B268=SelectedScope),'RAW_AR_CONTENT'!B268,"")</f>
        <v>Ladakh</v>
      </c>
      <c r="C269" s="9" t="str">
        <f>IF(IF(SelectedScope="All India",TRUE,'RAW_AR_CONTENT'!$B268=SelectedScope),'RAW_AR_CONTENT'!C268,"")</f>
        <v>Physics</v>
      </c>
      <c r="D269" s="9" t="str">
        <f>IF(IF(SelectedScope="All India",TRUE,'RAW_AR_CONTENT'!$B268=SelectedScope),'RAW_AR_CONTENT'!D268,"")</f>
        <v>Class 9</v>
      </c>
      <c r="E269" s="9" t="str">
        <f>IF(IF(SelectedScope="All India",TRUE,'RAW_AR_CONTENT'!$B268=SelectedScope),'RAW_AR_CONTENT'!E268,"")</f>
        <v>Laws of Motion</v>
      </c>
      <c r="F269" s="9" t="str">
        <f>IF(IF(SelectedScope="All India",TRUE,'RAW_AR_CONTENT'!$B268=SelectedScope),'RAW_AR_CONTENT'!F268,"")</f>
        <v>Interactive</v>
      </c>
      <c r="G269" s="9" t="str">
        <f>IF(IF(SelectedScope="All India",TRUE,'RAW_AR_CONTENT'!$B268=SelectedScope),'RAW_AR_CONTENT'!G268,"")</f>
        <v>Active</v>
      </c>
      <c r="H269" s="9">
        <f>IF(IF(SelectedScope="All India",TRUE,'RAW_AR_CONTENT'!$B268=SelectedScope),'RAW_AR_CONTENT'!H268,"")</f>
        <v>0</v>
      </c>
      <c r="I269" s="9">
        <f>IF(IF(SelectedScope="All India",TRUE,'RAW_AR_CONTENT'!$B268=SelectedScope),'RAW_AR_CONTENT'!I268,"")</f>
        <v>0</v>
      </c>
      <c r="J269" s="9">
        <f>IF(IF(SelectedScope="All India",TRUE,'RAW_AR_CONTENT'!$B268=SelectedScope),'RAW_AR_CONTENT'!J268,"")</f>
        <v>0</v>
      </c>
      <c r="K269" s="9">
        <f>IF(IF(SelectedScope="All India",TRUE,'RAW_AR_CONTENT'!$B268=SelectedScope),'RAW_AR_CONTENT'!K268,"")</f>
        <v>0</v>
      </c>
      <c r="L269" s="9">
        <f>IF(IF(SelectedScope="All India",TRUE,'RAW_AR_CONTENT'!$B268=SelectedScope),'RAW_AR_CONTENT'!L268,"")</f>
        <v>0</v>
      </c>
      <c r="M269" s="9">
        <f>IF(IF(SelectedScope="All India",TRUE,'RAW_AR_CONTENT'!$B268=SelectedScope),'RAW_AR_CONTENT'!M268,"")</f>
        <v>0</v>
      </c>
      <c r="N269" s="9">
        <f>IF(IF(SelectedScope="All India",TRUE,'RAW_AR_CONTENT'!$B268=SelectedScope),'RAW_AR_CONTENT'!N268,"")</f>
        <v>0</v>
      </c>
      <c r="O269" s="9">
        <f>IF(IF(SelectedScope="All India",TRUE,'RAW_AR_CONTENT'!$B268=SelectedScope),'RAW_AR_CONTENT'!O268,"")</f>
        <v>0</v>
      </c>
      <c r="P269" s="9">
        <f>IF(IF(SelectedScope="All India",TRUE,'RAW_AR_CONTENT'!$B268=SelectedScope),'RAW_AR_CONTENT'!P268,"")</f>
        <v>0</v>
      </c>
      <c r="Q269" s="9">
        <f>IF(IF(SelectedScope="All India",TRUE,'RAW_AR_CONTENT'!$B268=SelectedScope),'RAW_AR_CONTENT'!Q268,"")</f>
        <v>0</v>
      </c>
      <c r="R269" s="9">
        <f>IF(IF(SelectedScope="All India",TRUE,'RAW_AR_CONTENT'!$B268=SelectedScope),'RAW_AR_CONTENT'!R268,"")</f>
        <v>0</v>
      </c>
    </row>
    <row r="270" spans="1:18" ht="15" customHeight="1" x14ac:dyDescent="0.3">
      <c r="A270" s="12">
        <f>IF(IF(SelectedScope="All India",TRUE,'RAW_AR_CONTENT'!$B269=SelectedScope),'RAW_AR_CONTENT'!A269,"")</f>
        <v>266</v>
      </c>
      <c r="B270" s="12" t="str">
        <f>IF(IF(SelectedScope="All India",TRUE,'RAW_AR_CONTENT'!$B269=SelectedScope),'RAW_AR_CONTENT'!B269,"")</f>
        <v>Ladakh</v>
      </c>
      <c r="C270" s="12" t="str">
        <f>IF(IF(SelectedScope="All India",TRUE,'RAW_AR_CONTENT'!$B269=SelectedScope),'RAW_AR_CONTENT'!C269,"")</f>
        <v>Chemistry</v>
      </c>
      <c r="D270" s="12" t="str">
        <f>IF(IF(SelectedScope="All India",TRUE,'RAW_AR_CONTENT'!$B269=SelectedScope),'RAW_AR_CONTENT'!D269,"")</f>
        <v>Class 11</v>
      </c>
      <c r="E270" s="12" t="str">
        <f>IF(IF(SelectedScope="All India",TRUE,'RAW_AR_CONTENT'!$B269=SelectedScope),'RAW_AR_CONTENT'!E269,"")</f>
        <v>Periodic Table 3D</v>
      </c>
      <c r="F270" s="12" t="str">
        <f>IF(IF(SelectedScope="All India",TRUE,'RAW_AR_CONTENT'!$B269=SelectedScope),'RAW_AR_CONTENT'!F269,"")</f>
        <v>Interactive</v>
      </c>
      <c r="G270" s="12" t="str">
        <f>IF(IF(SelectedScope="All India",TRUE,'RAW_AR_CONTENT'!$B269=SelectedScope),'RAW_AR_CONTENT'!G269,"")</f>
        <v>Active</v>
      </c>
      <c r="H270" s="12">
        <f>IF(IF(SelectedScope="All India",TRUE,'RAW_AR_CONTENT'!$B269=SelectedScope),'RAW_AR_CONTENT'!H269,"")</f>
        <v>0</v>
      </c>
      <c r="I270" s="12">
        <f>IF(IF(SelectedScope="All India",TRUE,'RAW_AR_CONTENT'!$B269=SelectedScope),'RAW_AR_CONTENT'!I269,"")</f>
        <v>0</v>
      </c>
      <c r="J270" s="12">
        <f>IF(IF(SelectedScope="All India",TRUE,'RAW_AR_CONTENT'!$B269=SelectedScope),'RAW_AR_CONTENT'!J269,"")</f>
        <v>0</v>
      </c>
      <c r="K270" s="12">
        <f>IF(IF(SelectedScope="All India",TRUE,'RAW_AR_CONTENT'!$B269=SelectedScope),'RAW_AR_CONTENT'!K269,"")</f>
        <v>0</v>
      </c>
      <c r="L270" s="12">
        <f>IF(IF(SelectedScope="All India",TRUE,'RAW_AR_CONTENT'!$B269=SelectedScope),'RAW_AR_CONTENT'!L269,"")</f>
        <v>0</v>
      </c>
      <c r="M270" s="12">
        <f>IF(IF(SelectedScope="All India",TRUE,'RAW_AR_CONTENT'!$B269=SelectedScope),'RAW_AR_CONTENT'!M269,"")</f>
        <v>0</v>
      </c>
      <c r="N270" s="12">
        <f>IF(IF(SelectedScope="All India",TRUE,'RAW_AR_CONTENT'!$B269=SelectedScope),'RAW_AR_CONTENT'!N269,"")</f>
        <v>0</v>
      </c>
      <c r="O270" s="12">
        <f>IF(IF(SelectedScope="All India",TRUE,'RAW_AR_CONTENT'!$B269=SelectedScope),'RAW_AR_CONTENT'!O269,"")</f>
        <v>0</v>
      </c>
      <c r="P270" s="12">
        <f>IF(IF(SelectedScope="All India",TRUE,'RAW_AR_CONTENT'!$B269=SelectedScope),'RAW_AR_CONTENT'!P269,"")</f>
        <v>0</v>
      </c>
      <c r="Q270" s="12">
        <f>IF(IF(SelectedScope="All India",TRUE,'RAW_AR_CONTENT'!$B269=SelectedScope),'RAW_AR_CONTENT'!Q269,"")</f>
        <v>0</v>
      </c>
      <c r="R270" s="12">
        <f>IF(IF(SelectedScope="All India",TRUE,'RAW_AR_CONTENT'!$B269=SelectedScope),'RAW_AR_CONTENT'!R269,"")</f>
        <v>0</v>
      </c>
    </row>
    <row r="271" spans="1:18" ht="15" customHeight="1" x14ac:dyDescent="0.3">
      <c r="A271" s="9">
        <f>IF(IF(SelectedScope="All India",TRUE,'RAW_AR_CONTENT'!$B270=SelectedScope),'RAW_AR_CONTENT'!A270,"")</f>
        <v>267</v>
      </c>
      <c r="B271" s="9" t="str">
        <f>IF(IF(SelectedScope="All India",TRUE,'RAW_AR_CONTENT'!$B270=SelectedScope),'RAW_AR_CONTENT'!B270,"")</f>
        <v>Ladakh</v>
      </c>
      <c r="C271" s="9" t="str">
        <f>IF(IF(SelectedScope="All India",TRUE,'RAW_AR_CONTENT'!$B270=SelectedScope),'RAW_AR_CONTENT'!C270,"")</f>
        <v>Physics</v>
      </c>
      <c r="D271" s="9" t="str">
        <f>IF(IF(SelectedScope="All India",TRUE,'RAW_AR_CONTENT'!$B270=SelectedScope),'RAW_AR_CONTENT'!D270,"")</f>
        <v>Class 10</v>
      </c>
      <c r="E271" s="9" t="str">
        <f>IF(IF(SelectedScope="All India",TRUE,'RAW_AR_CONTENT'!$B270=SelectedScope),'RAW_AR_CONTENT'!E270,"")</f>
        <v>Electricity Circuits</v>
      </c>
      <c r="F271" s="9" t="str">
        <f>IF(IF(SelectedScope="All India",TRUE,'RAW_AR_CONTENT'!$B270=SelectedScope),'RAW_AR_CONTENT'!F270,"")</f>
        <v>Interactive</v>
      </c>
      <c r="G271" s="9" t="str">
        <f>IF(IF(SelectedScope="All India",TRUE,'RAW_AR_CONTENT'!$B270=SelectedScope),'RAW_AR_CONTENT'!G270,"")</f>
        <v>Active</v>
      </c>
      <c r="H271" s="9">
        <f>IF(IF(SelectedScope="All India",TRUE,'RAW_AR_CONTENT'!$B270=SelectedScope),'RAW_AR_CONTENT'!H270,"")</f>
        <v>0</v>
      </c>
      <c r="I271" s="9">
        <f>IF(IF(SelectedScope="All India",TRUE,'RAW_AR_CONTENT'!$B270=SelectedScope),'RAW_AR_CONTENT'!I270,"")</f>
        <v>0</v>
      </c>
      <c r="J271" s="9">
        <f>IF(IF(SelectedScope="All India",TRUE,'RAW_AR_CONTENT'!$B270=SelectedScope),'RAW_AR_CONTENT'!J270,"")</f>
        <v>0</v>
      </c>
      <c r="K271" s="9">
        <f>IF(IF(SelectedScope="All India",TRUE,'RAW_AR_CONTENT'!$B270=SelectedScope),'RAW_AR_CONTENT'!K270,"")</f>
        <v>0</v>
      </c>
      <c r="L271" s="9">
        <f>IF(IF(SelectedScope="All India",TRUE,'RAW_AR_CONTENT'!$B270=SelectedScope),'RAW_AR_CONTENT'!L270,"")</f>
        <v>0</v>
      </c>
      <c r="M271" s="9">
        <f>IF(IF(SelectedScope="All India",TRUE,'RAW_AR_CONTENT'!$B270=SelectedScope),'RAW_AR_CONTENT'!M270,"")</f>
        <v>0</v>
      </c>
      <c r="N271" s="9">
        <f>IF(IF(SelectedScope="All India",TRUE,'RAW_AR_CONTENT'!$B270=SelectedScope),'RAW_AR_CONTENT'!N270,"")</f>
        <v>0</v>
      </c>
      <c r="O271" s="9">
        <f>IF(IF(SelectedScope="All India",TRUE,'RAW_AR_CONTENT'!$B270=SelectedScope),'RAW_AR_CONTENT'!O270,"")</f>
        <v>0</v>
      </c>
      <c r="P271" s="9">
        <f>IF(IF(SelectedScope="All India",TRUE,'RAW_AR_CONTENT'!$B270=SelectedScope),'RAW_AR_CONTENT'!P270,"")</f>
        <v>0</v>
      </c>
      <c r="Q271" s="9">
        <f>IF(IF(SelectedScope="All India",TRUE,'RAW_AR_CONTENT'!$B270=SelectedScope),'RAW_AR_CONTENT'!Q270,"")</f>
        <v>0</v>
      </c>
      <c r="R271" s="9">
        <f>IF(IF(SelectedScope="All India",TRUE,'RAW_AR_CONTENT'!$B270=SelectedScope),'RAW_AR_CONTENT'!R270,"")</f>
        <v>0</v>
      </c>
    </row>
    <row r="272" spans="1:18" ht="15" customHeight="1" x14ac:dyDescent="0.3">
      <c r="A272" s="12">
        <f>IF(IF(SelectedScope="All India",TRUE,'RAW_AR_CONTENT'!$B271=SelectedScope),'RAW_AR_CONTENT'!A271,"")</f>
        <v>268</v>
      </c>
      <c r="B272" s="12" t="str">
        <f>IF(IF(SelectedScope="All India",TRUE,'RAW_AR_CONTENT'!$B271=SelectedScope),'RAW_AR_CONTENT'!B271,"")</f>
        <v>Ladakh</v>
      </c>
      <c r="C272" s="12" t="str">
        <f>IF(IF(SelectedScope="All India",TRUE,'RAW_AR_CONTENT'!$B271=SelectedScope),'RAW_AR_CONTENT'!C271,"")</f>
        <v>Civics</v>
      </c>
      <c r="D272" s="12" t="str">
        <f>IF(IF(SelectedScope="All India",TRUE,'RAW_AR_CONTENT'!$B271=SelectedScope),'RAW_AR_CONTENT'!D271,"")</f>
        <v>Class 9</v>
      </c>
      <c r="E272" s="12" t="str">
        <f>IF(IF(SelectedScope="All India",TRUE,'RAW_AR_CONTENT'!$B271=SelectedScope),'RAW_AR_CONTENT'!E271,"")</f>
        <v>Indian Constitution</v>
      </c>
      <c r="F272" s="12" t="str">
        <f>IF(IF(SelectedScope="All India",TRUE,'RAW_AR_CONTENT'!$B271=SelectedScope),'RAW_AR_CONTENT'!F271,"")</f>
        <v>Basic 3D</v>
      </c>
      <c r="G272" s="12" t="str">
        <f>IF(IF(SelectedScope="All India",TRUE,'RAW_AR_CONTENT'!$B271=SelectedScope),'RAW_AR_CONTENT'!G271,"")</f>
        <v>Active</v>
      </c>
      <c r="H272" s="12">
        <f>IF(IF(SelectedScope="All India",TRUE,'RAW_AR_CONTENT'!$B271=SelectedScope),'RAW_AR_CONTENT'!H271,"")</f>
        <v>0</v>
      </c>
      <c r="I272" s="12">
        <f>IF(IF(SelectedScope="All India",TRUE,'RAW_AR_CONTENT'!$B271=SelectedScope),'RAW_AR_CONTENT'!I271,"")</f>
        <v>0</v>
      </c>
      <c r="J272" s="12">
        <f>IF(IF(SelectedScope="All India",TRUE,'RAW_AR_CONTENT'!$B271=SelectedScope),'RAW_AR_CONTENT'!J271,"")</f>
        <v>0</v>
      </c>
      <c r="K272" s="12">
        <f>IF(IF(SelectedScope="All India",TRUE,'RAW_AR_CONTENT'!$B271=SelectedScope),'RAW_AR_CONTENT'!K271,"")</f>
        <v>0</v>
      </c>
      <c r="L272" s="12">
        <f>IF(IF(SelectedScope="All India",TRUE,'RAW_AR_CONTENT'!$B271=SelectedScope),'RAW_AR_CONTENT'!L271,"")</f>
        <v>0</v>
      </c>
      <c r="M272" s="12">
        <f>IF(IF(SelectedScope="All India",TRUE,'RAW_AR_CONTENT'!$B271=SelectedScope),'RAW_AR_CONTENT'!M271,"")</f>
        <v>0</v>
      </c>
      <c r="N272" s="12">
        <f>IF(IF(SelectedScope="All India",TRUE,'RAW_AR_CONTENT'!$B271=SelectedScope),'RAW_AR_CONTENT'!N271,"")</f>
        <v>0</v>
      </c>
      <c r="O272" s="12">
        <f>IF(IF(SelectedScope="All India",TRUE,'RAW_AR_CONTENT'!$B271=SelectedScope),'RAW_AR_CONTENT'!O271,"")</f>
        <v>0</v>
      </c>
      <c r="P272" s="12">
        <f>IF(IF(SelectedScope="All India",TRUE,'RAW_AR_CONTENT'!$B271=SelectedScope),'RAW_AR_CONTENT'!P271,"")</f>
        <v>0</v>
      </c>
      <c r="Q272" s="12">
        <f>IF(IF(SelectedScope="All India",TRUE,'RAW_AR_CONTENT'!$B271=SelectedScope),'RAW_AR_CONTENT'!Q271,"")</f>
        <v>0</v>
      </c>
      <c r="R272" s="12">
        <f>IF(IF(SelectedScope="All India",TRUE,'RAW_AR_CONTENT'!$B271=SelectedScope),'RAW_AR_CONTENT'!R271,"")</f>
        <v>0</v>
      </c>
    </row>
    <row r="273" spans="1:18" ht="15" customHeight="1" x14ac:dyDescent="0.3">
      <c r="A273" s="9">
        <f>IF(IF(SelectedScope="All India",TRUE,'RAW_AR_CONTENT'!$B272=SelectedScope),'RAW_AR_CONTENT'!A272,"")</f>
        <v>269</v>
      </c>
      <c r="B273" s="9" t="str">
        <f>IF(IF(SelectedScope="All India",TRUE,'RAW_AR_CONTENT'!$B272=SelectedScope),'RAW_AR_CONTENT'!B272,"")</f>
        <v>Ladakh</v>
      </c>
      <c r="C273" s="9" t="str">
        <f>IF(IF(SelectedScope="All India",TRUE,'RAW_AR_CONTENT'!$B272=SelectedScope),'RAW_AR_CONTENT'!C272,"")</f>
        <v>Environmental Science</v>
      </c>
      <c r="D273" s="9" t="str">
        <f>IF(IF(SelectedScope="All India",TRUE,'RAW_AR_CONTENT'!$B272=SelectedScope),'RAW_AR_CONTENT'!D272,"")</f>
        <v>Class 6</v>
      </c>
      <c r="E273" s="9" t="str">
        <f>IF(IF(SelectedScope="All India",TRUE,'RAW_AR_CONTENT'!$B272=SelectedScope),'RAW_AR_CONTENT'!E272,"")</f>
        <v>Food Chain</v>
      </c>
      <c r="F273" s="9" t="str">
        <f>IF(IF(SelectedScope="All India",TRUE,'RAW_AR_CONTENT'!$B272=SelectedScope),'RAW_AR_CONTENT'!F272,"")</f>
        <v>Animated</v>
      </c>
      <c r="G273" s="9" t="str">
        <f>IF(IF(SelectedScope="All India",TRUE,'RAW_AR_CONTENT'!$B272=SelectedScope),'RAW_AR_CONTENT'!G272,"")</f>
        <v>Active</v>
      </c>
      <c r="H273" s="9">
        <f>IF(IF(SelectedScope="All India",TRUE,'RAW_AR_CONTENT'!$B272=SelectedScope),'RAW_AR_CONTENT'!H272,"")</f>
        <v>0</v>
      </c>
      <c r="I273" s="9">
        <f>IF(IF(SelectedScope="All India",TRUE,'RAW_AR_CONTENT'!$B272=SelectedScope),'RAW_AR_CONTENT'!I272,"")</f>
        <v>0</v>
      </c>
      <c r="J273" s="9">
        <f>IF(IF(SelectedScope="All India",TRUE,'RAW_AR_CONTENT'!$B272=SelectedScope),'RAW_AR_CONTENT'!J272,"")</f>
        <v>0</v>
      </c>
      <c r="K273" s="9">
        <f>IF(IF(SelectedScope="All India",TRUE,'RAW_AR_CONTENT'!$B272=SelectedScope),'RAW_AR_CONTENT'!K272,"")</f>
        <v>0</v>
      </c>
      <c r="L273" s="9">
        <f>IF(IF(SelectedScope="All India",TRUE,'RAW_AR_CONTENT'!$B272=SelectedScope),'RAW_AR_CONTENT'!L272,"")</f>
        <v>0</v>
      </c>
      <c r="M273" s="9">
        <f>IF(IF(SelectedScope="All India",TRUE,'RAW_AR_CONTENT'!$B272=SelectedScope),'RAW_AR_CONTENT'!M272,"")</f>
        <v>0</v>
      </c>
      <c r="N273" s="9">
        <f>IF(IF(SelectedScope="All India",TRUE,'RAW_AR_CONTENT'!$B272=SelectedScope),'RAW_AR_CONTENT'!N272,"")</f>
        <v>0</v>
      </c>
      <c r="O273" s="9">
        <f>IF(IF(SelectedScope="All India",TRUE,'RAW_AR_CONTENT'!$B272=SelectedScope),'RAW_AR_CONTENT'!O272,"")</f>
        <v>0</v>
      </c>
      <c r="P273" s="9">
        <f>IF(IF(SelectedScope="All India",TRUE,'RAW_AR_CONTENT'!$B272=SelectedScope),'RAW_AR_CONTENT'!P272,"")</f>
        <v>0</v>
      </c>
      <c r="Q273" s="9">
        <f>IF(IF(SelectedScope="All India",TRUE,'RAW_AR_CONTENT'!$B272=SelectedScope),'RAW_AR_CONTENT'!Q272,"")</f>
        <v>0</v>
      </c>
      <c r="R273" s="9">
        <f>IF(IF(SelectedScope="All India",TRUE,'RAW_AR_CONTENT'!$B272=SelectedScope),'RAW_AR_CONTENT'!R272,"")</f>
        <v>0</v>
      </c>
    </row>
    <row r="274" spans="1:18" ht="15" customHeight="1" x14ac:dyDescent="0.3">
      <c r="A274" s="12">
        <f>IF(IF(SelectedScope="All India",TRUE,'RAW_AR_CONTENT'!$B273=SelectedScope),'RAW_AR_CONTENT'!A273,"")</f>
        <v>270</v>
      </c>
      <c r="B274" s="12" t="str">
        <f>IF(IF(SelectedScope="All India",TRUE,'RAW_AR_CONTENT'!$B273=SelectedScope),'RAW_AR_CONTENT'!B273,"")</f>
        <v>Ladakh</v>
      </c>
      <c r="C274" s="12" t="str">
        <f>IF(IF(SelectedScope="All India",TRUE,'RAW_AR_CONTENT'!$B273=SelectedScope),'RAW_AR_CONTENT'!C273,"")</f>
        <v>Mathematics</v>
      </c>
      <c r="D274" s="12" t="str">
        <f>IF(IF(SelectedScope="All India",TRUE,'RAW_AR_CONTENT'!$B273=SelectedScope),'RAW_AR_CONTENT'!D273,"")</f>
        <v>Class 10</v>
      </c>
      <c r="E274" s="12" t="str">
        <f>IF(IF(SelectedScope="All India",TRUE,'RAW_AR_CONTENT'!$B273=SelectedScope),'RAW_AR_CONTENT'!E273,"")</f>
        <v>Quadratic Equations</v>
      </c>
      <c r="F274" s="12" t="str">
        <f>IF(IF(SelectedScope="All India",TRUE,'RAW_AR_CONTENT'!$B273=SelectedScope),'RAW_AR_CONTENT'!F273,"")</f>
        <v>Animated</v>
      </c>
      <c r="G274" s="12" t="str">
        <f>IF(IF(SelectedScope="All India",TRUE,'RAW_AR_CONTENT'!$B273=SelectedScope),'RAW_AR_CONTENT'!G273,"")</f>
        <v>Active</v>
      </c>
      <c r="H274" s="12">
        <f>IF(IF(SelectedScope="All India",TRUE,'RAW_AR_CONTENT'!$B273=SelectedScope),'RAW_AR_CONTENT'!H273,"")</f>
        <v>0</v>
      </c>
      <c r="I274" s="12">
        <f>IF(IF(SelectedScope="All India",TRUE,'RAW_AR_CONTENT'!$B273=SelectedScope),'RAW_AR_CONTENT'!I273,"")</f>
        <v>0</v>
      </c>
      <c r="J274" s="12">
        <f>IF(IF(SelectedScope="All India",TRUE,'RAW_AR_CONTENT'!$B273=SelectedScope),'RAW_AR_CONTENT'!J273,"")</f>
        <v>0</v>
      </c>
      <c r="K274" s="12">
        <f>IF(IF(SelectedScope="All India",TRUE,'RAW_AR_CONTENT'!$B273=SelectedScope),'RAW_AR_CONTENT'!K273,"")</f>
        <v>0</v>
      </c>
      <c r="L274" s="12">
        <f>IF(IF(SelectedScope="All India",TRUE,'RAW_AR_CONTENT'!$B273=SelectedScope),'RAW_AR_CONTENT'!L273,"")</f>
        <v>0</v>
      </c>
      <c r="M274" s="12">
        <f>IF(IF(SelectedScope="All India",TRUE,'RAW_AR_CONTENT'!$B273=SelectedScope),'RAW_AR_CONTENT'!M273,"")</f>
        <v>0</v>
      </c>
      <c r="N274" s="12">
        <f>IF(IF(SelectedScope="All India",TRUE,'RAW_AR_CONTENT'!$B273=SelectedScope),'RAW_AR_CONTENT'!N273,"")</f>
        <v>0</v>
      </c>
      <c r="O274" s="12">
        <f>IF(IF(SelectedScope="All India",TRUE,'RAW_AR_CONTENT'!$B273=SelectedScope),'RAW_AR_CONTENT'!O273,"")</f>
        <v>0</v>
      </c>
      <c r="P274" s="12">
        <f>IF(IF(SelectedScope="All India",TRUE,'RAW_AR_CONTENT'!$B273=SelectedScope),'RAW_AR_CONTENT'!P273,"")</f>
        <v>0</v>
      </c>
      <c r="Q274" s="12">
        <f>IF(IF(SelectedScope="All India",TRUE,'RAW_AR_CONTENT'!$B273=SelectedScope),'RAW_AR_CONTENT'!Q273,"")</f>
        <v>0</v>
      </c>
      <c r="R274" s="12">
        <f>IF(IF(SelectedScope="All India",TRUE,'RAW_AR_CONTENT'!$B273=SelectedScope),'RAW_AR_CONTENT'!R273,"")</f>
        <v>0</v>
      </c>
    </row>
    <row r="275" spans="1:18" ht="15" customHeight="1" x14ac:dyDescent="0.3">
      <c r="A275" s="9">
        <f>IF(IF(SelectedScope="All India",TRUE,'RAW_AR_CONTENT'!$B274=SelectedScope),'RAW_AR_CONTENT'!A274,"")</f>
        <v>271</v>
      </c>
      <c r="B275" s="9" t="str">
        <f>IF(IF(SelectedScope="All India",TRUE,'RAW_AR_CONTENT'!$B274=SelectedScope),'RAW_AR_CONTENT'!B274,"")</f>
        <v>Lakshadweep</v>
      </c>
      <c r="C275" s="9" t="str">
        <f>IF(IF(SelectedScope="All India",TRUE,'RAW_AR_CONTENT'!$B274=SelectedScope),'RAW_AR_CONTENT'!C274,"")</f>
        <v>Science</v>
      </c>
      <c r="D275" s="9" t="str">
        <f>IF(IF(SelectedScope="All India",TRUE,'RAW_AR_CONTENT'!$B274=SelectedScope),'RAW_AR_CONTENT'!D274,"")</f>
        <v>Class 8</v>
      </c>
      <c r="E275" s="9" t="str">
        <f>IF(IF(SelectedScope="All India",TRUE,'RAW_AR_CONTENT'!$B274=SelectedScope),'RAW_AR_CONTENT'!E274,"")</f>
        <v>Solar System 3D</v>
      </c>
      <c r="F275" s="9" t="str">
        <f>IF(IF(SelectedScope="All India",TRUE,'RAW_AR_CONTENT'!$B274=SelectedScope),'RAW_AR_CONTENT'!F274,"")</f>
        <v>Animated</v>
      </c>
      <c r="G275" s="9" t="str">
        <f>IF(IF(SelectedScope="All India",TRUE,'RAW_AR_CONTENT'!$B274=SelectedScope),'RAW_AR_CONTENT'!G274,"")</f>
        <v>Active</v>
      </c>
      <c r="H275" s="9">
        <f>IF(IF(SelectedScope="All India",TRUE,'RAW_AR_CONTENT'!$B274=SelectedScope),'RAW_AR_CONTENT'!H274,"")</f>
        <v>0</v>
      </c>
      <c r="I275" s="9">
        <f>IF(IF(SelectedScope="All India",TRUE,'RAW_AR_CONTENT'!$B274=SelectedScope),'RAW_AR_CONTENT'!I274,"")</f>
        <v>0</v>
      </c>
      <c r="J275" s="9">
        <f>IF(IF(SelectedScope="All India",TRUE,'RAW_AR_CONTENT'!$B274=SelectedScope),'RAW_AR_CONTENT'!J274,"")</f>
        <v>0</v>
      </c>
      <c r="K275" s="9">
        <f>IF(IF(SelectedScope="All India",TRUE,'RAW_AR_CONTENT'!$B274=SelectedScope),'RAW_AR_CONTENT'!K274,"")</f>
        <v>0</v>
      </c>
      <c r="L275" s="9">
        <f>IF(IF(SelectedScope="All India",TRUE,'RAW_AR_CONTENT'!$B274=SelectedScope),'RAW_AR_CONTENT'!L274,"")</f>
        <v>0</v>
      </c>
      <c r="M275" s="9">
        <f>IF(IF(SelectedScope="All India",TRUE,'RAW_AR_CONTENT'!$B274=SelectedScope),'RAW_AR_CONTENT'!M274,"")</f>
        <v>0</v>
      </c>
      <c r="N275" s="9">
        <f>IF(IF(SelectedScope="All India",TRUE,'RAW_AR_CONTENT'!$B274=SelectedScope),'RAW_AR_CONTENT'!N274,"")</f>
        <v>0</v>
      </c>
      <c r="O275" s="9">
        <f>IF(IF(SelectedScope="All India",TRUE,'RAW_AR_CONTENT'!$B274=SelectedScope),'RAW_AR_CONTENT'!O274,"")</f>
        <v>0</v>
      </c>
      <c r="P275" s="9">
        <f>IF(IF(SelectedScope="All India",TRUE,'RAW_AR_CONTENT'!$B274=SelectedScope),'RAW_AR_CONTENT'!P274,"")</f>
        <v>0</v>
      </c>
      <c r="Q275" s="9">
        <f>IF(IF(SelectedScope="All India",TRUE,'RAW_AR_CONTENT'!$B274=SelectedScope),'RAW_AR_CONTENT'!Q274,"")</f>
        <v>0</v>
      </c>
      <c r="R275" s="9">
        <f>IF(IF(SelectedScope="All India",TRUE,'RAW_AR_CONTENT'!$B274=SelectedScope),'RAW_AR_CONTENT'!R274,"")</f>
        <v>0</v>
      </c>
    </row>
    <row r="276" spans="1:18" ht="15" customHeight="1" x14ac:dyDescent="0.3">
      <c r="A276" s="12">
        <f>IF(IF(SelectedScope="All India",TRUE,'RAW_AR_CONTENT'!$B275=SelectedScope),'RAW_AR_CONTENT'!A275,"")</f>
        <v>272</v>
      </c>
      <c r="B276" s="12" t="str">
        <f>IF(IF(SelectedScope="All India",TRUE,'RAW_AR_CONTENT'!$B275=SelectedScope),'RAW_AR_CONTENT'!B275,"")</f>
        <v>Lakshadweep</v>
      </c>
      <c r="C276" s="12" t="str">
        <f>IF(IF(SelectedScope="All India",TRUE,'RAW_AR_CONTENT'!$B275=SelectedScope),'RAW_AR_CONTENT'!C275,"")</f>
        <v>Biology</v>
      </c>
      <c r="D276" s="12" t="str">
        <f>IF(IF(SelectedScope="All India",TRUE,'RAW_AR_CONTENT'!$B275=SelectedScope),'RAW_AR_CONTENT'!D275,"")</f>
        <v>Class 9</v>
      </c>
      <c r="E276" s="12" t="str">
        <f>IF(IF(SelectedScope="All India",TRUE,'RAW_AR_CONTENT'!$B275=SelectedScope),'RAW_AR_CONTENT'!E275,"")</f>
        <v>Cell Division</v>
      </c>
      <c r="F276" s="12" t="str">
        <f>IF(IF(SelectedScope="All India",TRUE,'RAW_AR_CONTENT'!$B275=SelectedScope),'RAW_AR_CONTENT'!F275,"")</f>
        <v>Interactive</v>
      </c>
      <c r="G276" s="12" t="str">
        <f>IF(IF(SelectedScope="All India",TRUE,'RAW_AR_CONTENT'!$B275=SelectedScope),'RAW_AR_CONTENT'!G275,"")</f>
        <v>Active</v>
      </c>
      <c r="H276" s="12">
        <f>IF(IF(SelectedScope="All India",TRUE,'RAW_AR_CONTENT'!$B275=SelectedScope),'RAW_AR_CONTENT'!H275,"")</f>
        <v>0</v>
      </c>
      <c r="I276" s="12">
        <f>IF(IF(SelectedScope="All India",TRUE,'RAW_AR_CONTENT'!$B275=SelectedScope),'RAW_AR_CONTENT'!I275,"")</f>
        <v>0</v>
      </c>
      <c r="J276" s="12">
        <f>IF(IF(SelectedScope="All India",TRUE,'RAW_AR_CONTENT'!$B275=SelectedScope),'RAW_AR_CONTENT'!J275,"")</f>
        <v>0</v>
      </c>
      <c r="K276" s="12">
        <f>IF(IF(SelectedScope="All India",TRUE,'RAW_AR_CONTENT'!$B275=SelectedScope),'RAW_AR_CONTENT'!K275,"")</f>
        <v>0</v>
      </c>
      <c r="L276" s="12">
        <f>IF(IF(SelectedScope="All India",TRUE,'RAW_AR_CONTENT'!$B275=SelectedScope),'RAW_AR_CONTENT'!L275,"")</f>
        <v>0</v>
      </c>
      <c r="M276" s="12">
        <f>IF(IF(SelectedScope="All India",TRUE,'RAW_AR_CONTENT'!$B275=SelectedScope),'RAW_AR_CONTENT'!M275,"")</f>
        <v>0</v>
      </c>
      <c r="N276" s="12">
        <f>IF(IF(SelectedScope="All India",TRUE,'RAW_AR_CONTENT'!$B275=SelectedScope),'RAW_AR_CONTENT'!N275,"")</f>
        <v>0</v>
      </c>
      <c r="O276" s="12">
        <f>IF(IF(SelectedScope="All India",TRUE,'RAW_AR_CONTENT'!$B275=SelectedScope),'RAW_AR_CONTENT'!O275,"")</f>
        <v>0</v>
      </c>
      <c r="P276" s="12">
        <f>IF(IF(SelectedScope="All India",TRUE,'RAW_AR_CONTENT'!$B275=SelectedScope),'RAW_AR_CONTENT'!P275,"")</f>
        <v>0</v>
      </c>
      <c r="Q276" s="12">
        <f>IF(IF(SelectedScope="All India",TRUE,'RAW_AR_CONTENT'!$B275=SelectedScope),'RAW_AR_CONTENT'!Q275,"")</f>
        <v>0</v>
      </c>
      <c r="R276" s="12">
        <f>IF(IF(SelectedScope="All India",TRUE,'RAW_AR_CONTENT'!$B275=SelectedScope),'RAW_AR_CONTENT'!R275,"")</f>
        <v>0</v>
      </c>
    </row>
    <row r="277" spans="1:18" ht="15" customHeight="1" x14ac:dyDescent="0.3">
      <c r="A277" s="9">
        <f>IF(IF(SelectedScope="All India",TRUE,'RAW_AR_CONTENT'!$B276=SelectedScope),'RAW_AR_CONTENT'!A276,"")</f>
        <v>273</v>
      </c>
      <c r="B277" s="9" t="str">
        <f>IF(IF(SelectedScope="All India",TRUE,'RAW_AR_CONTENT'!$B276=SelectedScope),'RAW_AR_CONTENT'!B276,"")</f>
        <v>Lakshadweep</v>
      </c>
      <c r="C277" s="9" t="str">
        <f>IF(IF(SelectedScope="All India",TRUE,'RAW_AR_CONTENT'!$B276=SelectedScope),'RAW_AR_CONTENT'!C276,"")</f>
        <v>Chemistry</v>
      </c>
      <c r="D277" s="9" t="str">
        <f>IF(IF(SelectedScope="All India",TRUE,'RAW_AR_CONTENT'!$B276=SelectedScope),'RAW_AR_CONTENT'!D276,"")</f>
        <v>Class 9</v>
      </c>
      <c r="E277" s="9" t="str">
        <f>IF(IF(SelectedScope="All India",TRUE,'RAW_AR_CONTENT'!$B276=SelectedScope),'RAW_AR_CONTENT'!E276,"")</f>
        <v>Atoms and Molecules</v>
      </c>
      <c r="F277" s="9" t="str">
        <f>IF(IF(SelectedScope="All India",TRUE,'RAW_AR_CONTENT'!$B276=SelectedScope),'RAW_AR_CONTENT'!F276,"")</f>
        <v>Animated</v>
      </c>
      <c r="G277" s="9" t="str">
        <f>IF(IF(SelectedScope="All India",TRUE,'RAW_AR_CONTENT'!$B276=SelectedScope),'RAW_AR_CONTENT'!G276,"")</f>
        <v>Active</v>
      </c>
      <c r="H277" s="9">
        <f>IF(IF(SelectedScope="All India",TRUE,'RAW_AR_CONTENT'!$B276=SelectedScope),'RAW_AR_CONTENT'!H276,"")</f>
        <v>0</v>
      </c>
      <c r="I277" s="9">
        <f>IF(IF(SelectedScope="All India",TRUE,'RAW_AR_CONTENT'!$B276=SelectedScope),'RAW_AR_CONTENT'!I276,"")</f>
        <v>0</v>
      </c>
      <c r="J277" s="9">
        <f>IF(IF(SelectedScope="All India",TRUE,'RAW_AR_CONTENT'!$B276=SelectedScope),'RAW_AR_CONTENT'!J276,"")</f>
        <v>0</v>
      </c>
      <c r="K277" s="9">
        <f>IF(IF(SelectedScope="All India",TRUE,'RAW_AR_CONTENT'!$B276=SelectedScope),'RAW_AR_CONTENT'!K276,"")</f>
        <v>0</v>
      </c>
      <c r="L277" s="9">
        <f>IF(IF(SelectedScope="All India",TRUE,'RAW_AR_CONTENT'!$B276=SelectedScope),'RAW_AR_CONTENT'!L276,"")</f>
        <v>0</v>
      </c>
      <c r="M277" s="9">
        <f>IF(IF(SelectedScope="All India",TRUE,'RAW_AR_CONTENT'!$B276=SelectedScope),'RAW_AR_CONTENT'!M276,"")</f>
        <v>0</v>
      </c>
      <c r="N277" s="9">
        <f>IF(IF(SelectedScope="All India",TRUE,'RAW_AR_CONTENT'!$B276=SelectedScope),'RAW_AR_CONTENT'!N276,"")</f>
        <v>0</v>
      </c>
      <c r="O277" s="9">
        <f>IF(IF(SelectedScope="All India",TRUE,'RAW_AR_CONTENT'!$B276=SelectedScope),'RAW_AR_CONTENT'!O276,"")</f>
        <v>0</v>
      </c>
      <c r="P277" s="9">
        <f>IF(IF(SelectedScope="All India",TRUE,'RAW_AR_CONTENT'!$B276=SelectedScope),'RAW_AR_CONTENT'!P276,"")</f>
        <v>0</v>
      </c>
      <c r="Q277" s="9">
        <f>IF(IF(SelectedScope="All India",TRUE,'RAW_AR_CONTENT'!$B276=SelectedScope),'RAW_AR_CONTENT'!Q276,"")</f>
        <v>0</v>
      </c>
      <c r="R277" s="9">
        <f>IF(IF(SelectedScope="All India",TRUE,'RAW_AR_CONTENT'!$B276=SelectedScope),'RAW_AR_CONTENT'!R276,"")</f>
        <v>0</v>
      </c>
    </row>
    <row r="278" spans="1:18" ht="15" customHeight="1" x14ac:dyDescent="0.3">
      <c r="A278" s="12">
        <f>IF(IF(SelectedScope="All India",TRUE,'RAW_AR_CONTENT'!$B277=SelectedScope),'RAW_AR_CONTENT'!A277,"")</f>
        <v>274</v>
      </c>
      <c r="B278" s="12" t="str">
        <f>IF(IF(SelectedScope="All India",TRUE,'RAW_AR_CONTENT'!$B277=SelectedScope),'RAW_AR_CONTENT'!B277,"")</f>
        <v>Lakshadweep</v>
      </c>
      <c r="C278" s="12" t="str">
        <f>IF(IF(SelectedScope="All India",TRUE,'RAW_AR_CONTENT'!$B277=SelectedScope),'RAW_AR_CONTENT'!C277,"")</f>
        <v>Biology</v>
      </c>
      <c r="D278" s="12" t="str">
        <f>IF(IF(SelectedScope="All India",TRUE,'RAW_AR_CONTENT'!$B277=SelectedScope),'RAW_AR_CONTENT'!D277,"")</f>
        <v>Class 7</v>
      </c>
      <c r="E278" s="12" t="str">
        <f>IF(IF(SelectedScope="All India",TRUE,'RAW_AR_CONTENT'!$B277=SelectedScope),'RAW_AR_CONTENT'!E277,"")</f>
        <v>Photosynthesis</v>
      </c>
      <c r="F278" s="12" t="str">
        <f>IF(IF(SelectedScope="All India",TRUE,'RAW_AR_CONTENT'!$B277=SelectedScope),'RAW_AR_CONTENT'!F277,"")</f>
        <v>Basic 3D</v>
      </c>
      <c r="G278" s="12" t="str">
        <f>IF(IF(SelectedScope="All India",TRUE,'RAW_AR_CONTENT'!$B277=SelectedScope),'RAW_AR_CONTENT'!G277,"")</f>
        <v>Active</v>
      </c>
      <c r="H278" s="12">
        <f>IF(IF(SelectedScope="All India",TRUE,'RAW_AR_CONTENT'!$B277=SelectedScope),'RAW_AR_CONTENT'!H277,"")</f>
        <v>0</v>
      </c>
      <c r="I278" s="12">
        <f>IF(IF(SelectedScope="All India",TRUE,'RAW_AR_CONTENT'!$B277=SelectedScope),'RAW_AR_CONTENT'!I277,"")</f>
        <v>0</v>
      </c>
      <c r="J278" s="12">
        <f>IF(IF(SelectedScope="All India",TRUE,'RAW_AR_CONTENT'!$B277=SelectedScope),'RAW_AR_CONTENT'!J277,"")</f>
        <v>0</v>
      </c>
      <c r="K278" s="12">
        <f>IF(IF(SelectedScope="All India",TRUE,'RAW_AR_CONTENT'!$B277=SelectedScope),'RAW_AR_CONTENT'!K277,"")</f>
        <v>0</v>
      </c>
      <c r="L278" s="12">
        <f>IF(IF(SelectedScope="All India",TRUE,'RAW_AR_CONTENT'!$B277=SelectedScope),'RAW_AR_CONTENT'!L277,"")</f>
        <v>0</v>
      </c>
      <c r="M278" s="12">
        <f>IF(IF(SelectedScope="All India",TRUE,'RAW_AR_CONTENT'!$B277=SelectedScope),'RAW_AR_CONTENT'!M277,"")</f>
        <v>0</v>
      </c>
      <c r="N278" s="12">
        <f>IF(IF(SelectedScope="All India",TRUE,'RAW_AR_CONTENT'!$B277=SelectedScope),'RAW_AR_CONTENT'!N277,"")</f>
        <v>0</v>
      </c>
      <c r="O278" s="12">
        <f>IF(IF(SelectedScope="All India",TRUE,'RAW_AR_CONTENT'!$B277=SelectedScope),'RAW_AR_CONTENT'!O277,"")</f>
        <v>0</v>
      </c>
      <c r="P278" s="12">
        <f>IF(IF(SelectedScope="All India",TRUE,'RAW_AR_CONTENT'!$B277=SelectedScope),'RAW_AR_CONTENT'!P277,"")</f>
        <v>0</v>
      </c>
      <c r="Q278" s="12">
        <f>IF(IF(SelectedScope="All India",TRUE,'RAW_AR_CONTENT'!$B277=SelectedScope),'RAW_AR_CONTENT'!Q277,"")</f>
        <v>0</v>
      </c>
      <c r="R278" s="12">
        <f>IF(IF(SelectedScope="All India",TRUE,'RAW_AR_CONTENT'!$B277=SelectedScope),'RAW_AR_CONTENT'!R277,"")</f>
        <v>0</v>
      </c>
    </row>
    <row r="279" spans="1:18" ht="15" customHeight="1" x14ac:dyDescent="0.3">
      <c r="A279" s="9">
        <f>IF(IF(SelectedScope="All India",TRUE,'RAW_AR_CONTENT'!$B278=SelectedScope),'RAW_AR_CONTENT'!A278,"")</f>
        <v>275</v>
      </c>
      <c r="B279" s="9" t="str">
        <f>IF(IF(SelectedScope="All India",TRUE,'RAW_AR_CONTENT'!$B278=SelectedScope),'RAW_AR_CONTENT'!B278,"")</f>
        <v>Lakshadweep</v>
      </c>
      <c r="C279" s="9" t="str">
        <f>IF(IF(SelectedScope="All India",TRUE,'RAW_AR_CONTENT'!$B278=SelectedScope),'RAW_AR_CONTENT'!C278,"")</f>
        <v>Mathematics</v>
      </c>
      <c r="D279" s="9" t="str">
        <f>IF(IF(SelectedScope="All India",TRUE,'RAW_AR_CONTENT'!$B278=SelectedScope),'RAW_AR_CONTENT'!D278,"")</f>
        <v>Class 7</v>
      </c>
      <c r="E279" s="9" t="str">
        <f>IF(IF(SelectedScope="All India",TRUE,'RAW_AR_CONTENT'!$B278=SelectedScope),'RAW_AR_CONTENT'!E278,"")</f>
        <v>Fractions 3D Model</v>
      </c>
      <c r="F279" s="9" t="str">
        <f>IF(IF(SelectedScope="All India",TRUE,'RAW_AR_CONTENT'!$B278=SelectedScope),'RAW_AR_CONTENT'!F278,"")</f>
        <v>Interactive</v>
      </c>
      <c r="G279" s="9" t="str">
        <f>IF(IF(SelectedScope="All India",TRUE,'RAW_AR_CONTENT'!$B278=SelectedScope),'RAW_AR_CONTENT'!G278,"")</f>
        <v>Active</v>
      </c>
      <c r="H279" s="9">
        <f>IF(IF(SelectedScope="All India",TRUE,'RAW_AR_CONTENT'!$B278=SelectedScope),'RAW_AR_CONTENT'!H278,"")</f>
        <v>0</v>
      </c>
      <c r="I279" s="9">
        <f>IF(IF(SelectedScope="All India",TRUE,'RAW_AR_CONTENT'!$B278=SelectedScope),'RAW_AR_CONTENT'!I278,"")</f>
        <v>0</v>
      </c>
      <c r="J279" s="9">
        <f>IF(IF(SelectedScope="All India",TRUE,'RAW_AR_CONTENT'!$B278=SelectedScope),'RAW_AR_CONTENT'!J278,"")</f>
        <v>0</v>
      </c>
      <c r="K279" s="9">
        <f>IF(IF(SelectedScope="All India",TRUE,'RAW_AR_CONTENT'!$B278=SelectedScope),'RAW_AR_CONTENT'!K278,"")</f>
        <v>0</v>
      </c>
      <c r="L279" s="9">
        <f>IF(IF(SelectedScope="All India",TRUE,'RAW_AR_CONTENT'!$B278=SelectedScope),'RAW_AR_CONTENT'!L278,"")</f>
        <v>0</v>
      </c>
      <c r="M279" s="9">
        <f>IF(IF(SelectedScope="All India",TRUE,'RAW_AR_CONTENT'!$B278=SelectedScope),'RAW_AR_CONTENT'!M278,"")</f>
        <v>0</v>
      </c>
      <c r="N279" s="9">
        <f>IF(IF(SelectedScope="All India",TRUE,'RAW_AR_CONTENT'!$B278=SelectedScope),'RAW_AR_CONTENT'!N278,"")</f>
        <v>0</v>
      </c>
      <c r="O279" s="9">
        <f>IF(IF(SelectedScope="All India",TRUE,'RAW_AR_CONTENT'!$B278=SelectedScope),'RAW_AR_CONTENT'!O278,"")</f>
        <v>0</v>
      </c>
      <c r="P279" s="9">
        <f>IF(IF(SelectedScope="All India",TRUE,'RAW_AR_CONTENT'!$B278=SelectedScope),'RAW_AR_CONTENT'!P278,"")</f>
        <v>0</v>
      </c>
      <c r="Q279" s="9">
        <f>IF(IF(SelectedScope="All India",TRUE,'RAW_AR_CONTENT'!$B278=SelectedScope),'RAW_AR_CONTENT'!Q278,"")</f>
        <v>0</v>
      </c>
      <c r="R279" s="9">
        <f>IF(IF(SelectedScope="All India",TRUE,'RAW_AR_CONTENT'!$B278=SelectedScope),'RAW_AR_CONTENT'!R278,"")</f>
        <v>0</v>
      </c>
    </row>
    <row r="280" spans="1:18" ht="15" customHeight="1" x14ac:dyDescent="0.3">
      <c r="A280" s="12">
        <f>IF(IF(SelectedScope="All India",TRUE,'RAW_AR_CONTENT'!$B279=SelectedScope),'RAW_AR_CONTENT'!A279,"")</f>
        <v>276</v>
      </c>
      <c r="B280" s="12" t="str">
        <f>IF(IF(SelectedScope="All India",TRUE,'RAW_AR_CONTENT'!$B279=SelectedScope),'RAW_AR_CONTENT'!B279,"")</f>
        <v>Lakshadweep</v>
      </c>
      <c r="C280" s="12" t="str">
        <f>IF(IF(SelectedScope="All India",TRUE,'RAW_AR_CONTENT'!$B279=SelectedScope),'RAW_AR_CONTENT'!C279,"")</f>
        <v>Mathematics</v>
      </c>
      <c r="D280" s="12" t="str">
        <f>IF(IF(SelectedScope="All India",TRUE,'RAW_AR_CONTENT'!$B279=SelectedScope),'RAW_AR_CONTENT'!D279,"")</f>
        <v>Class 10</v>
      </c>
      <c r="E280" s="12" t="str">
        <f>IF(IF(SelectedScope="All India",TRUE,'RAW_AR_CONTENT'!$B279=SelectedScope),'RAW_AR_CONTENT'!E279,"")</f>
        <v>Trigonometry 3D</v>
      </c>
      <c r="F280" s="12" t="str">
        <f>IF(IF(SelectedScope="All India",TRUE,'RAW_AR_CONTENT'!$B279=SelectedScope),'RAW_AR_CONTENT'!F279,"")</f>
        <v>Animated</v>
      </c>
      <c r="G280" s="12" t="str">
        <f>IF(IF(SelectedScope="All India",TRUE,'RAW_AR_CONTENT'!$B279=SelectedScope),'RAW_AR_CONTENT'!G279,"")</f>
        <v>Active</v>
      </c>
      <c r="H280" s="12">
        <f>IF(IF(SelectedScope="All India",TRUE,'RAW_AR_CONTENT'!$B279=SelectedScope),'RAW_AR_CONTENT'!H279,"")</f>
        <v>0</v>
      </c>
      <c r="I280" s="12">
        <f>IF(IF(SelectedScope="All India",TRUE,'RAW_AR_CONTENT'!$B279=SelectedScope),'RAW_AR_CONTENT'!I279,"")</f>
        <v>0</v>
      </c>
      <c r="J280" s="12">
        <f>IF(IF(SelectedScope="All India",TRUE,'RAW_AR_CONTENT'!$B279=SelectedScope),'RAW_AR_CONTENT'!J279,"")</f>
        <v>0</v>
      </c>
      <c r="K280" s="12">
        <f>IF(IF(SelectedScope="All India",TRUE,'RAW_AR_CONTENT'!$B279=SelectedScope),'RAW_AR_CONTENT'!K279,"")</f>
        <v>0</v>
      </c>
      <c r="L280" s="12">
        <f>IF(IF(SelectedScope="All India",TRUE,'RAW_AR_CONTENT'!$B279=SelectedScope),'RAW_AR_CONTENT'!L279,"")</f>
        <v>0</v>
      </c>
      <c r="M280" s="12">
        <f>IF(IF(SelectedScope="All India",TRUE,'RAW_AR_CONTENT'!$B279=SelectedScope),'RAW_AR_CONTENT'!M279,"")</f>
        <v>0</v>
      </c>
      <c r="N280" s="12">
        <f>IF(IF(SelectedScope="All India",TRUE,'RAW_AR_CONTENT'!$B279=SelectedScope),'RAW_AR_CONTENT'!N279,"")</f>
        <v>0</v>
      </c>
      <c r="O280" s="12">
        <f>IF(IF(SelectedScope="All India",TRUE,'RAW_AR_CONTENT'!$B279=SelectedScope),'RAW_AR_CONTENT'!O279,"")</f>
        <v>0</v>
      </c>
      <c r="P280" s="12">
        <f>IF(IF(SelectedScope="All India",TRUE,'RAW_AR_CONTENT'!$B279=SelectedScope),'RAW_AR_CONTENT'!P279,"")</f>
        <v>0</v>
      </c>
      <c r="Q280" s="12">
        <f>IF(IF(SelectedScope="All India",TRUE,'RAW_AR_CONTENT'!$B279=SelectedScope),'RAW_AR_CONTENT'!Q279,"")</f>
        <v>0</v>
      </c>
      <c r="R280" s="12">
        <f>IF(IF(SelectedScope="All India",TRUE,'RAW_AR_CONTENT'!$B279=SelectedScope),'RAW_AR_CONTENT'!R279,"")</f>
        <v>0</v>
      </c>
    </row>
    <row r="281" spans="1:18" ht="15" customHeight="1" x14ac:dyDescent="0.3">
      <c r="A281" s="9">
        <f>IF(IF(SelectedScope="All India",TRUE,'RAW_AR_CONTENT'!$B280=SelectedScope),'RAW_AR_CONTENT'!A280,"")</f>
        <v>277</v>
      </c>
      <c r="B281" s="9" t="str">
        <f>IF(IF(SelectedScope="All India",TRUE,'RAW_AR_CONTENT'!$B280=SelectedScope),'RAW_AR_CONTENT'!B280,"")</f>
        <v>Lakshadweep</v>
      </c>
      <c r="C281" s="9" t="str">
        <f>IF(IF(SelectedScope="All India",TRUE,'RAW_AR_CONTENT'!$B280=SelectedScope),'RAW_AR_CONTENT'!C280,"")</f>
        <v>History</v>
      </c>
      <c r="D281" s="9" t="str">
        <f>IF(IF(SelectedScope="All India",TRUE,'RAW_AR_CONTENT'!$B280=SelectedScope),'RAW_AR_CONTENT'!D280,"")</f>
        <v>Class 10</v>
      </c>
      <c r="E281" s="9" t="str">
        <f>IF(IF(SelectedScope="All India",TRUE,'RAW_AR_CONTENT'!$B280=SelectedScope),'RAW_AR_CONTENT'!E280,"")</f>
        <v>Mughal Empire AR</v>
      </c>
      <c r="F281" s="9" t="str">
        <f>IF(IF(SelectedScope="All India",TRUE,'RAW_AR_CONTENT'!$B280=SelectedScope),'RAW_AR_CONTENT'!F280,"")</f>
        <v>Basic 3D</v>
      </c>
      <c r="G281" s="9" t="str">
        <f>IF(IF(SelectedScope="All India",TRUE,'RAW_AR_CONTENT'!$B280=SelectedScope),'RAW_AR_CONTENT'!G280,"")</f>
        <v>Active</v>
      </c>
      <c r="H281" s="9">
        <f>IF(IF(SelectedScope="All India",TRUE,'RAW_AR_CONTENT'!$B280=SelectedScope),'RAW_AR_CONTENT'!H280,"")</f>
        <v>0</v>
      </c>
      <c r="I281" s="9">
        <f>IF(IF(SelectedScope="All India",TRUE,'RAW_AR_CONTENT'!$B280=SelectedScope),'RAW_AR_CONTENT'!I280,"")</f>
        <v>0</v>
      </c>
      <c r="J281" s="9">
        <f>IF(IF(SelectedScope="All India",TRUE,'RAW_AR_CONTENT'!$B280=SelectedScope),'RAW_AR_CONTENT'!J280,"")</f>
        <v>0</v>
      </c>
      <c r="K281" s="9">
        <f>IF(IF(SelectedScope="All India",TRUE,'RAW_AR_CONTENT'!$B280=SelectedScope),'RAW_AR_CONTENT'!K280,"")</f>
        <v>0</v>
      </c>
      <c r="L281" s="9">
        <f>IF(IF(SelectedScope="All India",TRUE,'RAW_AR_CONTENT'!$B280=SelectedScope),'RAW_AR_CONTENT'!L280,"")</f>
        <v>0</v>
      </c>
      <c r="M281" s="9">
        <f>IF(IF(SelectedScope="All India",TRUE,'RAW_AR_CONTENT'!$B280=SelectedScope),'RAW_AR_CONTENT'!M280,"")</f>
        <v>0</v>
      </c>
      <c r="N281" s="9">
        <f>IF(IF(SelectedScope="All India",TRUE,'RAW_AR_CONTENT'!$B280=SelectedScope),'RAW_AR_CONTENT'!N280,"")</f>
        <v>0</v>
      </c>
      <c r="O281" s="9">
        <f>IF(IF(SelectedScope="All India",TRUE,'RAW_AR_CONTENT'!$B280=SelectedScope),'RAW_AR_CONTENT'!O280,"")</f>
        <v>0</v>
      </c>
      <c r="P281" s="9">
        <f>IF(IF(SelectedScope="All India",TRUE,'RAW_AR_CONTENT'!$B280=SelectedScope),'RAW_AR_CONTENT'!P280,"")</f>
        <v>0</v>
      </c>
      <c r="Q281" s="9">
        <f>IF(IF(SelectedScope="All India",TRUE,'RAW_AR_CONTENT'!$B280=SelectedScope),'RAW_AR_CONTENT'!Q280,"")</f>
        <v>0</v>
      </c>
      <c r="R281" s="9">
        <f>IF(IF(SelectedScope="All India",TRUE,'RAW_AR_CONTENT'!$B280=SelectedScope),'RAW_AR_CONTENT'!R280,"")</f>
        <v>0</v>
      </c>
    </row>
    <row r="282" spans="1:18" ht="15" customHeight="1" x14ac:dyDescent="0.3">
      <c r="A282" s="12">
        <f>IF(IF(SelectedScope="All India",TRUE,'RAW_AR_CONTENT'!$B281=SelectedScope),'RAW_AR_CONTENT'!A281,"")</f>
        <v>278</v>
      </c>
      <c r="B282" s="12" t="str">
        <f>IF(IF(SelectedScope="All India",TRUE,'RAW_AR_CONTENT'!$B281=SelectedScope),'RAW_AR_CONTENT'!B281,"")</f>
        <v>Lakshadweep</v>
      </c>
      <c r="C282" s="12" t="str">
        <f>IF(IF(SelectedScope="All India",TRUE,'RAW_AR_CONTENT'!$B281=SelectedScope),'RAW_AR_CONTENT'!C281,"")</f>
        <v>Geography</v>
      </c>
      <c r="D282" s="12" t="str">
        <f>IF(IF(SelectedScope="All India",TRUE,'RAW_AR_CONTENT'!$B281=SelectedScope),'RAW_AR_CONTENT'!D281,"")</f>
        <v>Class 6</v>
      </c>
      <c r="E282" s="12" t="str">
        <f>IF(IF(SelectedScope="All India",TRUE,'RAW_AR_CONTENT'!$B281=SelectedScope),'RAW_AR_CONTENT'!E281,"")</f>
        <v>Water Cycle Simulation</v>
      </c>
      <c r="F282" s="12" t="str">
        <f>IF(IF(SelectedScope="All India",TRUE,'RAW_AR_CONTENT'!$B281=SelectedScope),'RAW_AR_CONTENT'!F281,"")</f>
        <v>Animated</v>
      </c>
      <c r="G282" s="12" t="str">
        <f>IF(IF(SelectedScope="All India",TRUE,'RAW_AR_CONTENT'!$B281=SelectedScope),'RAW_AR_CONTENT'!G281,"")</f>
        <v>Active</v>
      </c>
      <c r="H282" s="12">
        <f>IF(IF(SelectedScope="All India",TRUE,'RAW_AR_CONTENT'!$B281=SelectedScope),'RAW_AR_CONTENT'!H281,"")</f>
        <v>0</v>
      </c>
      <c r="I282" s="12">
        <f>IF(IF(SelectedScope="All India",TRUE,'RAW_AR_CONTENT'!$B281=SelectedScope),'RAW_AR_CONTENT'!I281,"")</f>
        <v>0</v>
      </c>
      <c r="J282" s="12">
        <f>IF(IF(SelectedScope="All India",TRUE,'RAW_AR_CONTENT'!$B281=SelectedScope),'RAW_AR_CONTENT'!J281,"")</f>
        <v>0</v>
      </c>
      <c r="K282" s="12">
        <f>IF(IF(SelectedScope="All India",TRUE,'RAW_AR_CONTENT'!$B281=SelectedScope),'RAW_AR_CONTENT'!K281,"")</f>
        <v>0</v>
      </c>
      <c r="L282" s="12">
        <f>IF(IF(SelectedScope="All India",TRUE,'RAW_AR_CONTENT'!$B281=SelectedScope),'RAW_AR_CONTENT'!L281,"")</f>
        <v>0</v>
      </c>
      <c r="M282" s="12">
        <f>IF(IF(SelectedScope="All India",TRUE,'RAW_AR_CONTENT'!$B281=SelectedScope),'RAW_AR_CONTENT'!M281,"")</f>
        <v>0</v>
      </c>
      <c r="N282" s="12">
        <f>IF(IF(SelectedScope="All India",TRUE,'RAW_AR_CONTENT'!$B281=SelectedScope),'RAW_AR_CONTENT'!N281,"")</f>
        <v>0</v>
      </c>
      <c r="O282" s="12">
        <f>IF(IF(SelectedScope="All India",TRUE,'RAW_AR_CONTENT'!$B281=SelectedScope),'RAW_AR_CONTENT'!O281,"")</f>
        <v>0</v>
      </c>
      <c r="P282" s="12">
        <f>IF(IF(SelectedScope="All India",TRUE,'RAW_AR_CONTENT'!$B281=SelectedScope),'RAW_AR_CONTENT'!P281,"")</f>
        <v>0</v>
      </c>
      <c r="Q282" s="12">
        <f>IF(IF(SelectedScope="All India",TRUE,'RAW_AR_CONTENT'!$B281=SelectedScope),'RAW_AR_CONTENT'!Q281,"")</f>
        <v>0</v>
      </c>
      <c r="R282" s="12">
        <f>IF(IF(SelectedScope="All India",TRUE,'RAW_AR_CONTENT'!$B281=SelectedScope),'RAW_AR_CONTENT'!R281,"")</f>
        <v>0</v>
      </c>
    </row>
    <row r="283" spans="1:18" ht="15" customHeight="1" x14ac:dyDescent="0.3">
      <c r="A283" s="9">
        <f>IF(IF(SelectedScope="All India",TRUE,'RAW_AR_CONTENT'!$B282=SelectedScope),'RAW_AR_CONTENT'!A282,"")</f>
        <v>279</v>
      </c>
      <c r="B283" s="9" t="str">
        <f>IF(IF(SelectedScope="All India",TRUE,'RAW_AR_CONTENT'!$B282=SelectedScope),'RAW_AR_CONTENT'!B282,"")</f>
        <v>Lakshadweep</v>
      </c>
      <c r="C283" s="9" t="str">
        <f>IF(IF(SelectedScope="All India",TRUE,'RAW_AR_CONTENT'!$B282=SelectedScope),'RAW_AR_CONTENT'!C282,"")</f>
        <v>Biology</v>
      </c>
      <c r="D283" s="9" t="str">
        <f>IF(IF(SelectedScope="All India",TRUE,'RAW_AR_CONTENT'!$B282=SelectedScope),'RAW_AR_CONTENT'!D282,"")</f>
        <v>Class 11</v>
      </c>
      <c r="E283" s="9" t="str">
        <f>IF(IF(SelectedScope="All India",TRUE,'RAW_AR_CONTENT'!$B282=SelectedScope),'RAW_AR_CONTENT'!E282,"")</f>
        <v>Human Anatomy AR</v>
      </c>
      <c r="F283" s="9" t="str">
        <f>IF(IF(SelectedScope="All India",TRUE,'RAW_AR_CONTENT'!$B282=SelectedScope),'RAW_AR_CONTENT'!F282,"")</f>
        <v>Fully Immersive</v>
      </c>
      <c r="G283" s="9" t="str">
        <f>IF(IF(SelectedScope="All India",TRUE,'RAW_AR_CONTENT'!$B282=SelectedScope),'RAW_AR_CONTENT'!G282,"")</f>
        <v>Active</v>
      </c>
      <c r="H283" s="9">
        <f>IF(IF(SelectedScope="All India",TRUE,'RAW_AR_CONTENT'!$B282=SelectedScope),'RAW_AR_CONTENT'!H282,"")</f>
        <v>0</v>
      </c>
      <c r="I283" s="9">
        <f>IF(IF(SelectedScope="All India",TRUE,'RAW_AR_CONTENT'!$B282=SelectedScope),'RAW_AR_CONTENT'!I282,"")</f>
        <v>0</v>
      </c>
      <c r="J283" s="9">
        <f>IF(IF(SelectedScope="All India",TRUE,'RAW_AR_CONTENT'!$B282=SelectedScope),'RAW_AR_CONTENT'!J282,"")</f>
        <v>0</v>
      </c>
      <c r="K283" s="9">
        <f>IF(IF(SelectedScope="All India",TRUE,'RAW_AR_CONTENT'!$B282=SelectedScope),'RAW_AR_CONTENT'!K282,"")</f>
        <v>0</v>
      </c>
      <c r="L283" s="9">
        <f>IF(IF(SelectedScope="All India",TRUE,'RAW_AR_CONTENT'!$B282=SelectedScope),'RAW_AR_CONTENT'!L282,"")</f>
        <v>0</v>
      </c>
      <c r="M283" s="9">
        <f>IF(IF(SelectedScope="All India",TRUE,'RAW_AR_CONTENT'!$B282=SelectedScope),'RAW_AR_CONTENT'!M282,"")</f>
        <v>0</v>
      </c>
      <c r="N283" s="9">
        <f>IF(IF(SelectedScope="All India",TRUE,'RAW_AR_CONTENT'!$B282=SelectedScope),'RAW_AR_CONTENT'!N282,"")</f>
        <v>0</v>
      </c>
      <c r="O283" s="9">
        <f>IF(IF(SelectedScope="All India",TRUE,'RAW_AR_CONTENT'!$B282=SelectedScope),'RAW_AR_CONTENT'!O282,"")</f>
        <v>0</v>
      </c>
      <c r="P283" s="9">
        <f>IF(IF(SelectedScope="All India",TRUE,'RAW_AR_CONTENT'!$B282=SelectedScope),'RAW_AR_CONTENT'!P282,"")</f>
        <v>0</v>
      </c>
      <c r="Q283" s="9">
        <f>IF(IF(SelectedScope="All India",TRUE,'RAW_AR_CONTENT'!$B282=SelectedScope),'RAW_AR_CONTENT'!Q282,"")</f>
        <v>0</v>
      </c>
      <c r="R283" s="9">
        <f>IF(IF(SelectedScope="All India",TRUE,'RAW_AR_CONTENT'!$B282=SelectedScope),'RAW_AR_CONTENT'!R282,"")</f>
        <v>0</v>
      </c>
    </row>
    <row r="284" spans="1:18" ht="15" customHeight="1" x14ac:dyDescent="0.3">
      <c r="A284" s="12">
        <f>IF(IF(SelectedScope="All India",TRUE,'RAW_AR_CONTENT'!$B283=SelectedScope),'RAW_AR_CONTENT'!A283,"")</f>
        <v>280</v>
      </c>
      <c r="B284" s="12" t="str">
        <f>IF(IF(SelectedScope="All India",TRUE,'RAW_AR_CONTENT'!$B283=SelectedScope),'RAW_AR_CONTENT'!B283,"")</f>
        <v>Lakshadweep</v>
      </c>
      <c r="C284" s="12" t="str">
        <f>IF(IF(SelectedScope="All India",TRUE,'RAW_AR_CONTENT'!$B283=SelectedScope),'RAW_AR_CONTENT'!C283,"")</f>
        <v>Physics</v>
      </c>
      <c r="D284" s="12" t="str">
        <f>IF(IF(SelectedScope="All India",TRUE,'RAW_AR_CONTENT'!$B283=SelectedScope),'RAW_AR_CONTENT'!D283,"")</f>
        <v>Class 9</v>
      </c>
      <c r="E284" s="12" t="str">
        <f>IF(IF(SelectedScope="All India",TRUE,'RAW_AR_CONTENT'!$B283=SelectedScope),'RAW_AR_CONTENT'!E283,"")</f>
        <v>Laws of Motion</v>
      </c>
      <c r="F284" s="12" t="str">
        <f>IF(IF(SelectedScope="All India",TRUE,'RAW_AR_CONTENT'!$B283=SelectedScope),'RAW_AR_CONTENT'!F283,"")</f>
        <v>Interactive</v>
      </c>
      <c r="G284" s="12" t="str">
        <f>IF(IF(SelectedScope="All India",TRUE,'RAW_AR_CONTENT'!$B283=SelectedScope),'RAW_AR_CONTENT'!G283,"")</f>
        <v>Active</v>
      </c>
      <c r="H284" s="12">
        <f>IF(IF(SelectedScope="All India",TRUE,'RAW_AR_CONTENT'!$B283=SelectedScope),'RAW_AR_CONTENT'!H283,"")</f>
        <v>0</v>
      </c>
      <c r="I284" s="12">
        <f>IF(IF(SelectedScope="All India",TRUE,'RAW_AR_CONTENT'!$B283=SelectedScope),'RAW_AR_CONTENT'!I283,"")</f>
        <v>0</v>
      </c>
      <c r="J284" s="12">
        <f>IF(IF(SelectedScope="All India",TRUE,'RAW_AR_CONTENT'!$B283=SelectedScope),'RAW_AR_CONTENT'!J283,"")</f>
        <v>0</v>
      </c>
      <c r="K284" s="12">
        <f>IF(IF(SelectedScope="All India",TRUE,'RAW_AR_CONTENT'!$B283=SelectedScope),'RAW_AR_CONTENT'!K283,"")</f>
        <v>0</v>
      </c>
      <c r="L284" s="12">
        <f>IF(IF(SelectedScope="All India",TRUE,'RAW_AR_CONTENT'!$B283=SelectedScope),'RAW_AR_CONTENT'!L283,"")</f>
        <v>0</v>
      </c>
      <c r="M284" s="12">
        <f>IF(IF(SelectedScope="All India",TRUE,'RAW_AR_CONTENT'!$B283=SelectedScope),'RAW_AR_CONTENT'!M283,"")</f>
        <v>0</v>
      </c>
      <c r="N284" s="12">
        <f>IF(IF(SelectedScope="All India",TRUE,'RAW_AR_CONTENT'!$B283=SelectedScope),'RAW_AR_CONTENT'!N283,"")</f>
        <v>0</v>
      </c>
      <c r="O284" s="12">
        <f>IF(IF(SelectedScope="All India",TRUE,'RAW_AR_CONTENT'!$B283=SelectedScope),'RAW_AR_CONTENT'!O283,"")</f>
        <v>0</v>
      </c>
      <c r="P284" s="12">
        <f>IF(IF(SelectedScope="All India",TRUE,'RAW_AR_CONTENT'!$B283=SelectedScope),'RAW_AR_CONTENT'!P283,"")</f>
        <v>0</v>
      </c>
      <c r="Q284" s="12">
        <f>IF(IF(SelectedScope="All India",TRUE,'RAW_AR_CONTENT'!$B283=SelectedScope),'RAW_AR_CONTENT'!Q283,"")</f>
        <v>0</v>
      </c>
      <c r="R284" s="12">
        <f>IF(IF(SelectedScope="All India",TRUE,'RAW_AR_CONTENT'!$B283=SelectedScope),'RAW_AR_CONTENT'!R283,"")</f>
        <v>0</v>
      </c>
    </row>
    <row r="285" spans="1:18" ht="15" customHeight="1" x14ac:dyDescent="0.3">
      <c r="A285" s="9">
        <f>IF(IF(SelectedScope="All India",TRUE,'RAW_AR_CONTENT'!$B284=SelectedScope),'RAW_AR_CONTENT'!A284,"")</f>
        <v>281</v>
      </c>
      <c r="B285" s="9" t="str">
        <f>IF(IF(SelectedScope="All India",TRUE,'RAW_AR_CONTENT'!$B284=SelectedScope),'RAW_AR_CONTENT'!B284,"")</f>
        <v>Lakshadweep</v>
      </c>
      <c r="C285" s="9" t="str">
        <f>IF(IF(SelectedScope="All India",TRUE,'RAW_AR_CONTENT'!$B284=SelectedScope),'RAW_AR_CONTENT'!C284,"")</f>
        <v>Chemistry</v>
      </c>
      <c r="D285" s="9" t="str">
        <f>IF(IF(SelectedScope="All India",TRUE,'RAW_AR_CONTENT'!$B284=SelectedScope),'RAW_AR_CONTENT'!D284,"")</f>
        <v>Class 11</v>
      </c>
      <c r="E285" s="9" t="str">
        <f>IF(IF(SelectedScope="All India",TRUE,'RAW_AR_CONTENT'!$B284=SelectedScope),'RAW_AR_CONTENT'!E284,"")</f>
        <v>Periodic Table 3D</v>
      </c>
      <c r="F285" s="9" t="str">
        <f>IF(IF(SelectedScope="All India",TRUE,'RAW_AR_CONTENT'!$B284=SelectedScope),'RAW_AR_CONTENT'!F284,"")</f>
        <v>Interactive</v>
      </c>
      <c r="G285" s="9" t="str">
        <f>IF(IF(SelectedScope="All India",TRUE,'RAW_AR_CONTENT'!$B284=SelectedScope),'RAW_AR_CONTENT'!G284,"")</f>
        <v>Active</v>
      </c>
      <c r="H285" s="9">
        <f>IF(IF(SelectedScope="All India",TRUE,'RAW_AR_CONTENT'!$B284=SelectedScope),'RAW_AR_CONTENT'!H284,"")</f>
        <v>0</v>
      </c>
      <c r="I285" s="9">
        <f>IF(IF(SelectedScope="All India",TRUE,'RAW_AR_CONTENT'!$B284=SelectedScope),'RAW_AR_CONTENT'!I284,"")</f>
        <v>0</v>
      </c>
      <c r="J285" s="9">
        <f>IF(IF(SelectedScope="All India",TRUE,'RAW_AR_CONTENT'!$B284=SelectedScope),'RAW_AR_CONTENT'!J284,"")</f>
        <v>0</v>
      </c>
      <c r="K285" s="9">
        <f>IF(IF(SelectedScope="All India",TRUE,'RAW_AR_CONTENT'!$B284=SelectedScope),'RAW_AR_CONTENT'!K284,"")</f>
        <v>0</v>
      </c>
      <c r="L285" s="9">
        <f>IF(IF(SelectedScope="All India",TRUE,'RAW_AR_CONTENT'!$B284=SelectedScope),'RAW_AR_CONTENT'!L284,"")</f>
        <v>0</v>
      </c>
      <c r="M285" s="9">
        <f>IF(IF(SelectedScope="All India",TRUE,'RAW_AR_CONTENT'!$B284=SelectedScope),'RAW_AR_CONTENT'!M284,"")</f>
        <v>0</v>
      </c>
      <c r="N285" s="9">
        <f>IF(IF(SelectedScope="All India",TRUE,'RAW_AR_CONTENT'!$B284=SelectedScope),'RAW_AR_CONTENT'!N284,"")</f>
        <v>0</v>
      </c>
      <c r="O285" s="9">
        <f>IF(IF(SelectedScope="All India",TRUE,'RAW_AR_CONTENT'!$B284=SelectedScope),'RAW_AR_CONTENT'!O284,"")</f>
        <v>0</v>
      </c>
      <c r="P285" s="9">
        <f>IF(IF(SelectedScope="All India",TRUE,'RAW_AR_CONTENT'!$B284=SelectedScope),'RAW_AR_CONTENT'!P284,"")</f>
        <v>0</v>
      </c>
      <c r="Q285" s="9">
        <f>IF(IF(SelectedScope="All India",TRUE,'RAW_AR_CONTENT'!$B284=SelectedScope),'RAW_AR_CONTENT'!Q284,"")</f>
        <v>0</v>
      </c>
      <c r="R285" s="9">
        <f>IF(IF(SelectedScope="All India",TRUE,'RAW_AR_CONTENT'!$B284=SelectedScope),'RAW_AR_CONTENT'!R284,"")</f>
        <v>0</v>
      </c>
    </row>
    <row r="286" spans="1:18" ht="15" customHeight="1" x14ac:dyDescent="0.3">
      <c r="A286" s="12">
        <f>IF(IF(SelectedScope="All India",TRUE,'RAW_AR_CONTENT'!$B285=SelectedScope),'RAW_AR_CONTENT'!A285,"")</f>
        <v>282</v>
      </c>
      <c r="B286" s="12" t="str">
        <f>IF(IF(SelectedScope="All India",TRUE,'RAW_AR_CONTENT'!$B285=SelectedScope),'RAW_AR_CONTENT'!B285,"")</f>
        <v>Lakshadweep</v>
      </c>
      <c r="C286" s="12" t="str">
        <f>IF(IF(SelectedScope="All India",TRUE,'RAW_AR_CONTENT'!$B285=SelectedScope),'RAW_AR_CONTENT'!C285,"")</f>
        <v>Physics</v>
      </c>
      <c r="D286" s="12" t="str">
        <f>IF(IF(SelectedScope="All India",TRUE,'RAW_AR_CONTENT'!$B285=SelectedScope),'RAW_AR_CONTENT'!D285,"")</f>
        <v>Class 10</v>
      </c>
      <c r="E286" s="12" t="str">
        <f>IF(IF(SelectedScope="All India",TRUE,'RAW_AR_CONTENT'!$B285=SelectedScope),'RAW_AR_CONTENT'!E285,"")</f>
        <v>Electricity Circuits</v>
      </c>
      <c r="F286" s="12" t="str">
        <f>IF(IF(SelectedScope="All India",TRUE,'RAW_AR_CONTENT'!$B285=SelectedScope),'RAW_AR_CONTENT'!F285,"")</f>
        <v>Interactive</v>
      </c>
      <c r="G286" s="12" t="str">
        <f>IF(IF(SelectedScope="All India",TRUE,'RAW_AR_CONTENT'!$B285=SelectedScope),'RAW_AR_CONTENT'!G285,"")</f>
        <v>Active</v>
      </c>
      <c r="H286" s="12">
        <f>IF(IF(SelectedScope="All India",TRUE,'RAW_AR_CONTENT'!$B285=SelectedScope),'RAW_AR_CONTENT'!H285,"")</f>
        <v>0</v>
      </c>
      <c r="I286" s="12">
        <f>IF(IF(SelectedScope="All India",TRUE,'RAW_AR_CONTENT'!$B285=SelectedScope),'RAW_AR_CONTENT'!I285,"")</f>
        <v>0</v>
      </c>
      <c r="J286" s="12">
        <f>IF(IF(SelectedScope="All India",TRUE,'RAW_AR_CONTENT'!$B285=SelectedScope),'RAW_AR_CONTENT'!J285,"")</f>
        <v>0</v>
      </c>
      <c r="K286" s="12">
        <f>IF(IF(SelectedScope="All India",TRUE,'RAW_AR_CONTENT'!$B285=SelectedScope),'RAW_AR_CONTENT'!K285,"")</f>
        <v>0</v>
      </c>
      <c r="L286" s="12">
        <f>IF(IF(SelectedScope="All India",TRUE,'RAW_AR_CONTENT'!$B285=SelectedScope),'RAW_AR_CONTENT'!L285,"")</f>
        <v>0</v>
      </c>
      <c r="M286" s="12">
        <f>IF(IF(SelectedScope="All India",TRUE,'RAW_AR_CONTENT'!$B285=SelectedScope),'RAW_AR_CONTENT'!M285,"")</f>
        <v>0</v>
      </c>
      <c r="N286" s="12">
        <f>IF(IF(SelectedScope="All India",TRUE,'RAW_AR_CONTENT'!$B285=SelectedScope),'RAW_AR_CONTENT'!N285,"")</f>
        <v>0</v>
      </c>
      <c r="O286" s="12">
        <f>IF(IF(SelectedScope="All India",TRUE,'RAW_AR_CONTENT'!$B285=SelectedScope),'RAW_AR_CONTENT'!O285,"")</f>
        <v>0</v>
      </c>
      <c r="P286" s="12">
        <f>IF(IF(SelectedScope="All India",TRUE,'RAW_AR_CONTENT'!$B285=SelectedScope),'RAW_AR_CONTENT'!P285,"")</f>
        <v>0</v>
      </c>
      <c r="Q286" s="12">
        <f>IF(IF(SelectedScope="All India",TRUE,'RAW_AR_CONTENT'!$B285=SelectedScope),'RAW_AR_CONTENT'!Q285,"")</f>
        <v>0</v>
      </c>
      <c r="R286" s="12">
        <f>IF(IF(SelectedScope="All India",TRUE,'RAW_AR_CONTENT'!$B285=SelectedScope),'RAW_AR_CONTENT'!R285,"")</f>
        <v>0</v>
      </c>
    </row>
    <row r="287" spans="1:18" ht="15" customHeight="1" x14ac:dyDescent="0.3">
      <c r="A287" s="9">
        <f>IF(IF(SelectedScope="All India",TRUE,'RAW_AR_CONTENT'!$B286=SelectedScope),'RAW_AR_CONTENT'!A286,"")</f>
        <v>283</v>
      </c>
      <c r="B287" s="9" t="str">
        <f>IF(IF(SelectedScope="All India",TRUE,'RAW_AR_CONTENT'!$B286=SelectedScope),'RAW_AR_CONTENT'!B286,"")</f>
        <v>Lakshadweep</v>
      </c>
      <c r="C287" s="9" t="str">
        <f>IF(IF(SelectedScope="All India",TRUE,'RAW_AR_CONTENT'!$B286=SelectedScope),'RAW_AR_CONTENT'!C286,"")</f>
        <v>Civics</v>
      </c>
      <c r="D287" s="9" t="str">
        <f>IF(IF(SelectedScope="All India",TRUE,'RAW_AR_CONTENT'!$B286=SelectedScope),'RAW_AR_CONTENT'!D286,"")</f>
        <v>Class 9</v>
      </c>
      <c r="E287" s="9" t="str">
        <f>IF(IF(SelectedScope="All India",TRUE,'RAW_AR_CONTENT'!$B286=SelectedScope),'RAW_AR_CONTENT'!E286,"")</f>
        <v>Indian Constitution</v>
      </c>
      <c r="F287" s="9" t="str">
        <f>IF(IF(SelectedScope="All India",TRUE,'RAW_AR_CONTENT'!$B286=SelectedScope),'RAW_AR_CONTENT'!F286,"")</f>
        <v>Basic 3D</v>
      </c>
      <c r="G287" s="9" t="str">
        <f>IF(IF(SelectedScope="All India",TRUE,'RAW_AR_CONTENT'!$B286=SelectedScope),'RAW_AR_CONTENT'!G286,"")</f>
        <v>Active</v>
      </c>
      <c r="H287" s="9">
        <f>IF(IF(SelectedScope="All India",TRUE,'RAW_AR_CONTENT'!$B286=SelectedScope),'RAW_AR_CONTENT'!H286,"")</f>
        <v>0</v>
      </c>
      <c r="I287" s="9">
        <f>IF(IF(SelectedScope="All India",TRUE,'RAW_AR_CONTENT'!$B286=SelectedScope),'RAW_AR_CONTENT'!I286,"")</f>
        <v>0</v>
      </c>
      <c r="J287" s="9">
        <f>IF(IF(SelectedScope="All India",TRUE,'RAW_AR_CONTENT'!$B286=SelectedScope),'RAW_AR_CONTENT'!J286,"")</f>
        <v>0</v>
      </c>
      <c r="K287" s="9">
        <f>IF(IF(SelectedScope="All India",TRUE,'RAW_AR_CONTENT'!$B286=SelectedScope),'RAW_AR_CONTENT'!K286,"")</f>
        <v>0</v>
      </c>
      <c r="L287" s="9">
        <f>IF(IF(SelectedScope="All India",TRUE,'RAW_AR_CONTENT'!$B286=SelectedScope),'RAW_AR_CONTENT'!L286,"")</f>
        <v>0</v>
      </c>
      <c r="M287" s="9">
        <f>IF(IF(SelectedScope="All India",TRUE,'RAW_AR_CONTENT'!$B286=SelectedScope),'RAW_AR_CONTENT'!M286,"")</f>
        <v>0</v>
      </c>
      <c r="N287" s="9">
        <f>IF(IF(SelectedScope="All India",TRUE,'RAW_AR_CONTENT'!$B286=SelectedScope),'RAW_AR_CONTENT'!N286,"")</f>
        <v>0</v>
      </c>
      <c r="O287" s="9">
        <f>IF(IF(SelectedScope="All India",TRUE,'RAW_AR_CONTENT'!$B286=SelectedScope),'RAW_AR_CONTENT'!O286,"")</f>
        <v>0</v>
      </c>
      <c r="P287" s="9">
        <f>IF(IF(SelectedScope="All India",TRUE,'RAW_AR_CONTENT'!$B286=SelectedScope),'RAW_AR_CONTENT'!P286,"")</f>
        <v>0</v>
      </c>
      <c r="Q287" s="9">
        <f>IF(IF(SelectedScope="All India",TRUE,'RAW_AR_CONTENT'!$B286=SelectedScope),'RAW_AR_CONTENT'!Q286,"")</f>
        <v>0</v>
      </c>
      <c r="R287" s="9">
        <f>IF(IF(SelectedScope="All India",TRUE,'RAW_AR_CONTENT'!$B286=SelectedScope),'RAW_AR_CONTENT'!R286,"")</f>
        <v>0</v>
      </c>
    </row>
    <row r="288" spans="1:18" ht="15" customHeight="1" x14ac:dyDescent="0.3">
      <c r="A288" s="12">
        <f>IF(IF(SelectedScope="All India",TRUE,'RAW_AR_CONTENT'!$B287=SelectedScope),'RAW_AR_CONTENT'!A287,"")</f>
        <v>284</v>
      </c>
      <c r="B288" s="12" t="str">
        <f>IF(IF(SelectedScope="All India",TRUE,'RAW_AR_CONTENT'!$B287=SelectedScope),'RAW_AR_CONTENT'!B287,"")</f>
        <v>Lakshadweep</v>
      </c>
      <c r="C288" s="12" t="str">
        <f>IF(IF(SelectedScope="All India",TRUE,'RAW_AR_CONTENT'!$B287=SelectedScope),'RAW_AR_CONTENT'!C287,"")</f>
        <v>Environmental Science</v>
      </c>
      <c r="D288" s="12" t="str">
        <f>IF(IF(SelectedScope="All India",TRUE,'RAW_AR_CONTENT'!$B287=SelectedScope),'RAW_AR_CONTENT'!D287,"")</f>
        <v>Class 6</v>
      </c>
      <c r="E288" s="12" t="str">
        <f>IF(IF(SelectedScope="All India",TRUE,'RAW_AR_CONTENT'!$B287=SelectedScope),'RAW_AR_CONTENT'!E287,"")</f>
        <v>Food Chain</v>
      </c>
      <c r="F288" s="12" t="str">
        <f>IF(IF(SelectedScope="All India",TRUE,'RAW_AR_CONTENT'!$B287=SelectedScope),'RAW_AR_CONTENT'!F287,"")</f>
        <v>Animated</v>
      </c>
      <c r="G288" s="12" t="str">
        <f>IF(IF(SelectedScope="All India",TRUE,'RAW_AR_CONTENT'!$B287=SelectedScope),'RAW_AR_CONTENT'!G287,"")</f>
        <v>Active</v>
      </c>
      <c r="H288" s="12">
        <f>IF(IF(SelectedScope="All India",TRUE,'RAW_AR_CONTENT'!$B287=SelectedScope),'RAW_AR_CONTENT'!H287,"")</f>
        <v>0</v>
      </c>
      <c r="I288" s="12">
        <f>IF(IF(SelectedScope="All India",TRUE,'RAW_AR_CONTENT'!$B287=SelectedScope),'RAW_AR_CONTENT'!I287,"")</f>
        <v>0</v>
      </c>
      <c r="J288" s="12">
        <f>IF(IF(SelectedScope="All India",TRUE,'RAW_AR_CONTENT'!$B287=SelectedScope),'RAW_AR_CONTENT'!J287,"")</f>
        <v>0</v>
      </c>
      <c r="K288" s="12">
        <f>IF(IF(SelectedScope="All India",TRUE,'RAW_AR_CONTENT'!$B287=SelectedScope),'RAW_AR_CONTENT'!K287,"")</f>
        <v>0</v>
      </c>
      <c r="L288" s="12">
        <f>IF(IF(SelectedScope="All India",TRUE,'RAW_AR_CONTENT'!$B287=SelectedScope),'RAW_AR_CONTENT'!L287,"")</f>
        <v>0</v>
      </c>
      <c r="M288" s="12">
        <f>IF(IF(SelectedScope="All India",TRUE,'RAW_AR_CONTENT'!$B287=SelectedScope),'RAW_AR_CONTENT'!M287,"")</f>
        <v>0</v>
      </c>
      <c r="N288" s="12">
        <f>IF(IF(SelectedScope="All India",TRUE,'RAW_AR_CONTENT'!$B287=SelectedScope),'RAW_AR_CONTENT'!N287,"")</f>
        <v>0</v>
      </c>
      <c r="O288" s="12">
        <f>IF(IF(SelectedScope="All India",TRUE,'RAW_AR_CONTENT'!$B287=SelectedScope),'RAW_AR_CONTENT'!O287,"")</f>
        <v>0</v>
      </c>
      <c r="P288" s="12">
        <f>IF(IF(SelectedScope="All India",TRUE,'RAW_AR_CONTENT'!$B287=SelectedScope),'RAW_AR_CONTENT'!P287,"")</f>
        <v>0</v>
      </c>
      <c r="Q288" s="12">
        <f>IF(IF(SelectedScope="All India",TRUE,'RAW_AR_CONTENT'!$B287=SelectedScope),'RAW_AR_CONTENT'!Q287,"")</f>
        <v>0</v>
      </c>
      <c r="R288" s="12">
        <f>IF(IF(SelectedScope="All India",TRUE,'RAW_AR_CONTENT'!$B287=SelectedScope),'RAW_AR_CONTENT'!R287,"")</f>
        <v>0</v>
      </c>
    </row>
    <row r="289" spans="1:18" ht="15" customHeight="1" x14ac:dyDescent="0.3">
      <c r="A289" s="9">
        <f>IF(IF(SelectedScope="All India",TRUE,'RAW_AR_CONTENT'!$B288=SelectedScope),'RAW_AR_CONTENT'!A288,"")</f>
        <v>285</v>
      </c>
      <c r="B289" s="9" t="str">
        <f>IF(IF(SelectedScope="All India",TRUE,'RAW_AR_CONTENT'!$B288=SelectedScope),'RAW_AR_CONTENT'!B288,"")</f>
        <v>Lakshadweep</v>
      </c>
      <c r="C289" s="9" t="str">
        <f>IF(IF(SelectedScope="All India",TRUE,'RAW_AR_CONTENT'!$B288=SelectedScope),'RAW_AR_CONTENT'!C288,"")</f>
        <v>Mathematics</v>
      </c>
      <c r="D289" s="9" t="str">
        <f>IF(IF(SelectedScope="All India",TRUE,'RAW_AR_CONTENT'!$B288=SelectedScope),'RAW_AR_CONTENT'!D288,"")</f>
        <v>Class 10</v>
      </c>
      <c r="E289" s="9" t="str">
        <f>IF(IF(SelectedScope="All India",TRUE,'RAW_AR_CONTENT'!$B288=SelectedScope),'RAW_AR_CONTENT'!E288,"")</f>
        <v>Quadratic Equations</v>
      </c>
      <c r="F289" s="9" t="str">
        <f>IF(IF(SelectedScope="All India",TRUE,'RAW_AR_CONTENT'!$B288=SelectedScope),'RAW_AR_CONTENT'!F288,"")</f>
        <v>Animated</v>
      </c>
      <c r="G289" s="9" t="str">
        <f>IF(IF(SelectedScope="All India",TRUE,'RAW_AR_CONTENT'!$B288=SelectedScope),'RAW_AR_CONTENT'!G288,"")</f>
        <v>Active</v>
      </c>
      <c r="H289" s="9">
        <f>IF(IF(SelectedScope="All India",TRUE,'RAW_AR_CONTENT'!$B288=SelectedScope),'RAW_AR_CONTENT'!H288,"")</f>
        <v>0</v>
      </c>
      <c r="I289" s="9">
        <f>IF(IF(SelectedScope="All India",TRUE,'RAW_AR_CONTENT'!$B288=SelectedScope),'RAW_AR_CONTENT'!I288,"")</f>
        <v>0</v>
      </c>
      <c r="J289" s="9">
        <f>IF(IF(SelectedScope="All India",TRUE,'RAW_AR_CONTENT'!$B288=SelectedScope),'RAW_AR_CONTENT'!J288,"")</f>
        <v>0</v>
      </c>
      <c r="K289" s="9">
        <f>IF(IF(SelectedScope="All India",TRUE,'RAW_AR_CONTENT'!$B288=SelectedScope),'RAW_AR_CONTENT'!K288,"")</f>
        <v>0</v>
      </c>
      <c r="L289" s="9">
        <f>IF(IF(SelectedScope="All India",TRUE,'RAW_AR_CONTENT'!$B288=SelectedScope),'RAW_AR_CONTENT'!L288,"")</f>
        <v>0</v>
      </c>
      <c r="M289" s="9">
        <f>IF(IF(SelectedScope="All India",TRUE,'RAW_AR_CONTENT'!$B288=SelectedScope),'RAW_AR_CONTENT'!M288,"")</f>
        <v>0</v>
      </c>
      <c r="N289" s="9">
        <f>IF(IF(SelectedScope="All India",TRUE,'RAW_AR_CONTENT'!$B288=SelectedScope),'RAW_AR_CONTENT'!N288,"")</f>
        <v>0</v>
      </c>
      <c r="O289" s="9">
        <f>IF(IF(SelectedScope="All India",TRUE,'RAW_AR_CONTENT'!$B288=SelectedScope),'RAW_AR_CONTENT'!O288,"")</f>
        <v>0</v>
      </c>
      <c r="P289" s="9">
        <f>IF(IF(SelectedScope="All India",TRUE,'RAW_AR_CONTENT'!$B288=SelectedScope),'RAW_AR_CONTENT'!P288,"")</f>
        <v>0</v>
      </c>
      <c r="Q289" s="9">
        <f>IF(IF(SelectedScope="All India",TRUE,'RAW_AR_CONTENT'!$B288=SelectedScope),'RAW_AR_CONTENT'!Q288,"")</f>
        <v>0</v>
      </c>
      <c r="R289" s="9">
        <f>IF(IF(SelectedScope="All India",TRUE,'RAW_AR_CONTENT'!$B288=SelectedScope),'RAW_AR_CONTENT'!R288,"")</f>
        <v>0</v>
      </c>
    </row>
    <row r="290" spans="1:18" ht="15" customHeight="1" x14ac:dyDescent="0.3">
      <c r="A290" s="12">
        <f>IF(IF(SelectedScope="All India",TRUE,'RAW_AR_CONTENT'!$B289=SelectedScope),'RAW_AR_CONTENT'!A289,"")</f>
        <v>286</v>
      </c>
      <c r="B290" s="12" t="str">
        <f>IF(IF(SelectedScope="All India",TRUE,'RAW_AR_CONTENT'!$B289=SelectedScope),'RAW_AR_CONTENT'!B289,"")</f>
        <v>Madhya Pradesh</v>
      </c>
      <c r="C290" s="12" t="str">
        <f>IF(IF(SelectedScope="All India",TRUE,'RAW_AR_CONTENT'!$B289=SelectedScope),'RAW_AR_CONTENT'!C289,"")</f>
        <v>Science</v>
      </c>
      <c r="D290" s="12" t="str">
        <f>IF(IF(SelectedScope="All India",TRUE,'RAW_AR_CONTENT'!$B289=SelectedScope),'RAW_AR_CONTENT'!D289,"")</f>
        <v>Class 8</v>
      </c>
      <c r="E290" s="12" t="str">
        <f>IF(IF(SelectedScope="All India",TRUE,'RAW_AR_CONTENT'!$B289=SelectedScope),'RAW_AR_CONTENT'!E289,"")</f>
        <v>Solar System 3D</v>
      </c>
      <c r="F290" s="12" t="str">
        <f>IF(IF(SelectedScope="All India",TRUE,'RAW_AR_CONTENT'!$B289=SelectedScope),'RAW_AR_CONTENT'!F289,"")</f>
        <v>Animated</v>
      </c>
      <c r="G290" s="12" t="str">
        <f>IF(IF(SelectedScope="All India",TRUE,'RAW_AR_CONTENT'!$B289=SelectedScope),'RAW_AR_CONTENT'!G289,"")</f>
        <v>Active</v>
      </c>
      <c r="H290" s="12">
        <f>IF(IF(SelectedScope="All India",TRUE,'RAW_AR_CONTENT'!$B289=SelectedScope),'RAW_AR_CONTENT'!H289,"")</f>
        <v>0</v>
      </c>
      <c r="I290" s="12">
        <f>IF(IF(SelectedScope="All India",TRUE,'RAW_AR_CONTENT'!$B289=SelectedScope),'RAW_AR_CONTENT'!I289,"")</f>
        <v>0</v>
      </c>
      <c r="J290" s="12">
        <f>IF(IF(SelectedScope="All India",TRUE,'RAW_AR_CONTENT'!$B289=SelectedScope),'RAW_AR_CONTENT'!J289,"")</f>
        <v>0</v>
      </c>
      <c r="K290" s="12">
        <f>IF(IF(SelectedScope="All India",TRUE,'RAW_AR_CONTENT'!$B289=SelectedScope),'RAW_AR_CONTENT'!K289,"")</f>
        <v>0</v>
      </c>
      <c r="L290" s="12">
        <f>IF(IF(SelectedScope="All India",TRUE,'RAW_AR_CONTENT'!$B289=SelectedScope),'RAW_AR_CONTENT'!L289,"")</f>
        <v>0</v>
      </c>
      <c r="M290" s="12">
        <f>IF(IF(SelectedScope="All India",TRUE,'RAW_AR_CONTENT'!$B289=SelectedScope),'RAW_AR_CONTENT'!M289,"")</f>
        <v>0</v>
      </c>
      <c r="N290" s="12">
        <f>IF(IF(SelectedScope="All India",TRUE,'RAW_AR_CONTENT'!$B289=SelectedScope),'RAW_AR_CONTENT'!N289,"")</f>
        <v>0</v>
      </c>
      <c r="O290" s="12">
        <f>IF(IF(SelectedScope="All India",TRUE,'RAW_AR_CONTENT'!$B289=SelectedScope),'RAW_AR_CONTENT'!O289,"")</f>
        <v>0</v>
      </c>
      <c r="P290" s="12">
        <f>IF(IF(SelectedScope="All India",TRUE,'RAW_AR_CONTENT'!$B289=SelectedScope),'RAW_AR_CONTENT'!P289,"")</f>
        <v>0</v>
      </c>
      <c r="Q290" s="12">
        <f>IF(IF(SelectedScope="All India",TRUE,'RAW_AR_CONTENT'!$B289=SelectedScope),'RAW_AR_CONTENT'!Q289,"")</f>
        <v>0</v>
      </c>
      <c r="R290" s="12">
        <f>IF(IF(SelectedScope="All India",TRUE,'RAW_AR_CONTENT'!$B289=SelectedScope),'RAW_AR_CONTENT'!R289,"")</f>
        <v>0</v>
      </c>
    </row>
    <row r="291" spans="1:18" ht="15" customHeight="1" x14ac:dyDescent="0.3">
      <c r="A291" s="9">
        <f>IF(IF(SelectedScope="All India",TRUE,'RAW_AR_CONTENT'!$B290=SelectedScope),'RAW_AR_CONTENT'!A290,"")</f>
        <v>287</v>
      </c>
      <c r="B291" s="9" t="str">
        <f>IF(IF(SelectedScope="All India",TRUE,'RAW_AR_CONTENT'!$B290=SelectedScope),'RAW_AR_CONTENT'!B290,"")</f>
        <v>Madhya Pradesh</v>
      </c>
      <c r="C291" s="9" t="str">
        <f>IF(IF(SelectedScope="All India",TRUE,'RAW_AR_CONTENT'!$B290=SelectedScope),'RAW_AR_CONTENT'!C290,"")</f>
        <v>Biology</v>
      </c>
      <c r="D291" s="9" t="str">
        <f>IF(IF(SelectedScope="All India",TRUE,'RAW_AR_CONTENT'!$B290=SelectedScope),'RAW_AR_CONTENT'!D290,"")</f>
        <v>Class 9</v>
      </c>
      <c r="E291" s="9" t="str">
        <f>IF(IF(SelectedScope="All India",TRUE,'RAW_AR_CONTENT'!$B290=SelectedScope),'RAW_AR_CONTENT'!E290,"")</f>
        <v>Cell Division</v>
      </c>
      <c r="F291" s="9" t="str">
        <f>IF(IF(SelectedScope="All India",TRUE,'RAW_AR_CONTENT'!$B290=SelectedScope),'RAW_AR_CONTENT'!F290,"")</f>
        <v>Interactive</v>
      </c>
      <c r="G291" s="9" t="str">
        <f>IF(IF(SelectedScope="All India",TRUE,'RAW_AR_CONTENT'!$B290=SelectedScope),'RAW_AR_CONTENT'!G290,"")</f>
        <v>Active</v>
      </c>
      <c r="H291" s="9">
        <f>IF(IF(SelectedScope="All India",TRUE,'RAW_AR_CONTENT'!$B290=SelectedScope),'RAW_AR_CONTENT'!H290,"")</f>
        <v>0</v>
      </c>
      <c r="I291" s="9">
        <f>IF(IF(SelectedScope="All India",TRUE,'RAW_AR_CONTENT'!$B290=SelectedScope),'RAW_AR_CONTENT'!I290,"")</f>
        <v>0</v>
      </c>
      <c r="J291" s="9">
        <f>IF(IF(SelectedScope="All India",TRUE,'RAW_AR_CONTENT'!$B290=SelectedScope),'RAW_AR_CONTENT'!J290,"")</f>
        <v>0</v>
      </c>
      <c r="K291" s="9">
        <f>IF(IF(SelectedScope="All India",TRUE,'RAW_AR_CONTENT'!$B290=SelectedScope),'RAW_AR_CONTENT'!K290,"")</f>
        <v>0</v>
      </c>
      <c r="L291" s="9">
        <f>IF(IF(SelectedScope="All India",TRUE,'RAW_AR_CONTENT'!$B290=SelectedScope),'RAW_AR_CONTENT'!L290,"")</f>
        <v>0</v>
      </c>
      <c r="M291" s="9">
        <f>IF(IF(SelectedScope="All India",TRUE,'RAW_AR_CONTENT'!$B290=SelectedScope),'RAW_AR_CONTENT'!M290,"")</f>
        <v>0</v>
      </c>
      <c r="N291" s="9">
        <f>IF(IF(SelectedScope="All India",TRUE,'RAW_AR_CONTENT'!$B290=SelectedScope),'RAW_AR_CONTENT'!N290,"")</f>
        <v>0</v>
      </c>
      <c r="O291" s="9">
        <f>IF(IF(SelectedScope="All India",TRUE,'RAW_AR_CONTENT'!$B290=SelectedScope),'RAW_AR_CONTENT'!O290,"")</f>
        <v>0</v>
      </c>
      <c r="P291" s="9">
        <f>IF(IF(SelectedScope="All India",TRUE,'RAW_AR_CONTENT'!$B290=SelectedScope),'RAW_AR_CONTENT'!P290,"")</f>
        <v>0</v>
      </c>
      <c r="Q291" s="9">
        <f>IF(IF(SelectedScope="All India",TRUE,'RAW_AR_CONTENT'!$B290=SelectedScope),'RAW_AR_CONTENT'!Q290,"")</f>
        <v>0</v>
      </c>
      <c r="R291" s="9">
        <f>IF(IF(SelectedScope="All India",TRUE,'RAW_AR_CONTENT'!$B290=SelectedScope),'RAW_AR_CONTENT'!R290,"")</f>
        <v>0</v>
      </c>
    </row>
    <row r="292" spans="1:18" ht="15" customHeight="1" x14ac:dyDescent="0.3">
      <c r="A292" s="12">
        <f>IF(IF(SelectedScope="All India",TRUE,'RAW_AR_CONTENT'!$B291=SelectedScope),'RAW_AR_CONTENT'!A291,"")</f>
        <v>288</v>
      </c>
      <c r="B292" s="12" t="str">
        <f>IF(IF(SelectedScope="All India",TRUE,'RAW_AR_CONTENT'!$B291=SelectedScope),'RAW_AR_CONTENT'!B291,"")</f>
        <v>Madhya Pradesh</v>
      </c>
      <c r="C292" s="12" t="str">
        <f>IF(IF(SelectedScope="All India",TRUE,'RAW_AR_CONTENT'!$B291=SelectedScope),'RAW_AR_CONTENT'!C291,"")</f>
        <v>Chemistry</v>
      </c>
      <c r="D292" s="12" t="str">
        <f>IF(IF(SelectedScope="All India",TRUE,'RAW_AR_CONTENT'!$B291=SelectedScope),'RAW_AR_CONTENT'!D291,"")</f>
        <v>Class 9</v>
      </c>
      <c r="E292" s="12" t="str">
        <f>IF(IF(SelectedScope="All India",TRUE,'RAW_AR_CONTENT'!$B291=SelectedScope),'RAW_AR_CONTENT'!E291,"")</f>
        <v>Atoms and Molecules</v>
      </c>
      <c r="F292" s="12" t="str">
        <f>IF(IF(SelectedScope="All India",TRUE,'RAW_AR_CONTENT'!$B291=SelectedScope),'RAW_AR_CONTENT'!F291,"")</f>
        <v>Animated</v>
      </c>
      <c r="G292" s="12" t="str">
        <f>IF(IF(SelectedScope="All India",TRUE,'RAW_AR_CONTENT'!$B291=SelectedScope),'RAW_AR_CONTENT'!G291,"")</f>
        <v>Active</v>
      </c>
      <c r="H292" s="12">
        <f>IF(IF(SelectedScope="All India",TRUE,'RAW_AR_CONTENT'!$B291=SelectedScope),'RAW_AR_CONTENT'!H291,"")</f>
        <v>0</v>
      </c>
      <c r="I292" s="12">
        <f>IF(IF(SelectedScope="All India",TRUE,'RAW_AR_CONTENT'!$B291=SelectedScope),'RAW_AR_CONTENT'!I291,"")</f>
        <v>0</v>
      </c>
      <c r="J292" s="12">
        <f>IF(IF(SelectedScope="All India",TRUE,'RAW_AR_CONTENT'!$B291=SelectedScope),'RAW_AR_CONTENT'!J291,"")</f>
        <v>0</v>
      </c>
      <c r="K292" s="12">
        <f>IF(IF(SelectedScope="All India",TRUE,'RAW_AR_CONTENT'!$B291=SelectedScope),'RAW_AR_CONTENT'!K291,"")</f>
        <v>0</v>
      </c>
      <c r="L292" s="12">
        <f>IF(IF(SelectedScope="All India",TRUE,'RAW_AR_CONTENT'!$B291=SelectedScope),'RAW_AR_CONTENT'!L291,"")</f>
        <v>0</v>
      </c>
      <c r="M292" s="12">
        <f>IF(IF(SelectedScope="All India",TRUE,'RAW_AR_CONTENT'!$B291=SelectedScope),'RAW_AR_CONTENT'!M291,"")</f>
        <v>0</v>
      </c>
      <c r="N292" s="12">
        <f>IF(IF(SelectedScope="All India",TRUE,'RAW_AR_CONTENT'!$B291=SelectedScope),'RAW_AR_CONTENT'!N291,"")</f>
        <v>0</v>
      </c>
      <c r="O292" s="12">
        <f>IF(IF(SelectedScope="All India",TRUE,'RAW_AR_CONTENT'!$B291=SelectedScope),'RAW_AR_CONTENT'!O291,"")</f>
        <v>0</v>
      </c>
      <c r="P292" s="12">
        <f>IF(IF(SelectedScope="All India",TRUE,'RAW_AR_CONTENT'!$B291=SelectedScope),'RAW_AR_CONTENT'!P291,"")</f>
        <v>0</v>
      </c>
      <c r="Q292" s="12">
        <f>IF(IF(SelectedScope="All India",TRUE,'RAW_AR_CONTENT'!$B291=SelectedScope),'RAW_AR_CONTENT'!Q291,"")</f>
        <v>0</v>
      </c>
      <c r="R292" s="12">
        <f>IF(IF(SelectedScope="All India",TRUE,'RAW_AR_CONTENT'!$B291=SelectedScope),'RAW_AR_CONTENT'!R291,"")</f>
        <v>0</v>
      </c>
    </row>
    <row r="293" spans="1:18" ht="15" customHeight="1" x14ac:dyDescent="0.3">
      <c r="A293" s="9">
        <f>IF(IF(SelectedScope="All India",TRUE,'RAW_AR_CONTENT'!$B292=SelectedScope),'RAW_AR_CONTENT'!A292,"")</f>
        <v>289</v>
      </c>
      <c r="B293" s="9" t="str">
        <f>IF(IF(SelectedScope="All India",TRUE,'RAW_AR_CONTENT'!$B292=SelectedScope),'RAW_AR_CONTENT'!B292,"")</f>
        <v>Madhya Pradesh</v>
      </c>
      <c r="C293" s="9" t="str">
        <f>IF(IF(SelectedScope="All India",TRUE,'RAW_AR_CONTENT'!$B292=SelectedScope),'RAW_AR_CONTENT'!C292,"")</f>
        <v>Biology</v>
      </c>
      <c r="D293" s="9" t="str">
        <f>IF(IF(SelectedScope="All India",TRUE,'RAW_AR_CONTENT'!$B292=SelectedScope),'RAW_AR_CONTENT'!D292,"")</f>
        <v>Class 7</v>
      </c>
      <c r="E293" s="9" t="str">
        <f>IF(IF(SelectedScope="All India",TRUE,'RAW_AR_CONTENT'!$B292=SelectedScope),'RAW_AR_CONTENT'!E292,"")</f>
        <v>Photosynthesis</v>
      </c>
      <c r="F293" s="9" t="str">
        <f>IF(IF(SelectedScope="All India",TRUE,'RAW_AR_CONTENT'!$B292=SelectedScope),'RAW_AR_CONTENT'!F292,"")</f>
        <v>Basic 3D</v>
      </c>
      <c r="G293" s="9" t="str">
        <f>IF(IF(SelectedScope="All India",TRUE,'RAW_AR_CONTENT'!$B292=SelectedScope),'RAW_AR_CONTENT'!G292,"")</f>
        <v>Active</v>
      </c>
      <c r="H293" s="9">
        <f>IF(IF(SelectedScope="All India",TRUE,'RAW_AR_CONTENT'!$B292=SelectedScope),'RAW_AR_CONTENT'!H292,"")</f>
        <v>0</v>
      </c>
      <c r="I293" s="9">
        <f>IF(IF(SelectedScope="All India",TRUE,'RAW_AR_CONTENT'!$B292=SelectedScope),'RAW_AR_CONTENT'!I292,"")</f>
        <v>0</v>
      </c>
      <c r="J293" s="9">
        <f>IF(IF(SelectedScope="All India",TRUE,'RAW_AR_CONTENT'!$B292=SelectedScope),'RAW_AR_CONTENT'!J292,"")</f>
        <v>0</v>
      </c>
      <c r="K293" s="9">
        <f>IF(IF(SelectedScope="All India",TRUE,'RAW_AR_CONTENT'!$B292=SelectedScope),'RAW_AR_CONTENT'!K292,"")</f>
        <v>0</v>
      </c>
      <c r="L293" s="9">
        <f>IF(IF(SelectedScope="All India",TRUE,'RAW_AR_CONTENT'!$B292=SelectedScope),'RAW_AR_CONTENT'!L292,"")</f>
        <v>0</v>
      </c>
      <c r="M293" s="9">
        <f>IF(IF(SelectedScope="All India",TRUE,'RAW_AR_CONTENT'!$B292=SelectedScope),'RAW_AR_CONTENT'!M292,"")</f>
        <v>0</v>
      </c>
      <c r="N293" s="9">
        <f>IF(IF(SelectedScope="All India",TRUE,'RAW_AR_CONTENT'!$B292=SelectedScope),'RAW_AR_CONTENT'!N292,"")</f>
        <v>0</v>
      </c>
      <c r="O293" s="9">
        <f>IF(IF(SelectedScope="All India",TRUE,'RAW_AR_CONTENT'!$B292=SelectedScope),'RAW_AR_CONTENT'!O292,"")</f>
        <v>0</v>
      </c>
      <c r="P293" s="9">
        <f>IF(IF(SelectedScope="All India",TRUE,'RAW_AR_CONTENT'!$B292=SelectedScope),'RAW_AR_CONTENT'!P292,"")</f>
        <v>0</v>
      </c>
      <c r="Q293" s="9">
        <f>IF(IF(SelectedScope="All India",TRUE,'RAW_AR_CONTENT'!$B292=SelectedScope),'RAW_AR_CONTENT'!Q292,"")</f>
        <v>0</v>
      </c>
      <c r="R293" s="9">
        <f>IF(IF(SelectedScope="All India",TRUE,'RAW_AR_CONTENT'!$B292=SelectedScope),'RAW_AR_CONTENT'!R292,"")</f>
        <v>0</v>
      </c>
    </row>
    <row r="294" spans="1:18" ht="15" customHeight="1" x14ac:dyDescent="0.3">
      <c r="A294" s="12">
        <f>IF(IF(SelectedScope="All India",TRUE,'RAW_AR_CONTENT'!$B293=SelectedScope),'RAW_AR_CONTENT'!A293,"")</f>
        <v>290</v>
      </c>
      <c r="B294" s="12" t="str">
        <f>IF(IF(SelectedScope="All India",TRUE,'RAW_AR_CONTENT'!$B293=SelectedScope),'RAW_AR_CONTENT'!B293,"")</f>
        <v>Madhya Pradesh</v>
      </c>
      <c r="C294" s="12" t="str">
        <f>IF(IF(SelectedScope="All India",TRUE,'RAW_AR_CONTENT'!$B293=SelectedScope),'RAW_AR_CONTENT'!C293,"")</f>
        <v>Mathematics</v>
      </c>
      <c r="D294" s="12" t="str">
        <f>IF(IF(SelectedScope="All India",TRUE,'RAW_AR_CONTENT'!$B293=SelectedScope),'RAW_AR_CONTENT'!D293,"")</f>
        <v>Class 7</v>
      </c>
      <c r="E294" s="12" t="str">
        <f>IF(IF(SelectedScope="All India",TRUE,'RAW_AR_CONTENT'!$B293=SelectedScope),'RAW_AR_CONTENT'!E293,"")</f>
        <v>Fractions 3D Model</v>
      </c>
      <c r="F294" s="12" t="str">
        <f>IF(IF(SelectedScope="All India",TRUE,'RAW_AR_CONTENT'!$B293=SelectedScope),'RAW_AR_CONTENT'!F293,"")</f>
        <v>Interactive</v>
      </c>
      <c r="G294" s="12" t="str">
        <f>IF(IF(SelectedScope="All India",TRUE,'RAW_AR_CONTENT'!$B293=SelectedScope),'RAW_AR_CONTENT'!G293,"")</f>
        <v>Active</v>
      </c>
      <c r="H294" s="12">
        <f>IF(IF(SelectedScope="All India",TRUE,'RAW_AR_CONTENT'!$B293=SelectedScope),'RAW_AR_CONTENT'!H293,"")</f>
        <v>0</v>
      </c>
      <c r="I294" s="12">
        <f>IF(IF(SelectedScope="All India",TRUE,'RAW_AR_CONTENT'!$B293=SelectedScope),'RAW_AR_CONTENT'!I293,"")</f>
        <v>0</v>
      </c>
      <c r="J294" s="12">
        <f>IF(IF(SelectedScope="All India",TRUE,'RAW_AR_CONTENT'!$B293=SelectedScope),'RAW_AR_CONTENT'!J293,"")</f>
        <v>0</v>
      </c>
      <c r="K294" s="12">
        <f>IF(IF(SelectedScope="All India",TRUE,'RAW_AR_CONTENT'!$B293=SelectedScope),'RAW_AR_CONTENT'!K293,"")</f>
        <v>0</v>
      </c>
      <c r="L294" s="12">
        <f>IF(IF(SelectedScope="All India",TRUE,'RAW_AR_CONTENT'!$B293=SelectedScope),'RAW_AR_CONTENT'!L293,"")</f>
        <v>0</v>
      </c>
      <c r="M294" s="12">
        <f>IF(IF(SelectedScope="All India",TRUE,'RAW_AR_CONTENT'!$B293=SelectedScope),'RAW_AR_CONTENT'!M293,"")</f>
        <v>0</v>
      </c>
      <c r="N294" s="12">
        <f>IF(IF(SelectedScope="All India",TRUE,'RAW_AR_CONTENT'!$B293=SelectedScope),'RAW_AR_CONTENT'!N293,"")</f>
        <v>0</v>
      </c>
      <c r="O294" s="12">
        <f>IF(IF(SelectedScope="All India",TRUE,'RAW_AR_CONTENT'!$B293=SelectedScope),'RAW_AR_CONTENT'!O293,"")</f>
        <v>0</v>
      </c>
      <c r="P294" s="12">
        <f>IF(IF(SelectedScope="All India",TRUE,'RAW_AR_CONTENT'!$B293=SelectedScope),'RAW_AR_CONTENT'!P293,"")</f>
        <v>0</v>
      </c>
      <c r="Q294" s="12">
        <f>IF(IF(SelectedScope="All India",TRUE,'RAW_AR_CONTENT'!$B293=SelectedScope),'RAW_AR_CONTENT'!Q293,"")</f>
        <v>0</v>
      </c>
      <c r="R294" s="12">
        <f>IF(IF(SelectedScope="All India",TRUE,'RAW_AR_CONTENT'!$B293=SelectedScope),'RAW_AR_CONTENT'!R293,"")</f>
        <v>0</v>
      </c>
    </row>
    <row r="295" spans="1:18" ht="15" customHeight="1" x14ac:dyDescent="0.3">
      <c r="A295" s="9">
        <f>IF(IF(SelectedScope="All India",TRUE,'RAW_AR_CONTENT'!$B294=SelectedScope),'RAW_AR_CONTENT'!A294,"")</f>
        <v>291</v>
      </c>
      <c r="B295" s="9" t="str">
        <f>IF(IF(SelectedScope="All India",TRUE,'RAW_AR_CONTENT'!$B294=SelectedScope),'RAW_AR_CONTENT'!B294,"")</f>
        <v>Madhya Pradesh</v>
      </c>
      <c r="C295" s="9" t="str">
        <f>IF(IF(SelectedScope="All India",TRUE,'RAW_AR_CONTENT'!$B294=SelectedScope),'RAW_AR_CONTENT'!C294,"")</f>
        <v>Mathematics</v>
      </c>
      <c r="D295" s="9" t="str">
        <f>IF(IF(SelectedScope="All India",TRUE,'RAW_AR_CONTENT'!$B294=SelectedScope),'RAW_AR_CONTENT'!D294,"")</f>
        <v>Class 10</v>
      </c>
      <c r="E295" s="9" t="str">
        <f>IF(IF(SelectedScope="All India",TRUE,'RAW_AR_CONTENT'!$B294=SelectedScope),'RAW_AR_CONTENT'!E294,"")</f>
        <v>Trigonometry 3D</v>
      </c>
      <c r="F295" s="9" t="str">
        <f>IF(IF(SelectedScope="All India",TRUE,'RAW_AR_CONTENT'!$B294=SelectedScope),'RAW_AR_CONTENT'!F294,"")</f>
        <v>Animated</v>
      </c>
      <c r="G295" s="9" t="str">
        <f>IF(IF(SelectedScope="All India",TRUE,'RAW_AR_CONTENT'!$B294=SelectedScope),'RAW_AR_CONTENT'!G294,"")</f>
        <v>Active</v>
      </c>
      <c r="H295" s="9">
        <f>IF(IF(SelectedScope="All India",TRUE,'RAW_AR_CONTENT'!$B294=SelectedScope),'RAW_AR_CONTENT'!H294,"")</f>
        <v>0</v>
      </c>
      <c r="I295" s="9">
        <f>IF(IF(SelectedScope="All India",TRUE,'RAW_AR_CONTENT'!$B294=SelectedScope),'RAW_AR_CONTENT'!I294,"")</f>
        <v>0</v>
      </c>
      <c r="J295" s="9">
        <f>IF(IF(SelectedScope="All India",TRUE,'RAW_AR_CONTENT'!$B294=SelectedScope),'RAW_AR_CONTENT'!J294,"")</f>
        <v>0</v>
      </c>
      <c r="K295" s="9">
        <f>IF(IF(SelectedScope="All India",TRUE,'RAW_AR_CONTENT'!$B294=SelectedScope),'RAW_AR_CONTENT'!K294,"")</f>
        <v>0</v>
      </c>
      <c r="L295" s="9">
        <f>IF(IF(SelectedScope="All India",TRUE,'RAW_AR_CONTENT'!$B294=SelectedScope),'RAW_AR_CONTENT'!L294,"")</f>
        <v>0</v>
      </c>
      <c r="M295" s="9">
        <f>IF(IF(SelectedScope="All India",TRUE,'RAW_AR_CONTENT'!$B294=SelectedScope),'RAW_AR_CONTENT'!M294,"")</f>
        <v>0</v>
      </c>
      <c r="N295" s="9">
        <f>IF(IF(SelectedScope="All India",TRUE,'RAW_AR_CONTENT'!$B294=SelectedScope),'RAW_AR_CONTENT'!N294,"")</f>
        <v>0</v>
      </c>
      <c r="O295" s="9">
        <f>IF(IF(SelectedScope="All India",TRUE,'RAW_AR_CONTENT'!$B294=SelectedScope),'RAW_AR_CONTENT'!O294,"")</f>
        <v>0</v>
      </c>
      <c r="P295" s="9">
        <f>IF(IF(SelectedScope="All India",TRUE,'RAW_AR_CONTENT'!$B294=SelectedScope),'RAW_AR_CONTENT'!P294,"")</f>
        <v>0</v>
      </c>
      <c r="Q295" s="9">
        <f>IF(IF(SelectedScope="All India",TRUE,'RAW_AR_CONTENT'!$B294=SelectedScope),'RAW_AR_CONTENT'!Q294,"")</f>
        <v>0</v>
      </c>
      <c r="R295" s="9">
        <f>IF(IF(SelectedScope="All India",TRUE,'RAW_AR_CONTENT'!$B294=SelectedScope),'RAW_AR_CONTENT'!R294,"")</f>
        <v>0</v>
      </c>
    </row>
    <row r="296" spans="1:18" ht="15" customHeight="1" x14ac:dyDescent="0.3">
      <c r="A296" s="12">
        <f>IF(IF(SelectedScope="All India",TRUE,'RAW_AR_CONTENT'!$B295=SelectedScope),'RAW_AR_CONTENT'!A295,"")</f>
        <v>292</v>
      </c>
      <c r="B296" s="12" t="str">
        <f>IF(IF(SelectedScope="All India",TRUE,'RAW_AR_CONTENT'!$B295=SelectedScope),'RAW_AR_CONTENT'!B295,"")</f>
        <v>Madhya Pradesh</v>
      </c>
      <c r="C296" s="12" t="str">
        <f>IF(IF(SelectedScope="All India",TRUE,'RAW_AR_CONTENT'!$B295=SelectedScope),'RAW_AR_CONTENT'!C295,"")</f>
        <v>History</v>
      </c>
      <c r="D296" s="12" t="str">
        <f>IF(IF(SelectedScope="All India",TRUE,'RAW_AR_CONTENT'!$B295=SelectedScope),'RAW_AR_CONTENT'!D295,"")</f>
        <v>Class 10</v>
      </c>
      <c r="E296" s="12" t="str">
        <f>IF(IF(SelectedScope="All India",TRUE,'RAW_AR_CONTENT'!$B295=SelectedScope),'RAW_AR_CONTENT'!E295,"")</f>
        <v>Mughal Empire AR</v>
      </c>
      <c r="F296" s="12" t="str">
        <f>IF(IF(SelectedScope="All India",TRUE,'RAW_AR_CONTENT'!$B295=SelectedScope),'RAW_AR_CONTENT'!F295,"")</f>
        <v>Basic 3D</v>
      </c>
      <c r="G296" s="12" t="str">
        <f>IF(IF(SelectedScope="All India",TRUE,'RAW_AR_CONTENT'!$B295=SelectedScope),'RAW_AR_CONTENT'!G295,"")</f>
        <v>Active</v>
      </c>
      <c r="H296" s="12">
        <f>IF(IF(SelectedScope="All India",TRUE,'RAW_AR_CONTENT'!$B295=SelectedScope),'RAW_AR_CONTENT'!H295,"")</f>
        <v>0</v>
      </c>
      <c r="I296" s="12">
        <f>IF(IF(SelectedScope="All India",TRUE,'RAW_AR_CONTENT'!$B295=SelectedScope),'RAW_AR_CONTENT'!I295,"")</f>
        <v>0</v>
      </c>
      <c r="J296" s="12">
        <f>IF(IF(SelectedScope="All India",TRUE,'RAW_AR_CONTENT'!$B295=SelectedScope),'RAW_AR_CONTENT'!J295,"")</f>
        <v>0</v>
      </c>
      <c r="K296" s="12">
        <f>IF(IF(SelectedScope="All India",TRUE,'RAW_AR_CONTENT'!$B295=SelectedScope),'RAW_AR_CONTENT'!K295,"")</f>
        <v>0</v>
      </c>
      <c r="L296" s="12">
        <f>IF(IF(SelectedScope="All India",TRUE,'RAW_AR_CONTENT'!$B295=SelectedScope),'RAW_AR_CONTENT'!L295,"")</f>
        <v>0</v>
      </c>
      <c r="M296" s="12">
        <f>IF(IF(SelectedScope="All India",TRUE,'RAW_AR_CONTENT'!$B295=SelectedScope),'RAW_AR_CONTENT'!M295,"")</f>
        <v>0</v>
      </c>
      <c r="N296" s="12">
        <f>IF(IF(SelectedScope="All India",TRUE,'RAW_AR_CONTENT'!$B295=SelectedScope),'RAW_AR_CONTENT'!N295,"")</f>
        <v>0</v>
      </c>
      <c r="O296" s="12">
        <f>IF(IF(SelectedScope="All India",TRUE,'RAW_AR_CONTENT'!$B295=SelectedScope),'RAW_AR_CONTENT'!O295,"")</f>
        <v>0</v>
      </c>
      <c r="P296" s="12">
        <f>IF(IF(SelectedScope="All India",TRUE,'RAW_AR_CONTENT'!$B295=SelectedScope),'RAW_AR_CONTENT'!P295,"")</f>
        <v>0</v>
      </c>
      <c r="Q296" s="12">
        <f>IF(IF(SelectedScope="All India",TRUE,'RAW_AR_CONTENT'!$B295=SelectedScope),'RAW_AR_CONTENT'!Q295,"")</f>
        <v>0</v>
      </c>
      <c r="R296" s="12">
        <f>IF(IF(SelectedScope="All India",TRUE,'RAW_AR_CONTENT'!$B295=SelectedScope),'RAW_AR_CONTENT'!R295,"")</f>
        <v>0</v>
      </c>
    </row>
    <row r="297" spans="1:18" ht="15" customHeight="1" x14ac:dyDescent="0.3">
      <c r="A297" s="9">
        <f>IF(IF(SelectedScope="All India",TRUE,'RAW_AR_CONTENT'!$B296=SelectedScope),'RAW_AR_CONTENT'!A296,"")</f>
        <v>293</v>
      </c>
      <c r="B297" s="9" t="str">
        <f>IF(IF(SelectedScope="All India",TRUE,'RAW_AR_CONTENT'!$B296=SelectedScope),'RAW_AR_CONTENT'!B296,"")</f>
        <v>Madhya Pradesh</v>
      </c>
      <c r="C297" s="9" t="str">
        <f>IF(IF(SelectedScope="All India",TRUE,'RAW_AR_CONTENT'!$B296=SelectedScope),'RAW_AR_CONTENT'!C296,"")</f>
        <v>Geography</v>
      </c>
      <c r="D297" s="9" t="str">
        <f>IF(IF(SelectedScope="All India",TRUE,'RAW_AR_CONTENT'!$B296=SelectedScope),'RAW_AR_CONTENT'!D296,"")</f>
        <v>Class 6</v>
      </c>
      <c r="E297" s="9" t="str">
        <f>IF(IF(SelectedScope="All India",TRUE,'RAW_AR_CONTENT'!$B296=SelectedScope),'RAW_AR_CONTENT'!E296,"")</f>
        <v>Water Cycle Simulation</v>
      </c>
      <c r="F297" s="9" t="str">
        <f>IF(IF(SelectedScope="All India",TRUE,'RAW_AR_CONTENT'!$B296=SelectedScope),'RAW_AR_CONTENT'!F296,"")</f>
        <v>Animated</v>
      </c>
      <c r="G297" s="9" t="str">
        <f>IF(IF(SelectedScope="All India",TRUE,'RAW_AR_CONTENT'!$B296=SelectedScope),'RAW_AR_CONTENT'!G296,"")</f>
        <v>Active</v>
      </c>
      <c r="H297" s="9">
        <f>IF(IF(SelectedScope="All India",TRUE,'RAW_AR_CONTENT'!$B296=SelectedScope),'RAW_AR_CONTENT'!H296,"")</f>
        <v>0</v>
      </c>
      <c r="I297" s="9">
        <f>IF(IF(SelectedScope="All India",TRUE,'RAW_AR_CONTENT'!$B296=SelectedScope),'RAW_AR_CONTENT'!I296,"")</f>
        <v>0</v>
      </c>
      <c r="J297" s="9">
        <f>IF(IF(SelectedScope="All India",TRUE,'RAW_AR_CONTENT'!$B296=SelectedScope),'RAW_AR_CONTENT'!J296,"")</f>
        <v>0</v>
      </c>
      <c r="K297" s="9">
        <f>IF(IF(SelectedScope="All India",TRUE,'RAW_AR_CONTENT'!$B296=SelectedScope),'RAW_AR_CONTENT'!K296,"")</f>
        <v>0</v>
      </c>
      <c r="L297" s="9">
        <f>IF(IF(SelectedScope="All India",TRUE,'RAW_AR_CONTENT'!$B296=SelectedScope),'RAW_AR_CONTENT'!L296,"")</f>
        <v>0</v>
      </c>
      <c r="M297" s="9">
        <f>IF(IF(SelectedScope="All India",TRUE,'RAW_AR_CONTENT'!$B296=SelectedScope),'RAW_AR_CONTENT'!M296,"")</f>
        <v>0</v>
      </c>
      <c r="N297" s="9">
        <f>IF(IF(SelectedScope="All India",TRUE,'RAW_AR_CONTENT'!$B296=SelectedScope),'RAW_AR_CONTENT'!N296,"")</f>
        <v>0</v>
      </c>
      <c r="O297" s="9">
        <f>IF(IF(SelectedScope="All India",TRUE,'RAW_AR_CONTENT'!$B296=SelectedScope),'RAW_AR_CONTENT'!O296,"")</f>
        <v>0</v>
      </c>
      <c r="P297" s="9">
        <f>IF(IF(SelectedScope="All India",TRUE,'RAW_AR_CONTENT'!$B296=SelectedScope),'RAW_AR_CONTENT'!P296,"")</f>
        <v>0</v>
      </c>
      <c r="Q297" s="9">
        <f>IF(IF(SelectedScope="All India",TRUE,'RAW_AR_CONTENT'!$B296=SelectedScope),'RAW_AR_CONTENT'!Q296,"")</f>
        <v>0</v>
      </c>
      <c r="R297" s="9">
        <f>IF(IF(SelectedScope="All India",TRUE,'RAW_AR_CONTENT'!$B296=SelectedScope),'RAW_AR_CONTENT'!R296,"")</f>
        <v>0</v>
      </c>
    </row>
    <row r="298" spans="1:18" ht="15" customHeight="1" x14ac:dyDescent="0.3">
      <c r="A298" s="12">
        <f>IF(IF(SelectedScope="All India",TRUE,'RAW_AR_CONTENT'!$B297=SelectedScope),'RAW_AR_CONTENT'!A297,"")</f>
        <v>294</v>
      </c>
      <c r="B298" s="12" t="str">
        <f>IF(IF(SelectedScope="All India",TRUE,'RAW_AR_CONTENT'!$B297=SelectedScope),'RAW_AR_CONTENT'!B297,"")</f>
        <v>Madhya Pradesh</v>
      </c>
      <c r="C298" s="12" t="str">
        <f>IF(IF(SelectedScope="All India",TRUE,'RAW_AR_CONTENT'!$B297=SelectedScope),'RAW_AR_CONTENT'!C297,"")</f>
        <v>Biology</v>
      </c>
      <c r="D298" s="12" t="str">
        <f>IF(IF(SelectedScope="All India",TRUE,'RAW_AR_CONTENT'!$B297=SelectedScope),'RAW_AR_CONTENT'!D297,"")</f>
        <v>Class 11</v>
      </c>
      <c r="E298" s="12" t="str">
        <f>IF(IF(SelectedScope="All India",TRUE,'RAW_AR_CONTENT'!$B297=SelectedScope),'RAW_AR_CONTENT'!E297,"")</f>
        <v>Human Anatomy AR</v>
      </c>
      <c r="F298" s="12" t="str">
        <f>IF(IF(SelectedScope="All India",TRUE,'RAW_AR_CONTENT'!$B297=SelectedScope),'RAW_AR_CONTENT'!F297,"")</f>
        <v>Fully Immersive</v>
      </c>
      <c r="G298" s="12" t="str">
        <f>IF(IF(SelectedScope="All India",TRUE,'RAW_AR_CONTENT'!$B297=SelectedScope),'RAW_AR_CONTENT'!G297,"")</f>
        <v>Active</v>
      </c>
      <c r="H298" s="12">
        <f>IF(IF(SelectedScope="All India",TRUE,'RAW_AR_CONTENT'!$B297=SelectedScope),'RAW_AR_CONTENT'!H297,"")</f>
        <v>0</v>
      </c>
      <c r="I298" s="12">
        <f>IF(IF(SelectedScope="All India",TRUE,'RAW_AR_CONTENT'!$B297=SelectedScope),'RAW_AR_CONTENT'!I297,"")</f>
        <v>0</v>
      </c>
      <c r="J298" s="12">
        <f>IF(IF(SelectedScope="All India",TRUE,'RAW_AR_CONTENT'!$B297=SelectedScope),'RAW_AR_CONTENT'!J297,"")</f>
        <v>0</v>
      </c>
      <c r="K298" s="12">
        <f>IF(IF(SelectedScope="All India",TRUE,'RAW_AR_CONTENT'!$B297=SelectedScope),'RAW_AR_CONTENT'!K297,"")</f>
        <v>0</v>
      </c>
      <c r="L298" s="12">
        <f>IF(IF(SelectedScope="All India",TRUE,'RAW_AR_CONTENT'!$B297=SelectedScope),'RAW_AR_CONTENT'!L297,"")</f>
        <v>0</v>
      </c>
      <c r="M298" s="12">
        <f>IF(IF(SelectedScope="All India",TRUE,'RAW_AR_CONTENT'!$B297=SelectedScope),'RAW_AR_CONTENT'!M297,"")</f>
        <v>0</v>
      </c>
      <c r="N298" s="12">
        <f>IF(IF(SelectedScope="All India",TRUE,'RAW_AR_CONTENT'!$B297=SelectedScope),'RAW_AR_CONTENT'!N297,"")</f>
        <v>0</v>
      </c>
      <c r="O298" s="12">
        <f>IF(IF(SelectedScope="All India",TRUE,'RAW_AR_CONTENT'!$B297=SelectedScope),'RAW_AR_CONTENT'!O297,"")</f>
        <v>0</v>
      </c>
      <c r="P298" s="12">
        <f>IF(IF(SelectedScope="All India",TRUE,'RAW_AR_CONTENT'!$B297=SelectedScope),'RAW_AR_CONTENT'!P297,"")</f>
        <v>0</v>
      </c>
      <c r="Q298" s="12">
        <f>IF(IF(SelectedScope="All India",TRUE,'RAW_AR_CONTENT'!$B297=SelectedScope),'RAW_AR_CONTENT'!Q297,"")</f>
        <v>0</v>
      </c>
      <c r="R298" s="12">
        <f>IF(IF(SelectedScope="All India",TRUE,'RAW_AR_CONTENT'!$B297=SelectedScope),'RAW_AR_CONTENT'!R297,"")</f>
        <v>0</v>
      </c>
    </row>
    <row r="299" spans="1:18" ht="15" customHeight="1" x14ac:dyDescent="0.3">
      <c r="A299" s="9">
        <f>IF(IF(SelectedScope="All India",TRUE,'RAW_AR_CONTENT'!$B298=SelectedScope),'RAW_AR_CONTENT'!A298,"")</f>
        <v>295</v>
      </c>
      <c r="B299" s="9" t="str">
        <f>IF(IF(SelectedScope="All India",TRUE,'RAW_AR_CONTENT'!$B298=SelectedScope),'RAW_AR_CONTENT'!B298,"")</f>
        <v>Madhya Pradesh</v>
      </c>
      <c r="C299" s="9" t="str">
        <f>IF(IF(SelectedScope="All India",TRUE,'RAW_AR_CONTENT'!$B298=SelectedScope),'RAW_AR_CONTENT'!C298,"")</f>
        <v>Physics</v>
      </c>
      <c r="D299" s="9" t="str">
        <f>IF(IF(SelectedScope="All India",TRUE,'RAW_AR_CONTENT'!$B298=SelectedScope),'RAW_AR_CONTENT'!D298,"")</f>
        <v>Class 9</v>
      </c>
      <c r="E299" s="9" t="str">
        <f>IF(IF(SelectedScope="All India",TRUE,'RAW_AR_CONTENT'!$B298=SelectedScope),'RAW_AR_CONTENT'!E298,"")</f>
        <v>Laws of Motion</v>
      </c>
      <c r="F299" s="9" t="str">
        <f>IF(IF(SelectedScope="All India",TRUE,'RAW_AR_CONTENT'!$B298=SelectedScope),'RAW_AR_CONTENT'!F298,"")</f>
        <v>Interactive</v>
      </c>
      <c r="G299" s="9" t="str">
        <f>IF(IF(SelectedScope="All India",TRUE,'RAW_AR_CONTENT'!$B298=SelectedScope),'RAW_AR_CONTENT'!G298,"")</f>
        <v>Active</v>
      </c>
      <c r="H299" s="9">
        <f>IF(IF(SelectedScope="All India",TRUE,'RAW_AR_CONTENT'!$B298=SelectedScope),'RAW_AR_CONTENT'!H298,"")</f>
        <v>0</v>
      </c>
      <c r="I299" s="9">
        <f>IF(IF(SelectedScope="All India",TRUE,'RAW_AR_CONTENT'!$B298=SelectedScope),'RAW_AR_CONTENT'!I298,"")</f>
        <v>0</v>
      </c>
      <c r="J299" s="9">
        <f>IF(IF(SelectedScope="All India",TRUE,'RAW_AR_CONTENT'!$B298=SelectedScope),'RAW_AR_CONTENT'!J298,"")</f>
        <v>0</v>
      </c>
      <c r="K299" s="9">
        <f>IF(IF(SelectedScope="All India",TRUE,'RAW_AR_CONTENT'!$B298=SelectedScope),'RAW_AR_CONTENT'!K298,"")</f>
        <v>0</v>
      </c>
      <c r="L299" s="9">
        <f>IF(IF(SelectedScope="All India",TRUE,'RAW_AR_CONTENT'!$B298=SelectedScope),'RAW_AR_CONTENT'!L298,"")</f>
        <v>0</v>
      </c>
      <c r="M299" s="9">
        <f>IF(IF(SelectedScope="All India",TRUE,'RAW_AR_CONTENT'!$B298=SelectedScope),'RAW_AR_CONTENT'!M298,"")</f>
        <v>0</v>
      </c>
      <c r="N299" s="9">
        <f>IF(IF(SelectedScope="All India",TRUE,'RAW_AR_CONTENT'!$B298=SelectedScope),'RAW_AR_CONTENT'!N298,"")</f>
        <v>0</v>
      </c>
      <c r="O299" s="9">
        <f>IF(IF(SelectedScope="All India",TRUE,'RAW_AR_CONTENT'!$B298=SelectedScope),'RAW_AR_CONTENT'!O298,"")</f>
        <v>0</v>
      </c>
      <c r="P299" s="9">
        <f>IF(IF(SelectedScope="All India",TRUE,'RAW_AR_CONTENT'!$B298=SelectedScope),'RAW_AR_CONTENT'!P298,"")</f>
        <v>0</v>
      </c>
      <c r="Q299" s="9">
        <f>IF(IF(SelectedScope="All India",TRUE,'RAW_AR_CONTENT'!$B298=SelectedScope),'RAW_AR_CONTENT'!Q298,"")</f>
        <v>0</v>
      </c>
      <c r="R299" s="9">
        <f>IF(IF(SelectedScope="All India",TRUE,'RAW_AR_CONTENT'!$B298=SelectedScope),'RAW_AR_CONTENT'!R298,"")</f>
        <v>0</v>
      </c>
    </row>
    <row r="300" spans="1:18" ht="15" customHeight="1" x14ac:dyDescent="0.3">
      <c r="A300" s="12">
        <f>IF(IF(SelectedScope="All India",TRUE,'RAW_AR_CONTENT'!$B299=SelectedScope),'RAW_AR_CONTENT'!A299,"")</f>
        <v>296</v>
      </c>
      <c r="B300" s="12" t="str">
        <f>IF(IF(SelectedScope="All India",TRUE,'RAW_AR_CONTENT'!$B299=SelectedScope),'RAW_AR_CONTENT'!B299,"")</f>
        <v>Madhya Pradesh</v>
      </c>
      <c r="C300" s="12" t="str">
        <f>IF(IF(SelectedScope="All India",TRUE,'RAW_AR_CONTENT'!$B299=SelectedScope),'RAW_AR_CONTENT'!C299,"")</f>
        <v>Chemistry</v>
      </c>
      <c r="D300" s="12" t="str">
        <f>IF(IF(SelectedScope="All India",TRUE,'RAW_AR_CONTENT'!$B299=SelectedScope),'RAW_AR_CONTENT'!D299,"")</f>
        <v>Class 11</v>
      </c>
      <c r="E300" s="12" t="str">
        <f>IF(IF(SelectedScope="All India",TRUE,'RAW_AR_CONTENT'!$B299=SelectedScope),'RAW_AR_CONTENT'!E299,"")</f>
        <v>Periodic Table 3D</v>
      </c>
      <c r="F300" s="12" t="str">
        <f>IF(IF(SelectedScope="All India",TRUE,'RAW_AR_CONTENT'!$B299=SelectedScope),'RAW_AR_CONTENT'!F299,"")</f>
        <v>Interactive</v>
      </c>
      <c r="G300" s="12" t="str">
        <f>IF(IF(SelectedScope="All India",TRUE,'RAW_AR_CONTENT'!$B299=SelectedScope),'RAW_AR_CONTENT'!G299,"")</f>
        <v>Active</v>
      </c>
      <c r="H300" s="12">
        <f>IF(IF(SelectedScope="All India",TRUE,'RAW_AR_CONTENT'!$B299=SelectedScope),'RAW_AR_CONTENT'!H299,"")</f>
        <v>0</v>
      </c>
      <c r="I300" s="12">
        <f>IF(IF(SelectedScope="All India",TRUE,'RAW_AR_CONTENT'!$B299=SelectedScope),'RAW_AR_CONTENT'!I299,"")</f>
        <v>0</v>
      </c>
      <c r="J300" s="12">
        <f>IF(IF(SelectedScope="All India",TRUE,'RAW_AR_CONTENT'!$B299=SelectedScope),'RAW_AR_CONTENT'!J299,"")</f>
        <v>0</v>
      </c>
      <c r="K300" s="12">
        <f>IF(IF(SelectedScope="All India",TRUE,'RAW_AR_CONTENT'!$B299=SelectedScope),'RAW_AR_CONTENT'!K299,"")</f>
        <v>0</v>
      </c>
      <c r="L300" s="12">
        <f>IF(IF(SelectedScope="All India",TRUE,'RAW_AR_CONTENT'!$B299=SelectedScope),'RAW_AR_CONTENT'!L299,"")</f>
        <v>0</v>
      </c>
      <c r="M300" s="12">
        <f>IF(IF(SelectedScope="All India",TRUE,'RAW_AR_CONTENT'!$B299=SelectedScope),'RAW_AR_CONTENT'!M299,"")</f>
        <v>0</v>
      </c>
      <c r="N300" s="12">
        <f>IF(IF(SelectedScope="All India",TRUE,'RAW_AR_CONTENT'!$B299=SelectedScope),'RAW_AR_CONTENT'!N299,"")</f>
        <v>0</v>
      </c>
      <c r="O300" s="12">
        <f>IF(IF(SelectedScope="All India",TRUE,'RAW_AR_CONTENT'!$B299=SelectedScope),'RAW_AR_CONTENT'!O299,"")</f>
        <v>0</v>
      </c>
      <c r="P300" s="12">
        <f>IF(IF(SelectedScope="All India",TRUE,'RAW_AR_CONTENT'!$B299=SelectedScope),'RAW_AR_CONTENT'!P299,"")</f>
        <v>0</v>
      </c>
      <c r="Q300" s="12">
        <f>IF(IF(SelectedScope="All India",TRUE,'RAW_AR_CONTENT'!$B299=SelectedScope),'RAW_AR_CONTENT'!Q299,"")</f>
        <v>0</v>
      </c>
      <c r="R300" s="12">
        <f>IF(IF(SelectedScope="All India",TRUE,'RAW_AR_CONTENT'!$B299=SelectedScope),'RAW_AR_CONTENT'!R299,"")</f>
        <v>0</v>
      </c>
    </row>
    <row r="301" spans="1:18" ht="15" customHeight="1" x14ac:dyDescent="0.3">
      <c r="A301" s="9">
        <f>IF(IF(SelectedScope="All India",TRUE,'RAW_AR_CONTENT'!$B300=SelectedScope),'RAW_AR_CONTENT'!A300,"")</f>
        <v>297</v>
      </c>
      <c r="B301" s="9" t="str">
        <f>IF(IF(SelectedScope="All India",TRUE,'RAW_AR_CONTENT'!$B300=SelectedScope),'RAW_AR_CONTENT'!B300,"")</f>
        <v>Madhya Pradesh</v>
      </c>
      <c r="C301" s="9" t="str">
        <f>IF(IF(SelectedScope="All India",TRUE,'RAW_AR_CONTENT'!$B300=SelectedScope),'RAW_AR_CONTENT'!C300,"")</f>
        <v>Physics</v>
      </c>
      <c r="D301" s="9" t="str">
        <f>IF(IF(SelectedScope="All India",TRUE,'RAW_AR_CONTENT'!$B300=SelectedScope),'RAW_AR_CONTENT'!D300,"")</f>
        <v>Class 10</v>
      </c>
      <c r="E301" s="9" t="str">
        <f>IF(IF(SelectedScope="All India",TRUE,'RAW_AR_CONTENT'!$B300=SelectedScope),'RAW_AR_CONTENT'!E300,"")</f>
        <v>Electricity Circuits</v>
      </c>
      <c r="F301" s="9" t="str">
        <f>IF(IF(SelectedScope="All India",TRUE,'RAW_AR_CONTENT'!$B300=SelectedScope),'RAW_AR_CONTENT'!F300,"")</f>
        <v>Interactive</v>
      </c>
      <c r="G301" s="9" t="str">
        <f>IF(IF(SelectedScope="All India",TRUE,'RAW_AR_CONTENT'!$B300=SelectedScope),'RAW_AR_CONTENT'!G300,"")</f>
        <v>Active</v>
      </c>
      <c r="H301" s="9">
        <f>IF(IF(SelectedScope="All India",TRUE,'RAW_AR_CONTENT'!$B300=SelectedScope),'RAW_AR_CONTENT'!H300,"")</f>
        <v>0</v>
      </c>
      <c r="I301" s="9">
        <f>IF(IF(SelectedScope="All India",TRUE,'RAW_AR_CONTENT'!$B300=SelectedScope),'RAW_AR_CONTENT'!I300,"")</f>
        <v>0</v>
      </c>
      <c r="J301" s="9">
        <f>IF(IF(SelectedScope="All India",TRUE,'RAW_AR_CONTENT'!$B300=SelectedScope),'RAW_AR_CONTENT'!J300,"")</f>
        <v>0</v>
      </c>
      <c r="K301" s="9">
        <f>IF(IF(SelectedScope="All India",TRUE,'RAW_AR_CONTENT'!$B300=SelectedScope),'RAW_AR_CONTENT'!K300,"")</f>
        <v>0</v>
      </c>
      <c r="L301" s="9">
        <f>IF(IF(SelectedScope="All India",TRUE,'RAW_AR_CONTENT'!$B300=SelectedScope),'RAW_AR_CONTENT'!L300,"")</f>
        <v>0</v>
      </c>
      <c r="M301" s="9">
        <f>IF(IF(SelectedScope="All India",TRUE,'RAW_AR_CONTENT'!$B300=SelectedScope),'RAW_AR_CONTENT'!M300,"")</f>
        <v>0</v>
      </c>
      <c r="N301" s="9">
        <f>IF(IF(SelectedScope="All India",TRUE,'RAW_AR_CONTENT'!$B300=SelectedScope),'RAW_AR_CONTENT'!N300,"")</f>
        <v>0</v>
      </c>
      <c r="O301" s="9">
        <f>IF(IF(SelectedScope="All India",TRUE,'RAW_AR_CONTENT'!$B300=SelectedScope),'RAW_AR_CONTENT'!O300,"")</f>
        <v>0</v>
      </c>
      <c r="P301" s="9">
        <f>IF(IF(SelectedScope="All India",TRUE,'RAW_AR_CONTENT'!$B300=SelectedScope),'RAW_AR_CONTENT'!P300,"")</f>
        <v>0</v>
      </c>
      <c r="Q301" s="9">
        <f>IF(IF(SelectedScope="All India",TRUE,'RAW_AR_CONTENT'!$B300=SelectedScope),'RAW_AR_CONTENT'!Q300,"")</f>
        <v>0</v>
      </c>
      <c r="R301" s="9">
        <f>IF(IF(SelectedScope="All India",TRUE,'RAW_AR_CONTENT'!$B300=SelectedScope),'RAW_AR_CONTENT'!R300,"")</f>
        <v>0</v>
      </c>
    </row>
    <row r="302" spans="1:18" ht="15" customHeight="1" x14ac:dyDescent="0.3">
      <c r="A302" s="12">
        <f>IF(IF(SelectedScope="All India",TRUE,'RAW_AR_CONTENT'!$B301=SelectedScope),'RAW_AR_CONTENT'!A301,"")</f>
        <v>298</v>
      </c>
      <c r="B302" s="12" t="str">
        <f>IF(IF(SelectedScope="All India",TRUE,'RAW_AR_CONTENT'!$B301=SelectedScope),'RAW_AR_CONTENT'!B301,"")</f>
        <v>Madhya Pradesh</v>
      </c>
      <c r="C302" s="12" t="str">
        <f>IF(IF(SelectedScope="All India",TRUE,'RAW_AR_CONTENT'!$B301=SelectedScope),'RAW_AR_CONTENT'!C301,"")</f>
        <v>Civics</v>
      </c>
      <c r="D302" s="12" t="str">
        <f>IF(IF(SelectedScope="All India",TRUE,'RAW_AR_CONTENT'!$B301=SelectedScope),'RAW_AR_CONTENT'!D301,"")</f>
        <v>Class 9</v>
      </c>
      <c r="E302" s="12" t="str">
        <f>IF(IF(SelectedScope="All India",TRUE,'RAW_AR_CONTENT'!$B301=SelectedScope),'RAW_AR_CONTENT'!E301,"")</f>
        <v>Indian Constitution</v>
      </c>
      <c r="F302" s="12" t="str">
        <f>IF(IF(SelectedScope="All India",TRUE,'RAW_AR_CONTENT'!$B301=SelectedScope),'RAW_AR_CONTENT'!F301,"")</f>
        <v>Basic 3D</v>
      </c>
      <c r="G302" s="12" t="str">
        <f>IF(IF(SelectedScope="All India",TRUE,'RAW_AR_CONTENT'!$B301=SelectedScope),'RAW_AR_CONTENT'!G301,"")</f>
        <v>Active</v>
      </c>
      <c r="H302" s="12">
        <f>IF(IF(SelectedScope="All India",TRUE,'RAW_AR_CONTENT'!$B301=SelectedScope),'RAW_AR_CONTENT'!H301,"")</f>
        <v>0</v>
      </c>
      <c r="I302" s="12">
        <f>IF(IF(SelectedScope="All India",TRUE,'RAW_AR_CONTENT'!$B301=SelectedScope),'RAW_AR_CONTENT'!I301,"")</f>
        <v>0</v>
      </c>
      <c r="J302" s="12">
        <f>IF(IF(SelectedScope="All India",TRUE,'RAW_AR_CONTENT'!$B301=SelectedScope),'RAW_AR_CONTENT'!J301,"")</f>
        <v>0</v>
      </c>
      <c r="K302" s="12">
        <f>IF(IF(SelectedScope="All India",TRUE,'RAW_AR_CONTENT'!$B301=SelectedScope),'RAW_AR_CONTENT'!K301,"")</f>
        <v>0</v>
      </c>
      <c r="L302" s="12">
        <f>IF(IF(SelectedScope="All India",TRUE,'RAW_AR_CONTENT'!$B301=SelectedScope),'RAW_AR_CONTENT'!L301,"")</f>
        <v>0</v>
      </c>
      <c r="M302" s="12">
        <f>IF(IF(SelectedScope="All India",TRUE,'RAW_AR_CONTENT'!$B301=SelectedScope),'RAW_AR_CONTENT'!M301,"")</f>
        <v>0</v>
      </c>
      <c r="N302" s="12">
        <f>IF(IF(SelectedScope="All India",TRUE,'RAW_AR_CONTENT'!$B301=SelectedScope),'RAW_AR_CONTENT'!N301,"")</f>
        <v>0</v>
      </c>
      <c r="O302" s="12">
        <f>IF(IF(SelectedScope="All India",TRUE,'RAW_AR_CONTENT'!$B301=SelectedScope),'RAW_AR_CONTENT'!O301,"")</f>
        <v>0</v>
      </c>
      <c r="P302" s="12">
        <f>IF(IF(SelectedScope="All India",TRUE,'RAW_AR_CONTENT'!$B301=SelectedScope),'RAW_AR_CONTENT'!P301,"")</f>
        <v>0</v>
      </c>
      <c r="Q302" s="12">
        <f>IF(IF(SelectedScope="All India",TRUE,'RAW_AR_CONTENT'!$B301=SelectedScope),'RAW_AR_CONTENT'!Q301,"")</f>
        <v>0</v>
      </c>
      <c r="R302" s="12">
        <f>IF(IF(SelectedScope="All India",TRUE,'RAW_AR_CONTENT'!$B301=SelectedScope),'RAW_AR_CONTENT'!R301,"")</f>
        <v>0</v>
      </c>
    </row>
    <row r="303" spans="1:18" ht="15" customHeight="1" x14ac:dyDescent="0.3">
      <c r="A303" s="9">
        <f>IF(IF(SelectedScope="All India",TRUE,'RAW_AR_CONTENT'!$B302=SelectedScope),'RAW_AR_CONTENT'!A302,"")</f>
        <v>299</v>
      </c>
      <c r="B303" s="9" t="str">
        <f>IF(IF(SelectedScope="All India",TRUE,'RAW_AR_CONTENT'!$B302=SelectedScope),'RAW_AR_CONTENT'!B302,"")</f>
        <v>Madhya Pradesh</v>
      </c>
      <c r="C303" s="9" t="str">
        <f>IF(IF(SelectedScope="All India",TRUE,'RAW_AR_CONTENT'!$B302=SelectedScope),'RAW_AR_CONTENT'!C302,"")</f>
        <v>Environmental Science</v>
      </c>
      <c r="D303" s="9" t="str">
        <f>IF(IF(SelectedScope="All India",TRUE,'RAW_AR_CONTENT'!$B302=SelectedScope),'RAW_AR_CONTENT'!D302,"")</f>
        <v>Class 6</v>
      </c>
      <c r="E303" s="9" t="str">
        <f>IF(IF(SelectedScope="All India",TRUE,'RAW_AR_CONTENT'!$B302=SelectedScope),'RAW_AR_CONTENT'!E302,"")</f>
        <v>Food Chain</v>
      </c>
      <c r="F303" s="9" t="str">
        <f>IF(IF(SelectedScope="All India",TRUE,'RAW_AR_CONTENT'!$B302=SelectedScope),'RAW_AR_CONTENT'!F302,"")</f>
        <v>Animated</v>
      </c>
      <c r="G303" s="9" t="str">
        <f>IF(IF(SelectedScope="All India",TRUE,'RAW_AR_CONTENT'!$B302=SelectedScope),'RAW_AR_CONTENT'!G302,"")</f>
        <v>Active</v>
      </c>
      <c r="H303" s="9">
        <f>IF(IF(SelectedScope="All India",TRUE,'RAW_AR_CONTENT'!$B302=SelectedScope),'RAW_AR_CONTENT'!H302,"")</f>
        <v>0</v>
      </c>
      <c r="I303" s="9">
        <f>IF(IF(SelectedScope="All India",TRUE,'RAW_AR_CONTENT'!$B302=SelectedScope),'RAW_AR_CONTENT'!I302,"")</f>
        <v>0</v>
      </c>
      <c r="J303" s="9">
        <f>IF(IF(SelectedScope="All India",TRUE,'RAW_AR_CONTENT'!$B302=SelectedScope),'RAW_AR_CONTENT'!J302,"")</f>
        <v>0</v>
      </c>
      <c r="K303" s="9">
        <f>IF(IF(SelectedScope="All India",TRUE,'RAW_AR_CONTENT'!$B302=SelectedScope),'RAW_AR_CONTENT'!K302,"")</f>
        <v>0</v>
      </c>
      <c r="L303" s="9">
        <f>IF(IF(SelectedScope="All India",TRUE,'RAW_AR_CONTENT'!$B302=SelectedScope),'RAW_AR_CONTENT'!L302,"")</f>
        <v>0</v>
      </c>
      <c r="M303" s="9">
        <f>IF(IF(SelectedScope="All India",TRUE,'RAW_AR_CONTENT'!$B302=SelectedScope),'RAW_AR_CONTENT'!M302,"")</f>
        <v>0</v>
      </c>
      <c r="N303" s="9">
        <f>IF(IF(SelectedScope="All India",TRUE,'RAW_AR_CONTENT'!$B302=SelectedScope),'RAW_AR_CONTENT'!N302,"")</f>
        <v>0</v>
      </c>
      <c r="O303" s="9">
        <f>IF(IF(SelectedScope="All India",TRUE,'RAW_AR_CONTENT'!$B302=SelectedScope),'RAW_AR_CONTENT'!O302,"")</f>
        <v>0</v>
      </c>
      <c r="P303" s="9">
        <f>IF(IF(SelectedScope="All India",TRUE,'RAW_AR_CONTENT'!$B302=SelectedScope),'RAW_AR_CONTENT'!P302,"")</f>
        <v>0</v>
      </c>
      <c r="Q303" s="9">
        <f>IF(IF(SelectedScope="All India",TRUE,'RAW_AR_CONTENT'!$B302=SelectedScope),'RAW_AR_CONTENT'!Q302,"")</f>
        <v>0</v>
      </c>
      <c r="R303" s="9">
        <f>IF(IF(SelectedScope="All India",TRUE,'RAW_AR_CONTENT'!$B302=SelectedScope),'RAW_AR_CONTENT'!R302,"")</f>
        <v>0</v>
      </c>
    </row>
    <row r="304" spans="1:18" ht="15" customHeight="1" x14ac:dyDescent="0.3">
      <c r="A304" s="12">
        <f>IF(IF(SelectedScope="All India",TRUE,'RAW_AR_CONTENT'!$B303=SelectedScope),'RAW_AR_CONTENT'!A303,"")</f>
        <v>300</v>
      </c>
      <c r="B304" s="12" t="str">
        <f>IF(IF(SelectedScope="All India",TRUE,'RAW_AR_CONTENT'!$B303=SelectedScope),'RAW_AR_CONTENT'!B303,"")</f>
        <v>Madhya Pradesh</v>
      </c>
      <c r="C304" s="12" t="str">
        <f>IF(IF(SelectedScope="All India",TRUE,'RAW_AR_CONTENT'!$B303=SelectedScope),'RAW_AR_CONTENT'!C303,"")</f>
        <v>Mathematics</v>
      </c>
      <c r="D304" s="12" t="str">
        <f>IF(IF(SelectedScope="All India",TRUE,'RAW_AR_CONTENT'!$B303=SelectedScope),'RAW_AR_CONTENT'!D303,"")</f>
        <v>Class 10</v>
      </c>
      <c r="E304" s="12" t="str">
        <f>IF(IF(SelectedScope="All India",TRUE,'RAW_AR_CONTENT'!$B303=SelectedScope),'RAW_AR_CONTENT'!E303,"")</f>
        <v>Quadratic Equations</v>
      </c>
      <c r="F304" s="12" t="str">
        <f>IF(IF(SelectedScope="All India",TRUE,'RAW_AR_CONTENT'!$B303=SelectedScope),'RAW_AR_CONTENT'!F303,"")</f>
        <v>Animated</v>
      </c>
      <c r="G304" s="12" t="str">
        <f>IF(IF(SelectedScope="All India",TRUE,'RAW_AR_CONTENT'!$B303=SelectedScope),'RAW_AR_CONTENT'!G303,"")</f>
        <v>Active</v>
      </c>
      <c r="H304" s="12">
        <f>IF(IF(SelectedScope="All India",TRUE,'RAW_AR_CONTENT'!$B303=SelectedScope),'RAW_AR_CONTENT'!H303,"")</f>
        <v>0</v>
      </c>
      <c r="I304" s="12">
        <f>IF(IF(SelectedScope="All India",TRUE,'RAW_AR_CONTENT'!$B303=SelectedScope),'RAW_AR_CONTENT'!I303,"")</f>
        <v>0</v>
      </c>
      <c r="J304" s="12">
        <f>IF(IF(SelectedScope="All India",TRUE,'RAW_AR_CONTENT'!$B303=SelectedScope),'RAW_AR_CONTENT'!J303,"")</f>
        <v>0</v>
      </c>
      <c r="K304" s="12">
        <f>IF(IF(SelectedScope="All India",TRUE,'RAW_AR_CONTENT'!$B303=SelectedScope),'RAW_AR_CONTENT'!K303,"")</f>
        <v>0</v>
      </c>
      <c r="L304" s="12">
        <f>IF(IF(SelectedScope="All India",TRUE,'RAW_AR_CONTENT'!$B303=SelectedScope),'RAW_AR_CONTENT'!L303,"")</f>
        <v>0</v>
      </c>
      <c r="M304" s="12">
        <f>IF(IF(SelectedScope="All India",TRUE,'RAW_AR_CONTENT'!$B303=SelectedScope),'RAW_AR_CONTENT'!M303,"")</f>
        <v>0</v>
      </c>
      <c r="N304" s="12">
        <f>IF(IF(SelectedScope="All India",TRUE,'RAW_AR_CONTENT'!$B303=SelectedScope),'RAW_AR_CONTENT'!N303,"")</f>
        <v>0</v>
      </c>
      <c r="O304" s="12">
        <f>IF(IF(SelectedScope="All India",TRUE,'RAW_AR_CONTENT'!$B303=SelectedScope),'RAW_AR_CONTENT'!O303,"")</f>
        <v>0</v>
      </c>
      <c r="P304" s="12">
        <f>IF(IF(SelectedScope="All India",TRUE,'RAW_AR_CONTENT'!$B303=SelectedScope),'RAW_AR_CONTENT'!P303,"")</f>
        <v>0</v>
      </c>
      <c r="Q304" s="12">
        <f>IF(IF(SelectedScope="All India",TRUE,'RAW_AR_CONTENT'!$B303=SelectedScope),'RAW_AR_CONTENT'!Q303,"")</f>
        <v>0</v>
      </c>
      <c r="R304" s="12">
        <f>IF(IF(SelectedScope="All India",TRUE,'RAW_AR_CONTENT'!$B303=SelectedScope),'RAW_AR_CONTENT'!R303,"")</f>
        <v>0</v>
      </c>
    </row>
    <row r="305" spans="1:18" ht="15" customHeight="1" x14ac:dyDescent="0.3">
      <c r="A305" s="9">
        <f>IF(IF(SelectedScope="All India",TRUE,'RAW_AR_CONTENT'!$B304=SelectedScope),'RAW_AR_CONTENT'!A304,"")</f>
        <v>301</v>
      </c>
      <c r="B305" s="9" t="str">
        <f>IF(IF(SelectedScope="All India",TRUE,'RAW_AR_CONTENT'!$B304=SelectedScope),'RAW_AR_CONTENT'!B304,"")</f>
        <v>Maharashtra</v>
      </c>
      <c r="C305" s="9" t="str">
        <f>IF(IF(SelectedScope="All India",TRUE,'RAW_AR_CONTENT'!$B304=SelectedScope),'RAW_AR_CONTENT'!C304,"")</f>
        <v>Science</v>
      </c>
      <c r="D305" s="9" t="str">
        <f>IF(IF(SelectedScope="All India",TRUE,'RAW_AR_CONTENT'!$B304=SelectedScope),'RAW_AR_CONTENT'!D304,"")</f>
        <v>Class 8</v>
      </c>
      <c r="E305" s="9" t="str">
        <f>IF(IF(SelectedScope="All India",TRUE,'RAW_AR_CONTENT'!$B304=SelectedScope),'RAW_AR_CONTENT'!E304,"")</f>
        <v>Solar System 3D</v>
      </c>
      <c r="F305" s="9" t="str">
        <f>IF(IF(SelectedScope="All India",TRUE,'RAW_AR_CONTENT'!$B304=SelectedScope),'RAW_AR_CONTENT'!F304,"")</f>
        <v>Animated</v>
      </c>
      <c r="G305" s="9" t="str">
        <f>IF(IF(SelectedScope="All India",TRUE,'RAW_AR_CONTENT'!$B304=SelectedScope),'RAW_AR_CONTENT'!G304,"")</f>
        <v>Active</v>
      </c>
      <c r="H305" s="9">
        <f>IF(IF(SelectedScope="All India",TRUE,'RAW_AR_CONTENT'!$B304=SelectedScope),'RAW_AR_CONTENT'!H304,"")</f>
        <v>0</v>
      </c>
      <c r="I305" s="9">
        <f>IF(IF(SelectedScope="All India",TRUE,'RAW_AR_CONTENT'!$B304=SelectedScope),'RAW_AR_CONTENT'!I304,"")</f>
        <v>0</v>
      </c>
      <c r="J305" s="9">
        <f>IF(IF(SelectedScope="All India",TRUE,'RAW_AR_CONTENT'!$B304=SelectedScope),'RAW_AR_CONTENT'!J304,"")</f>
        <v>0</v>
      </c>
      <c r="K305" s="9">
        <f>IF(IF(SelectedScope="All India",TRUE,'RAW_AR_CONTENT'!$B304=SelectedScope),'RAW_AR_CONTENT'!K304,"")</f>
        <v>0</v>
      </c>
      <c r="L305" s="9">
        <f>IF(IF(SelectedScope="All India",TRUE,'RAW_AR_CONTENT'!$B304=SelectedScope),'RAW_AR_CONTENT'!L304,"")</f>
        <v>0</v>
      </c>
      <c r="M305" s="9">
        <f>IF(IF(SelectedScope="All India",TRUE,'RAW_AR_CONTENT'!$B304=SelectedScope),'RAW_AR_CONTENT'!M304,"")</f>
        <v>0</v>
      </c>
      <c r="N305" s="9">
        <f>IF(IF(SelectedScope="All India",TRUE,'RAW_AR_CONTENT'!$B304=SelectedScope),'RAW_AR_CONTENT'!N304,"")</f>
        <v>0</v>
      </c>
      <c r="O305" s="9">
        <f>IF(IF(SelectedScope="All India",TRUE,'RAW_AR_CONTENT'!$B304=SelectedScope),'RAW_AR_CONTENT'!O304,"")</f>
        <v>0</v>
      </c>
      <c r="P305" s="9">
        <f>IF(IF(SelectedScope="All India",TRUE,'RAW_AR_CONTENT'!$B304=SelectedScope),'RAW_AR_CONTENT'!P304,"")</f>
        <v>0</v>
      </c>
      <c r="Q305" s="9">
        <f>IF(IF(SelectedScope="All India",TRUE,'RAW_AR_CONTENT'!$B304=SelectedScope),'RAW_AR_CONTENT'!Q304,"")</f>
        <v>0</v>
      </c>
      <c r="R305" s="9">
        <f>IF(IF(SelectedScope="All India",TRUE,'RAW_AR_CONTENT'!$B304=SelectedScope),'RAW_AR_CONTENT'!R304,"")</f>
        <v>0</v>
      </c>
    </row>
    <row r="306" spans="1:18" ht="15" customHeight="1" x14ac:dyDescent="0.3">
      <c r="A306" s="12">
        <f>IF(IF(SelectedScope="All India",TRUE,'RAW_AR_CONTENT'!$B305=SelectedScope),'RAW_AR_CONTENT'!A305,"")</f>
        <v>302</v>
      </c>
      <c r="B306" s="12" t="str">
        <f>IF(IF(SelectedScope="All India",TRUE,'RAW_AR_CONTENT'!$B305=SelectedScope),'RAW_AR_CONTENT'!B305,"")</f>
        <v>Maharashtra</v>
      </c>
      <c r="C306" s="12" t="str">
        <f>IF(IF(SelectedScope="All India",TRUE,'RAW_AR_CONTENT'!$B305=SelectedScope),'RAW_AR_CONTENT'!C305,"")</f>
        <v>Biology</v>
      </c>
      <c r="D306" s="12" t="str">
        <f>IF(IF(SelectedScope="All India",TRUE,'RAW_AR_CONTENT'!$B305=SelectedScope),'RAW_AR_CONTENT'!D305,"")</f>
        <v>Class 9</v>
      </c>
      <c r="E306" s="12" t="str">
        <f>IF(IF(SelectedScope="All India",TRUE,'RAW_AR_CONTENT'!$B305=SelectedScope),'RAW_AR_CONTENT'!E305,"")</f>
        <v>Cell Division</v>
      </c>
      <c r="F306" s="12" t="str">
        <f>IF(IF(SelectedScope="All India",TRUE,'RAW_AR_CONTENT'!$B305=SelectedScope),'RAW_AR_CONTENT'!F305,"")</f>
        <v>Interactive</v>
      </c>
      <c r="G306" s="12" t="str">
        <f>IF(IF(SelectedScope="All India",TRUE,'RAW_AR_CONTENT'!$B305=SelectedScope),'RAW_AR_CONTENT'!G305,"")</f>
        <v>Active</v>
      </c>
      <c r="H306" s="12">
        <f>IF(IF(SelectedScope="All India",TRUE,'RAW_AR_CONTENT'!$B305=SelectedScope),'RAW_AR_CONTENT'!H305,"")</f>
        <v>0</v>
      </c>
      <c r="I306" s="12">
        <f>IF(IF(SelectedScope="All India",TRUE,'RAW_AR_CONTENT'!$B305=SelectedScope),'RAW_AR_CONTENT'!I305,"")</f>
        <v>0</v>
      </c>
      <c r="J306" s="12">
        <f>IF(IF(SelectedScope="All India",TRUE,'RAW_AR_CONTENT'!$B305=SelectedScope),'RAW_AR_CONTENT'!J305,"")</f>
        <v>0</v>
      </c>
      <c r="K306" s="12">
        <f>IF(IF(SelectedScope="All India",TRUE,'RAW_AR_CONTENT'!$B305=SelectedScope),'RAW_AR_CONTENT'!K305,"")</f>
        <v>0</v>
      </c>
      <c r="L306" s="12">
        <f>IF(IF(SelectedScope="All India",TRUE,'RAW_AR_CONTENT'!$B305=SelectedScope),'RAW_AR_CONTENT'!L305,"")</f>
        <v>0</v>
      </c>
      <c r="M306" s="12">
        <f>IF(IF(SelectedScope="All India",TRUE,'RAW_AR_CONTENT'!$B305=SelectedScope),'RAW_AR_CONTENT'!M305,"")</f>
        <v>0</v>
      </c>
      <c r="N306" s="12">
        <f>IF(IF(SelectedScope="All India",TRUE,'RAW_AR_CONTENT'!$B305=SelectedScope),'RAW_AR_CONTENT'!N305,"")</f>
        <v>0</v>
      </c>
      <c r="O306" s="12">
        <f>IF(IF(SelectedScope="All India",TRUE,'RAW_AR_CONTENT'!$B305=SelectedScope),'RAW_AR_CONTENT'!O305,"")</f>
        <v>0</v>
      </c>
      <c r="P306" s="12">
        <f>IF(IF(SelectedScope="All India",TRUE,'RAW_AR_CONTENT'!$B305=SelectedScope),'RAW_AR_CONTENT'!P305,"")</f>
        <v>0</v>
      </c>
      <c r="Q306" s="12">
        <f>IF(IF(SelectedScope="All India",TRUE,'RAW_AR_CONTENT'!$B305=SelectedScope),'RAW_AR_CONTENT'!Q305,"")</f>
        <v>0</v>
      </c>
      <c r="R306" s="12">
        <f>IF(IF(SelectedScope="All India",TRUE,'RAW_AR_CONTENT'!$B305=SelectedScope),'RAW_AR_CONTENT'!R305,"")</f>
        <v>0</v>
      </c>
    </row>
    <row r="307" spans="1:18" ht="15" customHeight="1" x14ac:dyDescent="0.3">
      <c r="A307" s="9">
        <f>IF(IF(SelectedScope="All India",TRUE,'RAW_AR_CONTENT'!$B306=SelectedScope),'RAW_AR_CONTENT'!A306,"")</f>
        <v>303</v>
      </c>
      <c r="B307" s="9" t="str">
        <f>IF(IF(SelectedScope="All India",TRUE,'RAW_AR_CONTENT'!$B306=SelectedScope),'RAW_AR_CONTENT'!B306,"")</f>
        <v>Maharashtra</v>
      </c>
      <c r="C307" s="9" t="str">
        <f>IF(IF(SelectedScope="All India",TRUE,'RAW_AR_CONTENT'!$B306=SelectedScope),'RAW_AR_CONTENT'!C306,"")</f>
        <v>Chemistry</v>
      </c>
      <c r="D307" s="9" t="str">
        <f>IF(IF(SelectedScope="All India",TRUE,'RAW_AR_CONTENT'!$B306=SelectedScope),'RAW_AR_CONTENT'!D306,"")</f>
        <v>Class 9</v>
      </c>
      <c r="E307" s="9" t="str">
        <f>IF(IF(SelectedScope="All India",TRUE,'RAW_AR_CONTENT'!$B306=SelectedScope),'RAW_AR_CONTENT'!E306,"")</f>
        <v>Atoms and Molecules</v>
      </c>
      <c r="F307" s="9" t="str">
        <f>IF(IF(SelectedScope="All India",TRUE,'RAW_AR_CONTENT'!$B306=SelectedScope),'RAW_AR_CONTENT'!F306,"")</f>
        <v>Animated</v>
      </c>
      <c r="G307" s="9" t="str">
        <f>IF(IF(SelectedScope="All India",TRUE,'RAW_AR_CONTENT'!$B306=SelectedScope),'RAW_AR_CONTENT'!G306,"")</f>
        <v>Active</v>
      </c>
      <c r="H307" s="9">
        <f>IF(IF(SelectedScope="All India",TRUE,'RAW_AR_CONTENT'!$B306=SelectedScope),'RAW_AR_CONTENT'!H306,"")</f>
        <v>0</v>
      </c>
      <c r="I307" s="9">
        <f>IF(IF(SelectedScope="All India",TRUE,'RAW_AR_CONTENT'!$B306=SelectedScope),'RAW_AR_CONTENT'!I306,"")</f>
        <v>0</v>
      </c>
      <c r="J307" s="9">
        <f>IF(IF(SelectedScope="All India",TRUE,'RAW_AR_CONTENT'!$B306=SelectedScope),'RAW_AR_CONTENT'!J306,"")</f>
        <v>0</v>
      </c>
      <c r="K307" s="9">
        <f>IF(IF(SelectedScope="All India",TRUE,'RAW_AR_CONTENT'!$B306=SelectedScope),'RAW_AR_CONTENT'!K306,"")</f>
        <v>0</v>
      </c>
      <c r="L307" s="9">
        <f>IF(IF(SelectedScope="All India",TRUE,'RAW_AR_CONTENT'!$B306=SelectedScope),'RAW_AR_CONTENT'!L306,"")</f>
        <v>0</v>
      </c>
      <c r="M307" s="9">
        <f>IF(IF(SelectedScope="All India",TRUE,'RAW_AR_CONTENT'!$B306=SelectedScope),'RAW_AR_CONTENT'!M306,"")</f>
        <v>0</v>
      </c>
      <c r="N307" s="9">
        <f>IF(IF(SelectedScope="All India",TRUE,'RAW_AR_CONTENT'!$B306=SelectedScope),'RAW_AR_CONTENT'!N306,"")</f>
        <v>0</v>
      </c>
      <c r="O307" s="9">
        <f>IF(IF(SelectedScope="All India",TRUE,'RAW_AR_CONTENT'!$B306=SelectedScope),'RAW_AR_CONTENT'!O306,"")</f>
        <v>0</v>
      </c>
      <c r="P307" s="9">
        <f>IF(IF(SelectedScope="All India",TRUE,'RAW_AR_CONTENT'!$B306=SelectedScope),'RAW_AR_CONTENT'!P306,"")</f>
        <v>0</v>
      </c>
      <c r="Q307" s="9">
        <f>IF(IF(SelectedScope="All India",TRUE,'RAW_AR_CONTENT'!$B306=SelectedScope),'RAW_AR_CONTENT'!Q306,"")</f>
        <v>0</v>
      </c>
      <c r="R307" s="9">
        <f>IF(IF(SelectedScope="All India",TRUE,'RAW_AR_CONTENT'!$B306=SelectedScope),'RAW_AR_CONTENT'!R306,"")</f>
        <v>0</v>
      </c>
    </row>
    <row r="308" spans="1:18" ht="15" customHeight="1" x14ac:dyDescent="0.3">
      <c r="A308" s="12">
        <f>IF(IF(SelectedScope="All India",TRUE,'RAW_AR_CONTENT'!$B307=SelectedScope),'RAW_AR_CONTENT'!A307,"")</f>
        <v>304</v>
      </c>
      <c r="B308" s="12" t="str">
        <f>IF(IF(SelectedScope="All India",TRUE,'RAW_AR_CONTENT'!$B307=SelectedScope),'RAW_AR_CONTENT'!B307,"")</f>
        <v>Maharashtra</v>
      </c>
      <c r="C308" s="12" t="str">
        <f>IF(IF(SelectedScope="All India",TRUE,'RAW_AR_CONTENT'!$B307=SelectedScope),'RAW_AR_CONTENT'!C307,"")</f>
        <v>Biology</v>
      </c>
      <c r="D308" s="12" t="str">
        <f>IF(IF(SelectedScope="All India",TRUE,'RAW_AR_CONTENT'!$B307=SelectedScope),'RAW_AR_CONTENT'!D307,"")</f>
        <v>Class 7</v>
      </c>
      <c r="E308" s="12" t="str">
        <f>IF(IF(SelectedScope="All India",TRUE,'RAW_AR_CONTENT'!$B307=SelectedScope),'RAW_AR_CONTENT'!E307,"")</f>
        <v>Photosynthesis</v>
      </c>
      <c r="F308" s="12" t="str">
        <f>IF(IF(SelectedScope="All India",TRUE,'RAW_AR_CONTENT'!$B307=SelectedScope),'RAW_AR_CONTENT'!F307,"")</f>
        <v>Basic 3D</v>
      </c>
      <c r="G308" s="12" t="str">
        <f>IF(IF(SelectedScope="All India",TRUE,'RAW_AR_CONTENT'!$B307=SelectedScope),'RAW_AR_CONTENT'!G307,"")</f>
        <v>Active</v>
      </c>
      <c r="H308" s="12">
        <f>IF(IF(SelectedScope="All India",TRUE,'RAW_AR_CONTENT'!$B307=SelectedScope),'RAW_AR_CONTENT'!H307,"")</f>
        <v>0</v>
      </c>
      <c r="I308" s="12">
        <f>IF(IF(SelectedScope="All India",TRUE,'RAW_AR_CONTENT'!$B307=SelectedScope),'RAW_AR_CONTENT'!I307,"")</f>
        <v>0</v>
      </c>
      <c r="J308" s="12">
        <f>IF(IF(SelectedScope="All India",TRUE,'RAW_AR_CONTENT'!$B307=SelectedScope),'RAW_AR_CONTENT'!J307,"")</f>
        <v>0</v>
      </c>
      <c r="K308" s="12">
        <f>IF(IF(SelectedScope="All India",TRUE,'RAW_AR_CONTENT'!$B307=SelectedScope),'RAW_AR_CONTENT'!K307,"")</f>
        <v>0</v>
      </c>
      <c r="L308" s="12">
        <f>IF(IF(SelectedScope="All India",TRUE,'RAW_AR_CONTENT'!$B307=SelectedScope),'RAW_AR_CONTENT'!L307,"")</f>
        <v>0</v>
      </c>
      <c r="M308" s="12">
        <f>IF(IF(SelectedScope="All India",TRUE,'RAW_AR_CONTENT'!$B307=SelectedScope),'RAW_AR_CONTENT'!M307,"")</f>
        <v>0</v>
      </c>
      <c r="N308" s="12">
        <f>IF(IF(SelectedScope="All India",TRUE,'RAW_AR_CONTENT'!$B307=SelectedScope),'RAW_AR_CONTENT'!N307,"")</f>
        <v>0</v>
      </c>
      <c r="O308" s="12">
        <f>IF(IF(SelectedScope="All India",TRUE,'RAW_AR_CONTENT'!$B307=SelectedScope),'RAW_AR_CONTENT'!O307,"")</f>
        <v>0</v>
      </c>
      <c r="P308" s="12">
        <f>IF(IF(SelectedScope="All India",TRUE,'RAW_AR_CONTENT'!$B307=SelectedScope),'RAW_AR_CONTENT'!P307,"")</f>
        <v>0</v>
      </c>
      <c r="Q308" s="12">
        <f>IF(IF(SelectedScope="All India",TRUE,'RAW_AR_CONTENT'!$B307=SelectedScope),'RAW_AR_CONTENT'!Q307,"")</f>
        <v>0</v>
      </c>
      <c r="R308" s="12">
        <f>IF(IF(SelectedScope="All India",TRUE,'RAW_AR_CONTENT'!$B307=SelectedScope),'RAW_AR_CONTENT'!R307,"")</f>
        <v>0</v>
      </c>
    </row>
    <row r="309" spans="1:18" ht="15" customHeight="1" x14ac:dyDescent="0.3">
      <c r="A309" s="9">
        <f>IF(IF(SelectedScope="All India",TRUE,'RAW_AR_CONTENT'!$B308=SelectedScope),'RAW_AR_CONTENT'!A308,"")</f>
        <v>305</v>
      </c>
      <c r="B309" s="9" t="str">
        <f>IF(IF(SelectedScope="All India",TRUE,'RAW_AR_CONTENT'!$B308=SelectedScope),'RAW_AR_CONTENT'!B308,"")</f>
        <v>Maharashtra</v>
      </c>
      <c r="C309" s="9" t="str">
        <f>IF(IF(SelectedScope="All India",TRUE,'RAW_AR_CONTENT'!$B308=SelectedScope),'RAW_AR_CONTENT'!C308,"")</f>
        <v>Mathematics</v>
      </c>
      <c r="D309" s="9" t="str">
        <f>IF(IF(SelectedScope="All India",TRUE,'RAW_AR_CONTENT'!$B308=SelectedScope),'RAW_AR_CONTENT'!D308,"")</f>
        <v>Class 7</v>
      </c>
      <c r="E309" s="9" t="str">
        <f>IF(IF(SelectedScope="All India",TRUE,'RAW_AR_CONTENT'!$B308=SelectedScope),'RAW_AR_CONTENT'!E308,"")</f>
        <v>Fractions 3D Model</v>
      </c>
      <c r="F309" s="9" t="str">
        <f>IF(IF(SelectedScope="All India",TRUE,'RAW_AR_CONTENT'!$B308=SelectedScope),'RAW_AR_CONTENT'!F308,"")</f>
        <v>Interactive</v>
      </c>
      <c r="G309" s="9" t="str">
        <f>IF(IF(SelectedScope="All India",TRUE,'RAW_AR_CONTENT'!$B308=SelectedScope),'RAW_AR_CONTENT'!G308,"")</f>
        <v>Active</v>
      </c>
      <c r="H309" s="9">
        <f>IF(IF(SelectedScope="All India",TRUE,'RAW_AR_CONTENT'!$B308=SelectedScope),'RAW_AR_CONTENT'!H308,"")</f>
        <v>0</v>
      </c>
      <c r="I309" s="9">
        <f>IF(IF(SelectedScope="All India",TRUE,'RAW_AR_CONTENT'!$B308=SelectedScope),'RAW_AR_CONTENT'!I308,"")</f>
        <v>0</v>
      </c>
      <c r="J309" s="9">
        <f>IF(IF(SelectedScope="All India",TRUE,'RAW_AR_CONTENT'!$B308=SelectedScope),'RAW_AR_CONTENT'!J308,"")</f>
        <v>0</v>
      </c>
      <c r="K309" s="9">
        <f>IF(IF(SelectedScope="All India",TRUE,'RAW_AR_CONTENT'!$B308=SelectedScope),'RAW_AR_CONTENT'!K308,"")</f>
        <v>0</v>
      </c>
      <c r="L309" s="9">
        <f>IF(IF(SelectedScope="All India",TRUE,'RAW_AR_CONTENT'!$B308=SelectedScope),'RAW_AR_CONTENT'!L308,"")</f>
        <v>0</v>
      </c>
      <c r="M309" s="9">
        <f>IF(IF(SelectedScope="All India",TRUE,'RAW_AR_CONTENT'!$B308=SelectedScope),'RAW_AR_CONTENT'!M308,"")</f>
        <v>0</v>
      </c>
      <c r="N309" s="9">
        <f>IF(IF(SelectedScope="All India",TRUE,'RAW_AR_CONTENT'!$B308=SelectedScope),'RAW_AR_CONTENT'!N308,"")</f>
        <v>0</v>
      </c>
      <c r="O309" s="9">
        <f>IF(IF(SelectedScope="All India",TRUE,'RAW_AR_CONTENT'!$B308=SelectedScope),'RAW_AR_CONTENT'!O308,"")</f>
        <v>0</v>
      </c>
      <c r="P309" s="9">
        <f>IF(IF(SelectedScope="All India",TRUE,'RAW_AR_CONTENT'!$B308=SelectedScope),'RAW_AR_CONTENT'!P308,"")</f>
        <v>0</v>
      </c>
      <c r="Q309" s="9">
        <f>IF(IF(SelectedScope="All India",TRUE,'RAW_AR_CONTENT'!$B308=SelectedScope),'RAW_AR_CONTENT'!Q308,"")</f>
        <v>0</v>
      </c>
      <c r="R309" s="9">
        <f>IF(IF(SelectedScope="All India",TRUE,'RAW_AR_CONTENT'!$B308=SelectedScope),'RAW_AR_CONTENT'!R308,"")</f>
        <v>0</v>
      </c>
    </row>
    <row r="310" spans="1:18" ht="15" customHeight="1" x14ac:dyDescent="0.3">
      <c r="A310" s="12">
        <f>IF(IF(SelectedScope="All India",TRUE,'RAW_AR_CONTENT'!$B309=SelectedScope),'RAW_AR_CONTENT'!A309,"")</f>
        <v>306</v>
      </c>
      <c r="B310" s="12" t="str">
        <f>IF(IF(SelectedScope="All India",TRUE,'RAW_AR_CONTENT'!$B309=SelectedScope),'RAW_AR_CONTENT'!B309,"")</f>
        <v>Maharashtra</v>
      </c>
      <c r="C310" s="12" t="str">
        <f>IF(IF(SelectedScope="All India",TRUE,'RAW_AR_CONTENT'!$B309=SelectedScope),'RAW_AR_CONTENT'!C309,"")</f>
        <v>Mathematics</v>
      </c>
      <c r="D310" s="12" t="str">
        <f>IF(IF(SelectedScope="All India",TRUE,'RAW_AR_CONTENT'!$B309=SelectedScope),'RAW_AR_CONTENT'!D309,"")</f>
        <v>Class 10</v>
      </c>
      <c r="E310" s="12" t="str">
        <f>IF(IF(SelectedScope="All India",TRUE,'RAW_AR_CONTENT'!$B309=SelectedScope),'RAW_AR_CONTENT'!E309,"")</f>
        <v>Trigonometry 3D</v>
      </c>
      <c r="F310" s="12" t="str">
        <f>IF(IF(SelectedScope="All India",TRUE,'RAW_AR_CONTENT'!$B309=SelectedScope),'RAW_AR_CONTENT'!F309,"")</f>
        <v>Animated</v>
      </c>
      <c r="G310" s="12" t="str">
        <f>IF(IF(SelectedScope="All India",TRUE,'RAW_AR_CONTENT'!$B309=SelectedScope),'RAW_AR_CONTENT'!G309,"")</f>
        <v>Active</v>
      </c>
      <c r="H310" s="12">
        <f>IF(IF(SelectedScope="All India",TRUE,'RAW_AR_CONTENT'!$B309=SelectedScope),'RAW_AR_CONTENT'!H309,"")</f>
        <v>0</v>
      </c>
      <c r="I310" s="12">
        <f>IF(IF(SelectedScope="All India",TRUE,'RAW_AR_CONTENT'!$B309=SelectedScope),'RAW_AR_CONTENT'!I309,"")</f>
        <v>0</v>
      </c>
      <c r="J310" s="12">
        <f>IF(IF(SelectedScope="All India",TRUE,'RAW_AR_CONTENT'!$B309=SelectedScope),'RAW_AR_CONTENT'!J309,"")</f>
        <v>0</v>
      </c>
      <c r="K310" s="12">
        <f>IF(IF(SelectedScope="All India",TRUE,'RAW_AR_CONTENT'!$B309=SelectedScope),'RAW_AR_CONTENT'!K309,"")</f>
        <v>0</v>
      </c>
      <c r="L310" s="12">
        <f>IF(IF(SelectedScope="All India",TRUE,'RAW_AR_CONTENT'!$B309=SelectedScope),'RAW_AR_CONTENT'!L309,"")</f>
        <v>0</v>
      </c>
      <c r="M310" s="12">
        <f>IF(IF(SelectedScope="All India",TRUE,'RAW_AR_CONTENT'!$B309=SelectedScope),'RAW_AR_CONTENT'!M309,"")</f>
        <v>0</v>
      </c>
      <c r="N310" s="12">
        <f>IF(IF(SelectedScope="All India",TRUE,'RAW_AR_CONTENT'!$B309=SelectedScope),'RAW_AR_CONTENT'!N309,"")</f>
        <v>0</v>
      </c>
      <c r="O310" s="12">
        <f>IF(IF(SelectedScope="All India",TRUE,'RAW_AR_CONTENT'!$B309=SelectedScope),'RAW_AR_CONTENT'!O309,"")</f>
        <v>0</v>
      </c>
      <c r="P310" s="12">
        <f>IF(IF(SelectedScope="All India",TRUE,'RAW_AR_CONTENT'!$B309=SelectedScope),'RAW_AR_CONTENT'!P309,"")</f>
        <v>0</v>
      </c>
      <c r="Q310" s="12">
        <f>IF(IF(SelectedScope="All India",TRUE,'RAW_AR_CONTENT'!$B309=SelectedScope),'RAW_AR_CONTENT'!Q309,"")</f>
        <v>0</v>
      </c>
      <c r="R310" s="12">
        <f>IF(IF(SelectedScope="All India",TRUE,'RAW_AR_CONTENT'!$B309=SelectedScope),'RAW_AR_CONTENT'!R309,"")</f>
        <v>0</v>
      </c>
    </row>
    <row r="311" spans="1:18" ht="15" customHeight="1" x14ac:dyDescent="0.3">
      <c r="A311" s="9">
        <f>IF(IF(SelectedScope="All India",TRUE,'RAW_AR_CONTENT'!$B310=SelectedScope),'RAW_AR_CONTENT'!A310,"")</f>
        <v>307</v>
      </c>
      <c r="B311" s="9" t="str">
        <f>IF(IF(SelectedScope="All India",TRUE,'RAW_AR_CONTENT'!$B310=SelectedScope),'RAW_AR_CONTENT'!B310,"")</f>
        <v>Maharashtra</v>
      </c>
      <c r="C311" s="9" t="str">
        <f>IF(IF(SelectedScope="All India",TRUE,'RAW_AR_CONTENT'!$B310=SelectedScope),'RAW_AR_CONTENT'!C310,"")</f>
        <v>History</v>
      </c>
      <c r="D311" s="9" t="str">
        <f>IF(IF(SelectedScope="All India",TRUE,'RAW_AR_CONTENT'!$B310=SelectedScope),'RAW_AR_CONTENT'!D310,"")</f>
        <v>Class 10</v>
      </c>
      <c r="E311" s="9" t="str">
        <f>IF(IF(SelectedScope="All India",TRUE,'RAW_AR_CONTENT'!$B310=SelectedScope),'RAW_AR_CONTENT'!E310,"")</f>
        <v>Mughal Empire AR</v>
      </c>
      <c r="F311" s="9" t="str">
        <f>IF(IF(SelectedScope="All India",TRUE,'RAW_AR_CONTENT'!$B310=SelectedScope),'RAW_AR_CONTENT'!F310,"")</f>
        <v>Basic 3D</v>
      </c>
      <c r="G311" s="9" t="str">
        <f>IF(IF(SelectedScope="All India",TRUE,'RAW_AR_CONTENT'!$B310=SelectedScope),'RAW_AR_CONTENT'!G310,"")</f>
        <v>Active</v>
      </c>
      <c r="H311" s="9">
        <f>IF(IF(SelectedScope="All India",TRUE,'RAW_AR_CONTENT'!$B310=SelectedScope),'RAW_AR_CONTENT'!H310,"")</f>
        <v>0</v>
      </c>
      <c r="I311" s="9">
        <f>IF(IF(SelectedScope="All India",TRUE,'RAW_AR_CONTENT'!$B310=SelectedScope),'RAW_AR_CONTENT'!I310,"")</f>
        <v>0</v>
      </c>
      <c r="J311" s="9">
        <f>IF(IF(SelectedScope="All India",TRUE,'RAW_AR_CONTENT'!$B310=SelectedScope),'RAW_AR_CONTENT'!J310,"")</f>
        <v>0</v>
      </c>
      <c r="K311" s="9">
        <f>IF(IF(SelectedScope="All India",TRUE,'RAW_AR_CONTENT'!$B310=SelectedScope),'RAW_AR_CONTENT'!K310,"")</f>
        <v>0</v>
      </c>
      <c r="L311" s="9">
        <f>IF(IF(SelectedScope="All India",TRUE,'RAW_AR_CONTENT'!$B310=SelectedScope),'RAW_AR_CONTENT'!L310,"")</f>
        <v>0</v>
      </c>
      <c r="M311" s="9">
        <f>IF(IF(SelectedScope="All India",TRUE,'RAW_AR_CONTENT'!$B310=SelectedScope),'RAW_AR_CONTENT'!M310,"")</f>
        <v>0</v>
      </c>
      <c r="N311" s="9">
        <f>IF(IF(SelectedScope="All India",TRUE,'RAW_AR_CONTENT'!$B310=SelectedScope),'RAW_AR_CONTENT'!N310,"")</f>
        <v>0</v>
      </c>
      <c r="O311" s="9">
        <f>IF(IF(SelectedScope="All India",TRUE,'RAW_AR_CONTENT'!$B310=SelectedScope),'RAW_AR_CONTENT'!O310,"")</f>
        <v>0</v>
      </c>
      <c r="P311" s="9">
        <f>IF(IF(SelectedScope="All India",TRUE,'RAW_AR_CONTENT'!$B310=SelectedScope),'RAW_AR_CONTENT'!P310,"")</f>
        <v>0</v>
      </c>
      <c r="Q311" s="9">
        <f>IF(IF(SelectedScope="All India",TRUE,'RAW_AR_CONTENT'!$B310=SelectedScope),'RAW_AR_CONTENT'!Q310,"")</f>
        <v>0</v>
      </c>
      <c r="R311" s="9">
        <f>IF(IF(SelectedScope="All India",TRUE,'RAW_AR_CONTENT'!$B310=SelectedScope),'RAW_AR_CONTENT'!R310,"")</f>
        <v>0</v>
      </c>
    </row>
    <row r="312" spans="1:18" ht="15" customHeight="1" x14ac:dyDescent="0.3">
      <c r="A312" s="12">
        <f>IF(IF(SelectedScope="All India",TRUE,'RAW_AR_CONTENT'!$B311=SelectedScope),'RAW_AR_CONTENT'!A311,"")</f>
        <v>308</v>
      </c>
      <c r="B312" s="12" t="str">
        <f>IF(IF(SelectedScope="All India",TRUE,'RAW_AR_CONTENT'!$B311=SelectedScope),'RAW_AR_CONTENT'!B311,"")</f>
        <v>Maharashtra</v>
      </c>
      <c r="C312" s="12" t="str">
        <f>IF(IF(SelectedScope="All India",TRUE,'RAW_AR_CONTENT'!$B311=SelectedScope),'RAW_AR_CONTENT'!C311,"")</f>
        <v>Geography</v>
      </c>
      <c r="D312" s="12" t="str">
        <f>IF(IF(SelectedScope="All India",TRUE,'RAW_AR_CONTENT'!$B311=SelectedScope),'RAW_AR_CONTENT'!D311,"")</f>
        <v>Class 6</v>
      </c>
      <c r="E312" s="12" t="str">
        <f>IF(IF(SelectedScope="All India",TRUE,'RAW_AR_CONTENT'!$B311=SelectedScope),'RAW_AR_CONTENT'!E311,"")</f>
        <v>Water Cycle Simulation</v>
      </c>
      <c r="F312" s="12" t="str">
        <f>IF(IF(SelectedScope="All India",TRUE,'RAW_AR_CONTENT'!$B311=SelectedScope),'RAW_AR_CONTENT'!F311,"")</f>
        <v>Animated</v>
      </c>
      <c r="G312" s="12" t="str">
        <f>IF(IF(SelectedScope="All India",TRUE,'RAW_AR_CONTENT'!$B311=SelectedScope),'RAW_AR_CONTENT'!G311,"")</f>
        <v>Active</v>
      </c>
      <c r="H312" s="12">
        <f>IF(IF(SelectedScope="All India",TRUE,'RAW_AR_CONTENT'!$B311=SelectedScope),'RAW_AR_CONTENT'!H311,"")</f>
        <v>0</v>
      </c>
      <c r="I312" s="12">
        <f>IF(IF(SelectedScope="All India",TRUE,'RAW_AR_CONTENT'!$B311=SelectedScope),'RAW_AR_CONTENT'!I311,"")</f>
        <v>0</v>
      </c>
      <c r="J312" s="12">
        <f>IF(IF(SelectedScope="All India",TRUE,'RAW_AR_CONTENT'!$B311=SelectedScope),'RAW_AR_CONTENT'!J311,"")</f>
        <v>0</v>
      </c>
      <c r="K312" s="12">
        <f>IF(IF(SelectedScope="All India",TRUE,'RAW_AR_CONTENT'!$B311=SelectedScope),'RAW_AR_CONTENT'!K311,"")</f>
        <v>0</v>
      </c>
      <c r="L312" s="12">
        <f>IF(IF(SelectedScope="All India",TRUE,'RAW_AR_CONTENT'!$B311=SelectedScope),'RAW_AR_CONTENT'!L311,"")</f>
        <v>0</v>
      </c>
      <c r="M312" s="12">
        <f>IF(IF(SelectedScope="All India",TRUE,'RAW_AR_CONTENT'!$B311=SelectedScope),'RAW_AR_CONTENT'!M311,"")</f>
        <v>0</v>
      </c>
      <c r="N312" s="12">
        <f>IF(IF(SelectedScope="All India",TRUE,'RAW_AR_CONTENT'!$B311=SelectedScope),'RAW_AR_CONTENT'!N311,"")</f>
        <v>0</v>
      </c>
      <c r="O312" s="12">
        <f>IF(IF(SelectedScope="All India",TRUE,'RAW_AR_CONTENT'!$B311=SelectedScope),'RAW_AR_CONTENT'!O311,"")</f>
        <v>0</v>
      </c>
      <c r="P312" s="12">
        <f>IF(IF(SelectedScope="All India",TRUE,'RAW_AR_CONTENT'!$B311=SelectedScope),'RAW_AR_CONTENT'!P311,"")</f>
        <v>0</v>
      </c>
      <c r="Q312" s="12">
        <f>IF(IF(SelectedScope="All India",TRUE,'RAW_AR_CONTENT'!$B311=SelectedScope),'RAW_AR_CONTENT'!Q311,"")</f>
        <v>0</v>
      </c>
      <c r="R312" s="12">
        <f>IF(IF(SelectedScope="All India",TRUE,'RAW_AR_CONTENT'!$B311=SelectedScope),'RAW_AR_CONTENT'!R311,"")</f>
        <v>0</v>
      </c>
    </row>
    <row r="313" spans="1:18" ht="15" customHeight="1" x14ac:dyDescent="0.3">
      <c r="A313" s="9">
        <f>IF(IF(SelectedScope="All India",TRUE,'RAW_AR_CONTENT'!$B312=SelectedScope),'RAW_AR_CONTENT'!A312,"")</f>
        <v>309</v>
      </c>
      <c r="B313" s="9" t="str">
        <f>IF(IF(SelectedScope="All India",TRUE,'RAW_AR_CONTENT'!$B312=SelectedScope),'RAW_AR_CONTENT'!B312,"")</f>
        <v>Maharashtra</v>
      </c>
      <c r="C313" s="9" t="str">
        <f>IF(IF(SelectedScope="All India",TRUE,'RAW_AR_CONTENT'!$B312=SelectedScope),'RAW_AR_CONTENT'!C312,"")</f>
        <v>Biology</v>
      </c>
      <c r="D313" s="9" t="str">
        <f>IF(IF(SelectedScope="All India",TRUE,'RAW_AR_CONTENT'!$B312=SelectedScope),'RAW_AR_CONTENT'!D312,"")</f>
        <v>Class 11</v>
      </c>
      <c r="E313" s="9" t="str">
        <f>IF(IF(SelectedScope="All India",TRUE,'RAW_AR_CONTENT'!$B312=SelectedScope),'RAW_AR_CONTENT'!E312,"")</f>
        <v>Human Anatomy AR</v>
      </c>
      <c r="F313" s="9" t="str">
        <f>IF(IF(SelectedScope="All India",TRUE,'RAW_AR_CONTENT'!$B312=SelectedScope),'RAW_AR_CONTENT'!F312,"")</f>
        <v>Fully Immersive</v>
      </c>
      <c r="G313" s="9" t="str">
        <f>IF(IF(SelectedScope="All India",TRUE,'RAW_AR_CONTENT'!$B312=SelectedScope),'RAW_AR_CONTENT'!G312,"")</f>
        <v>Active</v>
      </c>
      <c r="H313" s="9">
        <f>IF(IF(SelectedScope="All India",TRUE,'RAW_AR_CONTENT'!$B312=SelectedScope),'RAW_AR_CONTENT'!H312,"")</f>
        <v>0</v>
      </c>
      <c r="I313" s="9">
        <f>IF(IF(SelectedScope="All India",TRUE,'RAW_AR_CONTENT'!$B312=SelectedScope),'RAW_AR_CONTENT'!I312,"")</f>
        <v>0</v>
      </c>
      <c r="J313" s="9">
        <f>IF(IF(SelectedScope="All India",TRUE,'RAW_AR_CONTENT'!$B312=SelectedScope),'RAW_AR_CONTENT'!J312,"")</f>
        <v>0</v>
      </c>
      <c r="K313" s="9">
        <f>IF(IF(SelectedScope="All India",TRUE,'RAW_AR_CONTENT'!$B312=SelectedScope),'RAW_AR_CONTENT'!K312,"")</f>
        <v>0</v>
      </c>
      <c r="L313" s="9">
        <f>IF(IF(SelectedScope="All India",TRUE,'RAW_AR_CONTENT'!$B312=SelectedScope),'RAW_AR_CONTENT'!L312,"")</f>
        <v>0</v>
      </c>
      <c r="M313" s="9">
        <f>IF(IF(SelectedScope="All India",TRUE,'RAW_AR_CONTENT'!$B312=SelectedScope),'RAW_AR_CONTENT'!M312,"")</f>
        <v>0</v>
      </c>
      <c r="N313" s="9">
        <f>IF(IF(SelectedScope="All India",TRUE,'RAW_AR_CONTENT'!$B312=SelectedScope),'RAW_AR_CONTENT'!N312,"")</f>
        <v>0</v>
      </c>
      <c r="O313" s="9">
        <f>IF(IF(SelectedScope="All India",TRUE,'RAW_AR_CONTENT'!$B312=SelectedScope),'RAW_AR_CONTENT'!O312,"")</f>
        <v>0</v>
      </c>
      <c r="P313" s="9">
        <f>IF(IF(SelectedScope="All India",TRUE,'RAW_AR_CONTENT'!$B312=SelectedScope),'RAW_AR_CONTENT'!P312,"")</f>
        <v>0</v>
      </c>
      <c r="Q313" s="9">
        <f>IF(IF(SelectedScope="All India",TRUE,'RAW_AR_CONTENT'!$B312=SelectedScope),'RAW_AR_CONTENT'!Q312,"")</f>
        <v>0</v>
      </c>
      <c r="R313" s="9">
        <f>IF(IF(SelectedScope="All India",TRUE,'RAW_AR_CONTENT'!$B312=SelectedScope),'RAW_AR_CONTENT'!R312,"")</f>
        <v>0</v>
      </c>
    </row>
    <row r="314" spans="1:18" ht="15" customHeight="1" x14ac:dyDescent="0.3">
      <c r="A314" s="12">
        <f>IF(IF(SelectedScope="All India",TRUE,'RAW_AR_CONTENT'!$B313=SelectedScope),'RAW_AR_CONTENT'!A313,"")</f>
        <v>310</v>
      </c>
      <c r="B314" s="12" t="str">
        <f>IF(IF(SelectedScope="All India",TRUE,'RAW_AR_CONTENT'!$B313=SelectedScope),'RAW_AR_CONTENT'!B313,"")</f>
        <v>Maharashtra</v>
      </c>
      <c r="C314" s="12" t="str">
        <f>IF(IF(SelectedScope="All India",TRUE,'RAW_AR_CONTENT'!$B313=SelectedScope),'RAW_AR_CONTENT'!C313,"")</f>
        <v>Physics</v>
      </c>
      <c r="D314" s="12" t="str">
        <f>IF(IF(SelectedScope="All India",TRUE,'RAW_AR_CONTENT'!$B313=SelectedScope),'RAW_AR_CONTENT'!D313,"")</f>
        <v>Class 9</v>
      </c>
      <c r="E314" s="12" t="str">
        <f>IF(IF(SelectedScope="All India",TRUE,'RAW_AR_CONTENT'!$B313=SelectedScope),'RAW_AR_CONTENT'!E313,"")</f>
        <v>Laws of Motion</v>
      </c>
      <c r="F314" s="12" t="str">
        <f>IF(IF(SelectedScope="All India",TRUE,'RAW_AR_CONTENT'!$B313=SelectedScope),'RAW_AR_CONTENT'!F313,"")</f>
        <v>Interactive</v>
      </c>
      <c r="G314" s="12" t="str">
        <f>IF(IF(SelectedScope="All India",TRUE,'RAW_AR_CONTENT'!$B313=SelectedScope),'RAW_AR_CONTENT'!G313,"")</f>
        <v>Active</v>
      </c>
      <c r="H314" s="12">
        <f>IF(IF(SelectedScope="All India",TRUE,'RAW_AR_CONTENT'!$B313=SelectedScope),'RAW_AR_CONTENT'!H313,"")</f>
        <v>0</v>
      </c>
      <c r="I314" s="12">
        <f>IF(IF(SelectedScope="All India",TRUE,'RAW_AR_CONTENT'!$B313=SelectedScope),'RAW_AR_CONTENT'!I313,"")</f>
        <v>0</v>
      </c>
      <c r="J314" s="12">
        <f>IF(IF(SelectedScope="All India",TRUE,'RAW_AR_CONTENT'!$B313=SelectedScope),'RAW_AR_CONTENT'!J313,"")</f>
        <v>0</v>
      </c>
      <c r="K314" s="12">
        <f>IF(IF(SelectedScope="All India",TRUE,'RAW_AR_CONTENT'!$B313=SelectedScope),'RAW_AR_CONTENT'!K313,"")</f>
        <v>0</v>
      </c>
      <c r="L314" s="12">
        <f>IF(IF(SelectedScope="All India",TRUE,'RAW_AR_CONTENT'!$B313=SelectedScope),'RAW_AR_CONTENT'!L313,"")</f>
        <v>0</v>
      </c>
      <c r="M314" s="12">
        <f>IF(IF(SelectedScope="All India",TRUE,'RAW_AR_CONTENT'!$B313=SelectedScope),'RAW_AR_CONTENT'!M313,"")</f>
        <v>0</v>
      </c>
      <c r="N314" s="12">
        <f>IF(IF(SelectedScope="All India",TRUE,'RAW_AR_CONTENT'!$B313=SelectedScope),'RAW_AR_CONTENT'!N313,"")</f>
        <v>0</v>
      </c>
      <c r="O314" s="12">
        <f>IF(IF(SelectedScope="All India",TRUE,'RAW_AR_CONTENT'!$B313=SelectedScope),'RAW_AR_CONTENT'!O313,"")</f>
        <v>0</v>
      </c>
      <c r="P314" s="12">
        <f>IF(IF(SelectedScope="All India",TRUE,'RAW_AR_CONTENT'!$B313=SelectedScope),'RAW_AR_CONTENT'!P313,"")</f>
        <v>0</v>
      </c>
      <c r="Q314" s="12">
        <f>IF(IF(SelectedScope="All India",TRUE,'RAW_AR_CONTENT'!$B313=SelectedScope),'RAW_AR_CONTENT'!Q313,"")</f>
        <v>0</v>
      </c>
      <c r="R314" s="12">
        <f>IF(IF(SelectedScope="All India",TRUE,'RAW_AR_CONTENT'!$B313=SelectedScope),'RAW_AR_CONTENT'!R313,"")</f>
        <v>0</v>
      </c>
    </row>
    <row r="315" spans="1:18" ht="15" customHeight="1" x14ac:dyDescent="0.3">
      <c r="A315" s="9">
        <f>IF(IF(SelectedScope="All India",TRUE,'RAW_AR_CONTENT'!$B314=SelectedScope),'RAW_AR_CONTENT'!A314,"")</f>
        <v>311</v>
      </c>
      <c r="B315" s="9" t="str">
        <f>IF(IF(SelectedScope="All India",TRUE,'RAW_AR_CONTENT'!$B314=SelectedScope),'RAW_AR_CONTENT'!B314,"")</f>
        <v>Maharashtra</v>
      </c>
      <c r="C315" s="9" t="str">
        <f>IF(IF(SelectedScope="All India",TRUE,'RAW_AR_CONTENT'!$B314=SelectedScope),'RAW_AR_CONTENT'!C314,"")</f>
        <v>Chemistry</v>
      </c>
      <c r="D315" s="9" t="str">
        <f>IF(IF(SelectedScope="All India",TRUE,'RAW_AR_CONTENT'!$B314=SelectedScope),'RAW_AR_CONTENT'!D314,"")</f>
        <v>Class 11</v>
      </c>
      <c r="E315" s="9" t="str">
        <f>IF(IF(SelectedScope="All India",TRUE,'RAW_AR_CONTENT'!$B314=SelectedScope),'RAW_AR_CONTENT'!E314,"")</f>
        <v>Periodic Table 3D</v>
      </c>
      <c r="F315" s="9" t="str">
        <f>IF(IF(SelectedScope="All India",TRUE,'RAW_AR_CONTENT'!$B314=SelectedScope),'RAW_AR_CONTENT'!F314,"")</f>
        <v>Interactive</v>
      </c>
      <c r="G315" s="9" t="str">
        <f>IF(IF(SelectedScope="All India",TRUE,'RAW_AR_CONTENT'!$B314=SelectedScope),'RAW_AR_CONTENT'!G314,"")</f>
        <v>Active</v>
      </c>
      <c r="H315" s="9">
        <f>IF(IF(SelectedScope="All India",TRUE,'RAW_AR_CONTENT'!$B314=SelectedScope),'RAW_AR_CONTENT'!H314,"")</f>
        <v>0</v>
      </c>
      <c r="I315" s="9">
        <f>IF(IF(SelectedScope="All India",TRUE,'RAW_AR_CONTENT'!$B314=SelectedScope),'RAW_AR_CONTENT'!I314,"")</f>
        <v>0</v>
      </c>
      <c r="J315" s="9">
        <f>IF(IF(SelectedScope="All India",TRUE,'RAW_AR_CONTENT'!$B314=SelectedScope),'RAW_AR_CONTENT'!J314,"")</f>
        <v>0</v>
      </c>
      <c r="K315" s="9">
        <f>IF(IF(SelectedScope="All India",TRUE,'RAW_AR_CONTENT'!$B314=SelectedScope),'RAW_AR_CONTENT'!K314,"")</f>
        <v>0</v>
      </c>
      <c r="L315" s="9">
        <f>IF(IF(SelectedScope="All India",TRUE,'RAW_AR_CONTENT'!$B314=SelectedScope),'RAW_AR_CONTENT'!L314,"")</f>
        <v>0</v>
      </c>
      <c r="M315" s="9">
        <f>IF(IF(SelectedScope="All India",TRUE,'RAW_AR_CONTENT'!$B314=SelectedScope),'RAW_AR_CONTENT'!M314,"")</f>
        <v>0</v>
      </c>
      <c r="N315" s="9">
        <f>IF(IF(SelectedScope="All India",TRUE,'RAW_AR_CONTENT'!$B314=SelectedScope),'RAW_AR_CONTENT'!N314,"")</f>
        <v>0</v>
      </c>
      <c r="O315" s="9">
        <f>IF(IF(SelectedScope="All India",TRUE,'RAW_AR_CONTENT'!$B314=SelectedScope),'RAW_AR_CONTENT'!O314,"")</f>
        <v>0</v>
      </c>
      <c r="P315" s="9">
        <f>IF(IF(SelectedScope="All India",TRUE,'RAW_AR_CONTENT'!$B314=SelectedScope),'RAW_AR_CONTENT'!P314,"")</f>
        <v>0</v>
      </c>
      <c r="Q315" s="9">
        <f>IF(IF(SelectedScope="All India",TRUE,'RAW_AR_CONTENT'!$B314=SelectedScope),'RAW_AR_CONTENT'!Q314,"")</f>
        <v>0</v>
      </c>
      <c r="R315" s="9">
        <f>IF(IF(SelectedScope="All India",TRUE,'RAW_AR_CONTENT'!$B314=SelectedScope),'RAW_AR_CONTENT'!R314,"")</f>
        <v>0</v>
      </c>
    </row>
    <row r="316" spans="1:18" ht="15" customHeight="1" x14ac:dyDescent="0.3">
      <c r="A316" s="12">
        <f>IF(IF(SelectedScope="All India",TRUE,'RAW_AR_CONTENT'!$B315=SelectedScope),'RAW_AR_CONTENT'!A315,"")</f>
        <v>312</v>
      </c>
      <c r="B316" s="12" t="str">
        <f>IF(IF(SelectedScope="All India",TRUE,'RAW_AR_CONTENT'!$B315=SelectedScope),'RAW_AR_CONTENT'!B315,"")</f>
        <v>Maharashtra</v>
      </c>
      <c r="C316" s="12" t="str">
        <f>IF(IF(SelectedScope="All India",TRUE,'RAW_AR_CONTENT'!$B315=SelectedScope),'RAW_AR_CONTENT'!C315,"")</f>
        <v>Physics</v>
      </c>
      <c r="D316" s="12" t="str">
        <f>IF(IF(SelectedScope="All India",TRUE,'RAW_AR_CONTENT'!$B315=SelectedScope),'RAW_AR_CONTENT'!D315,"")</f>
        <v>Class 10</v>
      </c>
      <c r="E316" s="12" t="str">
        <f>IF(IF(SelectedScope="All India",TRUE,'RAW_AR_CONTENT'!$B315=SelectedScope),'RAW_AR_CONTENT'!E315,"")</f>
        <v>Electricity Circuits</v>
      </c>
      <c r="F316" s="12" t="str">
        <f>IF(IF(SelectedScope="All India",TRUE,'RAW_AR_CONTENT'!$B315=SelectedScope),'RAW_AR_CONTENT'!F315,"")</f>
        <v>Interactive</v>
      </c>
      <c r="G316" s="12" t="str">
        <f>IF(IF(SelectedScope="All India",TRUE,'RAW_AR_CONTENT'!$B315=SelectedScope),'RAW_AR_CONTENT'!G315,"")</f>
        <v>Active</v>
      </c>
      <c r="H316" s="12">
        <f>IF(IF(SelectedScope="All India",TRUE,'RAW_AR_CONTENT'!$B315=SelectedScope),'RAW_AR_CONTENT'!H315,"")</f>
        <v>0</v>
      </c>
      <c r="I316" s="12">
        <f>IF(IF(SelectedScope="All India",TRUE,'RAW_AR_CONTENT'!$B315=SelectedScope),'RAW_AR_CONTENT'!I315,"")</f>
        <v>0</v>
      </c>
      <c r="J316" s="12">
        <f>IF(IF(SelectedScope="All India",TRUE,'RAW_AR_CONTENT'!$B315=SelectedScope),'RAW_AR_CONTENT'!J315,"")</f>
        <v>0</v>
      </c>
      <c r="K316" s="12">
        <f>IF(IF(SelectedScope="All India",TRUE,'RAW_AR_CONTENT'!$B315=SelectedScope),'RAW_AR_CONTENT'!K315,"")</f>
        <v>0</v>
      </c>
      <c r="L316" s="12">
        <f>IF(IF(SelectedScope="All India",TRUE,'RAW_AR_CONTENT'!$B315=SelectedScope),'RAW_AR_CONTENT'!L315,"")</f>
        <v>0</v>
      </c>
      <c r="M316" s="12">
        <f>IF(IF(SelectedScope="All India",TRUE,'RAW_AR_CONTENT'!$B315=SelectedScope),'RAW_AR_CONTENT'!M315,"")</f>
        <v>0</v>
      </c>
      <c r="N316" s="12">
        <f>IF(IF(SelectedScope="All India",TRUE,'RAW_AR_CONTENT'!$B315=SelectedScope),'RAW_AR_CONTENT'!N315,"")</f>
        <v>0</v>
      </c>
      <c r="O316" s="12">
        <f>IF(IF(SelectedScope="All India",TRUE,'RAW_AR_CONTENT'!$B315=SelectedScope),'RAW_AR_CONTENT'!O315,"")</f>
        <v>0</v>
      </c>
      <c r="P316" s="12">
        <f>IF(IF(SelectedScope="All India",TRUE,'RAW_AR_CONTENT'!$B315=SelectedScope),'RAW_AR_CONTENT'!P315,"")</f>
        <v>0</v>
      </c>
      <c r="Q316" s="12">
        <f>IF(IF(SelectedScope="All India",TRUE,'RAW_AR_CONTENT'!$B315=SelectedScope),'RAW_AR_CONTENT'!Q315,"")</f>
        <v>0</v>
      </c>
      <c r="R316" s="12">
        <f>IF(IF(SelectedScope="All India",TRUE,'RAW_AR_CONTENT'!$B315=SelectedScope),'RAW_AR_CONTENT'!R315,"")</f>
        <v>0</v>
      </c>
    </row>
    <row r="317" spans="1:18" ht="15" customHeight="1" x14ac:dyDescent="0.3">
      <c r="A317" s="9">
        <f>IF(IF(SelectedScope="All India",TRUE,'RAW_AR_CONTENT'!$B316=SelectedScope),'RAW_AR_CONTENT'!A316,"")</f>
        <v>313</v>
      </c>
      <c r="B317" s="9" t="str">
        <f>IF(IF(SelectedScope="All India",TRUE,'RAW_AR_CONTENT'!$B316=SelectedScope),'RAW_AR_CONTENT'!B316,"")</f>
        <v>Maharashtra</v>
      </c>
      <c r="C317" s="9" t="str">
        <f>IF(IF(SelectedScope="All India",TRUE,'RAW_AR_CONTENT'!$B316=SelectedScope),'RAW_AR_CONTENT'!C316,"")</f>
        <v>Civics</v>
      </c>
      <c r="D317" s="9" t="str">
        <f>IF(IF(SelectedScope="All India",TRUE,'RAW_AR_CONTENT'!$B316=SelectedScope),'RAW_AR_CONTENT'!D316,"")</f>
        <v>Class 9</v>
      </c>
      <c r="E317" s="9" t="str">
        <f>IF(IF(SelectedScope="All India",TRUE,'RAW_AR_CONTENT'!$B316=SelectedScope),'RAW_AR_CONTENT'!E316,"")</f>
        <v>Indian Constitution</v>
      </c>
      <c r="F317" s="9" t="str">
        <f>IF(IF(SelectedScope="All India",TRUE,'RAW_AR_CONTENT'!$B316=SelectedScope),'RAW_AR_CONTENT'!F316,"")</f>
        <v>Basic 3D</v>
      </c>
      <c r="G317" s="9" t="str">
        <f>IF(IF(SelectedScope="All India",TRUE,'RAW_AR_CONTENT'!$B316=SelectedScope),'RAW_AR_CONTENT'!G316,"")</f>
        <v>Active</v>
      </c>
      <c r="H317" s="9">
        <f>IF(IF(SelectedScope="All India",TRUE,'RAW_AR_CONTENT'!$B316=SelectedScope),'RAW_AR_CONTENT'!H316,"")</f>
        <v>0</v>
      </c>
      <c r="I317" s="9">
        <f>IF(IF(SelectedScope="All India",TRUE,'RAW_AR_CONTENT'!$B316=SelectedScope),'RAW_AR_CONTENT'!I316,"")</f>
        <v>0</v>
      </c>
      <c r="J317" s="9">
        <f>IF(IF(SelectedScope="All India",TRUE,'RAW_AR_CONTENT'!$B316=SelectedScope),'RAW_AR_CONTENT'!J316,"")</f>
        <v>0</v>
      </c>
      <c r="K317" s="9">
        <f>IF(IF(SelectedScope="All India",TRUE,'RAW_AR_CONTENT'!$B316=SelectedScope),'RAW_AR_CONTENT'!K316,"")</f>
        <v>0</v>
      </c>
      <c r="L317" s="9">
        <f>IF(IF(SelectedScope="All India",TRUE,'RAW_AR_CONTENT'!$B316=SelectedScope),'RAW_AR_CONTENT'!L316,"")</f>
        <v>0</v>
      </c>
      <c r="M317" s="9">
        <f>IF(IF(SelectedScope="All India",TRUE,'RAW_AR_CONTENT'!$B316=SelectedScope),'RAW_AR_CONTENT'!M316,"")</f>
        <v>0</v>
      </c>
      <c r="N317" s="9">
        <f>IF(IF(SelectedScope="All India",TRUE,'RAW_AR_CONTENT'!$B316=SelectedScope),'RAW_AR_CONTENT'!N316,"")</f>
        <v>0</v>
      </c>
      <c r="O317" s="9">
        <f>IF(IF(SelectedScope="All India",TRUE,'RAW_AR_CONTENT'!$B316=SelectedScope),'RAW_AR_CONTENT'!O316,"")</f>
        <v>0</v>
      </c>
      <c r="P317" s="9">
        <f>IF(IF(SelectedScope="All India",TRUE,'RAW_AR_CONTENT'!$B316=SelectedScope),'RAW_AR_CONTENT'!P316,"")</f>
        <v>0</v>
      </c>
      <c r="Q317" s="9">
        <f>IF(IF(SelectedScope="All India",TRUE,'RAW_AR_CONTENT'!$B316=SelectedScope),'RAW_AR_CONTENT'!Q316,"")</f>
        <v>0</v>
      </c>
      <c r="R317" s="9">
        <f>IF(IF(SelectedScope="All India",TRUE,'RAW_AR_CONTENT'!$B316=SelectedScope),'RAW_AR_CONTENT'!R316,"")</f>
        <v>0</v>
      </c>
    </row>
    <row r="318" spans="1:18" ht="15" customHeight="1" x14ac:dyDescent="0.3">
      <c r="A318" s="12">
        <f>IF(IF(SelectedScope="All India",TRUE,'RAW_AR_CONTENT'!$B317=SelectedScope),'RAW_AR_CONTENT'!A317,"")</f>
        <v>314</v>
      </c>
      <c r="B318" s="12" t="str">
        <f>IF(IF(SelectedScope="All India",TRUE,'RAW_AR_CONTENT'!$B317=SelectedScope),'RAW_AR_CONTENT'!B317,"")</f>
        <v>Maharashtra</v>
      </c>
      <c r="C318" s="12" t="str">
        <f>IF(IF(SelectedScope="All India",TRUE,'RAW_AR_CONTENT'!$B317=SelectedScope),'RAW_AR_CONTENT'!C317,"")</f>
        <v>Environmental Science</v>
      </c>
      <c r="D318" s="12" t="str">
        <f>IF(IF(SelectedScope="All India",TRUE,'RAW_AR_CONTENT'!$B317=SelectedScope),'RAW_AR_CONTENT'!D317,"")</f>
        <v>Class 6</v>
      </c>
      <c r="E318" s="12" t="str">
        <f>IF(IF(SelectedScope="All India",TRUE,'RAW_AR_CONTENT'!$B317=SelectedScope),'RAW_AR_CONTENT'!E317,"")</f>
        <v>Food Chain</v>
      </c>
      <c r="F318" s="12" t="str">
        <f>IF(IF(SelectedScope="All India",TRUE,'RAW_AR_CONTENT'!$B317=SelectedScope),'RAW_AR_CONTENT'!F317,"")</f>
        <v>Animated</v>
      </c>
      <c r="G318" s="12" t="str">
        <f>IF(IF(SelectedScope="All India",TRUE,'RAW_AR_CONTENT'!$B317=SelectedScope),'RAW_AR_CONTENT'!G317,"")</f>
        <v>Active</v>
      </c>
      <c r="H318" s="12">
        <f>IF(IF(SelectedScope="All India",TRUE,'RAW_AR_CONTENT'!$B317=SelectedScope),'RAW_AR_CONTENT'!H317,"")</f>
        <v>0</v>
      </c>
      <c r="I318" s="12">
        <f>IF(IF(SelectedScope="All India",TRUE,'RAW_AR_CONTENT'!$B317=SelectedScope),'RAW_AR_CONTENT'!I317,"")</f>
        <v>0</v>
      </c>
      <c r="J318" s="12">
        <f>IF(IF(SelectedScope="All India",TRUE,'RAW_AR_CONTENT'!$B317=SelectedScope),'RAW_AR_CONTENT'!J317,"")</f>
        <v>0</v>
      </c>
      <c r="K318" s="12">
        <f>IF(IF(SelectedScope="All India",TRUE,'RAW_AR_CONTENT'!$B317=SelectedScope),'RAW_AR_CONTENT'!K317,"")</f>
        <v>0</v>
      </c>
      <c r="L318" s="12">
        <f>IF(IF(SelectedScope="All India",TRUE,'RAW_AR_CONTENT'!$B317=SelectedScope),'RAW_AR_CONTENT'!L317,"")</f>
        <v>0</v>
      </c>
      <c r="M318" s="12">
        <f>IF(IF(SelectedScope="All India",TRUE,'RAW_AR_CONTENT'!$B317=SelectedScope),'RAW_AR_CONTENT'!M317,"")</f>
        <v>0</v>
      </c>
      <c r="N318" s="12">
        <f>IF(IF(SelectedScope="All India",TRUE,'RAW_AR_CONTENT'!$B317=SelectedScope),'RAW_AR_CONTENT'!N317,"")</f>
        <v>0</v>
      </c>
      <c r="O318" s="12">
        <f>IF(IF(SelectedScope="All India",TRUE,'RAW_AR_CONTENT'!$B317=SelectedScope),'RAW_AR_CONTENT'!O317,"")</f>
        <v>0</v>
      </c>
      <c r="P318" s="12">
        <f>IF(IF(SelectedScope="All India",TRUE,'RAW_AR_CONTENT'!$B317=SelectedScope),'RAW_AR_CONTENT'!P317,"")</f>
        <v>0</v>
      </c>
      <c r="Q318" s="12">
        <f>IF(IF(SelectedScope="All India",TRUE,'RAW_AR_CONTENT'!$B317=SelectedScope),'RAW_AR_CONTENT'!Q317,"")</f>
        <v>0</v>
      </c>
      <c r="R318" s="12">
        <f>IF(IF(SelectedScope="All India",TRUE,'RAW_AR_CONTENT'!$B317=SelectedScope),'RAW_AR_CONTENT'!R317,"")</f>
        <v>0</v>
      </c>
    </row>
    <row r="319" spans="1:18" ht="15" customHeight="1" x14ac:dyDescent="0.3">
      <c r="A319" s="9">
        <f>IF(IF(SelectedScope="All India",TRUE,'RAW_AR_CONTENT'!$B318=SelectedScope),'RAW_AR_CONTENT'!A318,"")</f>
        <v>315</v>
      </c>
      <c r="B319" s="9" t="str">
        <f>IF(IF(SelectedScope="All India",TRUE,'RAW_AR_CONTENT'!$B318=SelectedScope),'RAW_AR_CONTENT'!B318,"")</f>
        <v>Maharashtra</v>
      </c>
      <c r="C319" s="9" t="str">
        <f>IF(IF(SelectedScope="All India",TRUE,'RAW_AR_CONTENT'!$B318=SelectedScope),'RAW_AR_CONTENT'!C318,"")</f>
        <v>Mathematics</v>
      </c>
      <c r="D319" s="9" t="str">
        <f>IF(IF(SelectedScope="All India",TRUE,'RAW_AR_CONTENT'!$B318=SelectedScope),'RAW_AR_CONTENT'!D318,"")</f>
        <v>Class 10</v>
      </c>
      <c r="E319" s="9" t="str">
        <f>IF(IF(SelectedScope="All India",TRUE,'RAW_AR_CONTENT'!$B318=SelectedScope),'RAW_AR_CONTENT'!E318,"")</f>
        <v>Quadratic Equations</v>
      </c>
      <c r="F319" s="9" t="str">
        <f>IF(IF(SelectedScope="All India",TRUE,'RAW_AR_CONTENT'!$B318=SelectedScope),'RAW_AR_CONTENT'!F318,"")</f>
        <v>Animated</v>
      </c>
      <c r="G319" s="9" t="str">
        <f>IF(IF(SelectedScope="All India",TRUE,'RAW_AR_CONTENT'!$B318=SelectedScope),'RAW_AR_CONTENT'!G318,"")</f>
        <v>Active</v>
      </c>
      <c r="H319" s="9">
        <f>IF(IF(SelectedScope="All India",TRUE,'RAW_AR_CONTENT'!$B318=SelectedScope),'RAW_AR_CONTENT'!H318,"")</f>
        <v>0</v>
      </c>
      <c r="I319" s="9">
        <f>IF(IF(SelectedScope="All India",TRUE,'RAW_AR_CONTENT'!$B318=SelectedScope),'RAW_AR_CONTENT'!I318,"")</f>
        <v>0</v>
      </c>
      <c r="J319" s="9">
        <f>IF(IF(SelectedScope="All India",TRUE,'RAW_AR_CONTENT'!$B318=SelectedScope),'RAW_AR_CONTENT'!J318,"")</f>
        <v>0</v>
      </c>
      <c r="K319" s="9">
        <f>IF(IF(SelectedScope="All India",TRUE,'RAW_AR_CONTENT'!$B318=SelectedScope),'RAW_AR_CONTENT'!K318,"")</f>
        <v>0</v>
      </c>
      <c r="L319" s="9">
        <f>IF(IF(SelectedScope="All India",TRUE,'RAW_AR_CONTENT'!$B318=SelectedScope),'RAW_AR_CONTENT'!L318,"")</f>
        <v>0</v>
      </c>
      <c r="M319" s="9">
        <f>IF(IF(SelectedScope="All India",TRUE,'RAW_AR_CONTENT'!$B318=SelectedScope),'RAW_AR_CONTENT'!M318,"")</f>
        <v>0</v>
      </c>
      <c r="N319" s="9">
        <f>IF(IF(SelectedScope="All India",TRUE,'RAW_AR_CONTENT'!$B318=SelectedScope),'RAW_AR_CONTENT'!N318,"")</f>
        <v>0</v>
      </c>
      <c r="O319" s="9">
        <f>IF(IF(SelectedScope="All India",TRUE,'RAW_AR_CONTENT'!$B318=SelectedScope),'RAW_AR_CONTENT'!O318,"")</f>
        <v>0</v>
      </c>
      <c r="P319" s="9">
        <f>IF(IF(SelectedScope="All India",TRUE,'RAW_AR_CONTENT'!$B318=SelectedScope),'RAW_AR_CONTENT'!P318,"")</f>
        <v>0</v>
      </c>
      <c r="Q319" s="9">
        <f>IF(IF(SelectedScope="All India",TRUE,'RAW_AR_CONTENT'!$B318=SelectedScope),'RAW_AR_CONTENT'!Q318,"")</f>
        <v>0</v>
      </c>
      <c r="R319" s="9">
        <f>IF(IF(SelectedScope="All India",TRUE,'RAW_AR_CONTENT'!$B318=SelectedScope),'RAW_AR_CONTENT'!R318,"")</f>
        <v>0</v>
      </c>
    </row>
    <row r="320" spans="1:18" ht="15" customHeight="1" x14ac:dyDescent="0.3">
      <c r="A320" s="12">
        <f>IF(IF(SelectedScope="All India",TRUE,'RAW_AR_CONTENT'!$B319=SelectedScope),'RAW_AR_CONTENT'!A319,"")</f>
        <v>316</v>
      </c>
      <c r="B320" s="12" t="str">
        <f>IF(IF(SelectedScope="All India",TRUE,'RAW_AR_CONTENT'!$B319=SelectedScope),'RAW_AR_CONTENT'!B319,"")</f>
        <v>Manipur</v>
      </c>
      <c r="C320" s="12" t="str">
        <f>IF(IF(SelectedScope="All India",TRUE,'RAW_AR_CONTENT'!$B319=SelectedScope),'RAW_AR_CONTENT'!C319,"")</f>
        <v>Science</v>
      </c>
      <c r="D320" s="12" t="str">
        <f>IF(IF(SelectedScope="All India",TRUE,'RAW_AR_CONTENT'!$B319=SelectedScope),'RAW_AR_CONTENT'!D319,"")</f>
        <v>Class 8</v>
      </c>
      <c r="E320" s="12" t="str">
        <f>IF(IF(SelectedScope="All India",TRUE,'RAW_AR_CONTENT'!$B319=SelectedScope),'RAW_AR_CONTENT'!E319,"")</f>
        <v>Solar System 3D</v>
      </c>
      <c r="F320" s="12" t="str">
        <f>IF(IF(SelectedScope="All India",TRUE,'RAW_AR_CONTENT'!$B319=SelectedScope),'RAW_AR_CONTENT'!F319,"")</f>
        <v>Animated</v>
      </c>
      <c r="G320" s="12" t="str">
        <f>IF(IF(SelectedScope="All India",TRUE,'RAW_AR_CONTENT'!$B319=SelectedScope),'RAW_AR_CONTENT'!G319,"")</f>
        <v>Active</v>
      </c>
      <c r="H320" s="12">
        <f>IF(IF(SelectedScope="All India",TRUE,'RAW_AR_CONTENT'!$B319=SelectedScope),'RAW_AR_CONTENT'!H319,"")</f>
        <v>0</v>
      </c>
      <c r="I320" s="12">
        <f>IF(IF(SelectedScope="All India",TRUE,'RAW_AR_CONTENT'!$B319=SelectedScope),'RAW_AR_CONTENT'!I319,"")</f>
        <v>0</v>
      </c>
      <c r="J320" s="12">
        <f>IF(IF(SelectedScope="All India",TRUE,'RAW_AR_CONTENT'!$B319=SelectedScope),'RAW_AR_CONTENT'!J319,"")</f>
        <v>0</v>
      </c>
      <c r="K320" s="12">
        <f>IF(IF(SelectedScope="All India",TRUE,'RAW_AR_CONTENT'!$B319=SelectedScope),'RAW_AR_CONTENT'!K319,"")</f>
        <v>0</v>
      </c>
      <c r="L320" s="12">
        <f>IF(IF(SelectedScope="All India",TRUE,'RAW_AR_CONTENT'!$B319=SelectedScope),'RAW_AR_CONTENT'!L319,"")</f>
        <v>0</v>
      </c>
      <c r="M320" s="12">
        <f>IF(IF(SelectedScope="All India",TRUE,'RAW_AR_CONTENT'!$B319=SelectedScope),'RAW_AR_CONTENT'!M319,"")</f>
        <v>0</v>
      </c>
      <c r="N320" s="12">
        <f>IF(IF(SelectedScope="All India",TRUE,'RAW_AR_CONTENT'!$B319=SelectedScope),'RAW_AR_CONTENT'!N319,"")</f>
        <v>0</v>
      </c>
      <c r="O320" s="12">
        <f>IF(IF(SelectedScope="All India",TRUE,'RAW_AR_CONTENT'!$B319=SelectedScope),'RAW_AR_CONTENT'!O319,"")</f>
        <v>0</v>
      </c>
      <c r="P320" s="12">
        <f>IF(IF(SelectedScope="All India",TRUE,'RAW_AR_CONTENT'!$B319=SelectedScope),'RAW_AR_CONTENT'!P319,"")</f>
        <v>0</v>
      </c>
      <c r="Q320" s="12">
        <f>IF(IF(SelectedScope="All India",TRUE,'RAW_AR_CONTENT'!$B319=SelectedScope),'RAW_AR_CONTENT'!Q319,"")</f>
        <v>0</v>
      </c>
      <c r="R320" s="12">
        <f>IF(IF(SelectedScope="All India",TRUE,'RAW_AR_CONTENT'!$B319=SelectedScope),'RAW_AR_CONTENT'!R319,"")</f>
        <v>0</v>
      </c>
    </row>
    <row r="321" spans="1:18" ht="15" customHeight="1" x14ac:dyDescent="0.3">
      <c r="A321" s="9">
        <f>IF(IF(SelectedScope="All India",TRUE,'RAW_AR_CONTENT'!$B320=SelectedScope),'RAW_AR_CONTENT'!A320,"")</f>
        <v>317</v>
      </c>
      <c r="B321" s="9" t="str">
        <f>IF(IF(SelectedScope="All India",TRUE,'RAW_AR_CONTENT'!$B320=SelectedScope),'RAW_AR_CONTENT'!B320,"")</f>
        <v>Manipur</v>
      </c>
      <c r="C321" s="9" t="str">
        <f>IF(IF(SelectedScope="All India",TRUE,'RAW_AR_CONTENT'!$B320=SelectedScope),'RAW_AR_CONTENT'!C320,"")</f>
        <v>Biology</v>
      </c>
      <c r="D321" s="9" t="str">
        <f>IF(IF(SelectedScope="All India",TRUE,'RAW_AR_CONTENT'!$B320=SelectedScope),'RAW_AR_CONTENT'!D320,"")</f>
        <v>Class 9</v>
      </c>
      <c r="E321" s="9" t="str">
        <f>IF(IF(SelectedScope="All India",TRUE,'RAW_AR_CONTENT'!$B320=SelectedScope),'RAW_AR_CONTENT'!E320,"")</f>
        <v>Cell Division</v>
      </c>
      <c r="F321" s="9" t="str">
        <f>IF(IF(SelectedScope="All India",TRUE,'RAW_AR_CONTENT'!$B320=SelectedScope),'RAW_AR_CONTENT'!F320,"")</f>
        <v>Interactive</v>
      </c>
      <c r="G321" s="9" t="str">
        <f>IF(IF(SelectedScope="All India",TRUE,'RAW_AR_CONTENT'!$B320=SelectedScope),'RAW_AR_CONTENT'!G320,"")</f>
        <v>Active</v>
      </c>
      <c r="H321" s="9">
        <f>IF(IF(SelectedScope="All India",TRUE,'RAW_AR_CONTENT'!$B320=SelectedScope),'RAW_AR_CONTENT'!H320,"")</f>
        <v>0</v>
      </c>
      <c r="I321" s="9">
        <f>IF(IF(SelectedScope="All India",TRUE,'RAW_AR_CONTENT'!$B320=SelectedScope),'RAW_AR_CONTENT'!I320,"")</f>
        <v>0</v>
      </c>
      <c r="J321" s="9">
        <f>IF(IF(SelectedScope="All India",TRUE,'RAW_AR_CONTENT'!$B320=SelectedScope),'RAW_AR_CONTENT'!J320,"")</f>
        <v>0</v>
      </c>
      <c r="K321" s="9">
        <f>IF(IF(SelectedScope="All India",TRUE,'RAW_AR_CONTENT'!$B320=SelectedScope),'RAW_AR_CONTENT'!K320,"")</f>
        <v>0</v>
      </c>
      <c r="L321" s="9">
        <f>IF(IF(SelectedScope="All India",TRUE,'RAW_AR_CONTENT'!$B320=SelectedScope),'RAW_AR_CONTENT'!L320,"")</f>
        <v>0</v>
      </c>
      <c r="M321" s="9">
        <f>IF(IF(SelectedScope="All India",TRUE,'RAW_AR_CONTENT'!$B320=SelectedScope),'RAW_AR_CONTENT'!M320,"")</f>
        <v>0</v>
      </c>
      <c r="N321" s="9">
        <f>IF(IF(SelectedScope="All India",TRUE,'RAW_AR_CONTENT'!$B320=SelectedScope),'RAW_AR_CONTENT'!N320,"")</f>
        <v>0</v>
      </c>
      <c r="O321" s="9">
        <f>IF(IF(SelectedScope="All India",TRUE,'RAW_AR_CONTENT'!$B320=SelectedScope),'RAW_AR_CONTENT'!O320,"")</f>
        <v>0</v>
      </c>
      <c r="P321" s="9">
        <f>IF(IF(SelectedScope="All India",TRUE,'RAW_AR_CONTENT'!$B320=SelectedScope),'RAW_AR_CONTENT'!P320,"")</f>
        <v>0</v>
      </c>
      <c r="Q321" s="9">
        <f>IF(IF(SelectedScope="All India",TRUE,'RAW_AR_CONTENT'!$B320=SelectedScope),'RAW_AR_CONTENT'!Q320,"")</f>
        <v>0</v>
      </c>
      <c r="R321" s="9">
        <f>IF(IF(SelectedScope="All India",TRUE,'RAW_AR_CONTENT'!$B320=SelectedScope),'RAW_AR_CONTENT'!R320,"")</f>
        <v>0</v>
      </c>
    </row>
    <row r="322" spans="1:18" ht="15" customHeight="1" x14ac:dyDescent="0.3">
      <c r="A322" s="12">
        <f>IF(IF(SelectedScope="All India",TRUE,'RAW_AR_CONTENT'!$B321=SelectedScope),'RAW_AR_CONTENT'!A321,"")</f>
        <v>318</v>
      </c>
      <c r="B322" s="12" t="str">
        <f>IF(IF(SelectedScope="All India",TRUE,'RAW_AR_CONTENT'!$B321=SelectedScope),'RAW_AR_CONTENT'!B321,"")</f>
        <v>Manipur</v>
      </c>
      <c r="C322" s="12" t="str">
        <f>IF(IF(SelectedScope="All India",TRUE,'RAW_AR_CONTENT'!$B321=SelectedScope),'RAW_AR_CONTENT'!C321,"")</f>
        <v>Chemistry</v>
      </c>
      <c r="D322" s="12" t="str">
        <f>IF(IF(SelectedScope="All India",TRUE,'RAW_AR_CONTENT'!$B321=SelectedScope),'RAW_AR_CONTENT'!D321,"")</f>
        <v>Class 9</v>
      </c>
      <c r="E322" s="12" t="str">
        <f>IF(IF(SelectedScope="All India",TRUE,'RAW_AR_CONTENT'!$B321=SelectedScope),'RAW_AR_CONTENT'!E321,"")</f>
        <v>Atoms and Molecules</v>
      </c>
      <c r="F322" s="12" t="str">
        <f>IF(IF(SelectedScope="All India",TRUE,'RAW_AR_CONTENT'!$B321=SelectedScope),'RAW_AR_CONTENT'!F321,"")</f>
        <v>Animated</v>
      </c>
      <c r="G322" s="12" t="str">
        <f>IF(IF(SelectedScope="All India",TRUE,'RAW_AR_CONTENT'!$B321=SelectedScope),'RAW_AR_CONTENT'!G321,"")</f>
        <v>Active</v>
      </c>
      <c r="H322" s="12">
        <f>IF(IF(SelectedScope="All India",TRUE,'RAW_AR_CONTENT'!$B321=SelectedScope),'RAW_AR_CONTENT'!H321,"")</f>
        <v>0</v>
      </c>
      <c r="I322" s="12">
        <f>IF(IF(SelectedScope="All India",TRUE,'RAW_AR_CONTENT'!$B321=SelectedScope),'RAW_AR_CONTENT'!I321,"")</f>
        <v>0</v>
      </c>
      <c r="J322" s="12">
        <f>IF(IF(SelectedScope="All India",TRUE,'RAW_AR_CONTENT'!$B321=SelectedScope),'RAW_AR_CONTENT'!J321,"")</f>
        <v>0</v>
      </c>
      <c r="K322" s="12">
        <f>IF(IF(SelectedScope="All India",TRUE,'RAW_AR_CONTENT'!$B321=SelectedScope),'RAW_AR_CONTENT'!K321,"")</f>
        <v>0</v>
      </c>
      <c r="L322" s="12">
        <f>IF(IF(SelectedScope="All India",TRUE,'RAW_AR_CONTENT'!$B321=SelectedScope),'RAW_AR_CONTENT'!L321,"")</f>
        <v>0</v>
      </c>
      <c r="M322" s="12">
        <f>IF(IF(SelectedScope="All India",TRUE,'RAW_AR_CONTENT'!$B321=SelectedScope),'RAW_AR_CONTENT'!M321,"")</f>
        <v>0</v>
      </c>
      <c r="N322" s="12">
        <f>IF(IF(SelectedScope="All India",TRUE,'RAW_AR_CONTENT'!$B321=SelectedScope),'RAW_AR_CONTENT'!N321,"")</f>
        <v>0</v>
      </c>
      <c r="O322" s="12">
        <f>IF(IF(SelectedScope="All India",TRUE,'RAW_AR_CONTENT'!$B321=SelectedScope),'RAW_AR_CONTENT'!O321,"")</f>
        <v>0</v>
      </c>
      <c r="P322" s="12">
        <f>IF(IF(SelectedScope="All India",TRUE,'RAW_AR_CONTENT'!$B321=SelectedScope),'RAW_AR_CONTENT'!P321,"")</f>
        <v>0</v>
      </c>
      <c r="Q322" s="12">
        <f>IF(IF(SelectedScope="All India",TRUE,'RAW_AR_CONTENT'!$B321=SelectedScope),'RAW_AR_CONTENT'!Q321,"")</f>
        <v>0</v>
      </c>
      <c r="R322" s="12">
        <f>IF(IF(SelectedScope="All India",TRUE,'RAW_AR_CONTENT'!$B321=SelectedScope),'RAW_AR_CONTENT'!R321,"")</f>
        <v>0</v>
      </c>
    </row>
    <row r="323" spans="1:18" ht="15" customHeight="1" x14ac:dyDescent="0.3">
      <c r="A323" s="9">
        <f>IF(IF(SelectedScope="All India",TRUE,'RAW_AR_CONTENT'!$B322=SelectedScope),'RAW_AR_CONTENT'!A322,"")</f>
        <v>319</v>
      </c>
      <c r="B323" s="9" t="str">
        <f>IF(IF(SelectedScope="All India",TRUE,'RAW_AR_CONTENT'!$B322=SelectedScope),'RAW_AR_CONTENT'!B322,"")</f>
        <v>Manipur</v>
      </c>
      <c r="C323" s="9" t="str">
        <f>IF(IF(SelectedScope="All India",TRUE,'RAW_AR_CONTENT'!$B322=SelectedScope),'RAW_AR_CONTENT'!C322,"")</f>
        <v>Biology</v>
      </c>
      <c r="D323" s="9" t="str">
        <f>IF(IF(SelectedScope="All India",TRUE,'RAW_AR_CONTENT'!$B322=SelectedScope),'RAW_AR_CONTENT'!D322,"")</f>
        <v>Class 7</v>
      </c>
      <c r="E323" s="9" t="str">
        <f>IF(IF(SelectedScope="All India",TRUE,'RAW_AR_CONTENT'!$B322=SelectedScope),'RAW_AR_CONTENT'!E322,"")</f>
        <v>Photosynthesis</v>
      </c>
      <c r="F323" s="9" t="str">
        <f>IF(IF(SelectedScope="All India",TRUE,'RAW_AR_CONTENT'!$B322=SelectedScope),'RAW_AR_CONTENT'!F322,"")</f>
        <v>Basic 3D</v>
      </c>
      <c r="G323" s="9" t="str">
        <f>IF(IF(SelectedScope="All India",TRUE,'RAW_AR_CONTENT'!$B322=SelectedScope),'RAW_AR_CONTENT'!G322,"")</f>
        <v>Active</v>
      </c>
      <c r="H323" s="9">
        <f>IF(IF(SelectedScope="All India",TRUE,'RAW_AR_CONTENT'!$B322=SelectedScope),'RAW_AR_CONTENT'!H322,"")</f>
        <v>0</v>
      </c>
      <c r="I323" s="9">
        <f>IF(IF(SelectedScope="All India",TRUE,'RAW_AR_CONTENT'!$B322=SelectedScope),'RAW_AR_CONTENT'!I322,"")</f>
        <v>0</v>
      </c>
      <c r="J323" s="9">
        <f>IF(IF(SelectedScope="All India",TRUE,'RAW_AR_CONTENT'!$B322=SelectedScope),'RAW_AR_CONTENT'!J322,"")</f>
        <v>0</v>
      </c>
      <c r="K323" s="9">
        <f>IF(IF(SelectedScope="All India",TRUE,'RAW_AR_CONTENT'!$B322=SelectedScope),'RAW_AR_CONTENT'!K322,"")</f>
        <v>0</v>
      </c>
      <c r="L323" s="9">
        <f>IF(IF(SelectedScope="All India",TRUE,'RAW_AR_CONTENT'!$B322=SelectedScope),'RAW_AR_CONTENT'!L322,"")</f>
        <v>0</v>
      </c>
      <c r="M323" s="9">
        <f>IF(IF(SelectedScope="All India",TRUE,'RAW_AR_CONTENT'!$B322=SelectedScope),'RAW_AR_CONTENT'!M322,"")</f>
        <v>0</v>
      </c>
      <c r="N323" s="9">
        <f>IF(IF(SelectedScope="All India",TRUE,'RAW_AR_CONTENT'!$B322=SelectedScope),'RAW_AR_CONTENT'!N322,"")</f>
        <v>0</v>
      </c>
      <c r="O323" s="9">
        <f>IF(IF(SelectedScope="All India",TRUE,'RAW_AR_CONTENT'!$B322=SelectedScope),'RAW_AR_CONTENT'!O322,"")</f>
        <v>0</v>
      </c>
      <c r="P323" s="9">
        <f>IF(IF(SelectedScope="All India",TRUE,'RAW_AR_CONTENT'!$B322=SelectedScope),'RAW_AR_CONTENT'!P322,"")</f>
        <v>0</v>
      </c>
      <c r="Q323" s="9">
        <f>IF(IF(SelectedScope="All India",TRUE,'RAW_AR_CONTENT'!$B322=SelectedScope),'RAW_AR_CONTENT'!Q322,"")</f>
        <v>0</v>
      </c>
      <c r="R323" s="9">
        <f>IF(IF(SelectedScope="All India",TRUE,'RAW_AR_CONTENT'!$B322=SelectedScope),'RAW_AR_CONTENT'!R322,"")</f>
        <v>0</v>
      </c>
    </row>
    <row r="324" spans="1:18" ht="15" customHeight="1" x14ac:dyDescent="0.3">
      <c r="A324" s="12">
        <f>IF(IF(SelectedScope="All India",TRUE,'RAW_AR_CONTENT'!$B323=SelectedScope),'RAW_AR_CONTENT'!A323,"")</f>
        <v>320</v>
      </c>
      <c r="B324" s="12" t="str">
        <f>IF(IF(SelectedScope="All India",TRUE,'RAW_AR_CONTENT'!$B323=SelectedScope),'RAW_AR_CONTENT'!B323,"")</f>
        <v>Manipur</v>
      </c>
      <c r="C324" s="12" t="str">
        <f>IF(IF(SelectedScope="All India",TRUE,'RAW_AR_CONTENT'!$B323=SelectedScope),'RAW_AR_CONTENT'!C323,"")</f>
        <v>Mathematics</v>
      </c>
      <c r="D324" s="12" t="str">
        <f>IF(IF(SelectedScope="All India",TRUE,'RAW_AR_CONTENT'!$B323=SelectedScope),'RAW_AR_CONTENT'!D323,"")</f>
        <v>Class 7</v>
      </c>
      <c r="E324" s="12" t="str">
        <f>IF(IF(SelectedScope="All India",TRUE,'RAW_AR_CONTENT'!$B323=SelectedScope),'RAW_AR_CONTENT'!E323,"")</f>
        <v>Fractions 3D Model</v>
      </c>
      <c r="F324" s="12" t="str">
        <f>IF(IF(SelectedScope="All India",TRUE,'RAW_AR_CONTENT'!$B323=SelectedScope),'RAW_AR_CONTENT'!F323,"")</f>
        <v>Interactive</v>
      </c>
      <c r="G324" s="12" t="str">
        <f>IF(IF(SelectedScope="All India",TRUE,'RAW_AR_CONTENT'!$B323=SelectedScope),'RAW_AR_CONTENT'!G323,"")</f>
        <v>Active</v>
      </c>
      <c r="H324" s="12">
        <f>IF(IF(SelectedScope="All India",TRUE,'RAW_AR_CONTENT'!$B323=SelectedScope),'RAW_AR_CONTENT'!H323,"")</f>
        <v>0</v>
      </c>
      <c r="I324" s="12">
        <f>IF(IF(SelectedScope="All India",TRUE,'RAW_AR_CONTENT'!$B323=SelectedScope),'RAW_AR_CONTENT'!I323,"")</f>
        <v>0</v>
      </c>
      <c r="J324" s="12">
        <f>IF(IF(SelectedScope="All India",TRUE,'RAW_AR_CONTENT'!$B323=SelectedScope),'RAW_AR_CONTENT'!J323,"")</f>
        <v>0</v>
      </c>
      <c r="K324" s="12">
        <f>IF(IF(SelectedScope="All India",TRUE,'RAW_AR_CONTENT'!$B323=SelectedScope),'RAW_AR_CONTENT'!K323,"")</f>
        <v>0</v>
      </c>
      <c r="L324" s="12">
        <f>IF(IF(SelectedScope="All India",TRUE,'RAW_AR_CONTENT'!$B323=SelectedScope),'RAW_AR_CONTENT'!L323,"")</f>
        <v>0</v>
      </c>
      <c r="M324" s="12">
        <f>IF(IF(SelectedScope="All India",TRUE,'RAW_AR_CONTENT'!$B323=SelectedScope),'RAW_AR_CONTENT'!M323,"")</f>
        <v>0</v>
      </c>
      <c r="N324" s="12">
        <f>IF(IF(SelectedScope="All India",TRUE,'RAW_AR_CONTENT'!$B323=SelectedScope),'RAW_AR_CONTENT'!N323,"")</f>
        <v>0</v>
      </c>
      <c r="O324" s="12">
        <f>IF(IF(SelectedScope="All India",TRUE,'RAW_AR_CONTENT'!$B323=SelectedScope),'RAW_AR_CONTENT'!O323,"")</f>
        <v>0</v>
      </c>
      <c r="P324" s="12">
        <f>IF(IF(SelectedScope="All India",TRUE,'RAW_AR_CONTENT'!$B323=SelectedScope),'RAW_AR_CONTENT'!P323,"")</f>
        <v>0</v>
      </c>
      <c r="Q324" s="12">
        <f>IF(IF(SelectedScope="All India",TRUE,'RAW_AR_CONTENT'!$B323=SelectedScope),'RAW_AR_CONTENT'!Q323,"")</f>
        <v>0</v>
      </c>
      <c r="R324" s="12">
        <f>IF(IF(SelectedScope="All India",TRUE,'RAW_AR_CONTENT'!$B323=SelectedScope),'RAW_AR_CONTENT'!R323,"")</f>
        <v>0</v>
      </c>
    </row>
    <row r="325" spans="1:18" ht="15" customHeight="1" x14ac:dyDescent="0.3">
      <c r="A325" s="9">
        <f>IF(IF(SelectedScope="All India",TRUE,'RAW_AR_CONTENT'!$B324=SelectedScope),'RAW_AR_CONTENT'!A324,"")</f>
        <v>321</v>
      </c>
      <c r="B325" s="9" t="str">
        <f>IF(IF(SelectedScope="All India",TRUE,'RAW_AR_CONTENT'!$B324=SelectedScope),'RAW_AR_CONTENT'!B324,"")</f>
        <v>Manipur</v>
      </c>
      <c r="C325" s="9" t="str">
        <f>IF(IF(SelectedScope="All India",TRUE,'RAW_AR_CONTENT'!$B324=SelectedScope),'RAW_AR_CONTENT'!C324,"")</f>
        <v>Mathematics</v>
      </c>
      <c r="D325" s="9" t="str">
        <f>IF(IF(SelectedScope="All India",TRUE,'RAW_AR_CONTENT'!$B324=SelectedScope),'RAW_AR_CONTENT'!D324,"")</f>
        <v>Class 10</v>
      </c>
      <c r="E325" s="9" t="str">
        <f>IF(IF(SelectedScope="All India",TRUE,'RAW_AR_CONTENT'!$B324=SelectedScope),'RAW_AR_CONTENT'!E324,"")</f>
        <v>Trigonometry 3D</v>
      </c>
      <c r="F325" s="9" t="str">
        <f>IF(IF(SelectedScope="All India",TRUE,'RAW_AR_CONTENT'!$B324=SelectedScope),'RAW_AR_CONTENT'!F324,"")</f>
        <v>Animated</v>
      </c>
      <c r="G325" s="9" t="str">
        <f>IF(IF(SelectedScope="All India",TRUE,'RAW_AR_CONTENT'!$B324=SelectedScope),'RAW_AR_CONTENT'!G324,"")</f>
        <v>Active</v>
      </c>
      <c r="H325" s="9">
        <f>IF(IF(SelectedScope="All India",TRUE,'RAW_AR_CONTENT'!$B324=SelectedScope),'RAW_AR_CONTENT'!H324,"")</f>
        <v>0</v>
      </c>
      <c r="I325" s="9">
        <f>IF(IF(SelectedScope="All India",TRUE,'RAW_AR_CONTENT'!$B324=SelectedScope),'RAW_AR_CONTENT'!I324,"")</f>
        <v>0</v>
      </c>
      <c r="J325" s="9">
        <f>IF(IF(SelectedScope="All India",TRUE,'RAW_AR_CONTENT'!$B324=SelectedScope),'RAW_AR_CONTENT'!J324,"")</f>
        <v>0</v>
      </c>
      <c r="K325" s="9">
        <f>IF(IF(SelectedScope="All India",TRUE,'RAW_AR_CONTENT'!$B324=SelectedScope),'RAW_AR_CONTENT'!K324,"")</f>
        <v>0</v>
      </c>
      <c r="L325" s="9">
        <f>IF(IF(SelectedScope="All India",TRUE,'RAW_AR_CONTENT'!$B324=SelectedScope),'RAW_AR_CONTENT'!L324,"")</f>
        <v>0</v>
      </c>
      <c r="M325" s="9">
        <f>IF(IF(SelectedScope="All India",TRUE,'RAW_AR_CONTENT'!$B324=SelectedScope),'RAW_AR_CONTENT'!M324,"")</f>
        <v>0</v>
      </c>
      <c r="N325" s="9">
        <f>IF(IF(SelectedScope="All India",TRUE,'RAW_AR_CONTENT'!$B324=SelectedScope),'RAW_AR_CONTENT'!N324,"")</f>
        <v>0</v>
      </c>
      <c r="O325" s="9">
        <f>IF(IF(SelectedScope="All India",TRUE,'RAW_AR_CONTENT'!$B324=SelectedScope),'RAW_AR_CONTENT'!O324,"")</f>
        <v>0</v>
      </c>
      <c r="P325" s="9">
        <f>IF(IF(SelectedScope="All India",TRUE,'RAW_AR_CONTENT'!$B324=SelectedScope),'RAW_AR_CONTENT'!P324,"")</f>
        <v>0</v>
      </c>
      <c r="Q325" s="9">
        <f>IF(IF(SelectedScope="All India",TRUE,'RAW_AR_CONTENT'!$B324=SelectedScope),'RAW_AR_CONTENT'!Q324,"")</f>
        <v>0</v>
      </c>
      <c r="R325" s="9">
        <f>IF(IF(SelectedScope="All India",TRUE,'RAW_AR_CONTENT'!$B324=SelectedScope),'RAW_AR_CONTENT'!R324,"")</f>
        <v>0</v>
      </c>
    </row>
    <row r="326" spans="1:18" ht="15" customHeight="1" x14ac:dyDescent="0.3">
      <c r="A326" s="12">
        <f>IF(IF(SelectedScope="All India",TRUE,'RAW_AR_CONTENT'!$B325=SelectedScope),'RAW_AR_CONTENT'!A325,"")</f>
        <v>322</v>
      </c>
      <c r="B326" s="12" t="str">
        <f>IF(IF(SelectedScope="All India",TRUE,'RAW_AR_CONTENT'!$B325=SelectedScope),'RAW_AR_CONTENT'!B325,"")</f>
        <v>Manipur</v>
      </c>
      <c r="C326" s="12" t="str">
        <f>IF(IF(SelectedScope="All India",TRUE,'RAW_AR_CONTENT'!$B325=SelectedScope),'RAW_AR_CONTENT'!C325,"")</f>
        <v>History</v>
      </c>
      <c r="D326" s="12" t="str">
        <f>IF(IF(SelectedScope="All India",TRUE,'RAW_AR_CONTENT'!$B325=SelectedScope),'RAW_AR_CONTENT'!D325,"")</f>
        <v>Class 10</v>
      </c>
      <c r="E326" s="12" t="str">
        <f>IF(IF(SelectedScope="All India",TRUE,'RAW_AR_CONTENT'!$B325=SelectedScope),'RAW_AR_CONTENT'!E325,"")</f>
        <v>Mughal Empire AR</v>
      </c>
      <c r="F326" s="12" t="str">
        <f>IF(IF(SelectedScope="All India",TRUE,'RAW_AR_CONTENT'!$B325=SelectedScope),'RAW_AR_CONTENT'!F325,"")</f>
        <v>Basic 3D</v>
      </c>
      <c r="G326" s="12" t="str">
        <f>IF(IF(SelectedScope="All India",TRUE,'RAW_AR_CONTENT'!$B325=SelectedScope),'RAW_AR_CONTENT'!G325,"")</f>
        <v>Active</v>
      </c>
      <c r="H326" s="12">
        <f>IF(IF(SelectedScope="All India",TRUE,'RAW_AR_CONTENT'!$B325=SelectedScope),'RAW_AR_CONTENT'!H325,"")</f>
        <v>0</v>
      </c>
      <c r="I326" s="12">
        <f>IF(IF(SelectedScope="All India",TRUE,'RAW_AR_CONTENT'!$B325=SelectedScope),'RAW_AR_CONTENT'!I325,"")</f>
        <v>0</v>
      </c>
      <c r="J326" s="12">
        <f>IF(IF(SelectedScope="All India",TRUE,'RAW_AR_CONTENT'!$B325=SelectedScope),'RAW_AR_CONTENT'!J325,"")</f>
        <v>0</v>
      </c>
      <c r="K326" s="12">
        <f>IF(IF(SelectedScope="All India",TRUE,'RAW_AR_CONTENT'!$B325=SelectedScope),'RAW_AR_CONTENT'!K325,"")</f>
        <v>0</v>
      </c>
      <c r="L326" s="12">
        <f>IF(IF(SelectedScope="All India",TRUE,'RAW_AR_CONTENT'!$B325=SelectedScope),'RAW_AR_CONTENT'!L325,"")</f>
        <v>0</v>
      </c>
      <c r="M326" s="12">
        <f>IF(IF(SelectedScope="All India",TRUE,'RAW_AR_CONTENT'!$B325=SelectedScope),'RAW_AR_CONTENT'!M325,"")</f>
        <v>0</v>
      </c>
      <c r="N326" s="12">
        <f>IF(IF(SelectedScope="All India",TRUE,'RAW_AR_CONTENT'!$B325=SelectedScope),'RAW_AR_CONTENT'!N325,"")</f>
        <v>0</v>
      </c>
      <c r="O326" s="12">
        <f>IF(IF(SelectedScope="All India",TRUE,'RAW_AR_CONTENT'!$B325=SelectedScope),'RAW_AR_CONTENT'!O325,"")</f>
        <v>0</v>
      </c>
      <c r="P326" s="12">
        <f>IF(IF(SelectedScope="All India",TRUE,'RAW_AR_CONTENT'!$B325=SelectedScope),'RAW_AR_CONTENT'!P325,"")</f>
        <v>0</v>
      </c>
      <c r="Q326" s="12">
        <f>IF(IF(SelectedScope="All India",TRUE,'RAW_AR_CONTENT'!$B325=SelectedScope),'RAW_AR_CONTENT'!Q325,"")</f>
        <v>0</v>
      </c>
      <c r="R326" s="12">
        <f>IF(IF(SelectedScope="All India",TRUE,'RAW_AR_CONTENT'!$B325=SelectedScope),'RAW_AR_CONTENT'!R325,"")</f>
        <v>0</v>
      </c>
    </row>
    <row r="327" spans="1:18" ht="15" customHeight="1" x14ac:dyDescent="0.3">
      <c r="A327" s="9">
        <f>IF(IF(SelectedScope="All India",TRUE,'RAW_AR_CONTENT'!$B326=SelectedScope),'RAW_AR_CONTENT'!A326,"")</f>
        <v>323</v>
      </c>
      <c r="B327" s="9" t="str">
        <f>IF(IF(SelectedScope="All India",TRUE,'RAW_AR_CONTENT'!$B326=SelectedScope),'RAW_AR_CONTENT'!B326,"")</f>
        <v>Manipur</v>
      </c>
      <c r="C327" s="9" t="str">
        <f>IF(IF(SelectedScope="All India",TRUE,'RAW_AR_CONTENT'!$B326=SelectedScope),'RAW_AR_CONTENT'!C326,"")</f>
        <v>Geography</v>
      </c>
      <c r="D327" s="9" t="str">
        <f>IF(IF(SelectedScope="All India",TRUE,'RAW_AR_CONTENT'!$B326=SelectedScope),'RAW_AR_CONTENT'!D326,"")</f>
        <v>Class 6</v>
      </c>
      <c r="E327" s="9" t="str">
        <f>IF(IF(SelectedScope="All India",TRUE,'RAW_AR_CONTENT'!$B326=SelectedScope),'RAW_AR_CONTENT'!E326,"")</f>
        <v>Water Cycle Simulation</v>
      </c>
      <c r="F327" s="9" t="str">
        <f>IF(IF(SelectedScope="All India",TRUE,'RAW_AR_CONTENT'!$B326=SelectedScope),'RAW_AR_CONTENT'!F326,"")</f>
        <v>Animated</v>
      </c>
      <c r="G327" s="9" t="str">
        <f>IF(IF(SelectedScope="All India",TRUE,'RAW_AR_CONTENT'!$B326=SelectedScope),'RAW_AR_CONTENT'!G326,"")</f>
        <v>Active</v>
      </c>
      <c r="H327" s="9">
        <f>IF(IF(SelectedScope="All India",TRUE,'RAW_AR_CONTENT'!$B326=SelectedScope),'RAW_AR_CONTENT'!H326,"")</f>
        <v>0</v>
      </c>
      <c r="I327" s="9">
        <f>IF(IF(SelectedScope="All India",TRUE,'RAW_AR_CONTENT'!$B326=SelectedScope),'RAW_AR_CONTENT'!I326,"")</f>
        <v>0</v>
      </c>
      <c r="J327" s="9">
        <f>IF(IF(SelectedScope="All India",TRUE,'RAW_AR_CONTENT'!$B326=SelectedScope),'RAW_AR_CONTENT'!J326,"")</f>
        <v>0</v>
      </c>
      <c r="K327" s="9">
        <f>IF(IF(SelectedScope="All India",TRUE,'RAW_AR_CONTENT'!$B326=SelectedScope),'RAW_AR_CONTENT'!K326,"")</f>
        <v>0</v>
      </c>
      <c r="L327" s="9">
        <f>IF(IF(SelectedScope="All India",TRUE,'RAW_AR_CONTENT'!$B326=SelectedScope),'RAW_AR_CONTENT'!L326,"")</f>
        <v>0</v>
      </c>
      <c r="M327" s="9">
        <f>IF(IF(SelectedScope="All India",TRUE,'RAW_AR_CONTENT'!$B326=SelectedScope),'RAW_AR_CONTENT'!M326,"")</f>
        <v>0</v>
      </c>
      <c r="N327" s="9">
        <f>IF(IF(SelectedScope="All India",TRUE,'RAW_AR_CONTENT'!$B326=SelectedScope),'RAW_AR_CONTENT'!N326,"")</f>
        <v>0</v>
      </c>
      <c r="O327" s="9">
        <f>IF(IF(SelectedScope="All India",TRUE,'RAW_AR_CONTENT'!$B326=SelectedScope),'RAW_AR_CONTENT'!O326,"")</f>
        <v>0</v>
      </c>
      <c r="P327" s="9">
        <f>IF(IF(SelectedScope="All India",TRUE,'RAW_AR_CONTENT'!$B326=SelectedScope),'RAW_AR_CONTENT'!P326,"")</f>
        <v>0</v>
      </c>
      <c r="Q327" s="9">
        <f>IF(IF(SelectedScope="All India",TRUE,'RAW_AR_CONTENT'!$B326=SelectedScope),'RAW_AR_CONTENT'!Q326,"")</f>
        <v>0</v>
      </c>
      <c r="R327" s="9">
        <f>IF(IF(SelectedScope="All India",TRUE,'RAW_AR_CONTENT'!$B326=SelectedScope),'RAW_AR_CONTENT'!R326,"")</f>
        <v>0</v>
      </c>
    </row>
    <row r="328" spans="1:18" ht="15" customHeight="1" x14ac:dyDescent="0.3">
      <c r="A328" s="12">
        <f>IF(IF(SelectedScope="All India",TRUE,'RAW_AR_CONTENT'!$B327=SelectedScope),'RAW_AR_CONTENT'!A327,"")</f>
        <v>324</v>
      </c>
      <c r="B328" s="12" t="str">
        <f>IF(IF(SelectedScope="All India",TRUE,'RAW_AR_CONTENT'!$B327=SelectedScope),'RAW_AR_CONTENT'!B327,"")</f>
        <v>Manipur</v>
      </c>
      <c r="C328" s="12" t="str">
        <f>IF(IF(SelectedScope="All India",TRUE,'RAW_AR_CONTENT'!$B327=SelectedScope),'RAW_AR_CONTENT'!C327,"")</f>
        <v>Biology</v>
      </c>
      <c r="D328" s="12" t="str">
        <f>IF(IF(SelectedScope="All India",TRUE,'RAW_AR_CONTENT'!$B327=SelectedScope),'RAW_AR_CONTENT'!D327,"")</f>
        <v>Class 11</v>
      </c>
      <c r="E328" s="12" t="str">
        <f>IF(IF(SelectedScope="All India",TRUE,'RAW_AR_CONTENT'!$B327=SelectedScope),'RAW_AR_CONTENT'!E327,"")</f>
        <v>Human Anatomy AR</v>
      </c>
      <c r="F328" s="12" t="str">
        <f>IF(IF(SelectedScope="All India",TRUE,'RAW_AR_CONTENT'!$B327=SelectedScope),'RAW_AR_CONTENT'!F327,"")</f>
        <v>Fully Immersive</v>
      </c>
      <c r="G328" s="12" t="str">
        <f>IF(IF(SelectedScope="All India",TRUE,'RAW_AR_CONTENT'!$B327=SelectedScope),'RAW_AR_CONTENT'!G327,"")</f>
        <v>Active</v>
      </c>
      <c r="H328" s="12">
        <f>IF(IF(SelectedScope="All India",TRUE,'RAW_AR_CONTENT'!$B327=SelectedScope),'RAW_AR_CONTENT'!H327,"")</f>
        <v>0</v>
      </c>
      <c r="I328" s="12">
        <f>IF(IF(SelectedScope="All India",TRUE,'RAW_AR_CONTENT'!$B327=SelectedScope),'RAW_AR_CONTENT'!I327,"")</f>
        <v>0</v>
      </c>
      <c r="J328" s="12">
        <f>IF(IF(SelectedScope="All India",TRUE,'RAW_AR_CONTENT'!$B327=SelectedScope),'RAW_AR_CONTENT'!J327,"")</f>
        <v>0</v>
      </c>
      <c r="K328" s="12">
        <f>IF(IF(SelectedScope="All India",TRUE,'RAW_AR_CONTENT'!$B327=SelectedScope),'RAW_AR_CONTENT'!K327,"")</f>
        <v>0</v>
      </c>
      <c r="L328" s="12">
        <f>IF(IF(SelectedScope="All India",TRUE,'RAW_AR_CONTENT'!$B327=SelectedScope),'RAW_AR_CONTENT'!L327,"")</f>
        <v>0</v>
      </c>
      <c r="M328" s="12">
        <f>IF(IF(SelectedScope="All India",TRUE,'RAW_AR_CONTENT'!$B327=SelectedScope),'RAW_AR_CONTENT'!M327,"")</f>
        <v>0</v>
      </c>
      <c r="N328" s="12">
        <f>IF(IF(SelectedScope="All India",TRUE,'RAW_AR_CONTENT'!$B327=SelectedScope),'RAW_AR_CONTENT'!N327,"")</f>
        <v>0</v>
      </c>
      <c r="O328" s="12">
        <f>IF(IF(SelectedScope="All India",TRUE,'RAW_AR_CONTENT'!$B327=SelectedScope),'RAW_AR_CONTENT'!O327,"")</f>
        <v>0</v>
      </c>
      <c r="P328" s="12">
        <f>IF(IF(SelectedScope="All India",TRUE,'RAW_AR_CONTENT'!$B327=SelectedScope),'RAW_AR_CONTENT'!P327,"")</f>
        <v>0</v>
      </c>
      <c r="Q328" s="12">
        <f>IF(IF(SelectedScope="All India",TRUE,'RAW_AR_CONTENT'!$B327=SelectedScope),'RAW_AR_CONTENT'!Q327,"")</f>
        <v>0</v>
      </c>
      <c r="R328" s="12">
        <f>IF(IF(SelectedScope="All India",TRUE,'RAW_AR_CONTENT'!$B327=SelectedScope),'RAW_AR_CONTENT'!R327,"")</f>
        <v>0</v>
      </c>
    </row>
    <row r="329" spans="1:18" ht="15" customHeight="1" x14ac:dyDescent="0.3">
      <c r="A329" s="9">
        <f>IF(IF(SelectedScope="All India",TRUE,'RAW_AR_CONTENT'!$B328=SelectedScope),'RAW_AR_CONTENT'!A328,"")</f>
        <v>325</v>
      </c>
      <c r="B329" s="9" t="str">
        <f>IF(IF(SelectedScope="All India",TRUE,'RAW_AR_CONTENT'!$B328=SelectedScope),'RAW_AR_CONTENT'!B328,"")</f>
        <v>Manipur</v>
      </c>
      <c r="C329" s="9" t="str">
        <f>IF(IF(SelectedScope="All India",TRUE,'RAW_AR_CONTENT'!$B328=SelectedScope),'RAW_AR_CONTENT'!C328,"")</f>
        <v>Physics</v>
      </c>
      <c r="D329" s="9" t="str">
        <f>IF(IF(SelectedScope="All India",TRUE,'RAW_AR_CONTENT'!$B328=SelectedScope),'RAW_AR_CONTENT'!D328,"")</f>
        <v>Class 9</v>
      </c>
      <c r="E329" s="9" t="str">
        <f>IF(IF(SelectedScope="All India",TRUE,'RAW_AR_CONTENT'!$B328=SelectedScope),'RAW_AR_CONTENT'!E328,"")</f>
        <v>Laws of Motion</v>
      </c>
      <c r="F329" s="9" t="str">
        <f>IF(IF(SelectedScope="All India",TRUE,'RAW_AR_CONTENT'!$B328=SelectedScope),'RAW_AR_CONTENT'!F328,"")</f>
        <v>Interactive</v>
      </c>
      <c r="G329" s="9" t="str">
        <f>IF(IF(SelectedScope="All India",TRUE,'RAW_AR_CONTENT'!$B328=SelectedScope),'RAW_AR_CONTENT'!G328,"")</f>
        <v>Active</v>
      </c>
      <c r="H329" s="9">
        <f>IF(IF(SelectedScope="All India",TRUE,'RAW_AR_CONTENT'!$B328=SelectedScope),'RAW_AR_CONTENT'!H328,"")</f>
        <v>0</v>
      </c>
      <c r="I329" s="9">
        <f>IF(IF(SelectedScope="All India",TRUE,'RAW_AR_CONTENT'!$B328=SelectedScope),'RAW_AR_CONTENT'!I328,"")</f>
        <v>0</v>
      </c>
      <c r="J329" s="9">
        <f>IF(IF(SelectedScope="All India",TRUE,'RAW_AR_CONTENT'!$B328=SelectedScope),'RAW_AR_CONTENT'!J328,"")</f>
        <v>0</v>
      </c>
      <c r="K329" s="9">
        <f>IF(IF(SelectedScope="All India",TRUE,'RAW_AR_CONTENT'!$B328=SelectedScope),'RAW_AR_CONTENT'!K328,"")</f>
        <v>0</v>
      </c>
      <c r="L329" s="9">
        <f>IF(IF(SelectedScope="All India",TRUE,'RAW_AR_CONTENT'!$B328=SelectedScope),'RAW_AR_CONTENT'!L328,"")</f>
        <v>0</v>
      </c>
      <c r="M329" s="9">
        <f>IF(IF(SelectedScope="All India",TRUE,'RAW_AR_CONTENT'!$B328=SelectedScope),'RAW_AR_CONTENT'!M328,"")</f>
        <v>0</v>
      </c>
      <c r="N329" s="9">
        <f>IF(IF(SelectedScope="All India",TRUE,'RAW_AR_CONTENT'!$B328=SelectedScope),'RAW_AR_CONTENT'!N328,"")</f>
        <v>0</v>
      </c>
      <c r="O329" s="9">
        <f>IF(IF(SelectedScope="All India",TRUE,'RAW_AR_CONTENT'!$B328=SelectedScope),'RAW_AR_CONTENT'!O328,"")</f>
        <v>0</v>
      </c>
      <c r="P329" s="9">
        <f>IF(IF(SelectedScope="All India",TRUE,'RAW_AR_CONTENT'!$B328=SelectedScope),'RAW_AR_CONTENT'!P328,"")</f>
        <v>0</v>
      </c>
      <c r="Q329" s="9">
        <f>IF(IF(SelectedScope="All India",TRUE,'RAW_AR_CONTENT'!$B328=SelectedScope),'RAW_AR_CONTENT'!Q328,"")</f>
        <v>0</v>
      </c>
      <c r="R329" s="9">
        <f>IF(IF(SelectedScope="All India",TRUE,'RAW_AR_CONTENT'!$B328=SelectedScope),'RAW_AR_CONTENT'!R328,"")</f>
        <v>0</v>
      </c>
    </row>
    <row r="330" spans="1:18" ht="15" customHeight="1" x14ac:dyDescent="0.3">
      <c r="A330" s="12">
        <f>IF(IF(SelectedScope="All India",TRUE,'RAW_AR_CONTENT'!$B329=SelectedScope),'RAW_AR_CONTENT'!A329,"")</f>
        <v>326</v>
      </c>
      <c r="B330" s="12" t="str">
        <f>IF(IF(SelectedScope="All India",TRUE,'RAW_AR_CONTENT'!$B329=SelectedScope),'RAW_AR_CONTENT'!B329,"")</f>
        <v>Manipur</v>
      </c>
      <c r="C330" s="12" t="str">
        <f>IF(IF(SelectedScope="All India",TRUE,'RAW_AR_CONTENT'!$B329=SelectedScope),'RAW_AR_CONTENT'!C329,"")</f>
        <v>Chemistry</v>
      </c>
      <c r="D330" s="12" t="str">
        <f>IF(IF(SelectedScope="All India",TRUE,'RAW_AR_CONTENT'!$B329=SelectedScope),'RAW_AR_CONTENT'!D329,"")</f>
        <v>Class 11</v>
      </c>
      <c r="E330" s="12" t="str">
        <f>IF(IF(SelectedScope="All India",TRUE,'RAW_AR_CONTENT'!$B329=SelectedScope),'RAW_AR_CONTENT'!E329,"")</f>
        <v>Periodic Table 3D</v>
      </c>
      <c r="F330" s="12" t="str">
        <f>IF(IF(SelectedScope="All India",TRUE,'RAW_AR_CONTENT'!$B329=SelectedScope),'RAW_AR_CONTENT'!F329,"")</f>
        <v>Interactive</v>
      </c>
      <c r="G330" s="12" t="str">
        <f>IF(IF(SelectedScope="All India",TRUE,'RAW_AR_CONTENT'!$B329=SelectedScope),'RAW_AR_CONTENT'!G329,"")</f>
        <v>Active</v>
      </c>
      <c r="H330" s="12">
        <f>IF(IF(SelectedScope="All India",TRUE,'RAW_AR_CONTENT'!$B329=SelectedScope),'RAW_AR_CONTENT'!H329,"")</f>
        <v>0</v>
      </c>
      <c r="I330" s="12">
        <f>IF(IF(SelectedScope="All India",TRUE,'RAW_AR_CONTENT'!$B329=SelectedScope),'RAW_AR_CONTENT'!I329,"")</f>
        <v>0</v>
      </c>
      <c r="J330" s="12">
        <f>IF(IF(SelectedScope="All India",TRUE,'RAW_AR_CONTENT'!$B329=SelectedScope),'RAW_AR_CONTENT'!J329,"")</f>
        <v>0</v>
      </c>
      <c r="K330" s="12">
        <f>IF(IF(SelectedScope="All India",TRUE,'RAW_AR_CONTENT'!$B329=SelectedScope),'RAW_AR_CONTENT'!K329,"")</f>
        <v>0</v>
      </c>
      <c r="L330" s="12">
        <f>IF(IF(SelectedScope="All India",TRUE,'RAW_AR_CONTENT'!$B329=SelectedScope),'RAW_AR_CONTENT'!L329,"")</f>
        <v>0</v>
      </c>
      <c r="M330" s="12">
        <f>IF(IF(SelectedScope="All India",TRUE,'RAW_AR_CONTENT'!$B329=SelectedScope),'RAW_AR_CONTENT'!M329,"")</f>
        <v>0</v>
      </c>
      <c r="N330" s="12">
        <f>IF(IF(SelectedScope="All India",TRUE,'RAW_AR_CONTENT'!$B329=SelectedScope),'RAW_AR_CONTENT'!N329,"")</f>
        <v>0</v>
      </c>
      <c r="O330" s="12">
        <f>IF(IF(SelectedScope="All India",TRUE,'RAW_AR_CONTENT'!$B329=SelectedScope),'RAW_AR_CONTENT'!O329,"")</f>
        <v>0</v>
      </c>
      <c r="P330" s="12">
        <f>IF(IF(SelectedScope="All India",TRUE,'RAW_AR_CONTENT'!$B329=SelectedScope),'RAW_AR_CONTENT'!P329,"")</f>
        <v>0</v>
      </c>
      <c r="Q330" s="12">
        <f>IF(IF(SelectedScope="All India",TRUE,'RAW_AR_CONTENT'!$B329=SelectedScope),'RAW_AR_CONTENT'!Q329,"")</f>
        <v>0</v>
      </c>
      <c r="R330" s="12">
        <f>IF(IF(SelectedScope="All India",TRUE,'RAW_AR_CONTENT'!$B329=SelectedScope),'RAW_AR_CONTENT'!R329,"")</f>
        <v>0</v>
      </c>
    </row>
    <row r="331" spans="1:18" ht="15" customHeight="1" x14ac:dyDescent="0.3">
      <c r="A331" s="9">
        <f>IF(IF(SelectedScope="All India",TRUE,'RAW_AR_CONTENT'!$B330=SelectedScope),'RAW_AR_CONTENT'!A330,"")</f>
        <v>327</v>
      </c>
      <c r="B331" s="9" t="str">
        <f>IF(IF(SelectedScope="All India",TRUE,'RAW_AR_CONTENT'!$B330=SelectedScope),'RAW_AR_CONTENT'!B330,"")</f>
        <v>Manipur</v>
      </c>
      <c r="C331" s="9" t="str">
        <f>IF(IF(SelectedScope="All India",TRUE,'RAW_AR_CONTENT'!$B330=SelectedScope),'RAW_AR_CONTENT'!C330,"")</f>
        <v>Physics</v>
      </c>
      <c r="D331" s="9" t="str">
        <f>IF(IF(SelectedScope="All India",TRUE,'RAW_AR_CONTENT'!$B330=SelectedScope),'RAW_AR_CONTENT'!D330,"")</f>
        <v>Class 10</v>
      </c>
      <c r="E331" s="9" t="str">
        <f>IF(IF(SelectedScope="All India",TRUE,'RAW_AR_CONTENT'!$B330=SelectedScope),'RAW_AR_CONTENT'!E330,"")</f>
        <v>Electricity Circuits</v>
      </c>
      <c r="F331" s="9" t="str">
        <f>IF(IF(SelectedScope="All India",TRUE,'RAW_AR_CONTENT'!$B330=SelectedScope),'RAW_AR_CONTENT'!F330,"")</f>
        <v>Interactive</v>
      </c>
      <c r="G331" s="9" t="str">
        <f>IF(IF(SelectedScope="All India",TRUE,'RAW_AR_CONTENT'!$B330=SelectedScope),'RAW_AR_CONTENT'!G330,"")</f>
        <v>Active</v>
      </c>
      <c r="H331" s="9">
        <f>IF(IF(SelectedScope="All India",TRUE,'RAW_AR_CONTENT'!$B330=SelectedScope),'RAW_AR_CONTENT'!H330,"")</f>
        <v>0</v>
      </c>
      <c r="I331" s="9">
        <f>IF(IF(SelectedScope="All India",TRUE,'RAW_AR_CONTENT'!$B330=SelectedScope),'RAW_AR_CONTENT'!I330,"")</f>
        <v>0</v>
      </c>
      <c r="J331" s="9">
        <f>IF(IF(SelectedScope="All India",TRUE,'RAW_AR_CONTENT'!$B330=SelectedScope),'RAW_AR_CONTENT'!J330,"")</f>
        <v>0</v>
      </c>
      <c r="K331" s="9">
        <f>IF(IF(SelectedScope="All India",TRUE,'RAW_AR_CONTENT'!$B330=SelectedScope),'RAW_AR_CONTENT'!K330,"")</f>
        <v>0</v>
      </c>
      <c r="L331" s="9">
        <f>IF(IF(SelectedScope="All India",TRUE,'RAW_AR_CONTENT'!$B330=SelectedScope),'RAW_AR_CONTENT'!L330,"")</f>
        <v>0</v>
      </c>
      <c r="M331" s="9">
        <f>IF(IF(SelectedScope="All India",TRUE,'RAW_AR_CONTENT'!$B330=SelectedScope),'RAW_AR_CONTENT'!M330,"")</f>
        <v>0</v>
      </c>
      <c r="N331" s="9">
        <f>IF(IF(SelectedScope="All India",TRUE,'RAW_AR_CONTENT'!$B330=SelectedScope),'RAW_AR_CONTENT'!N330,"")</f>
        <v>0</v>
      </c>
      <c r="O331" s="9">
        <f>IF(IF(SelectedScope="All India",TRUE,'RAW_AR_CONTENT'!$B330=SelectedScope),'RAW_AR_CONTENT'!O330,"")</f>
        <v>0</v>
      </c>
      <c r="P331" s="9">
        <f>IF(IF(SelectedScope="All India",TRUE,'RAW_AR_CONTENT'!$B330=SelectedScope),'RAW_AR_CONTENT'!P330,"")</f>
        <v>0</v>
      </c>
      <c r="Q331" s="9">
        <f>IF(IF(SelectedScope="All India",TRUE,'RAW_AR_CONTENT'!$B330=SelectedScope),'RAW_AR_CONTENT'!Q330,"")</f>
        <v>0</v>
      </c>
      <c r="R331" s="9">
        <f>IF(IF(SelectedScope="All India",TRUE,'RAW_AR_CONTENT'!$B330=SelectedScope),'RAW_AR_CONTENT'!R330,"")</f>
        <v>0</v>
      </c>
    </row>
    <row r="332" spans="1:18" ht="15" customHeight="1" x14ac:dyDescent="0.3">
      <c r="A332" s="12">
        <f>IF(IF(SelectedScope="All India",TRUE,'RAW_AR_CONTENT'!$B331=SelectedScope),'RAW_AR_CONTENT'!A331,"")</f>
        <v>328</v>
      </c>
      <c r="B332" s="12" t="str">
        <f>IF(IF(SelectedScope="All India",TRUE,'RAW_AR_CONTENT'!$B331=SelectedScope),'RAW_AR_CONTENT'!B331,"")</f>
        <v>Manipur</v>
      </c>
      <c r="C332" s="12" t="str">
        <f>IF(IF(SelectedScope="All India",TRUE,'RAW_AR_CONTENT'!$B331=SelectedScope),'RAW_AR_CONTENT'!C331,"")</f>
        <v>Civics</v>
      </c>
      <c r="D332" s="12" t="str">
        <f>IF(IF(SelectedScope="All India",TRUE,'RAW_AR_CONTENT'!$B331=SelectedScope),'RAW_AR_CONTENT'!D331,"")</f>
        <v>Class 9</v>
      </c>
      <c r="E332" s="12" t="str">
        <f>IF(IF(SelectedScope="All India",TRUE,'RAW_AR_CONTENT'!$B331=SelectedScope),'RAW_AR_CONTENT'!E331,"")</f>
        <v>Indian Constitution</v>
      </c>
      <c r="F332" s="12" t="str">
        <f>IF(IF(SelectedScope="All India",TRUE,'RAW_AR_CONTENT'!$B331=SelectedScope),'RAW_AR_CONTENT'!F331,"")</f>
        <v>Basic 3D</v>
      </c>
      <c r="G332" s="12" t="str">
        <f>IF(IF(SelectedScope="All India",TRUE,'RAW_AR_CONTENT'!$B331=SelectedScope),'RAW_AR_CONTENT'!G331,"")</f>
        <v>Active</v>
      </c>
      <c r="H332" s="12">
        <f>IF(IF(SelectedScope="All India",TRUE,'RAW_AR_CONTENT'!$B331=SelectedScope),'RAW_AR_CONTENT'!H331,"")</f>
        <v>0</v>
      </c>
      <c r="I332" s="12">
        <f>IF(IF(SelectedScope="All India",TRUE,'RAW_AR_CONTENT'!$B331=SelectedScope),'RAW_AR_CONTENT'!I331,"")</f>
        <v>0</v>
      </c>
      <c r="J332" s="12">
        <f>IF(IF(SelectedScope="All India",TRUE,'RAW_AR_CONTENT'!$B331=SelectedScope),'RAW_AR_CONTENT'!J331,"")</f>
        <v>0</v>
      </c>
      <c r="K332" s="12">
        <f>IF(IF(SelectedScope="All India",TRUE,'RAW_AR_CONTENT'!$B331=SelectedScope),'RAW_AR_CONTENT'!K331,"")</f>
        <v>0</v>
      </c>
      <c r="L332" s="12">
        <f>IF(IF(SelectedScope="All India",TRUE,'RAW_AR_CONTENT'!$B331=SelectedScope),'RAW_AR_CONTENT'!L331,"")</f>
        <v>0</v>
      </c>
      <c r="M332" s="12">
        <f>IF(IF(SelectedScope="All India",TRUE,'RAW_AR_CONTENT'!$B331=SelectedScope),'RAW_AR_CONTENT'!M331,"")</f>
        <v>0</v>
      </c>
      <c r="N332" s="12">
        <f>IF(IF(SelectedScope="All India",TRUE,'RAW_AR_CONTENT'!$B331=SelectedScope),'RAW_AR_CONTENT'!N331,"")</f>
        <v>0</v>
      </c>
      <c r="O332" s="12">
        <f>IF(IF(SelectedScope="All India",TRUE,'RAW_AR_CONTENT'!$B331=SelectedScope),'RAW_AR_CONTENT'!O331,"")</f>
        <v>0</v>
      </c>
      <c r="P332" s="12">
        <f>IF(IF(SelectedScope="All India",TRUE,'RAW_AR_CONTENT'!$B331=SelectedScope),'RAW_AR_CONTENT'!P331,"")</f>
        <v>0</v>
      </c>
      <c r="Q332" s="12">
        <f>IF(IF(SelectedScope="All India",TRUE,'RAW_AR_CONTENT'!$B331=SelectedScope),'RAW_AR_CONTENT'!Q331,"")</f>
        <v>0</v>
      </c>
      <c r="R332" s="12">
        <f>IF(IF(SelectedScope="All India",TRUE,'RAW_AR_CONTENT'!$B331=SelectedScope),'RAW_AR_CONTENT'!R331,"")</f>
        <v>0</v>
      </c>
    </row>
    <row r="333" spans="1:18" ht="15" customHeight="1" x14ac:dyDescent="0.3">
      <c r="A333" s="9">
        <f>IF(IF(SelectedScope="All India",TRUE,'RAW_AR_CONTENT'!$B332=SelectedScope),'RAW_AR_CONTENT'!A332,"")</f>
        <v>329</v>
      </c>
      <c r="B333" s="9" t="str">
        <f>IF(IF(SelectedScope="All India",TRUE,'RAW_AR_CONTENT'!$B332=SelectedScope),'RAW_AR_CONTENT'!B332,"")</f>
        <v>Manipur</v>
      </c>
      <c r="C333" s="9" t="str">
        <f>IF(IF(SelectedScope="All India",TRUE,'RAW_AR_CONTENT'!$B332=SelectedScope),'RAW_AR_CONTENT'!C332,"")</f>
        <v>Environmental Science</v>
      </c>
      <c r="D333" s="9" t="str">
        <f>IF(IF(SelectedScope="All India",TRUE,'RAW_AR_CONTENT'!$B332=SelectedScope),'RAW_AR_CONTENT'!D332,"")</f>
        <v>Class 6</v>
      </c>
      <c r="E333" s="9" t="str">
        <f>IF(IF(SelectedScope="All India",TRUE,'RAW_AR_CONTENT'!$B332=SelectedScope),'RAW_AR_CONTENT'!E332,"")</f>
        <v>Food Chain</v>
      </c>
      <c r="F333" s="9" t="str">
        <f>IF(IF(SelectedScope="All India",TRUE,'RAW_AR_CONTENT'!$B332=SelectedScope),'RAW_AR_CONTENT'!F332,"")</f>
        <v>Animated</v>
      </c>
      <c r="G333" s="9" t="str">
        <f>IF(IF(SelectedScope="All India",TRUE,'RAW_AR_CONTENT'!$B332=SelectedScope),'RAW_AR_CONTENT'!G332,"")</f>
        <v>Active</v>
      </c>
      <c r="H333" s="9">
        <f>IF(IF(SelectedScope="All India",TRUE,'RAW_AR_CONTENT'!$B332=SelectedScope),'RAW_AR_CONTENT'!H332,"")</f>
        <v>0</v>
      </c>
      <c r="I333" s="9">
        <f>IF(IF(SelectedScope="All India",TRUE,'RAW_AR_CONTENT'!$B332=SelectedScope),'RAW_AR_CONTENT'!I332,"")</f>
        <v>0</v>
      </c>
      <c r="J333" s="9">
        <f>IF(IF(SelectedScope="All India",TRUE,'RAW_AR_CONTENT'!$B332=SelectedScope),'RAW_AR_CONTENT'!J332,"")</f>
        <v>0</v>
      </c>
      <c r="K333" s="9">
        <f>IF(IF(SelectedScope="All India",TRUE,'RAW_AR_CONTENT'!$B332=SelectedScope),'RAW_AR_CONTENT'!K332,"")</f>
        <v>0</v>
      </c>
      <c r="L333" s="9">
        <f>IF(IF(SelectedScope="All India",TRUE,'RAW_AR_CONTENT'!$B332=SelectedScope),'RAW_AR_CONTENT'!L332,"")</f>
        <v>0</v>
      </c>
      <c r="M333" s="9">
        <f>IF(IF(SelectedScope="All India",TRUE,'RAW_AR_CONTENT'!$B332=SelectedScope),'RAW_AR_CONTENT'!M332,"")</f>
        <v>0</v>
      </c>
      <c r="N333" s="9">
        <f>IF(IF(SelectedScope="All India",TRUE,'RAW_AR_CONTENT'!$B332=SelectedScope),'RAW_AR_CONTENT'!N332,"")</f>
        <v>0</v>
      </c>
      <c r="O333" s="9">
        <f>IF(IF(SelectedScope="All India",TRUE,'RAW_AR_CONTENT'!$B332=SelectedScope),'RAW_AR_CONTENT'!O332,"")</f>
        <v>0</v>
      </c>
      <c r="P333" s="9">
        <f>IF(IF(SelectedScope="All India",TRUE,'RAW_AR_CONTENT'!$B332=SelectedScope),'RAW_AR_CONTENT'!P332,"")</f>
        <v>0</v>
      </c>
      <c r="Q333" s="9">
        <f>IF(IF(SelectedScope="All India",TRUE,'RAW_AR_CONTENT'!$B332=SelectedScope),'RAW_AR_CONTENT'!Q332,"")</f>
        <v>0</v>
      </c>
      <c r="R333" s="9">
        <f>IF(IF(SelectedScope="All India",TRUE,'RAW_AR_CONTENT'!$B332=SelectedScope),'RAW_AR_CONTENT'!R332,"")</f>
        <v>0</v>
      </c>
    </row>
    <row r="334" spans="1:18" ht="15" customHeight="1" x14ac:dyDescent="0.3">
      <c r="A334" s="12">
        <f>IF(IF(SelectedScope="All India",TRUE,'RAW_AR_CONTENT'!$B333=SelectedScope),'RAW_AR_CONTENT'!A333,"")</f>
        <v>330</v>
      </c>
      <c r="B334" s="12" t="str">
        <f>IF(IF(SelectedScope="All India",TRUE,'RAW_AR_CONTENT'!$B333=SelectedScope),'RAW_AR_CONTENT'!B333,"")</f>
        <v>Manipur</v>
      </c>
      <c r="C334" s="12" t="str">
        <f>IF(IF(SelectedScope="All India",TRUE,'RAW_AR_CONTENT'!$B333=SelectedScope),'RAW_AR_CONTENT'!C333,"")</f>
        <v>Mathematics</v>
      </c>
      <c r="D334" s="12" t="str">
        <f>IF(IF(SelectedScope="All India",TRUE,'RAW_AR_CONTENT'!$B333=SelectedScope),'RAW_AR_CONTENT'!D333,"")</f>
        <v>Class 10</v>
      </c>
      <c r="E334" s="12" t="str">
        <f>IF(IF(SelectedScope="All India",TRUE,'RAW_AR_CONTENT'!$B333=SelectedScope),'RAW_AR_CONTENT'!E333,"")</f>
        <v>Quadratic Equations</v>
      </c>
      <c r="F334" s="12" t="str">
        <f>IF(IF(SelectedScope="All India",TRUE,'RAW_AR_CONTENT'!$B333=SelectedScope),'RAW_AR_CONTENT'!F333,"")</f>
        <v>Animated</v>
      </c>
      <c r="G334" s="12" t="str">
        <f>IF(IF(SelectedScope="All India",TRUE,'RAW_AR_CONTENT'!$B333=SelectedScope),'RAW_AR_CONTENT'!G333,"")</f>
        <v>Active</v>
      </c>
      <c r="H334" s="12">
        <f>IF(IF(SelectedScope="All India",TRUE,'RAW_AR_CONTENT'!$B333=SelectedScope),'RAW_AR_CONTENT'!H333,"")</f>
        <v>0</v>
      </c>
      <c r="I334" s="12">
        <f>IF(IF(SelectedScope="All India",TRUE,'RAW_AR_CONTENT'!$B333=SelectedScope),'RAW_AR_CONTENT'!I333,"")</f>
        <v>0</v>
      </c>
      <c r="J334" s="12">
        <f>IF(IF(SelectedScope="All India",TRUE,'RAW_AR_CONTENT'!$B333=SelectedScope),'RAW_AR_CONTENT'!J333,"")</f>
        <v>0</v>
      </c>
      <c r="K334" s="12">
        <f>IF(IF(SelectedScope="All India",TRUE,'RAW_AR_CONTENT'!$B333=SelectedScope),'RAW_AR_CONTENT'!K333,"")</f>
        <v>0</v>
      </c>
      <c r="L334" s="12">
        <f>IF(IF(SelectedScope="All India",TRUE,'RAW_AR_CONTENT'!$B333=SelectedScope),'RAW_AR_CONTENT'!L333,"")</f>
        <v>0</v>
      </c>
      <c r="M334" s="12">
        <f>IF(IF(SelectedScope="All India",TRUE,'RAW_AR_CONTENT'!$B333=SelectedScope),'RAW_AR_CONTENT'!M333,"")</f>
        <v>0</v>
      </c>
      <c r="N334" s="12">
        <f>IF(IF(SelectedScope="All India",TRUE,'RAW_AR_CONTENT'!$B333=SelectedScope),'RAW_AR_CONTENT'!N333,"")</f>
        <v>0</v>
      </c>
      <c r="O334" s="12">
        <f>IF(IF(SelectedScope="All India",TRUE,'RAW_AR_CONTENT'!$B333=SelectedScope),'RAW_AR_CONTENT'!O333,"")</f>
        <v>0</v>
      </c>
      <c r="P334" s="12">
        <f>IF(IF(SelectedScope="All India",TRUE,'RAW_AR_CONTENT'!$B333=SelectedScope),'RAW_AR_CONTENT'!P333,"")</f>
        <v>0</v>
      </c>
      <c r="Q334" s="12">
        <f>IF(IF(SelectedScope="All India",TRUE,'RAW_AR_CONTENT'!$B333=SelectedScope),'RAW_AR_CONTENT'!Q333,"")</f>
        <v>0</v>
      </c>
      <c r="R334" s="12">
        <f>IF(IF(SelectedScope="All India",TRUE,'RAW_AR_CONTENT'!$B333=SelectedScope),'RAW_AR_CONTENT'!R333,"")</f>
        <v>0</v>
      </c>
    </row>
    <row r="335" spans="1:18" ht="15" customHeight="1" x14ac:dyDescent="0.3">
      <c r="A335" s="9">
        <f>IF(IF(SelectedScope="All India",TRUE,'RAW_AR_CONTENT'!$B334=SelectedScope),'RAW_AR_CONTENT'!A334,"")</f>
        <v>331</v>
      </c>
      <c r="B335" s="9" t="str">
        <f>IF(IF(SelectedScope="All India",TRUE,'RAW_AR_CONTENT'!$B334=SelectedScope),'RAW_AR_CONTENT'!B334,"")</f>
        <v>Meghalaya</v>
      </c>
      <c r="C335" s="9" t="str">
        <f>IF(IF(SelectedScope="All India",TRUE,'RAW_AR_CONTENT'!$B334=SelectedScope),'RAW_AR_CONTENT'!C334,"")</f>
        <v>Science</v>
      </c>
      <c r="D335" s="9" t="str">
        <f>IF(IF(SelectedScope="All India",TRUE,'RAW_AR_CONTENT'!$B334=SelectedScope),'RAW_AR_CONTENT'!D334,"")</f>
        <v>Class 8</v>
      </c>
      <c r="E335" s="9" t="str">
        <f>IF(IF(SelectedScope="All India",TRUE,'RAW_AR_CONTENT'!$B334=SelectedScope),'RAW_AR_CONTENT'!E334,"")</f>
        <v>Solar System 3D</v>
      </c>
      <c r="F335" s="9" t="str">
        <f>IF(IF(SelectedScope="All India",TRUE,'RAW_AR_CONTENT'!$B334=SelectedScope),'RAW_AR_CONTENT'!F334,"")</f>
        <v>Animated</v>
      </c>
      <c r="G335" s="9" t="str">
        <f>IF(IF(SelectedScope="All India",TRUE,'RAW_AR_CONTENT'!$B334=SelectedScope),'RAW_AR_CONTENT'!G334,"")</f>
        <v>Active</v>
      </c>
      <c r="H335" s="9">
        <f>IF(IF(SelectedScope="All India",TRUE,'RAW_AR_CONTENT'!$B334=SelectedScope),'RAW_AR_CONTENT'!H334,"")</f>
        <v>0</v>
      </c>
      <c r="I335" s="9">
        <f>IF(IF(SelectedScope="All India",TRUE,'RAW_AR_CONTENT'!$B334=SelectedScope),'RAW_AR_CONTENT'!I334,"")</f>
        <v>0</v>
      </c>
      <c r="J335" s="9">
        <f>IF(IF(SelectedScope="All India",TRUE,'RAW_AR_CONTENT'!$B334=SelectedScope),'RAW_AR_CONTENT'!J334,"")</f>
        <v>0</v>
      </c>
      <c r="K335" s="9">
        <f>IF(IF(SelectedScope="All India",TRUE,'RAW_AR_CONTENT'!$B334=SelectedScope),'RAW_AR_CONTENT'!K334,"")</f>
        <v>0</v>
      </c>
      <c r="L335" s="9">
        <f>IF(IF(SelectedScope="All India",TRUE,'RAW_AR_CONTENT'!$B334=SelectedScope),'RAW_AR_CONTENT'!L334,"")</f>
        <v>0</v>
      </c>
      <c r="M335" s="9">
        <f>IF(IF(SelectedScope="All India",TRUE,'RAW_AR_CONTENT'!$B334=SelectedScope),'RAW_AR_CONTENT'!M334,"")</f>
        <v>0</v>
      </c>
      <c r="N335" s="9">
        <f>IF(IF(SelectedScope="All India",TRUE,'RAW_AR_CONTENT'!$B334=SelectedScope),'RAW_AR_CONTENT'!N334,"")</f>
        <v>0</v>
      </c>
      <c r="O335" s="9">
        <f>IF(IF(SelectedScope="All India",TRUE,'RAW_AR_CONTENT'!$B334=SelectedScope),'RAW_AR_CONTENT'!O334,"")</f>
        <v>0</v>
      </c>
      <c r="P335" s="9">
        <f>IF(IF(SelectedScope="All India",TRUE,'RAW_AR_CONTENT'!$B334=SelectedScope),'RAW_AR_CONTENT'!P334,"")</f>
        <v>0</v>
      </c>
      <c r="Q335" s="9">
        <f>IF(IF(SelectedScope="All India",TRUE,'RAW_AR_CONTENT'!$B334=SelectedScope),'RAW_AR_CONTENT'!Q334,"")</f>
        <v>0</v>
      </c>
      <c r="R335" s="9">
        <f>IF(IF(SelectedScope="All India",TRUE,'RAW_AR_CONTENT'!$B334=SelectedScope),'RAW_AR_CONTENT'!R334,"")</f>
        <v>0</v>
      </c>
    </row>
    <row r="336" spans="1:18" ht="15" customHeight="1" x14ac:dyDescent="0.3">
      <c r="A336" s="12">
        <f>IF(IF(SelectedScope="All India",TRUE,'RAW_AR_CONTENT'!$B335=SelectedScope),'RAW_AR_CONTENT'!A335,"")</f>
        <v>332</v>
      </c>
      <c r="B336" s="12" t="str">
        <f>IF(IF(SelectedScope="All India",TRUE,'RAW_AR_CONTENT'!$B335=SelectedScope),'RAW_AR_CONTENT'!B335,"")</f>
        <v>Meghalaya</v>
      </c>
      <c r="C336" s="12" t="str">
        <f>IF(IF(SelectedScope="All India",TRUE,'RAW_AR_CONTENT'!$B335=SelectedScope),'RAW_AR_CONTENT'!C335,"")</f>
        <v>Biology</v>
      </c>
      <c r="D336" s="12" t="str">
        <f>IF(IF(SelectedScope="All India",TRUE,'RAW_AR_CONTENT'!$B335=SelectedScope),'RAW_AR_CONTENT'!D335,"")</f>
        <v>Class 9</v>
      </c>
      <c r="E336" s="12" t="str">
        <f>IF(IF(SelectedScope="All India",TRUE,'RAW_AR_CONTENT'!$B335=SelectedScope),'RAW_AR_CONTENT'!E335,"")</f>
        <v>Cell Division</v>
      </c>
      <c r="F336" s="12" t="str">
        <f>IF(IF(SelectedScope="All India",TRUE,'RAW_AR_CONTENT'!$B335=SelectedScope),'RAW_AR_CONTENT'!F335,"")</f>
        <v>Interactive</v>
      </c>
      <c r="G336" s="12" t="str">
        <f>IF(IF(SelectedScope="All India",TRUE,'RAW_AR_CONTENT'!$B335=SelectedScope),'RAW_AR_CONTENT'!G335,"")</f>
        <v>Active</v>
      </c>
      <c r="H336" s="12">
        <f>IF(IF(SelectedScope="All India",TRUE,'RAW_AR_CONTENT'!$B335=SelectedScope),'RAW_AR_CONTENT'!H335,"")</f>
        <v>0</v>
      </c>
      <c r="I336" s="12">
        <f>IF(IF(SelectedScope="All India",TRUE,'RAW_AR_CONTENT'!$B335=SelectedScope),'RAW_AR_CONTENT'!I335,"")</f>
        <v>0</v>
      </c>
      <c r="J336" s="12">
        <f>IF(IF(SelectedScope="All India",TRUE,'RAW_AR_CONTENT'!$B335=SelectedScope),'RAW_AR_CONTENT'!J335,"")</f>
        <v>0</v>
      </c>
      <c r="K336" s="12">
        <f>IF(IF(SelectedScope="All India",TRUE,'RAW_AR_CONTENT'!$B335=SelectedScope),'RAW_AR_CONTENT'!K335,"")</f>
        <v>0</v>
      </c>
      <c r="L336" s="12">
        <f>IF(IF(SelectedScope="All India",TRUE,'RAW_AR_CONTENT'!$B335=SelectedScope),'RAW_AR_CONTENT'!L335,"")</f>
        <v>0</v>
      </c>
      <c r="M336" s="12">
        <f>IF(IF(SelectedScope="All India",TRUE,'RAW_AR_CONTENT'!$B335=SelectedScope),'RAW_AR_CONTENT'!M335,"")</f>
        <v>0</v>
      </c>
      <c r="N336" s="12">
        <f>IF(IF(SelectedScope="All India",TRUE,'RAW_AR_CONTENT'!$B335=SelectedScope),'RAW_AR_CONTENT'!N335,"")</f>
        <v>0</v>
      </c>
      <c r="O336" s="12">
        <f>IF(IF(SelectedScope="All India",TRUE,'RAW_AR_CONTENT'!$B335=SelectedScope),'RAW_AR_CONTENT'!O335,"")</f>
        <v>0</v>
      </c>
      <c r="P336" s="12">
        <f>IF(IF(SelectedScope="All India",TRUE,'RAW_AR_CONTENT'!$B335=SelectedScope),'RAW_AR_CONTENT'!P335,"")</f>
        <v>0</v>
      </c>
      <c r="Q336" s="12">
        <f>IF(IF(SelectedScope="All India",TRUE,'RAW_AR_CONTENT'!$B335=SelectedScope),'RAW_AR_CONTENT'!Q335,"")</f>
        <v>0</v>
      </c>
      <c r="R336" s="12">
        <f>IF(IF(SelectedScope="All India",TRUE,'RAW_AR_CONTENT'!$B335=SelectedScope),'RAW_AR_CONTENT'!R335,"")</f>
        <v>0</v>
      </c>
    </row>
    <row r="337" spans="1:18" ht="15" customHeight="1" x14ac:dyDescent="0.3">
      <c r="A337" s="9">
        <f>IF(IF(SelectedScope="All India",TRUE,'RAW_AR_CONTENT'!$B336=SelectedScope),'RAW_AR_CONTENT'!A336,"")</f>
        <v>333</v>
      </c>
      <c r="B337" s="9" t="str">
        <f>IF(IF(SelectedScope="All India",TRUE,'RAW_AR_CONTENT'!$B336=SelectedScope),'RAW_AR_CONTENT'!B336,"")</f>
        <v>Meghalaya</v>
      </c>
      <c r="C337" s="9" t="str">
        <f>IF(IF(SelectedScope="All India",TRUE,'RAW_AR_CONTENT'!$B336=SelectedScope),'RAW_AR_CONTENT'!C336,"")</f>
        <v>Chemistry</v>
      </c>
      <c r="D337" s="9" t="str">
        <f>IF(IF(SelectedScope="All India",TRUE,'RAW_AR_CONTENT'!$B336=SelectedScope),'RAW_AR_CONTENT'!D336,"")</f>
        <v>Class 9</v>
      </c>
      <c r="E337" s="9" t="str">
        <f>IF(IF(SelectedScope="All India",TRUE,'RAW_AR_CONTENT'!$B336=SelectedScope),'RAW_AR_CONTENT'!E336,"")</f>
        <v>Atoms and Molecules</v>
      </c>
      <c r="F337" s="9" t="str">
        <f>IF(IF(SelectedScope="All India",TRUE,'RAW_AR_CONTENT'!$B336=SelectedScope),'RAW_AR_CONTENT'!F336,"")</f>
        <v>Animated</v>
      </c>
      <c r="G337" s="9" t="str">
        <f>IF(IF(SelectedScope="All India",TRUE,'RAW_AR_CONTENT'!$B336=SelectedScope),'RAW_AR_CONTENT'!G336,"")</f>
        <v>Active</v>
      </c>
      <c r="H337" s="9">
        <f>IF(IF(SelectedScope="All India",TRUE,'RAW_AR_CONTENT'!$B336=SelectedScope),'RAW_AR_CONTENT'!H336,"")</f>
        <v>0</v>
      </c>
      <c r="I337" s="9">
        <f>IF(IF(SelectedScope="All India",TRUE,'RAW_AR_CONTENT'!$B336=SelectedScope),'RAW_AR_CONTENT'!I336,"")</f>
        <v>0</v>
      </c>
      <c r="J337" s="9">
        <f>IF(IF(SelectedScope="All India",TRUE,'RAW_AR_CONTENT'!$B336=SelectedScope),'RAW_AR_CONTENT'!J336,"")</f>
        <v>0</v>
      </c>
      <c r="K337" s="9">
        <f>IF(IF(SelectedScope="All India",TRUE,'RAW_AR_CONTENT'!$B336=SelectedScope),'RAW_AR_CONTENT'!K336,"")</f>
        <v>0</v>
      </c>
      <c r="L337" s="9">
        <f>IF(IF(SelectedScope="All India",TRUE,'RAW_AR_CONTENT'!$B336=SelectedScope),'RAW_AR_CONTENT'!L336,"")</f>
        <v>0</v>
      </c>
      <c r="M337" s="9">
        <f>IF(IF(SelectedScope="All India",TRUE,'RAW_AR_CONTENT'!$B336=SelectedScope),'RAW_AR_CONTENT'!M336,"")</f>
        <v>0</v>
      </c>
      <c r="N337" s="9">
        <f>IF(IF(SelectedScope="All India",TRUE,'RAW_AR_CONTENT'!$B336=SelectedScope),'RAW_AR_CONTENT'!N336,"")</f>
        <v>0</v>
      </c>
      <c r="O337" s="9">
        <f>IF(IF(SelectedScope="All India",TRUE,'RAW_AR_CONTENT'!$B336=SelectedScope),'RAW_AR_CONTENT'!O336,"")</f>
        <v>0</v>
      </c>
      <c r="P337" s="9">
        <f>IF(IF(SelectedScope="All India",TRUE,'RAW_AR_CONTENT'!$B336=SelectedScope),'RAW_AR_CONTENT'!P336,"")</f>
        <v>0</v>
      </c>
      <c r="Q337" s="9">
        <f>IF(IF(SelectedScope="All India",TRUE,'RAW_AR_CONTENT'!$B336=SelectedScope),'RAW_AR_CONTENT'!Q336,"")</f>
        <v>0</v>
      </c>
      <c r="R337" s="9">
        <f>IF(IF(SelectedScope="All India",TRUE,'RAW_AR_CONTENT'!$B336=SelectedScope),'RAW_AR_CONTENT'!R336,"")</f>
        <v>0</v>
      </c>
    </row>
    <row r="338" spans="1:18" ht="15" customHeight="1" x14ac:dyDescent="0.3">
      <c r="A338" s="12">
        <f>IF(IF(SelectedScope="All India",TRUE,'RAW_AR_CONTENT'!$B337=SelectedScope),'RAW_AR_CONTENT'!A337,"")</f>
        <v>334</v>
      </c>
      <c r="B338" s="12" t="str">
        <f>IF(IF(SelectedScope="All India",TRUE,'RAW_AR_CONTENT'!$B337=SelectedScope),'RAW_AR_CONTENT'!B337,"")</f>
        <v>Meghalaya</v>
      </c>
      <c r="C338" s="12" t="str">
        <f>IF(IF(SelectedScope="All India",TRUE,'RAW_AR_CONTENT'!$B337=SelectedScope),'RAW_AR_CONTENT'!C337,"")</f>
        <v>Biology</v>
      </c>
      <c r="D338" s="12" t="str">
        <f>IF(IF(SelectedScope="All India",TRUE,'RAW_AR_CONTENT'!$B337=SelectedScope),'RAW_AR_CONTENT'!D337,"")</f>
        <v>Class 7</v>
      </c>
      <c r="E338" s="12" t="str">
        <f>IF(IF(SelectedScope="All India",TRUE,'RAW_AR_CONTENT'!$B337=SelectedScope),'RAW_AR_CONTENT'!E337,"")</f>
        <v>Photosynthesis</v>
      </c>
      <c r="F338" s="12" t="str">
        <f>IF(IF(SelectedScope="All India",TRUE,'RAW_AR_CONTENT'!$B337=SelectedScope),'RAW_AR_CONTENT'!F337,"")</f>
        <v>Basic 3D</v>
      </c>
      <c r="G338" s="12" t="str">
        <f>IF(IF(SelectedScope="All India",TRUE,'RAW_AR_CONTENT'!$B337=SelectedScope),'RAW_AR_CONTENT'!G337,"")</f>
        <v>Active</v>
      </c>
      <c r="H338" s="12">
        <f>IF(IF(SelectedScope="All India",TRUE,'RAW_AR_CONTENT'!$B337=SelectedScope),'RAW_AR_CONTENT'!H337,"")</f>
        <v>0</v>
      </c>
      <c r="I338" s="12">
        <f>IF(IF(SelectedScope="All India",TRUE,'RAW_AR_CONTENT'!$B337=SelectedScope),'RAW_AR_CONTENT'!I337,"")</f>
        <v>0</v>
      </c>
      <c r="J338" s="12">
        <f>IF(IF(SelectedScope="All India",TRUE,'RAW_AR_CONTENT'!$B337=SelectedScope),'RAW_AR_CONTENT'!J337,"")</f>
        <v>0</v>
      </c>
      <c r="K338" s="12">
        <f>IF(IF(SelectedScope="All India",TRUE,'RAW_AR_CONTENT'!$B337=SelectedScope),'RAW_AR_CONTENT'!K337,"")</f>
        <v>0</v>
      </c>
      <c r="L338" s="12">
        <f>IF(IF(SelectedScope="All India",TRUE,'RAW_AR_CONTENT'!$B337=SelectedScope),'RAW_AR_CONTENT'!L337,"")</f>
        <v>0</v>
      </c>
      <c r="M338" s="12">
        <f>IF(IF(SelectedScope="All India",TRUE,'RAW_AR_CONTENT'!$B337=SelectedScope),'RAW_AR_CONTENT'!M337,"")</f>
        <v>0</v>
      </c>
      <c r="N338" s="12">
        <f>IF(IF(SelectedScope="All India",TRUE,'RAW_AR_CONTENT'!$B337=SelectedScope),'RAW_AR_CONTENT'!N337,"")</f>
        <v>0</v>
      </c>
      <c r="O338" s="12">
        <f>IF(IF(SelectedScope="All India",TRUE,'RAW_AR_CONTENT'!$B337=SelectedScope),'RAW_AR_CONTENT'!O337,"")</f>
        <v>0</v>
      </c>
      <c r="P338" s="12">
        <f>IF(IF(SelectedScope="All India",TRUE,'RAW_AR_CONTENT'!$B337=SelectedScope),'RAW_AR_CONTENT'!P337,"")</f>
        <v>0</v>
      </c>
      <c r="Q338" s="12">
        <f>IF(IF(SelectedScope="All India",TRUE,'RAW_AR_CONTENT'!$B337=SelectedScope),'RAW_AR_CONTENT'!Q337,"")</f>
        <v>0</v>
      </c>
      <c r="R338" s="12">
        <f>IF(IF(SelectedScope="All India",TRUE,'RAW_AR_CONTENT'!$B337=SelectedScope),'RAW_AR_CONTENT'!R337,"")</f>
        <v>0</v>
      </c>
    </row>
    <row r="339" spans="1:18" ht="15" customHeight="1" x14ac:dyDescent="0.3">
      <c r="A339" s="9">
        <f>IF(IF(SelectedScope="All India",TRUE,'RAW_AR_CONTENT'!$B338=SelectedScope),'RAW_AR_CONTENT'!A338,"")</f>
        <v>335</v>
      </c>
      <c r="B339" s="9" t="str">
        <f>IF(IF(SelectedScope="All India",TRUE,'RAW_AR_CONTENT'!$B338=SelectedScope),'RAW_AR_CONTENT'!B338,"")</f>
        <v>Meghalaya</v>
      </c>
      <c r="C339" s="9" t="str">
        <f>IF(IF(SelectedScope="All India",TRUE,'RAW_AR_CONTENT'!$B338=SelectedScope),'RAW_AR_CONTENT'!C338,"")</f>
        <v>Mathematics</v>
      </c>
      <c r="D339" s="9" t="str">
        <f>IF(IF(SelectedScope="All India",TRUE,'RAW_AR_CONTENT'!$B338=SelectedScope),'RAW_AR_CONTENT'!D338,"")</f>
        <v>Class 7</v>
      </c>
      <c r="E339" s="9" t="str">
        <f>IF(IF(SelectedScope="All India",TRUE,'RAW_AR_CONTENT'!$B338=SelectedScope),'RAW_AR_CONTENT'!E338,"")</f>
        <v>Fractions 3D Model</v>
      </c>
      <c r="F339" s="9" t="str">
        <f>IF(IF(SelectedScope="All India",TRUE,'RAW_AR_CONTENT'!$B338=SelectedScope),'RAW_AR_CONTENT'!F338,"")</f>
        <v>Interactive</v>
      </c>
      <c r="G339" s="9" t="str">
        <f>IF(IF(SelectedScope="All India",TRUE,'RAW_AR_CONTENT'!$B338=SelectedScope),'RAW_AR_CONTENT'!G338,"")</f>
        <v>Active</v>
      </c>
      <c r="H339" s="9">
        <f>IF(IF(SelectedScope="All India",TRUE,'RAW_AR_CONTENT'!$B338=SelectedScope),'RAW_AR_CONTENT'!H338,"")</f>
        <v>0</v>
      </c>
      <c r="I339" s="9">
        <f>IF(IF(SelectedScope="All India",TRUE,'RAW_AR_CONTENT'!$B338=SelectedScope),'RAW_AR_CONTENT'!I338,"")</f>
        <v>0</v>
      </c>
      <c r="J339" s="9">
        <f>IF(IF(SelectedScope="All India",TRUE,'RAW_AR_CONTENT'!$B338=SelectedScope),'RAW_AR_CONTENT'!J338,"")</f>
        <v>0</v>
      </c>
      <c r="K339" s="9">
        <f>IF(IF(SelectedScope="All India",TRUE,'RAW_AR_CONTENT'!$B338=SelectedScope),'RAW_AR_CONTENT'!K338,"")</f>
        <v>0</v>
      </c>
      <c r="L339" s="9">
        <f>IF(IF(SelectedScope="All India",TRUE,'RAW_AR_CONTENT'!$B338=SelectedScope),'RAW_AR_CONTENT'!L338,"")</f>
        <v>0</v>
      </c>
      <c r="M339" s="9">
        <f>IF(IF(SelectedScope="All India",TRUE,'RAW_AR_CONTENT'!$B338=SelectedScope),'RAW_AR_CONTENT'!M338,"")</f>
        <v>0</v>
      </c>
      <c r="N339" s="9">
        <f>IF(IF(SelectedScope="All India",TRUE,'RAW_AR_CONTENT'!$B338=SelectedScope),'RAW_AR_CONTENT'!N338,"")</f>
        <v>0</v>
      </c>
      <c r="O339" s="9">
        <f>IF(IF(SelectedScope="All India",TRUE,'RAW_AR_CONTENT'!$B338=SelectedScope),'RAW_AR_CONTENT'!O338,"")</f>
        <v>0</v>
      </c>
      <c r="P339" s="9">
        <f>IF(IF(SelectedScope="All India",TRUE,'RAW_AR_CONTENT'!$B338=SelectedScope),'RAW_AR_CONTENT'!P338,"")</f>
        <v>0</v>
      </c>
      <c r="Q339" s="9">
        <f>IF(IF(SelectedScope="All India",TRUE,'RAW_AR_CONTENT'!$B338=SelectedScope),'RAW_AR_CONTENT'!Q338,"")</f>
        <v>0</v>
      </c>
      <c r="R339" s="9">
        <f>IF(IF(SelectedScope="All India",TRUE,'RAW_AR_CONTENT'!$B338=SelectedScope),'RAW_AR_CONTENT'!R338,"")</f>
        <v>0</v>
      </c>
    </row>
    <row r="340" spans="1:18" ht="15" customHeight="1" x14ac:dyDescent="0.3">
      <c r="A340" s="12">
        <f>IF(IF(SelectedScope="All India",TRUE,'RAW_AR_CONTENT'!$B339=SelectedScope),'RAW_AR_CONTENT'!A339,"")</f>
        <v>336</v>
      </c>
      <c r="B340" s="12" t="str">
        <f>IF(IF(SelectedScope="All India",TRUE,'RAW_AR_CONTENT'!$B339=SelectedScope),'RAW_AR_CONTENT'!B339,"")</f>
        <v>Meghalaya</v>
      </c>
      <c r="C340" s="12" t="str">
        <f>IF(IF(SelectedScope="All India",TRUE,'RAW_AR_CONTENT'!$B339=SelectedScope),'RAW_AR_CONTENT'!C339,"")</f>
        <v>Mathematics</v>
      </c>
      <c r="D340" s="12" t="str">
        <f>IF(IF(SelectedScope="All India",TRUE,'RAW_AR_CONTENT'!$B339=SelectedScope),'RAW_AR_CONTENT'!D339,"")</f>
        <v>Class 10</v>
      </c>
      <c r="E340" s="12" t="str">
        <f>IF(IF(SelectedScope="All India",TRUE,'RAW_AR_CONTENT'!$B339=SelectedScope),'RAW_AR_CONTENT'!E339,"")</f>
        <v>Trigonometry 3D</v>
      </c>
      <c r="F340" s="12" t="str">
        <f>IF(IF(SelectedScope="All India",TRUE,'RAW_AR_CONTENT'!$B339=SelectedScope),'RAW_AR_CONTENT'!F339,"")</f>
        <v>Animated</v>
      </c>
      <c r="G340" s="12" t="str">
        <f>IF(IF(SelectedScope="All India",TRUE,'RAW_AR_CONTENT'!$B339=SelectedScope),'RAW_AR_CONTENT'!G339,"")</f>
        <v>Active</v>
      </c>
      <c r="H340" s="12">
        <f>IF(IF(SelectedScope="All India",TRUE,'RAW_AR_CONTENT'!$B339=SelectedScope),'RAW_AR_CONTENT'!H339,"")</f>
        <v>0</v>
      </c>
      <c r="I340" s="12">
        <f>IF(IF(SelectedScope="All India",TRUE,'RAW_AR_CONTENT'!$B339=SelectedScope),'RAW_AR_CONTENT'!I339,"")</f>
        <v>0</v>
      </c>
      <c r="J340" s="12">
        <f>IF(IF(SelectedScope="All India",TRUE,'RAW_AR_CONTENT'!$B339=SelectedScope),'RAW_AR_CONTENT'!J339,"")</f>
        <v>0</v>
      </c>
      <c r="K340" s="12">
        <f>IF(IF(SelectedScope="All India",TRUE,'RAW_AR_CONTENT'!$B339=SelectedScope),'RAW_AR_CONTENT'!K339,"")</f>
        <v>0</v>
      </c>
      <c r="L340" s="12">
        <f>IF(IF(SelectedScope="All India",TRUE,'RAW_AR_CONTENT'!$B339=SelectedScope),'RAW_AR_CONTENT'!L339,"")</f>
        <v>0</v>
      </c>
      <c r="M340" s="12">
        <f>IF(IF(SelectedScope="All India",TRUE,'RAW_AR_CONTENT'!$B339=SelectedScope),'RAW_AR_CONTENT'!M339,"")</f>
        <v>0</v>
      </c>
      <c r="N340" s="12">
        <f>IF(IF(SelectedScope="All India",TRUE,'RAW_AR_CONTENT'!$B339=SelectedScope),'RAW_AR_CONTENT'!N339,"")</f>
        <v>0</v>
      </c>
      <c r="O340" s="12">
        <f>IF(IF(SelectedScope="All India",TRUE,'RAW_AR_CONTENT'!$B339=SelectedScope),'RAW_AR_CONTENT'!O339,"")</f>
        <v>0</v>
      </c>
      <c r="P340" s="12">
        <f>IF(IF(SelectedScope="All India",TRUE,'RAW_AR_CONTENT'!$B339=SelectedScope),'RAW_AR_CONTENT'!P339,"")</f>
        <v>0</v>
      </c>
      <c r="Q340" s="12">
        <f>IF(IF(SelectedScope="All India",TRUE,'RAW_AR_CONTENT'!$B339=SelectedScope),'RAW_AR_CONTENT'!Q339,"")</f>
        <v>0</v>
      </c>
      <c r="R340" s="12">
        <f>IF(IF(SelectedScope="All India",TRUE,'RAW_AR_CONTENT'!$B339=SelectedScope),'RAW_AR_CONTENT'!R339,"")</f>
        <v>0</v>
      </c>
    </row>
    <row r="341" spans="1:18" ht="15" customHeight="1" x14ac:dyDescent="0.3">
      <c r="A341" s="9">
        <f>IF(IF(SelectedScope="All India",TRUE,'RAW_AR_CONTENT'!$B340=SelectedScope),'RAW_AR_CONTENT'!A340,"")</f>
        <v>337</v>
      </c>
      <c r="B341" s="9" t="str">
        <f>IF(IF(SelectedScope="All India",TRUE,'RAW_AR_CONTENT'!$B340=SelectedScope),'RAW_AR_CONTENT'!B340,"")</f>
        <v>Meghalaya</v>
      </c>
      <c r="C341" s="9" t="str">
        <f>IF(IF(SelectedScope="All India",TRUE,'RAW_AR_CONTENT'!$B340=SelectedScope),'RAW_AR_CONTENT'!C340,"")</f>
        <v>History</v>
      </c>
      <c r="D341" s="9" t="str">
        <f>IF(IF(SelectedScope="All India",TRUE,'RAW_AR_CONTENT'!$B340=SelectedScope),'RAW_AR_CONTENT'!D340,"")</f>
        <v>Class 10</v>
      </c>
      <c r="E341" s="9" t="str">
        <f>IF(IF(SelectedScope="All India",TRUE,'RAW_AR_CONTENT'!$B340=SelectedScope),'RAW_AR_CONTENT'!E340,"")</f>
        <v>Mughal Empire AR</v>
      </c>
      <c r="F341" s="9" t="str">
        <f>IF(IF(SelectedScope="All India",TRUE,'RAW_AR_CONTENT'!$B340=SelectedScope),'RAW_AR_CONTENT'!F340,"")</f>
        <v>Basic 3D</v>
      </c>
      <c r="G341" s="9" t="str">
        <f>IF(IF(SelectedScope="All India",TRUE,'RAW_AR_CONTENT'!$B340=SelectedScope),'RAW_AR_CONTENT'!G340,"")</f>
        <v>Active</v>
      </c>
      <c r="H341" s="9">
        <f>IF(IF(SelectedScope="All India",TRUE,'RAW_AR_CONTENT'!$B340=SelectedScope),'RAW_AR_CONTENT'!H340,"")</f>
        <v>0</v>
      </c>
      <c r="I341" s="9">
        <f>IF(IF(SelectedScope="All India",TRUE,'RAW_AR_CONTENT'!$B340=SelectedScope),'RAW_AR_CONTENT'!I340,"")</f>
        <v>0</v>
      </c>
      <c r="J341" s="9">
        <f>IF(IF(SelectedScope="All India",TRUE,'RAW_AR_CONTENT'!$B340=SelectedScope),'RAW_AR_CONTENT'!J340,"")</f>
        <v>0</v>
      </c>
      <c r="K341" s="9">
        <f>IF(IF(SelectedScope="All India",TRUE,'RAW_AR_CONTENT'!$B340=SelectedScope),'RAW_AR_CONTENT'!K340,"")</f>
        <v>0</v>
      </c>
      <c r="L341" s="9">
        <f>IF(IF(SelectedScope="All India",TRUE,'RAW_AR_CONTENT'!$B340=SelectedScope),'RAW_AR_CONTENT'!L340,"")</f>
        <v>0</v>
      </c>
      <c r="M341" s="9">
        <f>IF(IF(SelectedScope="All India",TRUE,'RAW_AR_CONTENT'!$B340=SelectedScope),'RAW_AR_CONTENT'!M340,"")</f>
        <v>0</v>
      </c>
      <c r="N341" s="9">
        <f>IF(IF(SelectedScope="All India",TRUE,'RAW_AR_CONTENT'!$B340=SelectedScope),'RAW_AR_CONTENT'!N340,"")</f>
        <v>0</v>
      </c>
      <c r="O341" s="9">
        <f>IF(IF(SelectedScope="All India",TRUE,'RAW_AR_CONTENT'!$B340=SelectedScope),'RAW_AR_CONTENT'!O340,"")</f>
        <v>0</v>
      </c>
      <c r="P341" s="9">
        <f>IF(IF(SelectedScope="All India",TRUE,'RAW_AR_CONTENT'!$B340=SelectedScope),'RAW_AR_CONTENT'!P340,"")</f>
        <v>0</v>
      </c>
      <c r="Q341" s="9">
        <f>IF(IF(SelectedScope="All India",TRUE,'RAW_AR_CONTENT'!$B340=SelectedScope),'RAW_AR_CONTENT'!Q340,"")</f>
        <v>0</v>
      </c>
      <c r="R341" s="9">
        <f>IF(IF(SelectedScope="All India",TRUE,'RAW_AR_CONTENT'!$B340=SelectedScope),'RAW_AR_CONTENT'!R340,"")</f>
        <v>0</v>
      </c>
    </row>
    <row r="342" spans="1:18" ht="15" customHeight="1" x14ac:dyDescent="0.3">
      <c r="A342" s="12">
        <f>IF(IF(SelectedScope="All India",TRUE,'RAW_AR_CONTENT'!$B341=SelectedScope),'RAW_AR_CONTENT'!A341,"")</f>
        <v>338</v>
      </c>
      <c r="B342" s="12" t="str">
        <f>IF(IF(SelectedScope="All India",TRUE,'RAW_AR_CONTENT'!$B341=SelectedScope),'RAW_AR_CONTENT'!B341,"")</f>
        <v>Meghalaya</v>
      </c>
      <c r="C342" s="12" t="str">
        <f>IF(IF(SelectedScope="All India",TRUE,'RAW_AR_CONTENT'!$B341=SelectedScope),'RAW_AR_CONTENT'!C341,"")</f>
        <v>Geography</v>
      </c>
      <c r="D342" s="12" t="str">
        <f>IF(IF(SelectedScope="All India",TRUE,'RAW_AR_CONTENT'!$B341=SelectedScope),'RAW_AR_CONTENT'!D341,"")</f>
        <v>Class 6</v>
      </c>
      <c r="E342" s="12" t="str">
        <f>IF(IF(SelectedScope="All India",TRUE,'RAW_AR_CONTENT'!$B341=SelectedScope),'RAW_AR_CONTENT'!E341,"")</f>
        <v>Water Cycle Simulation</v>
      </c>
      <c r="F342" s="12" t="str">
        <f>IF(IF(SelectedScope="All India",TRUE,'RAW_AR_CONTENT'!$B341=SelectedScope),'RAW_AR_CONTENT'!F341,"")</f>
        <v>Animated</v>
      </c>
      <c r="G342" s="12" t="str">
        <f>IF(IF(SelectedScope="All India",TRUE,'RAW_AR_CONTENT'!$B341=SelectedScope),'RAW_AR_CONTENT'!G341,"")</f>
        <v>Active</v>
      </c>
      <c r="H342" s="12">
        <f>IF(IF(SelectedScope="All India",TRUE,'RAW_AR_CONTENT'!$B341=SelectedScope),'RAW_AR_CONTENT'!H341,"")</f>
        <v>0</v>
      </c>
      <c r="I342" s="12">
        <f>IF(IF(SelectedScope="All India",TRUE,'RAW_AR_CONTENT'!$B341=SelectedScope),'RAW_AR_CONTENT'!I341,"")</f>
        <v>0</v>
      </c>
      <c r="J342" s="12">
        <f>IF(IF(SelectedScope="All India",TRUE,'RAW_AR_CONTENT'!$B341=SelectedScope),'RAW_AR_CONTENT'!J341,"")</f>
        <v>0</v>
      </c>
      <c r="K342" s="12">
        <f>IF(IF(SelectedScope="All India",TRUE,'RAW_AR_CONTENT'!$B341=SelectedScope),'RAW_AR_CONTENT'!K341,"")</f>
        <v>0</v>
      </c>
      <c r="L342" s="12">
        <f>IF(IF(SelectedScope="All India",TRUE,'RAW_AR_CONTENT'!$B341=SelectedScope),'RAW_AR_CONTENT'!L341,"")</f>
        <v>0</v>
      </c>
      <c r="M342" s="12">
        <f>IF(IF(SelectedScope="All India",TRUE,'RAW_AR_CONTENT'!$B341=SelectedScope),'RAW_AR_CONTENT'!M341,"")</f>
        <v>0</v>
      </c>
      <c r="N342" s="12">
        <f>IF(IF(SelectedScope="All India",TRUE,'RAW_AR_CONTENT'!$B341=SelectedScope),'RAW_AR_CONTENT'!N341,"")</f>
        <v>0</v>
      </c>
      <c r="O342" s="12">
        <f>IF(IF(SelectedScope="All India",TRUE,'RAW_AR_CONTENT'!$B341=SelectedScope),'RAW_AR_CONTENT'!O341,"")</f>
        <v>0</v>
      </c>
      <c r="P342" s="12">
        <f>IF(IF(SelectedScope="All India",TRUE,'RAW_AR_CONTENT'!$B341=SelectedScope),'RAW_AR_CONTENT'!P341,"")</f>
        <v>0</v>
      </c>
      <c r="Q342" s="12">
        <f>IF(IF(SelectedScope="All India",TRUE,'RAW_AR_CONTENT'!$B341=SelectedScope),'RAW_AR_CONTENT'!Q341,"")</f>
        <v>0</v>
      </c>
      <c r="R342" s="12">
        <f>IF(IF(SelectedScope="All India",TRUE,'RAW_AR_CONTENT'!$B341=SelectedScope),'RAW_AR_CONTENT'!R341,"")</f>
        <v>0</v>
      </c>
    </row>
    <row r="343" spans="1:18" ht="15" customHeight="1" x14ac:dyDescent="0.3">
      <c r="A343" s="9">
        <f>IF(IF(SelectedScope="All India",TRUE,'RAW_AR_CONTENT'!$B342=SelectedScope),'RAW_AR_CONTENT'!A342,"")</f>
        <v>339</v>
      </c>
      <c r="B343" s="9" t="str">
        <f>IF(IF(SelectedScope="All India",TRUE,'RAW_AR_CONTENT'!$B342=SelectedScope),'RAW_AR_CONTENT'!B342,"")</f>
        <v>Meghalaya</v>
      </c>
      <c r="C343" s="9" t="str">
        <f>IF(IF(SelectedScope="All India",TRUE,'RAW_AR_CONTENT'!$B342=SelectedScope),'RAW_AR_CONTENT'!C342,"")</f>
        <v>Biology</v>
      </c>
      <c r="D343" s="9" t="str">
        <f>IF(IF(SelectedScope="All India",TRUE,'RAW_AR_CONTENT'!$B342=SelectedScope),'RAW_AR_CONTENT'!D342,"")</f>
        <v>Class 11</v>
      </c>
      <c r="E343" s="9" t="str">
        <f>IF(IF(SelectedScope="All India",TRUE,'RAW_AR_CONTENT'!$B342=SelectedScope),'RAW_AR_CONTENT'!E342,"")</f>
        <v>Human Anatomy AR</v>
      </c>
      <c r="F343" s="9" t="str">
        <f>IF(IF(SelectedScope="All India",TRUE,'RAW_AR_CONTENT'!$B342=SelectedScope),'RAW_AR_CONTENT'!F342,"")</f>
        <v>Fully Immersive</v>
      </c>
      <c r="G343" s="9" t="str">
        <f>IF(IF(SelectedScope="All India",TRUE,'RAW_AR_CONTENT'!$B342=SelectedScope),'RAW_AR_CONTENT'!G342,"")</f>
        <v>Active</v>
      </c>
      <c r="H343" s="9">
        <f>IF(IF(SelectedScope="All India",TRUE,'RAW_AR_CONTENT'!$B342=SelectedScope),'RAW_AR_CONTENT'!H342,"")</f>
        <v>0</v>
      </c>
      <c r="I343" s="9">
        <f>IF(IF(SelectedScope="All India",TRUE,'RAW_AR_CONTENT'!$B342=SelectedScope),'RAW_AR_CONTENT'!I342,"")</f>
        <v>0</v>
      </c>
      <c r="J343" s="9">
        <f>IF(IF(SelectedScope="All India",TRUE,'RAW_AR_CONTENT'!$B342=SelectedScope),'RAW_AR_CONTENT'!J342,"")</f>
        <v>0</v>
      </c>
      <c r="K343" s="9">
        <f>IF(IF(SelectedScope="All India",TRUE,'RAW_AR_CONTENT'!$B342=SelectedScope),'RAW_AR_CONTENT'!K342,"")</f>
        <v>0</v>
      </c>
      <c r="L343" s="9">
        <f>IF(IF(SelectedScope="All India",TRUE,'RAW_AR_CONTENT'!$B342=SelectedScope),'RAW_AR_CONTENT'!L342,"")</f>
        <v>0</v>
      </c>
      <c r="M343" s="9">
        <f>IF(IF(SelectedScope="All India",TRUE,'RAW_AR_CONTENT'!$B342=SelectedScope),'RAW_AR_CONTENT'!M342,"")</f>
        <v>0</v>
      </c>
      <c r="N343" s="9">
        <f>IF(IF(SelectedScope="All India",TRUE,'RAW_AR_CONTENT'!$B342=SelectedScope),'RAW_AR_CONTENT'!N342,"")</f>
        <v>0</v>
      </c>
      <c r="O343" s="9">
        <f>IF(IF(SelectedScope="All India",TRUE,'RAW_AR_CONTENT'!$B342=SelectedScope),'RAW_AR_CONTENT'!O342,"")</f>
        <v>0</v>
      </c>
      <c r="P343" s="9">
        <f>IF(IF(SelectedScope="All India",TRUE,'RAW_AR_CONTENT'!$B342=SelectedScope),'RAW_AR_CONTENT'!P342,"")</f>
        <v>0</v>
      </c>
      <c r="Q343" s="9">
        <f>IF(IF(SelectedScope="All India",TRUE,'RAW_AR_CONTENT'!$B342=SelectedScope),'RAW_AR_CONTENT'!Q342,"")</f>
        <v>0</v>
      </c>
      <c r="R343" s="9">
        <f>IF(IF(SelectedScope="All India",TRUE,'RAW_AR_CONTENT'!$B342=SelectedScope),'RAW_AR_CONTENT'!R342,"")</f>
        <v>0</v>
      </c>
    </row>
    <row r="344" spans="1:18" ht="15" customHeight="1" x14ac:dyDescent="0.3">
      <c r="A344" s="12">
        <f>IF(IF(SelectedScope="All India",TRUE,'RAW_AR_CONTENT'!$B343=SelectedScope),'RAW_AR_CONTENT'!A343,"")</f>
        <v>340</v>
      </c>
      <c r="B344" s="12" t="str">
        <f>IF(IF(SelectedScope="All India",TRUE,'RAW_AR_CONTENT'!$B343=SelectedScope),'RAW_AR_CONTENT'!B343,"")</f>
        <v>Meghalaya</v>
      </c>
      <c r="C344" s="12" t="str">
        <f>IF(IF(SelectedScope="All India",TRUE,'RAW_AR_CONTENT'!$B343=SelectedScope),'RAW_AR_CONTENT'!C343,"")</f>
        <v>Physics</v>
      </c>
      <c r="D344" s="12" t="str">
        <f>IF(IF(SelectedScope="All India",TRUE,'RAW_AR_CONTENT'!$B343=SelectedScope),'RAW_AR_CONTENT'!D343,"")</f>
        <v>Class 9</v>
      </c>
      <c r="E344" s="12" t="str">
        <f>IF(IF(SelectedScope="All India",TRUE,'RAW_AR_CONTENT'!$B343=SelectedScope),'RAW_AR_CONTENT'!E343,"")</f>
        <v>Laws of Motion</v>
      </c>
      <c r="F344" s="12" t="str">
        <f>IF(IF(SelectedScope="All India",TRUE,'RAW_AR_CONTENT'!$B343=SelectedScope),'RAW_AR_CONTENT'!F343,"")</f>
        <v>Interactive</v>
      </c>
      <c r="G344" s="12" t="str">
        <f>IF(IF(SelectedScope="All India",TRUE,'RAW_AR_CONTENT'!$B343=SelectedScope),'RAW_AR_CONTENT'!G343,"")</f>
        <v>Active</v>
      </c>
      <c r="H344" s="12">
        <f>IF(IF(SelectedScope="All India",TRUE,'RAW_AR_CONTENT'!$B343=SelectedScope),'RAW_AR_CONTENT'!H343,"")</f>
        <v>0</v>
      </c>
      <c r="I344" s="12">
        <f>IF(IF(SelectedScope="All India",TRUE,'RAW_AR_CONTENT'!$B343=SelectedScope),'RAW_AR_CONTENT'!I343,"")</f>
        <v>0</v>
      </c>
      <c r="J344" s="12">
        <f>IF(IF(SelectedScope="All India",TRUE,'RAW_AR_CONTENT'!$B343=SelectedScope),'RAW_AR_CONTENT'!J343,"")</f>
        <v>0</v>
      </c>
      <c r="K344" s="12">
        <f>IF(IF(SelectedScope="All India",TRUE,'RAW_AR_CONTENT'!$B343=SelectedScope),'RAW_AR_CONTENT'!K343,"")</f>
        <v>0</v>
      </c>
      <c r="L344" s="12">
        <f>IF(IF(SelectedScope="All India",TRUE,'RAW_AR_CONTENT'!$B343=SelectedScope),'RAW_AR_CONTENT'!L343,"")</f>
        <v>0</v>
      </c>
      <c r="M344" s="12">
        <f>IF(IF(SelectedScope="All India",TRUE,'RAW_AR_CONTENT'!$B343=SelectedScope),'RAW_AR_CONTENT'!M343,"")</f>
        <v>0</v>
      </c>
      <c r="N344" s="12">
        <f>IF(IF(SelectedScope="All India",TRUE,'RAW_AR_CONTENT'!$B343=SelectedScope),'RAW_AR_CONTENT'!N343,"")</f>
        <v>0</v>
      </c>
      <c r="O344" s="12">
        <f>IF(IF(SelectedScope="All India",TRUE,'RAW_AR_CONTENT'!$B343=SelectedScope),'RAW_AR_CONTENT'!O343,"")</f>
        <v>0</v>
      </c>
      <c r="P344" s="12">
        <f>IF(IF(SelectedScope="All India",TRUE,'RAW_AR_CONTENT'!$B343=SelectedScope),'RAW_AR_CONTENT'!P343,"")</f>
        <v>0</v>
      </c>
      <c r="Q344" s="12">
        <f>IF(IF(SelectedScope="All India",TRUE,'RAW_AR_CONTENT'!$B343=SelectedScope),'RAW_AR_CONTENT'!Q343,"")</f>
        <v>0</v>
      </c>
      <c r="R344" s="12">
        <f>IF(IF(SelectedScope="All India",TRUE,'RAW_AR_CONTENT'!$B343=SelectedScope),'RAW_AR_CONTENT'!R343,"")</f>
        <v>0</v>
      </c>
    </row>
    <row r="345" spans="1:18" ht="15" customHeight="1" x14ac:dyDescent="0.3">
      <c r="A345" s="9">
        <f>IF(IF(SelectedScope="All India",TRUE,'RAW_AR_CONTENT'!$B344=SelectedScope),'RAW_AR_CONTENT'!A344,"")</f>
        <v>341</v>
      </c>
      <c r="B345" s="9" t="str">
        <f>IF(IF(SelectedScope="All India",TRUE,'RAW_AR_CONTENT'!$B344=SelectedScope),'RAW_AR_CONTENT'!B344,"")</f>
        <v>Meghalaya</v>
      </c>
      <c r="C345" s="9" t="str">
        <f>IF(IF(SelectedScope="All India",TRUE,'RAW_AR_CONTENT'!$B344=SelectedScope),'RAW_AR_CONTENT'!C344,"")</f>
        <v>Chemistry</v>
      </c>
      <c r="D345" s="9" t="str">
        <f>IF(IF(SelectedScope="All India",TRUE,'RAW_AR_CONTENT'!$B344=SelectedScope),'RAW_AR_CONTENT'!D344,"")</f>
        <v>Class 11</v>
      </c>
      <c r="E345" s="9" t="str">
        <f>IF(IF(SelectedScope="All India",TRUE,'RAW_AR_CONTENT'!$B344=SelectedScope),'RAW_AR_CONTENT'!E344,"")</f>
        <v>Periodic Table 3D</v>
      </c>
      <c r="F345" s="9" t="str">
        <f>IF(IF(SelectedScope="All India",TRUE,'RAW_AR_CONTENT'!$B344=SelectedScope),'RAW_AR_CONTENT'!F344,"")</f>
        <v>Interactive</v>
      </c>
      <c r="G345" s="9" t="str">
        <f>IF(IF(SelectedScope="All India",TRUE,'RAW_AR_CONTENT'!$B344=SelectedScope),'RAW_AR_CONTENT'!G344,"")</f>
        <v>Active</v>
      </c>
      <c r="H345" s="9">
        <f>IF(IF(SelectedScope="All India",TRUE,'RAW_AR_CONTENT'!$B344=SelectedScope),'RAW_AR_CONTENT'!H344,"")</f>
        <v>0</v>
      </c>
      <c r="I345" s="9">
        <f>IF(IF(SelectedScope="All India",TRUE,'RAW_AR_CONTENT'!$B344=SelectedScope),'RAW_AR_CONTENT'!I344,"")</f>
        <v>0</v>
      </c>
      <c r="J345" s="9">
        <f>IF(IF(SelectedScope="All India",TRUE,'RAW_AR_CONTENT'!$B344=SelectedScope),'RAW_AR_CONTENT'!J344,"")</f>
        <v>0</v>
      </c>
      <c r="K345" s="9">
        <f>IF(IF(SelectedScope="All India",TRUE,'RAW_AR_CONTENT'!$B344=SelectedScope),'RAW_AR_CONTENT'!K344,"")</f>
        <v>0</v>
      </c>
      <c r="L345" s="9">
        <f>IF(IF(SelectedScope="All India",TRUE,'RAW_AR_CONTENT'!$B344=SelectedScope),'RAW_AR_CONTENT'!L344,"")</f>
        <v>0</v>
      </c>
      <c r="M345" s="9">
        <f>IF(IF(SelectedScope="All India",TRUE,'RAW_AR_CONTENT'!$B344=SelectedScope),'RAW_AR_CONTENT'!M344,"")</f>
        <v>0</v>
      </c>
      <c r="N345" s="9">
        <f>IF(IF(SelectedScope="All India",TRUE,'RAW_AR_CONTENT'!$B344=SelectedScope),'RAW_AR_CONTENT'!N344,"")</f>
        <v>0</v>
      </c>
      <c r="O345" s="9">
        <f>IF(IF(SelectedScope="All India",TRUE,'RAW_AR_CONTENT'!$B344=SelectedScope),'RAW_AR_CONTENT'!O344,"")</f>
        <v>0</v>
      </c>
      <c r="P345" s="9">
        <f>IF(IF(SelectedScope="All India",TRUE,'RAW_AR_CONTENT'!$B344=SelectedScope),'RAW_AR_CONTENT'!P344,"")</f>
        <v>0</v>
      </c>
      <c r="Q345" s="9">
        <f>IF(IF(SelectedScope="All India",TRUE,'RAW_AR_CONTENT'!$B344=SelectedScope),'RAW_AR_CONTENT'!Q344,"")</f>
        <v>0</v>
      </c>
      <c r="R345" s="9">
        <f>IF(IF(SelectedScope="All India",TRUE,'RAW_AR_CONTENT'!$B344=SelectedScope),'RAW_AR_CONTENT'!R344,"")</f>
        <v>0</v>
      </c>
    </row>
    <row r="346" spans="1:18" ht="15" customHeight="1" x14ac:dyDescent="0.3">
      <c r="A346" s="12">
        <f>IF(IF(SelectedScope="All India",TRUE,'RAW_AR_CONTENT'!$B345=SelectedScope),'RAW_AR_CONTENT'!A345,"")</f>
        <v>342</v>
      </c>
      <c r="B346" s="12" t="str">
        <f>IF(IF(SelectedScope="All India",TRUE,'RAW_AR_CONTENT'!$B345=SelectedScope),'RAW_AR_CONTENT'!B345,"")</f>
        <v>Meghalaya</v>
      </c>
      <c r="C346" s="12" t="str">
        <f>IF(IF(SelectedScope="All India",TRUE,'RAW_AR_CONTENT'!$B345=SelectedScope),'RAW_AR_CONTENT'!C345,"")</f>
        <v>Physics</v>
      </c>
      <c r="D346" s="12" t="str">
        <f>IF(IF(SelectedScope="All India",TRUE,'RAW_AR_CONTENT'!$B345=SelectedScope),'RAW_AR_CONTENT'!D345,"")</f>
        <v>Class 10</v>
      </c>
      <c r="E346" s="12" t="str">
        <f>IF(IF(SelectedScope="All India",TRUE,'RAW_AR_CONTENT'!$B345=SelectedScope),'RAW_AR_CONTENT'!E345,"")</f>
        <v>Electricity Circuits</v>
      </c>
      <c r="F346" s="12" t="str">
        <f>IF(IF(SelectedScope="All India",TRUE,'RAW_AR_CONTENT'!$B345=SelectedScope),'RAW_AR_CONTENT'!F345,"")</f>
        <v>Interactive</v>
      </c>
      <c r="G346" s="12" t="str">
        <f>IF(IF(SelectedScope="All India",TRUE,'RAW_AR_CONTENT'!$B345=SelectedScope),'RAW_AR_CONTENT'!G345,"")</f>
        <v>Active</v>
      </c>
      <c r="H346" s="12">
        <f>IF(IF(SelectedScope="All India",TRUE,'RAW_AR_CONTENT'!$B345=SelectedScope),'RAW_AR_CONTENT'!H345,"")</f>
        <v>0</v>
      </c>
      <c r="I346" s="12">
        <f>IF(IF(SelectedScope="All India",TRUE,'RAW_AR_CONTENT'!$B345=SelectedScope),'RAW_AR_CONTENT'!I345,"")</f>
        <v>0</v>
      </c>
      <c r="J346" s="12">
        <f>IF(IF(SelectedScope="All India",TRUE,'RAW_AR_CONTENT'!$B345=SelectedScope),'RAW_AR_CONTENT'!J345,"")</f>
        <v>0</v>
      </c>
      <c r="K346" s="12">
        <f>IF(IF(SelectedScope="All India",TRUE,'RAW_AR_CONTENT'!$B345=SelectedScope),'RAW_AR_CONTENT'!K345,"")</f>
        <v>0</v>
      </c>
      <c r="L346" s="12">
        <f>IF(IF(SelectedScope="All India",TRUE,'RAW_AR_CONTENT'!$B345=SelectedScope),'RAW_AR_CONTENT'!L345,"")</f>
        <v>0</v>
      </c>
      <c r="M346" s="12">
        <f>IF(IF(SelectedScope="All India",TRUE,'RAW_AR_CONTENT'!$B345=SelectedScope),'RAW_AR_CONTENT'!M345,"")</f>
        <v>0</v>
      </c>
      <c r="N346" s="12">
        <f>IF(IF(SelectedScope="All India",TRUE,'RAW_AR_CONTENT'!$B345=SelectedScope),'RAW_AR_CONTENT'!N345,"")</f>
        <v>0</v>
      </c>
      <c r="O346" s="12">
        <f>IF(IF(SelectedScope="All India",TRUE,'RAW_AR_CONTENT'!$B345=SelectedScope),'RAW_AR_CONTENT'!O345,"")</f>
        <v>0</v>
      </c>
      <c r="P346" s="12">
        <f>IF(IF(SelectedScope="All India",TRUE,'RAW_AR_CONTENT'!$B345=SelectedScope),'RAW_AR_CONTENT'!P345,"")</f>
        <v>0</v>
      </c>
      <c r="Q346" s="12">
        <f>IF(IF(SelectedScope="All India",TRUE,'RAW_AR_CONTENT'!$B345=SelectedScope),'RAW_AR_CONTENT'!Q345,"")</f>
        <v>0</v>
      </c>
      <c r="R346" s="12">
        <f>IF(IF(SelectedScope="All India",TRUE,'RAW_AR_CONTENT'!$B345=SelectedScope),'RAW_AR_CONTENT'!R345,"")</f>
        <v>0</v>
      </c>
    </row>
    <row r="347" spans="1:18" ht="15" customHeight="1" x14ac:dyDescent="0.3">
      <c r="A347" s="9">
        <f>IF(IF(SelectedScope="All India",TRUE,'RAW_AR_CONTENT'!$B346=SelectedScope),'RAW_AR_CONTENT'!A346,"")</f>
        <v>343</v>
      </c>
      <c r="B347" s="9" t="str">
        <f>IF(IF(SelectedScope="All India",TRUE,'RAW_AR_CONTENT'!$B346=SelectedScope),'RAW_AR_CONTENT'!B346,"")</f>
        <v>Meghalaya</v>
      </c>
      <c r="C347" s="9" t="str">
        <f>IF(IF(SelectedScope="All India",TRUE,'RAW_AR_CONTENT'!$B346=SelectedScope),'RAW_AR_CONTENT'!C346,"")</f>
        <v>Civics</v>
      </c>
      <c r="D347" s="9" t="str">
        <f>IF(IF(SelectedScope="All India",TRUE,'RAW_AR_CONTENT'!$B346=SelectedScope),'RAW_AR_CONTENT'!D346,"")</f>
        <v>Class 9</v>
      </c>
      <c r="E347" s="9" t="str">
        <f>IF(IF(SelectedScope="All India",TRUE,'RAW_AR_CONTENT'!$B346=SelectedScope),'RAW_AR_CONTENT'!E346,"")</f>
        <v>Indian Constitution</v>
      </c>
      <c r="F347" s="9" t="str">
        <f>IF(IF(SelectedScope="All India",TRUE,'RAW_AR_CONTENT'!$B346=SelectedScope),'RAW_AR_CONTENT'!F346,"")</f>
        <v>Basic 3D</v>
      </c>
      <c r="G347" s="9" t="str">
        <f>IF(IF(SelectedScope="All India",TRUE,'RAW_AR_CONTENT'!$B346=SelectedScope),'RAW_AR_CONTENT'!G346,"")</f>
        <v>Active</v>
      </c>
      <c r="H347" s="9">
        <f>IF(IF(SelectedScope="All India",TRUE,'RAW_AR_CONTENT'!$B346=SelectedScope),'RAW_AR_CONTENT'!H346,"")</f>
        <v>0</v>
      </c>
      <c r="I347" s="9">
        <f>IF(IF(SelectedScope="All India",TRUE,'RAW_AR_CONTENT'!$B346=SelectedScope),'RAW_AR_CONTENT'!I346,"")</f>
        <v>0</v>
      </c>
      <c r="J347" s="9">
        <f>IF(IF(SelectedScope="All India",TRUE,'RAW_AR_CONTENT'!$B346=SelectedScope),'RAW_AR_CONTENT'!J346,"")</f>
        <v>0</v>
      </c>
      <c r="K347" s="9">
        <f>IF(IF(SelectedScope="All India",TRUE,'RAW_AR_CONTENT'!$B346=SelectedScope),'RAW_AR_CONTENT'!K346,"")</f>
        <v>0</v>
      </c>
      <c r="L347" s="9">
        <f>IF(IF(SelectedScope="All India",TRUE,'RAW_AR_CONTENT'!$B346=SelectedScope),'RAW_AR_CONTENT'!L346,"")</f>
        <v>0</v>
      </c>
      <c r="M347" s="9">
        <f>IF(IF(SelectedScope="All India",TRUE,'RAW_AR_CONTENT'!$B346=SelectedScope),'RAW_AR_CONTENT'!M346,"")</f>
        <v>0</v>
      </c>
      <c r="N347" s="9">
        <f>IF(IF(SelectedScope="All India",TRUE,'RAW_AR_CONTENT'!$B346=SelectedScope),'RAW_AR_CONTENT'!N346,"")</f>
        <v>0</v>
      </c>
      <c r="O347" s="9">
        <f>IF(IF(SelectedScope="All India",TRUE,'RAW_AR_CONTENT'!$B346=SelectedScope),'RAW_AR_CONTENT'!O346,"")</f>
        <v>0</v>
      </c>
      <c r="P347" s="9">
        <f>IF(IF(SelectedScope="All India",TRUE,'RAW_AR_CONTENT'!$B346=SelectedScope),'RAW_AR_CONTENT'!P346,"")</f>
        <v>0</v>
      </c>
      <c r="Q347" s="9">
        <f>IF(IF(SelectedScope="All India",TRUE,'RAW_AR_CONTENT'!$B346=SelectedScope),'RAW_AR_CONTENT'!Q346,"")</f>
        <v>0</v>
      </c>
      <c r="R347" s="9">
        <f>IF(IF(SelectedScope="All India",TRUE,'RAW_AR_CONTENT'!$B346=SelectedScope),'RAW_AR_CONTENT'!R346,"")</f>
        <v>0</v>
      </c>
    </row>
    <row r="348" spans="1:18" ht="15" customHeight="1" x14ac:dyDescent="0.3">
      <c r="A348" s="12">
        <f>IF(IF(SelectedScope="All India",TRUE,'RAW_AR_CONTENT'!$B347=SelectedScope),'RAW_AR_CONTENT'!A347,"")</f>
        <v>344</v>
      </c>
      <c r="B348" s="12" t="str">
        <f>IF(IF(SelectedScope="All India",TRUE,'RAW_AR_CONTENT'!$B347=SelectedScope),'RAW_AR_CONTENT'!B347,"")</f>
        <v>Meghalaya</v>
      </c>
      <c r="C348" s="12" t="str">
        <f>IF(IF(SelectedScope="All India",TRUE,'RAW_AR_CONTENT'!$B347=SelectedScope),'RAW_AR_CONTENT'!C347,"")</f>
        <v>Environmental Science</v>
      </c>
      <c r="D348" s="12" t="str">
        <f>IF(IF(SelectedScope="All India",TRUE,'RAW_AR_CONTENT'!$B347=SelectedScope),'RAW_AR_CONTENT'!D347,"")</f>
        <v>Class 6</v>
      </c>
      <c r="E348" s="12" t="str">
        <f>IF(IF(SelectedScope="All India",TRUE,'RAW_AR_CONTENT'!$B347=SelectedScope),'RAW_AR_CONTENT'!E347,"")</f>
        <v>Food Chain</v>
      </c>
      <c r="F348" s="12" t="str">
        <f>IF(IF(SelectedScope="All India",TRUE,'RAW_AR_CONTENT'!$B347=SelectedScope),'RAW_AR_CONTENT'!F347,"")</f>
        <v>Animated</v>
      </c>
      <c r="G348" s="12" t="str">
        <f>IF(IF(SelectedScope="All India",TRUE,'RAW_AR_CONTENT'!$B347=SelectedScope),'RAW_AR_CONTENT'!G347,"")</f>
        <v>Active</v>
      </c>
      <c r="H348" s="12">
        <f>IF(IF(SelectedScope="All India",TRUE,'RAW_AR_CONTENT'!$B347=SelectedScope),'RAW_AR_CONTENT'!H347,"")</f>
        <v>0</v>
      </c>
      <c r="I348" s="12">
        <f>IF(IF(SelectedScope="All India",TRUE,'RAW_AR_CONTENT'!$B347=SelectedScope),'RAW_AR_CONTENT'!I347,"")</f>
        <v>0</v>
      </c>
      <c r="J348" s="12">
        <f>IF(IF(SelectedScope="All India",TRUE,'RAW_AR_CONTENT'!$B347=SelectedScope),'RAW_AR_CONTENT'!J347,"")</f>
        <v>0</v>
      </c>
      <c r="K348" s="12">
        <f>IF(IF(SelectedScope="All India",TRUE,'RAW_AR_CONTENT'!$B347=SelectedScope),'RAW_AR_CONTENT'!K347,"")</f>
        <v>0</v>
      </c>
      <c r="L348" s="12">
        <f>IF(IF(SelectedScope="All India",TRUE,'RAW_AR_CONTENT'!$B347=SelectedScope),'RAW_AR_CONTENT'!L347,"")</f>
        <v>0</v>
      </c>
      <c r="M348" s="12">
        <f>IF(IF(SelectedScope="All India",TRUE,'RAW_AR_CONTENT'!$B347=SelectedScope),'RAW_AR_CONTENT'!M347,"")</f>
        <v>0</v>
      </c>
      <c r="N348" s="12">
        <f>IF(IF(SelectedScope="All India",TRUE,'RAW_AR_CONTENT'!$B347=SelectedScope),'RAW_AR_CONTENT'!N347,"")</f>
        <v>0</v>
      </c>
      <c r="O348" s="12">
        <f>IF(IF(SelectedScope="All India",TRUE,'RAW_AR_CONTENT'!$B347=SelectedScope),'RAW_AR_CONTENT'!O347,"")</f>
        <v>0</v>
      </c>
      <c r="P348" s="12">
        <f>IF(IF(SelectedScope="All India",TRUE,'RAW_AR_CONTENT'!$B347=SelectedScope),'RAW_AR_CONTENT'!P347,"")</f>
        <v>0</v>
      </c>
      <c r="Q348" s="12">
        <f>IF(IF(SelectedScope="All India",TRUE,'RAW_AR_CONTENT'!$B347=SelectedScope),'RAW_AR_CONTENT'!Q347,"")</f>
        <v>0</v>
      </c>
      <c r="R348" s="12">
        <f>IF(IF(SelectedScope="All India",TRUE,'RAW_AR_CONTENT'!$B347=SelectedScope),'RAW_AR_CONTENT'!R347,"")</f>
        <v>0</v>
      </c>
    </row>
    <row r="349" spans="1:18" ht="15" customHeight="1" x14ac:dyDescent="0.3">
      <c r="A349" s="9">
        <f>IF(IF(SelectedScope="All India",TRUE,'RAW_AR_CONTENT'!$B348=SelectedScope),'RAW_AR_CONTENT'!A348,"")</f>
        <v>345</v>
      </c>
      <c r="B349" s="9" t="str">
        <f>IF(IF(SelectedScope="All India",TRUE,'RAW_AR_CONTENT'!$B348=SelectedScope),'RAW_AR_CONTENT'!B348,"")</f>
        <v>Meghalaya</v>
      </c>
      <c r="C349" s="9" t="str">
        <f>IF(IF(SelectedScope="All India",TRUE,'RAW_AR_CONTENT'!$B348=SelectedScope),'RAW_AR_CONTENT'!C348,"")</f>
        <v>Mathematics</v>
      </c>
      <c r="D349" s="9" t="str">
        <f>IF(IF(SelectedScope="All India",TRUE,'RAW_AR_CONTENT'!$B348=SelectedScope),'RAW_AR_CONTENT'!D348,"")</f>
        <v>Class 10</v>
      </c>
      <c r="E349" s="9" t="str">
        <f>IF(IF(SelectedScope="All India",TRUE,'RAW_AR_CONTENT'!$B348=SelectedScope),'RAW_AR_CONTENT'!E348,"")</f>
        <v>Quadratic Equations</v>
      </c>
      <c r="F349" s="9" t="str">
        <f>IF(IF(SelectedScope="All India",TRUE,'RAW_AR_CONTENT'!$B348=SelectedScope),'RAW_AR_CONTENT'!F348,"")</f>
        <v>Animated</v>
      </c>
      <c r="G349" s="9" t="str">
        <f>IF(IF(SelectedScope="All India",TRUE,'RAW_AR_CONTENT'!$B348=SelectedScope),'RAW_AR_CONTENT'!G348,"")</f>
        <v>Active</v>
      </c>
      <c r="H349" s="9">
        <f>IF(IF(SelectedScope="All India",TRUE,'RAW_AR_CONTENT'!$B348=SelectedScope),'RAW_AR_CONTENT'!H348,"")</f>
        <v>0</v>
      </c>
      <c r="I349" s="9">
        <f>IF(IF(SelectedScope="All India",TRUE,'RAW_AR_CONTENT'!$B348=SelectedScope),'RAW_AR_CONTENT'!I348,"")</f>
        <v>0</v>
      </c>
      <c r="J349" s="9">
        <f>IF(IF(SelectedScope="All India",TRUE,'RAW_AR_CONTENT'!$B348=SelectedScope),'RAW_AR_CONTENT'!J348,"")</f>
        <v>0</v>
      </c>
      <c r="K349" s="9">
        <f>IF(IF(SelectedScope="All India",TRUE,'RAW_AR_CONTENT'!$B348=SelectedScope),'RAW_AR_CONTENT'!K348,"")</f>
        <v>0</v>
      </c>
      <c r="L349" s="9">
        <f>IF(IF(SelectedScope="All India",TRUE,'RAW_AR_CONTENT'!$B348=SelectedScope),'RAW_AR_CONTENT'!L348,"")</f>
        <v>0</v>
      </c>
      <c r="M349" s="9">
        <f>IF(IF(SelectedScope="All India",TRUE,'RAW_AR_CONTENT'!$B348=SelectedScope),'RAW_AR_CONTENT'!M348,"")</f>
        <v>0</v>
      </c>
      <c r="N349" s="9">
        <f>IF(IF(SelectedScope="All India",TRUE,'RAW_AR_CONTENT'!$B348=SelectedScope),'RAW_AR_CONTENT'!N348,"")</f>
        <v>0</v>
      </c>
      <c r="O349" s="9">
        <f>IF(IF(SelectedScope="All India",TRUE,'RAW_AR_CONTENT'!$B348=SelectedScope),'RAW_AR_CONTENT'!O348,"")</f>
        <v>0</v>
      </c>
      <c r="P349" s="9">
        <f>IF(IF(SelectedScope="All India",TRUE,'RAW_AR_CONTENT'!$B348=SelectedScope),'RAW_AR_CONTENT'!P348,"")</f>
        <v>0</v>
      </c>
      <c r="Q349" s="9">
        <f>IF(IF(SelectedScope="All India",TRUE,'RAW_AR_CONTENT'!$B348=SelectedScope),'RAW_AR_CONTENT'!Q348,"")</f>
        <v>0</v>
      </c>
      <c r="R349" s="9">
        <f>IF(IF(SelectedScope="All India",TRUE,'RAW_AR_CONTENT'!$B348=SelectedScope),'RAW_AR_CONTENT'!R348,"")</f>
        <v>0</v>
      </c>
    </row>
    <row r="350" spans="1:18" ht="15" customHeight="1" x14ac:dyDescent="0.3">
      <c r="A350" s="12">
        <f>IF(IF(SelectedScope="All India",TRUE,'RAW_AR_CONTENT'!$B349=SelectedScope),'RAW_AR_CONTENT'!A349,"")</f>
        <v>346</v>
      </c>
      <c r="B350" s="12" t="str">
        <f>IF(IF(SelectedScope="All India",TRUE,'RAW_AR_CONTENT'!$B349=SelectedScope),'RAW_AR_CONTENT'!B349,"")</f>
        <v>Mizoram</v>
      </c>
      <c r="C350" s="12" t="str">
        <f>IF(IF(SelectedScope="All India",TRUE,'RAW_AR_CONTENT'!$B349=SelectedScope),'RAW_AR_CONTENT'!C349,"")</f>
        <v>Science</v>
      </c>
      <c r="D350" s="12" t="str">
        <f>IF(IF(SelectedScope="All India",TRUE,'RAW_AR_CONTENT'!$B349=SelectedScope),'RAW_AR_CONTENT'!D349,"")</f>
        <v>Class 8</v>
      </c>
      <c r="E350" s="12" t="str">
        <f>IF(IF(SelectedScope="All India",TRUE,'RAW_AR_CONTENT'!$B349=SelectedScope),'RAW_AR_CONTENT'!E349,"")</f>
        <v>Solar System 3D</v>
      </c>
      <c r="F350" s="12" t="str">
        <f>IF(IF(SelectedScope="All India",TRUE,'RAW_AR_CONTENT'!$B349=SelectedScope),'RAW_AR_CONTENT'!F349,"")</f>
        <v>Animated</v>
      </c>
      <c r="G350" s="12" t="str">
        <f>IF(IF(SelectedScope="All India",TRUE,'RAW_AR_CONTENT'!$B349=SelectedScope),'RAW_AR_CONTENT'!G349,"")</f>
        <v>Active</v>
      </c>
      <c r="H350" s="12">
        <f>IF(IF(SelectedScope="All India",TRUE,'RAW_AR_CONTENT'!$B349=SelectedScope),'RAW_AR_CONTENT'!H349,"")</f>
        <v>0</v>
      </c>
      <c r="I350" s="12">
        <f>IF(IF(SelectedScope="All India",TRUE,'RAW_AR_CONTENT'!$B349=SelectedScope),'RAW_AR_CONTENT'!I349,"")</f>
        <v>0</v>
      </c>
      <c r="J350" s="12">
        <f>IF(IF(SelectedScope="All India",TRUE,'RAW_AR_CONTENT'!$B349=SelectedScope),'RAW_AR_CONTENT'!J349,"")</f>
        <v>0</v>
      </c>
      <c r="K350" s="12">
        <f>IF(IF(SelectedScope="All India",TRUE,'RAW_AR_CONTENT'!$B349=SelectedScope),'RAW_AR_CONTENT'!K349,"")</f>
        <v>0</v>
      </c>
      <c r="L350" s="12">
        <f>IF(IF(SelectedScope="All India",TRUE,'RAW_AR_CONTENT'!$B349=SelectedScope),'RAW_AR_CONTENT'!L349,"")</f>
        <v>0</v>
      </c>
      <c r="M350" s="12">
        <f>IF(IF(SelectedScope="All India",TRUE,'RAW_AR_CONTENT'!$B349=SelectedScope),'RAW_AR_CONTENT'!M349,"")</f>
        <v>0</v>
      </c>
      <c r="N350" s="12">
        <f>IF(IF(SelectedScope="All India",TRUE,'RAW_AR_CONTENT'!$B349=SelectedScope),'RAW_AR_CONTENT'!N349,"")</f>
        <v>0</v>
      </c>
      <c r="O350" s="12">
        <f>IF(IF(SelectedScope="All India",TRUE,'RAW_AR_CONTENT'!$B349=SelectedScope),'RAW_AR_CONTENT'!O349,"")</f>
        <v>0</v>
      </c>
      <c r="P350" s="12">
        <f>IF(IF(SelectedScope="All India",TRUE,'RAW_AR_CONTENT'!$B349=SelectedScope),'RAW_AR_CONTENT'!P349,"")</f>
        <v>0</v>
      </c>
      <c r="Q350" s="12">
        <f>IF(IF(SelectedScope="All India",TRUE,'RAW_AR_CONTENT'!$B349=SelectedScope),'RAW_AR_CONTENT'!Q349,"")</f>
        <v>0</v>
      </c>
      <c r="R350" s="12">
        <f>IF(IF(SelectedScope="All India",TRUE,'RAW_AR_CONTENT'!$B349=SelectedScope),'RAW_AR_CONTENT'!R349,"")</f>
        <v>0</v>
      </c>
    </row>
    <row r="351" spans="1:18" ht="15" customHeight="1" x14ac:dyDescent="0.3">
      <c r="A351" s="9">
        <f>IF(IF(SelectedScope="All India",TRUE,'RAW_AR_CONTENT'!$B350=SelectedScope),'RAW_AR_CONTENT'!A350,"")</f>
        <v>347</v>
      </c>
      <c r="B351" s="9" t="str">
        <f>IF(IF(SelectedScope="All India",TRUE,'RAW_AR_CONTENT'!$B350=SelectedScope),'RAW_AR_CONTENT'!B350,"")</f>
        <v>Mizoram</v>
      </c>
      <c r="C351" s="9" t="str">
        <f>IF(IF(SelectedScope="All India",TRUE,'RAW_AR_CONTENT'!$B350=SelectedScope),'RAW_AR_CONTENT'!C350,"")</f>
        <v>Biology</v>
      </c>
      <c r="D351" s="9" t="str">
        <f>IF(IF(SelectedScope="All India",TRUE,'RAW_AR_CONTENT'!$B350=SelectedScope),'RAW_AR_CONTENT'!D350,"")</f>
        <v>Class 9</v>
      </c>
      <c r="E351" s="9" t="str">
        <f>IF(IF(SelectedScope="All India",TRUE,'RAW_AR_CONTENT'!$B350=SelectedScope),'RAW_AR_CONTENT'!E350,"")</f>
        <v>Cell Division</v>
      </c>
      <c r="F351" s="9" t="str">
        <f>IF(IF(SelectedScope="All India",TRUE,'RAW_AR_CONTENT'!$B350=SelectedScope),'RAW_AR_CONTENT'!F350,"")</f>
        <v>Interactive</v>
      </c>
      <c r="G351" s="9" t="str">
        <f>IF(IF(SelectedScope="All India",TRUE,'RAW_AR_CONTENT'!$B350=SelectedScope),'RAW_AR_CONTENT'!G350,"")</f>
        <v>Active</v>
      </c>
      <c r="H351" s="9">
        <f>IF(IF(SelectedScope="All India",TRUE,'RAW_AR_CONTENT'!$B350=SelectedScope),'RAW_AR_CONTENT'!H350,"")</f>
        <v>0</v>
      </c>
      <c r="I351" s="9">
        <f>IF(IF(SelectedScope="All India",TRUE,'RAW_AR_CONTENT'!$B350=SelectedScope),'RAW_AR_CONTENT'!I350,"")</f>
        <v>0</v>
      </c>
      <c r="J351" s="9">
        <f>IF(IF(SelectedScope="All India",TRUE,'RAW_AR_CONTENT'!$B350=SelectedScope),'RAW_AR_CONTENT'!J350,"")</f>
        <v>0</v>
      </c>
      <c r="K351" s="9">
        <f>IF(IF(SelectedScope="All India",TRUE,'RAW_AR_CONTENT'!$B350=SelectedScope),'RAW_AR_CONTENT'!K350,"")</f>
        <v>0</v>
      </c>
      <c r="L351" s="9">
        <f>IF(IF(SelectedScope="All India",TRUE,'RAW_AR_CONTENT'!$B350=SelectedScope),'RAW_AR_CONTENT'!L350,"")</f>
        <v>0</v>
      </c>
      <c r="M351" s="9">
        <f>IF(IF(SelectedScope="All India",TRUE,'RAW_AR_CONTENT'!$B350=SelectedScope),'RAW_AR_CONTENT'!M350,"")</f>
        <v>0</v>
      </c>
      <c r="N351" s="9">
        <f>IF(IF(SelectedScope="All India",TRUE,'RAW_AR_CONTENT'!$B350=SelectedScope),'RAW_AR_CONTENT'!N350,"")</f>
        <v>0</v>
      </c>
      <c r="O351" s="9">
        <f>IF(IF(SelectedScope="All India",TRUE,'RAW_AR_CONTENT'!$B350=SelectedScope),'RAW_AR_CONTENT'!O350,"")</f>
        <v>0</v>
      </c>
      <c r="P351" s="9">
        <f>IF(IF(SelectedScope="All India",TRUE,'RAW_AR_CONTENT'!$B350=SelectedScope),'RAW_AR_CONTENT'!P350,"")</f>
        <v>0</v>
      </c>
      <c r="Q351" s="9">
        <f>IF(IF(SelectedScope="All India",TRUE,'RAW_AR_CONTENT'!$B350=SelectedScope),'RAW_AR_CONTENT'!Q350,"")</f>
        <v>0</v>
      </c>
      <c r="R351" s="9">
        <f>IF(IF(SelectedScope="All India",TRUE,'RAW_AR_CONTENT'!$B350=SelectedScope),'RAW_AR_CONTENT'!R350,"")</f>
        <v>0</v>
      </c>
    </row>
    <row r="352" spans="1:18" ht="15" customHeight="1" x14ac:dyDescent="0.3">
      <c r="A352" s="12">
        <f>IF(IF(SelectedScope="All India",TRUE,'RAW_AR_CONTENT'!$B351=SelectedScope),'RAW_AR_CONTENT'!A351,"")</f>
        <v>348</v>
      </c>
      <c r="B352" s="12" t="str">
        <f>IF(IF(SelectedScope="All India",TRUE,'RAW_AR_CONTENT'!$B351=SelectedScope),'RAW_AR_CONTENT'!B351,"")</f>
        <v>Mizoram</v>
      </c>
      <c r="C352" s="12" t="str">
        <f>IF(IF(SelectedScope="All India",TRUE,'RAW_AR_CONTENT'!$B351=SelectedScope),'RAW_AR_CONTENT'!C351,"")</f>
        <v>Chemistry</v>
      </c>
      <c r="D352" s="12" t="str">
        <f>IF(IF(SelectedScope="All India",TRUE,'RAW_AR_CONTENT'!$B351=SelectedScope),'RAW_AR_CONTENT'!D351,"")</f>
        <v>Class 9</v>
      </c>
      <c r="E352" s="12" t="str">
        <f>IF(IF(SelectedScope="All India",TRUE,'RAW_AR_CONTENT'!$B351=SelectedScope),'RAW_AR_CONTENT'!E351,"")</f>
        <v>Atoms and Molecules</v>
      </c>
      <c r="F352" s="12" t="str">
        <f>IF(IF(SelectedScope="All India",TRUE,'RAW_AR_CONTENT'!$B351=SelectedScope),'RAW_AR_CONTENT'!F351,"")</f>
        <v>Animated</v>
      </c>
      <c r="G352" s="12" t="str">
        <f>IF(IF(SelectedScope="All India",TRUE,'RAW_AR_CONTENT'!$B351=SelectedScope),'RAW_AR_CONTENT'!G351,"")</f>
        <v>Active</v>
      </c>
      <c r="H352" s="12">
        <f>IF(IF(SelectedScope="All India",TRUE,'RAW_AR_CONTENT'!$B351=SelectedScope),'RAW_AR_CONTENT'!H351,"")</f>
        <v>0</v>
      </c>
      <c r="I352" s="12">
        <f>IF(IF(SelectedScope="All India",TRUE,'RAW_AR_CONTENT'!$B351=SelectedScope),'RAW_AR_CONTENT'!I351,"")</f>
        <v>0</v>
      </c>
      <c r="J352" s="12">
        <f>IF(IF(SelectedScope="All India",TRUE,'RAW_AR_CONTENT'!$B351=SelectedScope),'RAW_AR_CONTENT'!J351,"")</f>
        <v>0</v>
      </c>
      <c r="K352" s="12">
        <f>IF(IF(SelectedScope="All India",TRUE,'RAW_AR_CONTENT'!$B351=SelectedScope),'RAW_AR_CONTENT'!K351,"")</f>
        <v>0</v>
      </c>
      <c r="L352" s="12">
        <f>IF(IF(SelectedScope="All India",TRUE,'RAW_AR_CONTENT'!$B351=SelectedScope),'RAW_AR_CONTENT'!L351,"")</f>
        <v>0</v>
      </c>
      <c r="M352" s="12">
        <f>IF(IF(SelectedScope="All India",TRUE,'RAW_AR_CONTENT'!$B351=SelectedScope),'RAW_AR_CONTENT'!M351,"")</f>
        <v>0</v>
      </c>
      <c r="N352" s="12">
        <f>IF(IF(SelectedScope="All India",TRUE,'RAW_AR_CONTENT'!$B351=SelectedScope),'RAW_AR_CONTENT'!N351,"")</f>
        <v>0</v>
      </c>
      <c r="O352" s="12">
        <f>IF(IF(SelectedScope="All India",TRUE,'RAW_AR_CONTENT'!$B351=SelectedScope),'RAW_AR_CONTENT'!O351,"")</f>
        <v>0</v>
      </c>
      <c r="P352" s="12">
        <f>IF(IF(SelectedScope="All India",TRUE,'RAW_AR_CONTENT'!$B351=SelectedScope),'RAW_AR_CONTENT'!P351,"")</f>
        <v>0</v>
      </c>
      <c r="Q352" s="12">
        <f>IF(IF(SelectedScope="All India",TRUE,'RAW_AR_CONTENT'!$B351=SelectedScope),'RAW_AR_CONTENT'!Q351,"")</f>
        <v>0</v>
      </c>
      <c r="R352" s="12">
        <f>IF(IF(SelectedScope="All India",TRUE,'RAW_AR_CONTENT'!$B351=SelectedScope),'RAW_AR_CONTENT'!R351,"")</f>
        <v>0</v>
      </c>
    </row>
    <row r="353" spans="1:18" ht="15" customHeight="1" x14ac:dyDescent="0.3">
      <c r="A353" s="9">
        <f>IF(IF(SelectedScope="All India",TRUE,'RAW_AR_CONTENT'!$B352=SelectedScope),'RAW_AR_CONTENT'!A352,"")</f>
        <v>349</v>
      </c>
      <c r="B353" s="9" t="str">
        <f>IF(IF(SelectedScope="All India",TRUE,'RAW_AR_CONTENT'!$B352=SelectedScope),'RAW_AR_CONTENT'!B352,"")</f>
        <v>Mizoram</v>
      </c>
      <c r="C353" s="9" t="str">
        <f>IF(IF(SelectedScope="All India",TRUE,'RAW_AR_CONTENT'!$B352=SelectedScope),'RAW_AR_CONTENT'!C352,"")</f>
        <v>Biology</v>
      </c>
      <c r="D353" s="9" t="str">
        <f>IF(IF(SelectedScope="All India",TRUE,'RAW_AR_CONTENT'!$B352=SelectedScope),'RAW_AR_CONTENT'!D352,"")</f>
        <v>Class 7</v>
      </c>
      <c r="E353" s="9" t="str">
        <f>IF(IF(SelectedScope="All India",TRUE,'RAW_AR_CONTENT'!$B352=SelectedScope),'RAW_AR_CONTENT'!E352,"")</f>
        <v>Photosynthesis</v>
      </c>
      <c r="F353" s="9" t="str">
        <f>IF(IF(SelectedScope="All India",TRUE,'RAW_AR_CONTENT'!$B352=SelectedScope),'RAW_AR_CONTENT'!F352,"")</f>
        <v>Basic 3D</v>
      </c>
      <c r="G353" s="9" t="str">
        <f>IF(IF(SelectedScope="All India",TRUE,'RAW_AR_CONTENT'!$B352=SelectedScope),'RAW_AR_CONTENT'!G352,"")</f>
        <v>Active</v>
      </c>
      <c r="H353" s="9">
        <f>IF(IF(SelectedScope="All India",TRUE,'RAW_AR_CONTENT'!$B352=SelectedScope),'RAW_AR_CONTENT'!H352,"")</f>
        <v>0</v>
      </c>
      <c r="I353" s="9">
        <f>IF(IF(SelectedScope="All India",TRUE,'RAW_AR_CONTENT'!$B352=SelectedScope),'RAW_AR_CONTENT'!I352,"")</f>
        <v>0</v>
      </c>
      <c r="J353" s="9">
        <f>IF(IF(SelectedScope="All India",TRUE,'RAW_AR_CONTENT'!$B352=SelectedScope),'RAW_AR_CONTENT'!J352,"")</f>
        <v>0</v>
      </c>
      <c r="K353" s="9">
        <f>IF(IF(SelectedScope="All India",TRUE,'RAW_AR_CONTENT'!$B352=SelectedScope),'RAW_AR_CONTENT'!K352,"")</f>
        <v>0</v>
      </c>
      <c r="L353" s="9">
        <f>IF(IF(SelectedScope="All India",TRUE,'RAW_AR_CONTENT'!$B352=SelectedScope),'RAW_AR_CONTENT'!L352,"")</f>
        <v>0</v>
      </c>
      <c r="M353" s="9">
        <f>IF(IF(SelectedScope="All India",TRUE,'RAW_AR_CONTENT'!$B352=SelectedScope),'RAW_AR_CONTENT'!M352,"")</f>
        <v>0</v>
      </c>
      <c r="N353" s="9">
        <f>IF(IF(SelectedScope="All India",TRUE,'RAW_AR_CONTENT'!$B352=SelectedScope),'RAW_AR_CONTENT'!N352,"")</f>
        <v>0</v>
      </c>
      <c r="O353" s="9">
        <f>IF(IF(SelectedScope="All India",TRUE,'RAW_AR_CONTENT'!$B352=SelectedScope),'RAW_AR_CONTENT'!O352,"")</f>
        <v>0</v>
      </c>
      <c r="P353" s="9">
        <f>IF(IF(SelectedScope="All India",TRUE,'RAW_AR_CONTENT'!$B352=SelectedScope),'RAW_AR_CONTENT'!P352,"")</f>
        <v>0</v>
      </c>
      <c r="Q353" s="9">
        <f>IF(IF(SelectedScope="All India",TRUE,'RAW_AR_CONTENT'!$B352=SelectedScope),'RAW_AR_CONTENT'!Q352,"")</f>
        <v>0</v>
      </c>
      <c r="R353" s="9">
        <f>IF(IF(SelectedScope="All India",TRUE,'RAW_AR_CONTENT'!$B352=SelectedScope),'RAW_AR_CONTENT'!R352,"")</f>
        <v>0</v>
      </c>
    </row>
    <row r="354" spans="1:18" ht="15" customHeight="1" x14ac:dyDescent="0.3">
      <c r="A354" s="12">
        <f>IF(IF(SelectedScope="All India",TRUE,'RAW_AR_CONTENT'!$B353=SelectedScope),'RAW_AR_CONTENT'!A353,"")</f>
        <v>350</v>
      </c>
      <c r="B354" s="12" t="str">
        <f>IF(IF(SelectedScope="All India",TRUE,'RAW_AR_CONTENT'!$B353=SelectedScope),'RAW_AR_CONTENT'!B353,"")</f>
        <v>Mizoram</v>
      </c>
      <c r="C354" s="12" t="str">
        <f>IF(IF(SelectedScope="All India",TRUE,'RAW_AR_CONTENT'!$B353=SelectedScope),'RAW_AR_CONTENT'!C353,"")</f>
        <v>Mathematics</v>
      </c>
      <c r="D354" s="12" t="str">
        <f>IF(IF(SelectedScope="All India",TRUE,'RAW_AR_CONTENT'!$B353=SelectedScope),'RAW_AR_CONTENT'!D353,"")</f>
        <v>Class 7</v>
      </c>
      <c r="E354" s="12" t="str">
        <f>IF(IF(SelectedScope="All India",TRUE,'RAW_AR_CONTENT'!$B353=SelectedScope),'RAW_AR_CONTENT'!E353,"")</f>
        <v>Fractions 3D Model</v>
      </c>
      <c r="F354" s="12" t="str">
        <f>IF(IF(SelectedScope="All India",TRUE,'RAW_AR_CONTENT'!$B353=SelectedScope),'RAW_AR_CONTENT'!F353,"")</f>
        <v>Interactive</v>
      </c>
      <c r="G354" s="12" t="str">
        <f>IF(IF(SelectedScope="All India",TRUE,'RAW_AR_CONTENT'!$B353=SelectedScope),'RAW_AR_CONTENT'!G353,"")</f>
        <v>Active</v>
      </c>
      <c r="H354" s="12">
        <f>IF(IF(SelectedScope="All India",TRUE,'RAW_AR_CONTENT'!$B353=SelectedScope),'RAW_AR_CONTENT'!H353,"")</f>
        <v>0</v>
      </c>
      <c r="I354" s="12">
        <f>IF(IF(SelectedScope="All India",TRUE,'RAW_AR_CONTENT'!$B353=SelectedScope),'RAW_AR_CONTENT'!I353,"")</f>
        <v>0</v>
      </c>
      <c r="J354" s="12">
        <f>IF(IF(SelectedScope="All India",TRUE,'RAW_AR_CONTENT'!$B353=SelectedScope),'RAW_AR_CONTENT'!J353,"")</f>
        <v>0</v>
      </c>
      <c r="K354" s="12">
        <f>IF(IF(SelectedScope="All India",TRUE,'RAW_AR_CONTENT'!$B353=SelectedScope),'RAW_AR_CONTENT'!K353,"")</f>
        <v>0</v>
      </c>
      <c r="L354" s="12">
        <f>IF(IF(SelectedScope="All India",TRUE,'RAW_AR_CONTENT'!$B353=SelectedScope),'RAW_AR_CONTENT'!L353,"")</f>
        <v>0</v>
      </c>
      <c r="M354" s="12">
        <f>IF(IF(SelectedScope="All India",TRUE,'RAW_AR_CONTENT'!$B353=SelectedScope),'RAW_AR_CONTENT'!M353,"")</f>
        <v>0</v>
      </c>
      <c r="N354" s="12">
        <f>IF(IF(SelectedScope="All India",TRUE,'RAW_AR_CONTENT'!$B353=SelectedScope),'RAW_AR_CONTENT'!N353,"")</f>
        <v>0</v>
      </c>
      <c r="O354" s="12">
        <f>IF(IF(SelectedScope="All India",TRUE,'RAW_AR_CONTENT'!$B353=SelectedScope),'RAW_AR_CONTENT'!O353,"")</f>
        <v>0</v>
      </c>
      <c r="P354" s="12">
        <f>IF(IF(SelectedScope="All India",TRUE,'RAW_AR_CONTENT'!$B353=SelectedScope),'RAW_AR_CONTENT'!P353,"")</f>
        <v>0</v>
      </c>
      <c r="Q354" s="12">
        <f>IF(IF(SelectedScope="All India",TRUE,'RAW_AR_CONTENT'!$B353=SelectedScope),'RAW_AR_CONTENT'!Q353,"")</f>
        <v>0</v>
      </c>
      <c r="R354" s="12">
        <f>IF(IF(SelectedScope="All India",TRUE,'RAW_AR_CONTENT'!$B353=SelectedScope),'RAW_AR_CONTENT'!R353,"")</f>
        <v>0</v>
      </c>
    </row>
    <row r="355" spans="1:18" ht="15" customHeight="1" x14ac:dyDescent="0.3">
      <c r="A355" s="9">
        <f>IF(IF(SelectedScope="All India",TRUE,'RAW_AR_CONTENT'!$B354=SelectedScope),'RAW_AR_CONTENT'!A354,"")</f>
        <v>351</v>
      </c>
      <c r="B355" s="9" t="str">
        <f>IF(IF(SelectedScope="All India",TRUE,'RAW_AR_CONTENT'!$B354=SelectedScope),'RAW_AR_CONTENT'!B354,"")</f>
        <v>Mizoram</v>
      </c>
      <c r="C355" s="9" t="str">
        <f>IF(IF(SelectedScope="All India",TRUE,'RAW_AR_CONTENT'!$B354=SelectedScope),'RAW_AR_CONTENT'!C354,"")</f>
        <v>Mathematics</v>
      </c>
      <c r="D355" s="9" t="str">
        <f>IF(IF(SelectedScope="All India",TRUE,'RAW_AR_CONTENT'!$B354=SelectedScope),'RAW_AR_CONTENT'!D354,"")</f>
        <v>Class 10</v>
      </c>
      <c r="E355" s="9" t="str">
        <f>IF(IF(SelectedScope="All India",TRUE,'RAW_AR_CONTENT'!$B354=SelectedScope),'RAW_AR_CONTENT'!E354,"")</f>
        <v>Trigonometry 3D</v>
      </c>
      <c r="F355" s="9" t="str">
        <f>IF(IF(SelectedScope="All India",TRUE,'RAW_AR_CONTENT'!$B354=SelectedScope),'RAW_AR_CONTENT'!F354,"")</f>
        <v>Animated</v>
      </c>
      <c r="G355" s="9" t="str">
        <f>IF(IF(SelectedScope="All India",TRUE,'RAW_AR_CONTENT'!$B354=SelectedScope),'RAW_AR_CONTENT'!G354,"")</f>
        <v>Active</v>
      </c>
      <c r="H355" s="9">
        <f>IF(IF(SelectedScope="All India",TRUE,'RAW_AR_CONTENT'!$B354=SelectedScope),'RAW_AR_CONTENT'!H354,"")</f>
        <v>0</v>
      </c>
      <c r="I355" s="9">
        <f>IF(IF(SelectedScope="All India",TRUE,'RAW_AR_CONTENT'!$B354=SelectedScope),'RAW_AR_CONTENT'!I354,"")</f>
        <v>0</v>
      </c>
      <c r="J355" s="9">
        <f>IF(IF(SelectedScope="All India",TRUE,'RAW_AR_CONTENT'!$B354=SelectedScope),'RAW_AR_CONTENT'!J354,"")</f>
        <v>0</v>
      </c>
      <c r="K355" s="9">
        <f>IF(IF(SelectedScope="All India",TRUE,'RAW_AR_CONTENT'!$B354=SelectedScope),'RAW_AR_CONTENT'!K354,"")</f>
        <v>0</v>
      </c>
      <c r="L355" s="9">
        <f>IF(IF(SelectedScope="All India",TRUE,'RAW_AR_CONTENT'!$B354=SelectedScope),'RAW_AR_CONTENT'!L354,"")</f>
        <v>0</v>
      </c>
      <c r="M355" s="9">
        <f>IF(IF(SelectedScope="All India",TRUE,'RAW_AR_CONTENT'!$B354=SelectedScope),'RAW_AR_CONTENT'!M354,"")</f>
        <v>0</v>
      </c>
      <c r="N355" s="9">
        <f>IF(IF(SelectedScope="All India",TRUE,'RAW_AR_CONTENT'!$B354=SelectedScope),'RAW_AR_CONTENT'!N354,"")</f>
        <v>0</v>
      </c>
      <c r="O355" s="9">
        <f>IF(IF(SelectedScope="All India",TRUE,'RAW_AR_CONTENT'!$B354=SelectedScope),'RAW_AR_CONTENT'!O354,"")</f>
        <v>0</v>
      </c>
      <c r="P355" s="9">
        <f>IF(IF(SelectedScope="All India",TRUE,'RAW_AR_CONTENT'!$B354=SelectedScope),'RAW_AR_CONTENT'!P354,"")</f>
        <v>0</v>
      </c>
      <c r="Q355" s="9">
        <f>IF(IF(SelectedScope="All India",TRUE,'RAW_AR_CONTENT'!$B354=SelectedScope),'RAW_AR_CONTENT'!Q354,"")</f>
        <v>0</v>
      </c>
      <c r="R355" s="9">
        <f>IF(IF(SelectedScope="All India",TRUE,'RAW_AR_CONTENT'!$B354=SelectedScope),'RAW_AR_CONTENT'!R354,"")</f>
        <v>0</v>
      </c>
    </row>
    <row r="356" spans="1:18" ht="15" customHeight="1" x14ac:dyDescent="0.3">
      <c r="A356" s="12">
        <f>IF(IF(SelectedScope="All India",TRUE,'RAW_AR_CONTENT'!$B355=SelectedScope),'RAW_AR_CONTENT'!A355,"")</f>
        <v>352</v>
      </c>
      <c r="B356" s="12" t="str">
        <f>IF(IF(SelectedScope="All India",TRUE,'RAW_AR_CONTENT'!$B355=SelectedScope),'RAW_AR_CONTENT'!B355,"")</f>
        <v>Mizoram</v>
      </c>
      <c r="C356" s="12" t="str">
        <f>IF(IF(SelectedScope="All India",TRUE,'RAW_AR_CONTENT'!$B355=SelectedScope),'RAW_AR_CONTENT'!C355,"")</f>
        <v>History</v>
      </c>
      <c r="D356" s="12" t="str">
        <f>IF(IF(SelectedScope="All India",TRUE,'RAW_AR_CONTENT'!$B355=SelectedScope),'RAW_AR_CONTENT'!D355,"")</f>
        <v>Class 10</v>
      </c>
      <c r="E356" s="12" t="str">
        <f>IF(IF(SelectedScope="All India",TRUE,'RAW_AR_CONTENT'!$B355=SelectedScope),'RAW_AR_CONTENT'!E355,"")</f>
        <v>Mughal Empire AR</v>
      </c>
      <c r="F356" s="12" t="str">
        <f>IF(IF(SelectedScope="All India",TRUE,'RAW_AR_CONTENT'!$B355=SelectedScope),'RAW_AR_CONTENT'!F355,"")</f>
        <v>Basic 3D</v>
      </c>
      <c r="G356" s="12" t="str">
        <f>IF(IF(SelectedScope="All India",TRUE,'RAW_AR_CONTENT'!$B355=SelectedScope),'RAW_AR_CONTENT'!G355,"")</f>
        <v>Active</v>
      </c>
      <c r="H356" s="12">
        <f>IF(IF(SelectedScope="All India",TRUE,'RAW_AR_CONTENT'!$B355=SelectedScope),'RAW_AR_CONTENT'!H355,"")</f>
        <v>0</v>
      </c>
      <c r="I356" s="12">
        <f>IF(IF(SelectedScope="All India",TRUE,'RAW_AR_CONTENT'!$B355=SelectedScope),'RAW_AR_CONTENT'!I355,"")</f>
        <v>0</v>
      </c>
      <c r="J356" s="12">
        <f>IF(IF(SelectedScope="All India",TRUE,'RAW_AR_CONTENT'!$B355=SelectedScope),'RAW_AR_CONTENT'!J355,"")</f>
        <v>0</v>
      </c>
      <c r="K356" s="12">
        <f>IF(IF(SelectedScope="All India",TRUE,'RAW_AR_CONTENT'!$B355=SelectedScope),'RAW_AR_CONTENT'!K355,"")</f>
        <v>0</v>
      </c>
      <c r="L356" s="12">
        <f>IF(IF(SelectedScope="All India",TRUE,'RAW_AR_CONTENT'!$B355=SelectedScope),'RAW_AR_CONTENT'!L355,"")</f>
        <v>0</v>
      </c>
      <c r="M356" s="12">
        <f>IF(IF(SelectedScope="All India",TRUE,'RAW_AR_CONTENT'!$B355=SelectedScope),'RAW_AR_CONTENT'!M355,"")</f>
        <v>0</v>
      </c>
      <c r="N356" s="12">
        <f>IF(IF(SelectedScope="All India",TRUE,'RAW_AR_CONTENT'!$B355=SelectedScope),'RAW_AR_CONTENT'!N355,"")</f>
        <v>0</v>
      </c>
      <c r="O356" s="12">
        <f>IF(IF(SelectedScope="All India",TRUE,'RAW_AR_CONTENT'!$B355=SelectedScope),'RAW_AR_CONTENT'!O355,"")</f>
        <v>0</v>
      </c>
      <c r="P356" s="12">
        <f>IF(IF(SelectedScope="All India",TRUE,'RAW_AR_CONTENT'!$B355=SelectedScope),'RAW_AR_CONTENT'!P355,"")</f>
        <v>0</v>
      </c>
      <c r="Q356" s="12">
        <f>IF(IF(SelectedScope="All India",TRUE,'RAW_AR_CONTENT'!$B355=SelectedScope),'RAW_AR_CONTENT'!Q355,"")</f>
        <v>0</v>
      </c>
      <c r="R356" s="12">
        <f>IF(IF(SelectedScope="All India",TRUE,'RAW_AR_CONTENT'!$B355=SelectedScope),'RAW_AR_CONTENT'!R355,"")</f>
        <v>0</v>
      </c>
    </row>
    <row r="357" spans="1:18" ht="15" customHeight="1" x14ac:dyDescent="0.3">
      <c r="A357" s="9">
        <f>IF(IF(SelectedScope="All India",TRUE,'RAW_AR_CONTENT'!$B356=SelectedScope),'RAW_AR_CONTENT'!A356,"")</f>
        <v>353</v>
      </c>
      <c r="B357" s="9" t="str">
        <f>IF(IF(SelectedScope="All India",TRUE,'RAW_AR_CONTENT'!$B356=SelectedScope),'RAW_AR_CONTENT'!B356,"")</f>
        <v>Mizoram</v>
      </c>
      <c r="C357" s="9" t="str">
        <f>IF(IF(SelectedScope="All India",TRUE,'RAW_AR_CONTENT'!$B356=SelectedScope),'RAW_AR_CONTENT'!C356,"")</f>
        <v>Geography</v>
      </c>
      <c r="D357" s="9" t="str">
        <f>IF(IF(SelectedScope="All India",TRUE,'RAW_AR_CONTENT'!$B356=SelectedScope),'RAW_AR_CONTENT'!D356,"")</f>
        <v>Class 6</v>
      </c>
      <c r="E357" s="9" t="str">
        <f>IF(IF(SelectedScope="All India",TRUE,'RAW_AR_CONTENT'!$B356=SelectedScope),'RAW_AR_CONTENT'!E356,"")</f>
        <v>Water Cycle Simulation</v>
      </c>
      <c r="F357" s="9" t="str">
        <f>IF(IF(SelectedScope="All India",TRUE,'RAW_AR_CONTENT'!$B356=SelectedScope),'RAW_AR_CONTENT'!F356,"")</f>
        <v>Animated</v>
      </c>
      <c r="G357" s="9" t="str">
        <f>IF(IF(SelectedScope="All India",TRUE,'RAW_AR_CONTENT'!$B356=SelectedScope),'RAW_AR_CONTENT'!G356,"")</f>
        <v>Active</v>
      </c>
      <c r="H357" s="9">
        <f>IF(IF(SelectedScope="All India",TRUE,'RAW_AR_CONTENT'!$B356=SelectedScope),'RAW_AR_CONTENT'!H356,"")</f>
        <v>0</v>
      </c>
      <c r="I357" s="9">
        <f>IF(IF(SelectedScope="All India",TRUE,'RAW_AR_CONTENT'!$B356=SelectedScope),'RAW_AR_CONTENT'!I356,"")</f>
        <v>0</v>
      </c>
      <c r="J357" s="9">
        <f>IF(IF(SelectedScope="All India",TRUE,'RAW_AR_CONTENT'!$B356=SelectedScope),'RAW_AR_CONTENT'!J356,"")</f>
        <v>0</v>
      </c>
      <c r="K357" s="9">
        <f>IF(IF(SelectedScope="All India",TRUE,'RAW_AR_CONTENT'!$B356=SelectedScope),'RAW_AR_CONTENT'!K356,"")</f>
        <v>0</v>
      </c>
      <c r="L357" s="9">
        <f>IF(IF(SelectedScope="All India",TRUE,'RAW_AR_CONTENT'!$B356=SelectedScope),'RAW_AR_CONTENT'!L356,"")</f>
        <v>0</v>
      </c>
      <c r="M357" s="9">
        <f>IF(IF(SelectedScope="All India",TRUE,'RAW_AR_CONTENT'!$B356=SelectedScope),'RAW_AR_CONTENT'!M356,"")</f>
        <v>0</v>
      </c>
      <c r="N357" s="9">
        <f>IF(IF(SelectedScope="All India",TRUE,'RAW_AR_CONTENT'!$B356=SelectedScope),'RAW_AR_CONTENT'!N356,"")</f>
        <v>0</v>
      </c>
      <c r="O357" s="9">
        <f>IF(IF(SelectedScope="All India",TRUE,'RAW_AR_CONTENT'!$B356=SelectedScope),'RAW_AR_CONTENT'!O356,"")</f>
        <v>0</v>
      </c>
      <c r="P357" s="9">
        <f>IF(IF(SelectedScope="All India",TRUE,'RAW_AR_CONTENT'!$B356=SelectedScope),'RAW_AR_CONTENT'!P356,"")</f>
        <v>0</v>
      </c>
      <c r="Q357" s="9">
        <f>IF(IF(SelectedScope="All India",TRUE,'RAW_AR_CONTENT'!$B356=SelectedScope),'RAW_AR_CONTENT'!Q356,"")</f>
        <v>0</v>
      </c>
      <c r="R357" s="9">
        <f>IF(IF(SelectedScope="All India",TRUE,'RAW_AR_CONTENT'!$B356=SelectedScope),'RAW_AR_CONTENT'!R356,"")</f>
        <v>0</v>
      </c>
    </row>
    <row r="358" spans="1:18" ht="15" customHeight="1" x14ac:dyDescent="0.3">
      <c r="A358" s="12">
        <f>IF(IF(SelectedScope="All India",TRUE,'RAW_AR_CONTENT'!$B357=SelectedScope),'RAW_AR_CONTENT'!A357,"")</f>
        <v>354</v>
      </c>
      <c r="B358" s="12" t="str">
        <f>IF(IF(SelectedScope="All India",TRUE,'RAW_AR_CONTENT'!$B357=SelectedScope),'RAW_AR_CONTENT'!B357,"")</f>
        <v>Mizoram</v>
      </c>
      <c r="C358" s="12" t="str">
        <f>IF(IF(SelectedScope="All India",TRUE,'RAW_AR_CONTENT'!$B357=SelectedScope),'RAW_AR_CONTENT'!C357,"")</f>
        <v>Biology</v>
      </c>
      <c r="D358" s="12" t="str">
        <f>IF(IF(SelectedScope="All India",TRUE,'RAW_AR_CONTENT'!$B357=SelectedScope),'RAW_AR_CONTENT'!D357,"")</f>
        <v>Class 11</v>
      </c>
      <c r="E358" s="12" t="str">
        <f>IF(IF(SelectedScope="All India",TRUE,'RAW_AR_CONTENT'!$B357=SelectedScope),'RAW_AR_CONTENT'!E357,"")</f>
        <v>Human Anatomy AR</v>
      </c>
      <c r="F358" s="12" t="str">
        <f>IF(IF(SelectedScope="All India",TRUE,'RAW_AR_CONTENT'!$B357=SelectedScope),'RAW_AR_CONTENT'!F357,"")</f>
        <v>Fully Immersive</v>
      </c>
      <c r="G358" s="12" t="str">
        <f>IF(IF(SelectedScope="All India",TRUE,'RAW_AR_CONTENT'!$B357=SelectedScope),'RAW_AR_CONTENT'!G357,"")</f>
        <v>Active</v>
      </c>
      <c r="H358" s="12">
        <f>IF(IF(SelectedScope="All India",TRUE,'RAW_AR_CONTENT'!$B357=SelectedScope),'RAW_AR_CONTENT'!H357,"")</f>
        <v>0</v>
      </c>
      <c r="I358" s="12">
        <f>IF(IF(SelectedScope="All India",TRUE,'RAW_AR_CONTENT'!$B357=SelectedScope),'RAW_AR_CONTENT'!I357,"")</f>
        <v>0</v>
      </c>
      <c r="J358" s="12">
        <f>IF(IF(SelectedScope="All India",TRUE,'RAW_AR_CONTENT'!$B357=SelectedScope),'RAW_AR_CONTENT'!J357,"")</f>
        <v>0</v>
      </c>
      <c r="K358" s="12">
        <f>IF(IF(SelectedScope="All India",TRUE,'RAW_AR_CONTENT'!$B357=SelectedScope),'RAW_AR_CONTENT'!K357,"")</f>
        <v>0</v>
      </c>
      <c r="L358" s="12">
        <f>IF(IF(SelectedScope="All India",TRUE,'RAW_AR_CONTENT'!$B357=SelectedScope),'RAW_AR_CONTENT'!L357,"")</f>
        <v>0</v>
      </c>
      <c r="M358" s="12">
        <f>IF(IF(SelectedScope="All India",TRUE,'RAW_AR_CONTENT'!$B357=SelectedScope),'RAW_AR_CONTENT'!M357,"")</f>
        <v>0</v>
      </c>
      <c r="N358" s="12">
        <f>IF(IF(SelectedScope="All India",TRUE,'RAW_AR_CONTENT'!$B357=SelectedScope),'RAW_AR_CONTENT'!N357,"")</f>
        <v>0</v>
      </c>
      <c r="O358" s="12">
        <f>IF(IF(SelectedScope="All India",TRUE,'RAW_AR_CONTENT'!$B357=SelectedScope),'RAW_AR_CONTENT'!O357,"")</f>
        <v>0</v>
      </c>
      <c r="P358" s="12">
        <f>IF(IF(SelectedScope="All India",TRUE,'RAW_AR_CONTENT'!$B357=SelectedScope),'RAW_AR_CONTENT'!P357,"")</f>
        <v>0</v>
      </c>
      <c r="Q358" s="12">
        <f>IF(IF(SelectedScope="All India",TRUE,'RAW_AR_CONTENT'!$B357=SelectedScope),'RAW_AR_CONTENT'!Q357,"")</f>
        <v>0</v>
      </c>
      <c r="R358" s="12">
        <f>IF(IF(SelectedScope="All India",TRUE,'RAW_AR_CONTENT'!$B357=SelectedScope),'RAW_AR_CONTENT'!R357,"")</f>
        <v>0</v>
      </c>
    </row>
    <row r="359" spans="1:18" ht="15" customHeight="1" x14ac:dyDescent="0.3">
      <c r="A359" s="9">
        <f>IF(IF(SelectedScope="All India",TRUE,'RAW_AR_CONTENT'!$B358=SelectedScope),'RAW_AR_CONTENT'!A358,"")</f>
        <v>355</v>
      </c>
      <c r="B359" s="9" t="str">
        <f>IF(IF(SelectedScope="All India",TRUE,'RAW_AR_CONTENT'!$B358=SelectedScope),'RAW_AR_CONTENT'!B358,"")</f>
        <v>Mizoram</v>
      </c>
      <c r="C359" s="9" t="str">
        <f>IF(IF(SelectedScope="All India",TRUE,'RAW_AR_CONTENT'!$B358=SelectedScope),'RAW_AR_CONTENT'!C358,"")</f>
        <v>Physics</v>
      </c>
      <c r="D359" s="9" t="str">
        <f>IF(IF(SelectedScope="All India",TRUE,'RAW_AR_CONTENT'!$B358=SelectedScope),'RAW_AR_CONTENT'!D358,"")</f>
        <v>Class 9</v>
      </c>
      <c r="E359" s="9" t="str">
        <f>IF(IF(SelectedScope="All India",TRUE,'RAW_AR_CONTENT'!$B358=SelectedScope),'RAW_AR_CONTENT'!E358,"")</f>
        <v>Laws of Motion</v>
      </c>
      <c r="F359" s="9" t="str">
        <f>IF(IF(SelectedScope="All India",TRUE,'RAW_AR_CONTENT'!$B358=SelectedScope),'RAW_AR_CONTENT'!F358,"")</f>
        <v>Interactive</v>
      </c>
      <c r="G359" s="9" t="str">
        <f>IF(IF(SelectedScope="All India",TRUE,'RAW_AR_CONTENT'!$B358=SelectedScope),'RAW_AR_CONTENT'!G358,"")</f>
        <v>Active</v>
      </c>
      <c r="H359" s="9">
        <f>IF(IF(SelectedScope="All India",TRUE,'RAW_AR_CONTENT'!$B358=SelectedScope),'RAW_AR_CONTENT'!H358,"")</f>
        <v>0</v>
      </c>
      <c r="I359" s="9">
        <f>IF(IF(SelectedScope="All India",TRUE,'RAW_AR_CONTENT'!$B358=SelectedScope),'RAW_AR_CONTENT'!I358,"")</f>
        <v>0</v>
      </c>
      <c r="J359" s="9">
        <f>IF(IF(SelectedScope="All India",TRUE,'RAW_AR_CONTENT'!$B358=SelectedScope),'RAW_AR_CONTENT'!J358,"")</f>
        <v>0</v>
      </c>
      <c r="K359" s="9">
        <f>IF(IF(SelectedScope="All India",TRUE,'RAW_AR_CONTENT'!$B358=SelectedScope),'RAW_AR_CONTENT'!K358,"")</f>
        <v>0</v>
      </c>
      <c r="L359" s="9">
        <f>IF(IF(SelectedScope="All India",TRUE,'RAW_AR_CONTENT'!$B358=SelectedScope),'RAW_AR_CONTENT'!L358,"")</f>
        <v>0</v>
      </c>
      <c r="M359" s="9">
        <f>IF(IF(SelectedScope="All India",TRUE,'RAW_AR_CONTENT'!$B358=SelectedScope),'RAW_AR_CONTENT'!M358,"")</f>
        <v>0</v>
      </c>
      <c r="N359" s="9">
        <f>IF(IF(SelectedScope="All India",TRUE,'RAW_AR_CONTENT'!$B358=SelectedScope),'RAW_AR_CONTENT'!N358,"")</f>
        <v>0</v>
      </c>
      <c r="O359" s="9">
        <f>IF(IF(SelectedScope="All India",TRUE,'RAW_AR_CONTENT'!$B358=SelectedScope),'RAW_AR_CONTENT'!O358,"")</f>
        <v>0</v>
      </c>
      <c r="P359" s="9">
        <f>IF(IF(SelectedScope="All India",TRUE,'RAW_AR_CONTENT'!$B358=SelectedScope),'RAW_AR_CONTENT'!P358,"")</f>
        <v>0</v>
      </c>
      <c r="Q359" s="9">
        <f>IF(IF(SelectedScope="All India",TRUE,'RAW_AR_CONTENT'!$B358=SelectedScope),'RAW_AR_CONTENT'!Q358,"")</f>
        <v>0</v>
      </c>
      <c r="R359" s="9">
        <f>IF(IF(SelectedScope="All India",TRUE,'RAW_AR_CONTENT'!$B358=SelectedScope),'RAW_AR_CONTENT'!R358,"")</f>
        <v>0</v>
      </c>
    </row>
    <row r="360" spans="1:18" ht="15" customHeight="1" x14ac:dyDescent="0.3">
      <c r="A360" s="12">
        <f>IF(IF(SelectedScope="All India",TRUE,'RAW_AR_CONTENT'!$B359=SelectedScope),'RAW_AR_CONTENT'!A359,"")</f>
        <v>356</v>
      </c>
      <c r="B360" s="12" t="str">
        <f>IF(IF(SelectedScope="All India",TRUE,'RAW_AR_CONTENT'!$B359=SelectedScope),'RAW_AR_CONTENT'!B359,"")</f>
        <v>Mizoram</v>
      </c>
      <c r="C360" s="12" t="str">
        <f>IF(IF(SelectedScope="All India",TRUE,'RAW_AR_CONTENT'!$B359=SelectedScope),'RAW_AR_CONTENT'!C359,"")</f>
        <v>Chemistry</v>
      </c>
      <c r="D360" s="12" t="str">
        <f>IF(IF(SelectedScope="All India",TRUE,'RAW_AR_CONTENT'!$B359=SelectedScope),'RAW_AR_CONTENT'!D359,"")</f>
        <v>Class 11</v>
      </c>
      <c r="E360" s="12" t="str">
        <f>IF(IF(SelectedScope="All India",TRUE,'RAW_AR_CONTENT'!$B359=SelectedScope),'RAW_AR_CONTENT'!E359,"")</f>
        <v>Periodic Table 3D</v>
      </c>
      <c r="F360" s="12" t="str">
        <f>IF(IF(SelectedScope="All India",TRUE,'RAW_AR_CONTENT'!$B359=SelectedScope),'RAW_AR_CONTENT'!F359,"")</f>
        <v>Interactive</v>
      </c>
      <c r="G360" s="12" t="str">
        <f>IF(IF(SelectedScope="All India",TRUE,'RAW_AR_CONTENT'!$B359=SelectedScope),'RAW_AR_CONTENT'!G359,"")</f>
        <v>Active</v>
      </c>
      <c r="H360" s="12">
        <f>IF(IF(SelectedScope="All India",TRUE,'RAW_AR_CONTENT'!$B359=SelectedScope),'RAW_AR_CONTENT'!H359,"")</f>
        <v>0</v>
      </c>
      <c r="I360" s="12">
        <f>IF(IF(SelectedScope="All India",TRUE,'RAW_AR_CONTENT'!$B359=SelectedScope),'RAW_AR_CONTENT'!I359,"")</f>
        <v>0</v>
      </c>
      <c r="J360" s="12">
        <f>IF(IF(SelectedScope="All India",TRUE,'RAW_AR_CONTENT'!$B359=SelectedScope),'RAW_AR_CONTENT'!J359,"")</f>
        <v>0</v>
      </c>
      <c r="K360" s="12">
        <f>IF(IF(SelectedScope="All India",TRUE,'RAW_AR_CONTENT'!$B359=SelectedScope),'RAW_AR_CONTENT'!K359,"")</f>
        <v>0</v>
      </c>
      <c r="L360" s="12">
        <f>IF(IF(SelectedScope="All India",TRUE,'RAW_AR_CONTENT'!$B359=SelectedScope),'RAW_AR_CONTENT'!L359,"")</f>
        <v>0</v>
      </c>
      <c r="M360" s="12">
        <f>IF(IF(SelectedScope="All India",TRUE,'RAW_AR_CONTENT'!$B359=SelectedScope),'RAW_AR_CONTENT'!M359,"")</f>
        <v>0</v>
      </c>
      <c r="N360" s="12">
        <f>IF(IF(SelectedScope="All India",TRUE,'RAW_AR_CONTENT'!$B359=SelectedScope),'RAW_AR_CONTENT'!N359,"")</f>
        <v>0</v>
      </c>
      <c r="O360" s="12">
        <f>IF(IF(SelectedScope="All India",TRUE,'RAW_AR_CONTENT'!$B359=SelectedScope),'RAW_AR_CONTENT'!O359,"")</f>
        <v>0</v>
      </c>
      <c r="P360" s="12">
        <f>IF(IF(SelectedScope="All India",TRUE,'RAW_AR_CONTENT'!$B359=SelectedScope),'RAW_AR_CONTENT'!P359,"")</f>
        <v>0</v>
      </c>
      <c r="Q360" s="12">
        <f>IF(IF(SelectedScope="All India",TRUE,'RAW_AR_CONTENT'!$B359=SelectedScope),'RAW_AR_CONTENT'!Q359,"")</f>
        <v>0</v>
      </c>
      <c r="R360" s="12">
        <f>IF(IF(SelectedScope="All India",TRUE,'RAW_AR_CONTENT'!$B359=SelectedScope),'RAW_AR_CONTENT'!R359,"")</f>
        <v>0</v>
      </c>
    </row>
    <row r="361" spans="1:18" ht="15" customHeight="1" x14ac:dyDescent="0.3">
      <c r="A361" s="9">
        <f>IF(IF(SelectedScope="All India",TRUE,'RAW_AR_CONTENT'!$B360=SelectedScope),'RAW_AR_CONTENT'!A360,"")</f>
        <v>357</v>
      </c>
      <c r="B361" s="9" t="str">
        <f>IF(IF(SelectedScope="All India",TRUE,'RAW_AR_CONTENT'!$B360=SelectedScope),'RAW_AR_CONTENT'!B360,"")</f>
        <v>Mizoram</v>
      </c>
      <c r="C361" s="9" t="str">
        <f>IF(IF(SelectedScope="All India",TRUE,'RAW_AR_CONTENT'!$B360=SelectedScope),'RAW_AR_CONTENT'!C360,"")</f>
        <v>Physics</v>
      </c>
      <c r="D361" s="9" t="str">
        <f>IF(IF(SelectedScope="All India",TRUE,'RAW_AR_CONTENT'!$B360=SelectedScope),'RAW_AR_CONTENT'!D360,"")</f>
        <v>Class 10</v>
      </c>
      <c r="E361" s="9" t="str">
        <f>IF(IF(SelectedScope="All India",TRUE,'RAW_AR_CONTENT'!$B360=SelectedScope),'RAW_AR_CONTENT'!E360,"")</f>
        <v>Electricity Circuits</v>
      </c>
      <c r="F361" s="9" t="str">
        <f>IF(IF(SelectedScope="All India",TRUE,'RAW_AR_CONTENT'!$B360=SelectedScope),'RAW_AR_CONTENT'!F360,"")</f>
        <v>Interactive</v>
      </c>
      <c r="G361" s="9" t="str">
        <f>IF(IF(SelectedScope="All India",TRUE,'RAW_AR_CONTENT'!$B360=SelectedScope),'RAW_AR_CONTENT'!G360,"")</f>
        <v>Active</v>
      </c>
      <c r="H361" s="9">
        <f>IF(IF(SelectedScope="All India",TRUE,'RAW_AR_CONTENT'!$B360=SelectedScope),'RAW_AR_CONTENT'!H360,"")</f>
        <v>0</v>
      </c>
      <c r="I361" s="9">
        <f>IF(IF(SelectedScope="All India",TRUE,'RAW_AR_CONTENT'!$B360=SelectedScope),'RAW_AR_CONTENT'!I360,"")</f>
        <v>0</v>
      </c>
      <c r="J361" s="9">
        <f>IF(IF(SelectedScope="All India",TRUE,'RAW_AR_CONTENT'!$B360=SelectedScope),'RAW_AR_CONTENT'!J360,"")</f>
        <v>0</v>
      </c>
      <c r="K361" s="9">
        <f>IF(IF(SelectedScope="All India",TRUE,'RAW_AR_CONTENT'!$B360=SelectedScope),'RAW_AR_CONTENT'!K360,"")</f>
        <v>0</v>
      </c>
      <c r="L361" s="9">
        <f>IF(IF(SelectedScope="All India",TRUE,'RAW_AR_CONTENT'!$B360=SelectedScope),'RAW_AR_CONTENT'!L360,"")</f>
        <v>0</v>
      </c>
      <c r="M361" s="9">
        <f>IF(IF(SelectedScope="All India",TRUE,'RAW_AR_CONTENT'!$B360=SelectedScope),'RAW_AR_CONTENT'!M360,"")</f>
        <v>0</v>
      </c>
      <c r="N361" s="9">
        <f>IF(IF(SelectedScope="All India",TRUE,'RAW_AR_CONTENT'!$B360=SelectedScope),'RAW_AR_CONTENT'!N360,"")</f>
        <v>0</v>
      </c>
      <c r="O361" s="9">
        <f>IF(IF(SelectedScope="All India",TRUE,'RAW_AR_CONTENT'!$B360=SelectedScope),'RAW_AR_CONTENT'!O360,"")</f>
        <v>0</v>
      </c>
      <c r="P361" s="9">
        <f>IF(IF(SelectedScope="All India",TRUE,'RAW_AR_CONTENT'!$B360=SelectedScope),'RAW_AR_CONTENT'!P360,"")</f>
        <v>0</v>
      </c>
      <c r="Q361" s="9">
        <f>IF(IF(SelectedScope="All India",TRUE,'RAW_AR_CONTENT'!$B360=SelectedScope),'RAW_AR_CONTENT'!Q360,"")</f>
        <v>0</v>
      </c>
      <c r="R361" s="9">
        <f>IF(IF(SelectedScope="All India",TRUE,'RAW_AR_CONTENT'!$B360=SelectedScope),'RAW_AR_CONTENT'!R360,"")</f>
        <v>0</v>
      </c>
    </row>
    <row r="362" spans="1:18" ht="15" customHeight="1" x14ac:dyDescent="0.3">
      <c r="A362" s="12">
        <f>IF(IF(SelectedScope="All India",TRUE,'RAW_AR_CONTENT'!$B361=SelectedScope),'RAW_AR_CONTENT'!A361,"")</f>
        <v>358</v>
      </c>
      <c r="B362" s="12" t="str">
        <f>IF(IF(SelectedScope="All India",TRUE,'RAW_AR_CONTENT'!$B361=SelectedScope),'RAW_AR_CONTENT'!B361,"")</f>
        <v>Mizoram</v>
      </c>
      <c r="C362" s="12" t="str">
        <f>IF(IF(SelectedScope="All India",TRUE,'RAW_AR_CONTENT'!$B361=SelectedScope),'RAW_AR_CONTENT'!C361,"")</f>
        <v>Civics</v>
      </c>
      <c r="D362" s="12" t="str">
        <f>IF(IF(SelectedScope="All India",TRUE,'RAW_AR_CONTENT'!$B361=SelectedScope),'RAW_AR_CONTENT'!D361,"")</f>
        <v>Class 9</v>
      </c>
      <c r="E362" s="12" t="str">
        <f>IF(IF(SelectedScope="All India",TRUE,'RAW_AR_CONTENT'!$B361=SelectedScope),'RAW_AR_CONTENT'!E361,"")</f>
        <v>Indian Constitution</v>
      </c>
      <c r="F362" s="12" t="str">
        <f>IF(IF(SelectedScope="All India",TRUE,'RAW_AR_CONTENT'!$B361=SelectedScope),'RAW_AR_CONTENT'!F361,"")</f>
        <v>Basic 3D</v>
      </c>
      <c r="G362" s="12" t="str">
        <f>IF(IF(SelectedScope="All India",TRUE,'RAW_AR_CONTENT'!$B361=SelectedScope),'RAW_AR_CONTENT'!G361,"")</f>
        <v>Active</v>
      </c>
      <c r="H362" s="12">
        <f>IF(IF(SelectedScope="All India",TRUE,'RAW_AR_CONTENT'!$B361=SelectedScope),'RAW_AR_CONTENT'!H361,"")</f>
        <v>0</v>
      </c>
      <c r="I362" s="12">
        <f>IF(IF(SelectedScope="All India",TRUE,'RAW_AR_CONTENT'!$B361=SelectedScope),'RAW_AR_CONTENT'!I361,"")</f>
        <v>0</v>
      </c>
      <c r="J362" s="12">
        <f>IF(IF(SelectedScope="All India",TRUE,'RAW_AR_CONTENT'!$B361=SelectedScope),'RAW_AR_CONTENT'!J361,"")</f>
        <v>0</v>
      </c>
      <c r="K362" s="12">
        <f>IF(IF(SelectedScope="All India",TRUE,'RAW_AR_CONTENT'!$B361=SelectedScope),'RAW_AR_CONTENT'!K361,"")</f>
        <v>0</v>
      </c>
      <c r="L362" s="12">
        <f>IF(IF(SelectedScope="All India",TRUE,'RAW_AR_CONTENT'!$B361=SelectedScope),'RAW_AR_CONTENT'!L361,"")</f>
        <v>0</v>
      </c>
      <c r="M362" s="12">
        <f>IF(IF(SelectedScope="All India",TRUE,'RAW_AR_CONTENT'!$B361=SelectedScope),'RAW_AR_CONTENT'!M361,"")</f>
        <v>0</v>
      </c>
      <c r="N362" s="12">
        <f>IF(IF(SelectedScope="All India",TRUE,'RAW_AR_CONTENT'!$B361=SelectedScope),'RAW_AR_CONTENT'!N361,"")</f>
        <v>0</v>
      </c>
      <c r="O362" s="12">
        <f>IF(IF(SelectedScope="All India",TRUE,'RAW_AR_CONTENT'!$B361=SelectedScope),'RAW_AR_CONTENT'!O361,"")</f>
        <v>0</v>
      </c>
      <c r="P362" s="12">
        <f>IF(IF(SelectedScope="All India",TRUE,'RAW_AR_CONTENT'!$B361=SelectedScope),'RAW_AR_CONTENT'!P361,"")</f>
        <v>0</v>
      </c>
      <c r="Q362" s="12">
        <f>IF(IF(SelectedScope="All India",TRUE,'RAW_AR_CONTENT'!$B361=SelectedScope),'RAW_AR_CONTENT'!Q361,"")</f>
        <v>0</v>
      </c>
      <c r="R362" s="12">
        <f>IF(IF(SelectedScope="All India",TRUE,'RAW_AR_CONTENT'!$B361=SelectedScope),'RAW_AR_CONTENT'!R361,"")</f>
        <v>0</v>
      </c>
    </row>
    <row r="363" spans="1:18" ht="15" customHeight="1" x14ac:dyDescent="0.3">
      <c r="A363" s="9">
        <f>IF(IF(SelectedScope="All India",TRUE,'RAW_AR_CONTENT'!$B362=SelectedScope),'RAW_AR_CONTENT'!A362,"")</f>
        <v>359</v>
      </c>
      <c r="B363" s="9" t="str">
        <f>IF(IF(SelectedScope="All India",TRUE,'RAW_AR_CONTENT'!$B362=SelectedScope),'RAW_AR_CONTENT'!B362,"")</f>
        <v>Mizoram</v>
      </c>
      <c r="C363" s="9" t="str">
        <f>IF(IF(SelectedScope="All India",TRUE,'RAW_AR_CONTENT'!$B362=SelectedScope),'RAW_AR_CONTENT'!C362,"")</f>
        <v>Environmental Science</v>
      </c>
      <c r="D363" s="9" t="str">
        <f>IF(IF(SelectedScope="All India",TRUE,'RAW_AR_CONTENT'!$B362=SelectedScope),'RAW_AR_CONTENT'!D362,"")</f>
        <v>Class 6</v>
      </c>
      <c r="E363" s="9" t="str">
        <f>IF(IF(SelectedScope="All India",TRUE,'RAW_AR_CONTENT'!$B362=SelectedScope),'RAW_AR_CONTENT'!E362,"")</f>
        <v>Food Chain</v>
      </c>
      <c r="F363" s="9" t="str">
        <f>IF(IF(SelectedScope="All India",TRUE,'RAW_AR_CONTENT'!$B362=SelectedScope),'RAW_AR_CONTENT'!F362,"")</f>
        <v>Animated</v>
      </c>
      <c r="G363" s="9" t="str">
        <f>IF(IF(SelectedScope="All India",TRUE,'RAW_AR_CONTENT'!$B362=SelectedScope),'RAW_AR_CONTENT'!G362,"")</f>
        <v>Active</v>
      </c>
      <c r="H363" s="9">
        <f>IF(IF(SelectedScope="All India",TRUE,'RAW_AR_CONTENT'!$B362=SelectedScope),'RAW_AR_CONTENT'!H362,"")</f>
        <v>0</v>
      </c>
      <c r="I363" s="9">
        <f>IF(IF(SelectedScope="All India",TRUE,'RAW_AR_CONTENT'!$B362=SelectedScope),'RAW_AR_CONTENT'!I362,"")</f>
        <v>0</v>
      </c>
      <c r="J363" s="9">
        <f>IF(IF(SelectedScope="All India",TRUE,'RAW_AR_CONTENT'!$B362=SelectedScope),'RAW_AR_CONTENT'!J362,"")</f>
        <v>0</v>
      </c>
      <c r="K363" s="9">
        <f>IF(IF(SelectedScope="All India",TRUE,'RAW_AR_CONTENT'!$B362=SelectedScope),'RAW_AR_CONTENT'!K362,"")</f>
        <v>0</v>
      </c>
      <c r="L363" s="9">
        <f>IF(IF(SelectedScope="All India",TRUE,'RAW_AR_CONTENT'!$B362=SelectedScope),'RAW_AR_CONTENT'!L362,"")</f>
        <v>0</v>
      </c>
      <c r="M363" s="9">
        <f>IF(IF(SelectedScope="All India",TRUE,'RAW_AR_CONTENT'!$B362=SelectedScope),'RAW_AR_CONTENT'!M362,"")</f>
        <v>0</v>
      </c>
      <c r="N363" s="9">
        <f>IF(IF(SelectedScope="All India",TRUE,'RAW_AR_CONTENT'!$B362=SelectedScope),'RAW_AR_CONTENT'!N362,"")</f>
        <v>0</v>
      </c>
      <c r="O363" s="9">
        <f>IF(IF(SelectedScope="All India",TRUE,'RAW_AR_CONTENT'!$B362=SelectedScope),'RAW_AR_CONTENT'!O362,"")</f>
        <v>0</v>
      </c>
      <c r="P363" s="9">
        <f>IF(IF(SelectedScope="All India",TRUE,'RAW_AR_CONTENT'!$B362=SelectedScope),'RAW_AR_CONTENT'!P362,"")</f>
        <v>0</v>
      </c>
      <c r="Q363" s="9">
        <f>IF(IF(SelectedScope="All India",TRUE,'RAW_AR_CONTENT'!$B362=SelectedScope),'RAW_AR_CONTENT'!Q362,"")</f>
        <v>0</v>
      </c>
      <c r="R363" s="9">
        <f>IF(IF(SelectedScope="All India",TRUE,'RAW_AR_CONTENT'!$B362=SelectedScope),'RAW_AR_CONTENT'!R362,"")</f>
        <v>0</v>
      </c>
    </row>
    <row r="364" spans="1:18" ht="15" customHeight="1" x14ac:dyDescent="0.3">
      <c r="A364" s="12">
        <f>IF(IF(SelectedScope="All India",TRUE,'RAW_AR_CONTENT'!$B363=SelectedScope),'RAW_AR_CONTENT'!A363,"")</f>
        <v>360</v>
      </c>
      <c r="B364" s="12" t="str">
        <f>IF(IF(SelectedScope="All India",TRUE,'RAW_AR_CONTENT'!$B363=SelectedScope),'RAW_AR_CONTENT'!B363,"")</f>
        <v>Mizoram</v>
      </c>
      <c r="C364" s="12" t="str">
        <f>IF(IF(SelectedScope="All India",TRUE,'RAW_AR_CONTENT'!$B363=SelectedScope),'RAW_AR_CONTENT'!C363,"")</f>
        <v>Mathematics</v>
      </c>
      <c r="D364" s="12" t="str">
        <f>IF(IF(SelectedScope="All India",TRUE,'RAW_AR_CONTENT'!$B363=SelectedScope),'RAW_AR_CONTENT'!D363,"")</f>
        <v>Class 10</v>
      </c>
      <c r="E364" s="12" t="str">
        <f>IF(IF(SelectedScope="All India",TRUE,'RAW_AR_CONTENT'!$B363=SelectedScope),'RAW_AR_CONTENT'!E363,"")</f>
        <v>Quadratic Equations</v>
      </c>
      <c r="F364" s="12" t="str">
        <f>IF(IF(SelectedScope="All India",TRUE,'RAW_AR_CONTENT'!$B363=SelectedScope),'RAW_AR_CONTENT'!F363,"")</f>
        <v>Animated</v>
      </c>
      <c r="G364" s="12" t="str">
        <f>IF(IF(SelectedScope="All India",TRUE,'RAW_AR_CONTENT'!$B363=SelectedScope),'RAW_AR_CONTENT'!G363,"")</f>
        <v>Active</v>
      </c>
      <c r="H364" s="12">
        <f>IF(IF(SelectedScope="All India",TRUE,'RAW_AR_CONTENT'!$B363=SelectedScope),'RAW_AR_CONTENT'!H363,"")</f>
        <v>0</v>
      </c>
      <c r="I364" s="12">
        <f>IF(IF(SelectedScope="All India",TRUE,'RAW_AR_CONTENT'!$B363=SelectedScope),'RAW_AR_CONTENT'!I363,"")</f>
        <v>0</v>
      </c>
      <c r="J364" s="12">
        <f>IF(IF(SelectedScope="All India",TRUE,'RAW_AR_CONTENT'!$B363=SelectedScope),'RAW_AR_CONTENT'!J363,"")</f>
        <v>0</v>
      </c>
      <c r="K364" s="12">
        <f>IF(IF(SelectedScope="All India",TRUE,'RAW_AR_CONTENT'!$B363=SelectedScope),'RAW_AR_CONTENT'!K363,"")</f>
        <v>0</v>
      </c>
      <c r="L364" s="12">
        <f>IF(IF(SelectedScope="All India",TRUE,'RAW_AR_CONTENT'!$B363=SelectedScope),'RAW_AR_CONTENT'!L363,"")</f>
        <v>0</v>
      </c>
      <c r="M364" s="12">
        <f>IF(IF(SelectedScope="All India",TRUE,'RAW_AR_CONTENT'!$B363=SelectedScope),'RAW_AR_CONTENT'!M363,"")</f>
        <v>0</v>
      </c>
      <c r="N364" s="12">
        <f>IF(IF(SelectedScope="All India",TRUE,'RAW_AR_CONTENT'!$B363=SelectedScope),'RAW_AR_CONTENT'!N363,"")</f>
        <v>0</v>
      </c>
      <c r="O364" s="12">
        <f>IF(IF(SelectedScope="All India",TRUE,'RAW_AR_CONTENT'!$B363=SelectedScope),'RAW_AR_CONTENT'!O363,"")</f>
        <v>0</v>
      </c>
      <c r="P364" s="12">
        <f>IF(IF(SelectedScope="All India",TRUE,'RAW_AR_CONTENT'!$B363=SelectedScope),'RAW_AR_CONTENT'!P363,"")</f>
        <v>0</v>
      </c>
      <c r="Q364" s="12">
        <f>IF(IF(SelectedScope="All India",TRUE,'RAW_AR_CONTENT'!$B363=SelectedScope),'RAW_AR_CONTENT'!Q363,"")</f>
        <v>0</v>
      </c>
      <c r="R364" s="12">
        <f>IF(IF(SelectedScope="All India",TRUE,'RAW_AR_CONTENT'!$B363=SelectedScope),'RAW_AR_CONTENT'!R363,"")</f>
        <v>0</v>
      </c>
    </row>
    <row r="365" spans="1:18" ht="15" customHeight="1" x14ac:dyDescent="0.3">
      <c r="A365" s="9">
        <f>IF(IF(SelectedScope="All India",TRUE,'RAW_AR_CONTENT'!$B364=SelectedScope),'RAW_AR_CONTENT'!A364,"")</f>
        <v>361</v>
      </c>
      <c r="B365" s="9" t="str">
        <f>IF(IF(SelectedScope="All India",TRUE,'RAW_AR_CONTENT'!$B364=SelectedScope),'RAW_AR_CONTENT'!B364,"")</f>
        <v>Nagaland</v>
      </c>
      <c r="C365" s="9" t="str">
        <f>IF(IF(SelectedScope="All India",TRUE,'RAW_AR_CONTENT'!$B364=SelectedScope),'RAW_AR_CONTENT'!C364,"")</f>
        <v>Science</v>
      </c>
      <c r="D365" s="9" t="str">
        <f>IF(IF(SelectedScope="All India",TRUE,'RAW_AR_CONTENT'!$B364=SelectedScope),'RAW_AR_CONTENT'!D364,"")</f>
        <v>Class 8</v>
      </c>
      <c r="E365" s="9" t="str">
        <f>IF(IF(SelectedScope="All India",TRUE,'RAW_AR_CONTENT'!$B364=SelectedScope),'RAW_AR_CONTENT'!E364,"")</f>
        <v>Solar System 3D</v>
      </c>
      <c r="F365" s="9" t="str">
        <f>IF(IF(SelectedScope="All India",TRUE,'RAW_AR_CONTENT'!$B364=SelectedScope),'RAW_AR_CONTENT'!F364,"")</f>
        <v>Animated</v>
      </c>
      <c r="G365" s="9" t="str">
        <f>IF(IF(SelectedScope="All India",TRUE,'RAW_AR_CONTENT'!$B364=SelectedScope),'RAW_AR_CONTENT'!G364,"")</f>
        <v>Active</v>
      </c>
      <c r="H365" s="9">
        <f>IF(IF(SelectedScope="All India",TRUE,'RAW_AR_CONTENT'!$B364=SelectedScope),'RAW_AR_CONTENT'!H364,"")</f>
        <v>0</v>
      </c>
      <c r="I365" s="9">
        <f>IF(IF(SelectedScope="All India",TRUE,'RAW_AR_CONTENT'!$B364=SelectedScope),'RAW_AR_CONTENT'!I364,"")</f>
        <v>0</v>
      </c>
      <c r="J365" s="9">
        <f>IF(IF(SelectedScope="All India",TRUE,'RAW_AR_CONTENT'!$B364=SelectedScope),'RAW_AR_CONTENT'!J364,"")</f>
        <v>0</v>
      </c>
      <c r="K365" s="9">
        <f>IF(IF(SelectedScope="All India",TRUE,'RAW_AR_CONTENT'!$B364=SelectedScope),'RAW_AR_CONTENT'!K364,"")</f>
        <v>0</v>
      </c>
      <c r="L365" s="9">
        <f>IF(IF(SelectedScope="All India",TRUE,'RAW_AR_CONTENT'!$B364=SelectedScope),'RAW_AR_CONTENT'!L364,"")</f>
        <v>0</v>
      </c>
      <c r="M365" s="9">
        <f>IF(IF(SelectedScope="All India",TRUE,'RAW_AR_CONTENT'!$B364=SelectedScope),'RAW_AR_CONTENT'!M364,"")</f>
        <v>0</v>
      </c>
      <c r="N365" s="9">
        <f>IF(IF(SelectedScope="All India",TRUE,'RAW_AR_CONTENT'!$B364=SelectedScope),'RAW_AR_CONTENT'!N364,"")</f>
        <v>0</v>
      </c>
      <c r="O365" s="9">
        <f>IF(IF(SelectedScope="All India",TRUE,'RAW_AR_CONTENT'!$B364=SelectedScope),'RAW_AR_CONTENT'!O364,"")</f>
        <v>0</v>
      </c>
      <c r="P365" s="9">
        <f>IF(IF(SelectedScope="All India",TRUE,'RAW_AR_CONTENT'!$B364=SelectedScope),'RAW_AR_CONTENT'!P364,"")</f>
        <v>0</v>
      </c>
      <c r="Q365" s="9">
        <f>IF(IF(SelectedScope="All India",TRUE,'RAW_AR_CONTENT'!$B364=SelectedScope),'RAW_AR_CONTENT'!Q364,"")</f>
        <v>0</v>
      </c>
      <c r="R365" s="9">
        <f>IF(IF(SelectedScope="All India",TRUE,'RAW_AR_CONTENT'!$B364=SelectedScope),'RAW_AR_CONTENT'!R364,"")</f>
        <v>0</v>
      </c>
    </row>
    <row r="366" spans="1:18" ht="15" customHeight="1" x14ac:dyDescent="0.3">
      <c r="A366" s="12">
        <f>IF(IF(SelectedScope="All India",TRUE,'RAW_AR_CONTENT'!$B365=SelectedScope),'RAW_AR_CONTENT'!A365,"")</f>
        <v>362</v>
      </c>
      <c r="B366" s="12" t="str">
        <f>IF(IF(SelectedScope="All India",TRUE,'RAW_AR_CONTENT'!$B365=SelectedScope),'RAW_AR_CONTENT'!B365,"")</f>
        <v>Nagaland</v>
      </c>
      <c r="C366" s="12" t="str">
        <f>IF(IF(SelectedScope="All India",TRUE,'RAW_AR_CONTENT'!$B365=SelectedScope),'RAW_AR_CONTENT'!C365,"")</f>
        <v>Biology</v>
      </c>
      <c r="D366" s="12" t="str">
        <f>IF(IF(SelectedScope="All India",TRUE,'RAW_AR_CONTENT'!$B365=SelectedScope),'RAW_AR_CONTENT'!D365,"")</f>
        <v>Class 9</v>
      </c>
      <c r="E366" s="12" t="str">
        <f>IF(IF(SelectedScope="All India",TRUE,'RAW_AR_CONTENT'!$B365=SelectedScope),'RAW_AR_CONTENT'!E365,"")</f>
        <v>Cell Division</v>
      </c>
      <c r="F366" s="12" t="str">
        <f>IF(IF(SelectedScope="All India",TRUE,'RAW_AR_CONTENT'!$B365=SelectedScope),'RAW_AR_CONTENT'!F365,"")</f>
        <v>Interactive</v>
      </c>
      <c r="G366" s="12" t="str">
        <f>IF(IF(SelectedScope="All India",TRUE,'RAW_AR_CONTENT'!$B365=SelectedScope),'RAW_AR_CONTENT'!G365,"")</f>
        <v>Active</v>
      </c>
      <c r="H366" s="12">
        <f>IF(IF(SelectedScope="All India",TRUE,'RAW_AR_CONTENT'!$B365=SelectedScope),'RAW_AR_CONTENT'!H365,"")</f>
        <v>0</v>
      </c>
      <c r="I366" s="12">
        <f>IF(IF(SelectedScope="All India",TRUE,'RAW_AR_CONTENT'!$B365=SelectedScope),'RAW_AR_CONTENT'!I365,"")</f>
        <v>0</v>
      </c>
      <c r="J366" s="12">
        <f>IF(IF(SelectedScope="All India",TRUE,'RAW_AR_CONTENT'!$B365=SelectedScope),'RAW_AR_CONTENT'!J365,"")</f>
        <v>0</v>
      </c>
      <c r="K366" s="12">
        <f>IF(IF(SelectedScope="All India",TRUE,'RAW_AR_CONTENT'!$B365=SelectedScope),'RAW_AR_CONTENT'!K365,"")</f>
        <v>0</v>
      </c>
      <c r="L366" s="12">
        <f>IF(IF(SelectedScope="All India",TRUE,'RAW_AR_CONTENT'!$B365=SelectedScope),'RAW_AR_CONTENT'!L365,"")</f>
        <v>0</v>
      </c>
      <c r="M366" s="12">
        <f>IF(IF(SelectedScope="All India",TRUE,'RAW_AR_CONTENT'!$B365=SelectedScope),'RAW_AR_CONTENT'!M365,"")</f>
        <v>0</v>
      </c>
      <c r="N366" s="12">
        <f>IF(IF(SelectedScope="All India",TRUE,'RAW_AR_CONTENT'!$B365=SelectedScope),'RAW_AR_CONTENT'!N365,"")</f>
        <v>0</v>
      </c>
      <c r="O366" s="12">
        <f>IF(IF(SelectedScope="All India",TRUE,'RAW_AR_CONTENT'!$B365=SelectedScope),'RAW_AR_CONTENT'!O365,"")</f>
        <v>0</v>
      </c>
      <c r="P366" s="12">
        <f>IF(IF(SelectedScope="All India",TRUE,'RAW_AR_CONTENT'!$B365=SelectedScope),'RAW_AR_CONTENT'!P365,"")</f>
        <v>0</v>
      </c>
      <c r="Q366" s="12">
        <f>IF(IF(SelectedScope="All India",TRUE,'RAW_AR_CONTENT'!$B365=SelectedScope),'RAW_AR_CONTENT'!Q365,"")</f>
        <v>0</v>
      </c>
      <c r="R366" s="12">
        <f>IF(IF(SelectedScope="All India",TRUE,'RAW_AR_CONTENT'!$B365=SelectedScope),'RAW_AR_CONTENT'!R365,"")</f>
        <v>0</v>
      </c>
    </row>
    <row r="367" spans="1:18" ht="15" customHeight="1" x14ac:dyDescent="0.3">
      <c r="A367" s="9">
        <f>IF(IF(SelectedScope="All India",TRUE,'RAW_AR_CONTENT'!$B366=SelectedScope),'RAW_AR_CONTENT'!A366,"")</f>
        <v>363</v>
      </c>
      <c r="B367" s="9" t="str">
        <f>IF(IF(SelectedScope="All India",TRUE,'RAW_AR_CONTENT'!$B366=SelectedScope),'RAW_AR_CONTENT'!B366,"")</f>
        <v>Nagaland</v>
      </c>
      <c r="C367" s="9" t="str">
        <f>IF(IF(SelectedScope="All India",TRUE,'RAW_AR_CONTENT'!$B366=SelectedScope),'RAW_AR_CONTENT'!C366,"")</f>
        <v>Chemistry</v>
      </c>
      <c r="D367" s="9" t="str">
        <f>IF(IF(SelectedScope="All India",TRUE,'RAW_AR_CONTENT'!$B366=SelectedScope),'RAW_AR_CONTENT'!D366,"")</f>
        <v>Class 9</v>
      </c>
      <c r="E367" s="9" t="str">
        <f>IF(IF(SelectedScope="All India",TRUE,'RAW_AR_CONTENT'!$B366=SelectedScope),'RAW_AR_CONTENT'!E366,"")</f>
        <v>Atoms and Molecules</v>
      </c>
      <c r="F367" s="9" t="str">
        <f>IF(IF(SelectedScope="All India",TRUE,'RAW_AR_CONTENT'!$B366=SelectedScope),'RAW_AR_CONTENT'!F366,"")</f>
        <v>Animated</v>
      </c>
      <c r="G367" s="9" t="str">
        <f>IF(IF(SelectedScope="All India",TRUE,'RAW_AR_CONTENT'!$B366=SelectedScope),'RAW_AR_CONTENT'!G366,"")</f>
        <v>Active</v>
      </c>
      <c r="H367" s="9">
        <f>IF(IF(SelectedScope="All India",TRUE,'RAW_AR_CONTENT'!$B366=SelectedScope),'RAW_AR_CONTENT'!H366,"")</f>
        <v>0</v>
      </c>
      <c r="I367" s="9">
        <f>IF(IF(SelectedScope="All India",TRUE,'RAW_AR_CONTENT'!$B366=SelectedScope),'RAW_AR_CONTENT'!I366,"")</f>
        <v>0</v>
      </c>
      <c r="J367" s="9">
        <f>IF(IF(SelectedScope="All India",TRUE,'RAW_AR_CONTENT'!$B366=SelectedScope),'RAW_AR_CONTENT'!J366,"")</f>
        <v>0</v>
      </c>
      <c r="K367" s="9">
        <f>IF(IF(SelectedScope="All India",TRUE,'RAW_AR_CONTENT'!$B366=SelectedScope),'RAW_AR_CONTENT'!K366,"")</f>
        <v>0</v>
      </c>
      <c r="L367" s="9">
        <f>IF(IF(SelectedScope="All India",TRUE,'RAW_AR_CONTENT'!$B366=SelectedScope),'RAW_AR_CONTENT'!L366,"")</f>
        <v>0</v>
      </c>
      <c r="M367" s="9">
        <f>IF(IF(SelectedScope="All India",TRUE,'RAW_AR_CONTENT'!$B366=SelectedScope),'RAW_AR_CONTENT'!M366,"")</f>
        <v>0</v>
      </c>
      <c r="N367" s="9">
        <f>IF(IF(SelectedScope="All India",TRUE,'RAW_AR_CONTENT'!$B366=SelectedScope),'RAW_AR_CONTENT'!N366,"")</f>
        <v>0</v>
      </c>
      <c r="O367" s="9">
        <f>IF(IF(SelectedScope="All India",TRUE,'RAW_AR_CONTENT'!$B366=SelectedScope),'RAW_AR_CONTENT'!O366,"")</f>
        <v>0</v>
      </c>
      <c r="P367" s="9">
        <f>IF(IF(SelectedScope="All India",TRUE,'RAW_AR_CONTENT'!$B366=SelectedScope),'RAW_AR_CONTENT'!P366,"")</f>
        <v>0</v>
      </c>
      <c r="Q367" s="9">
        <f>IF(IF(SelectedScope="All India",TRUE,'RAW_AR_CONTENT'!$B366=SelectedScope),'RAW_AR_CONTENT'!Q366,"")</f>
        <v>0</v>
      </c>
      <c r="R367" s="9">
        <f>IF(IF(SelectedScope="All India",TRUE,'RAW_AR_CONTENT'!$B366=SelectedScope),'RAW_AR_CONTENT'!R366,"")</f>
        <v>0</v>
      </c>
    </row>
    <row r="368" spans="1:18" ht="15" customHeight="1" x14ac:dyDescent="0.3">
      <c r="A368" s="12">
        <f>IF(IF(SelectedScope="All India",TRUE,'RAW_AR_CONTENT'!$B367=SelectedScope),'RAW_AR_CONTENT'!A367,"")</f>
        <v>364</v>
      </c>
      <c r="B368" s="12" t="str">
        <f>IF(IF(SelectedScope="All India",TRUE,'RAW_AR_CONTENT'!$B367=SelectedScope),'RAW_AR_CONTENT'!B367,"")</f>
        <v>Nagaland</v>
      </c>
      <c r="C368" s="12" t="str">
        <f>IF(IF(SelectedScope="All India",TRUE,'RAW_AR_CONTENT'!$B367=SelectedScope),'RAW_AR_CONTENT'!C367,"")</f>
        <v>Biology</v>
      </c>
      <c r="D368" s="12" t="str">
        <f>IF(IF(SelectedScope="All India",TRUE,'RAW_AR_CONTENT'!$B367=SelectedScope),'RAW_AR_CONTENT'!D367,"")</f>
        <v>Class 7</v>
      </c>
      <c r="E368" s="12" t="str">
        <f>IF(IF(SelectedScope="All India",TRUE,'RAW_AR_CONTENT'!$B367=SelectedScope),'RAW_AR_CONTENT'!E367,"")</f>
        <v>Photosynthesis</v>
      </c>
      <c r="F368" s="12" t="str">
        <f>IF(IF(SelectedScope="All India",TRUE,'RAW_AR_CONTENT'!$B367=SelectedScope),'RAW_AR_CONTENT'!F367,"")</f>
        <v>Basic 3D</v>
      </c>
      <c r="G368" s="12" t="str">
        <f>IF(IF(SelectedScope="All India",TRUE,'RAW_AR_CONTENT'!$B367=SelectedScope),'RAW_AR_CONTENT'!G367,"")</f>
        <v>Active</v>
      </c>
      <c r="H368" s="12">
        <f>IF(IF(SelectedScope="All India",TRUE,'RAW_AR_CONTENT'!$B367=SelectedScope),'RAW_AR_CONTENT'!H367,"")</f>
        <v>0</v>
      </c>
      <c r="I368" s="12">
        <f>IF(IF(SelectedScope="All India",TRUE,'RAW_AR_CONTENT'!$B367=SelectedScope),'RAW_AR_CONTENT'!I367,"")</f>
        <v>0</v>
      </c>
      <c r="J368" s="12">
        <f>IF(IF(SelectedScope="All India",TRUE,'RAW_AR_CONTENT'!$B367=SelectedScope),'RAW_AR_CONTENT'!J367,"")</f>
        <v>0</v>
      </c>
      <c r="K368" s="12">
        <f>IF(IF(SelectedScope="All India",TRUE,'RAW_AR_CONTENT'!$B367=SelectedScope),'RAW_AR_CONTENT'!K367,"")</f>
        <v>0</v>
      </c>
      <c r="L368" s="12">
        <f>IF(IF(SelectedScope="All India",TRUE,'RAW_AR_CONTENT'!$B367=SelectedScope),'RAW_AR_CONTENT'!L367,"")</f>
        <v>0</v>
      </c>
      <c r="M368" s="12">
        <f>IF(IF(SelectedScope="All India",TRUE,'RAW_AR_CONTENT'!$B367=SelectedScope),'RAW_AR_CONTENT'!M367,"")</f>
        <v>0</v>
      </c>
      <c r="N368" s="12">
        <f>IF(IF(SelectedScope="All India",TRUE,'RAW_AR_CONTENT'!$B367=SelectedScope),'RAW_AR_CONTENT'!N367,"")</f>
        <v>0</v>
      </c>
      <c r="O368" s="12">
        <f>IF(IF(SelectedScope="All India",TRUE,'RAW_AR_CONTENT'!$B367=SelectedScope),'RAW_AR_CONTENT'!O367,"")</f>
        <v>0</v>
      </c>
      <c r="P368" s="12">
        <f>IF(IF(SelectedScope="All India",TRUE,'RAW_AR_CONTENT'!$B367=SelectedScope),'RAW_AR_CONTENT'!P367,"")</f>
        <v>0</v>
      </c>
      <c r="Q368" s="12">
        <f>IF(IF(SelectedScope="All India",TRUE,'RAW_AR_CONTENT'!$B367=SelectedScope),'RAW_AR_CONTENT'!Q367,"")</f>
        <v>0</v>
      </c>
      <c r="R368" s="12">
        <f>IF(IF(SelectedScope="All India",TRUE,'RAW_AR_CONTENT'!$B367=SelectedScope),'RAW_AR_CONTENT'!R367,"")</f>
        <v>0</v>
      </c>
    </row>
    <row r="369" spans="1:18" ht="15" customHeight="1" x14ac:dyDescent="0.3">
      <c r="A369" s="9">
        <f>IF(IF(SelectedScope="All India",TRUE,'RAW_AR_CONTENT'!$B368=SelectedScope),'RAW_AR_CONTENT'!A368,"")</f>
        <v>365</v>
      </c>
      <c r="B369" s="9" t="str">
        <f>IF(IF(SelectedScope="All India",TRUE,'RAW_AR_CONTENT'!$B368=SelectedScope),'RAW_AR_CONTENT'!B368,"")</f>
        <v>Nagaland</v>
      </c>
      <c r="C369" s="9" t="str">
        <f>IF(IF(SelectedScope="All India",TRUE,'RAW_AR_CONTENT'!$B368=SelectedScope),'RAW_AR_CONTENT'!C368,"")</f>
        <v>Mathematics</v>
      </c>
      <c r="D369" s="9" t="str">
        <f>IF(IF(SelectedScope="All India",TRUE,'RAW_AR_CONTENT'!$B368=SelectedScope),'RAW_AR_CONTENT'!D368,"")</f>
        <v>Class 7</v>
      </c>
      <c r="E369" s="9" t="str">
        <f>IF(IF(SelectedScope="All India",TRUE,'RAW_AR_CONTENT'!$B368=SelectedScope),'RAW_AR_CONTENT'!E368,"")</f>
        <v>Fractions 3D Model</v>
      </c>
      <c r="F369" s="9" t="str">
        <f>IF(IF(SelectedScope="All India",TRUE,'RAW_AR_CONTENT'!$B368=SelectedScope),'RAW_AR_CONTENT'!F368,"")</f>
        <v>Interactive</v>
      </c>
      <c r="G369" s="9" t="str">
        <f>IF(IF(SelectedScope="All India",TRUE,'RAW_AR_CONTENT'!$B368=SelectedScope),'RAW_AR_CONTENT'!G368,"")</f>
        <v>Active</v>
      </c>
      <c r="H369" s="9">
        <f>IF(IF(SelectedScope="All India",TRUE,'RAW_AR_CONTENT'!$B368=SelectedScope),'RAW_AR_CONTENT'!H368,"")</f>
        <v>0</v>
      </c>
      <c r="I369" s="9">
        <f>IF(IF(SelectedScope="All India",TRUE,'RAW_AR_CONTENT'!$B368=SelectedScope),'RAW_AR_CONTENT'!I368,"")</f>
        <v>0</v>
      </c>
      <c r="J369" s="9">
        <f>IF(IF(SelectedScope="All India",TRUE,'RAW_AR_CONTENT'!$B368=SelectedScope),'RAW_AR_CONTENT'!J368,"")</f>
        <v>0</v>
      </c>
      <c r="K369" s="9">
        <f>IF(IF(SelectedScope="All India",TRUE,'RAW_AR_CONTENT'!$B368=SelectedScope),'RAW_AR_CONTENT'!K368,"")</f>
        <v>0</v>
      </c>
      <c r="L369" s="9">
        <f>IF(IF(SelectedScope="All India",TRUE,'RAW_AR_CONTENT'!$B368=SelectedScope),'RAW_AR_CONTENT'!L368,"")</f>
        <v>0</v>
      </c>
      <c r="M369" s="9">
        <f>IF(IF(SelectedScope="All India",TRUE,'RAW_AR_CONTENT'!$B368=SelectedScope),'RAW_AR_CONTENT'!M368,"")</f>
        <v>0</v>
      </c>
      <c r="N369" s="9">
        <f>IF(IF(SelectedScope="All India",TRUE,'RAW_AR_CONTENT'!$B368=SelectedScope),'RAW_AR_CONTENT'!N368,"")</f>
        <v>0</v>
      </c>
      <c r="O369" s="9">
        <f>IF(IF(SelectedScope="All India",TRUE,'RAW_AR_CONTENT'!$B368=SelectedScope),'RAW_AR_CONTENT'!O368,"")</f>
        <v>0</v>
      </c>
      <c r="P369" s="9">
        <f>IF(IF(SelectedScope="All India",TRUE,'RAW_AR_CONTENT'!$B368=SelectedScope),'RAW_AR_CONTENT'!P368,"")</f>
        <v>0</v>
      </c>
      <c r="Q369" s="9">
        <f>IF(IF(SelectedScope="All India",TRUE,'RAW_AR_CONTENT'!$B368=SelectedScope),'RAW_AR_CONTENT'!Q368,"")</f>
        <v>0</v>
      </c>
      <c r="R369" s="9">
        <f>IF(IF(SelectedScope="All India",TRUE,'RAW_AR_CONTENT'!$B368=SelectedScope),'RAW_AR_CONTENT'!R368,"")</f>
        <v>0</v>
      </c>
    </row>
    <row r="370" spans="1:18" ht="15" customHeight="1" x14ac:dyDescent="0.3">
      <c r="A370" s="12">
        <f>IF(IF(SelectedScope="All India",TRUE,'RAW_AR_CONTENT'!$B369=SelectedScope),'RAW_AR_CONTENT'!A369,"")</f>
        <v>366</v>
      </c>
      <c r="B370" s="12" t="str">
        <f>IF(IF(SelectedScope="All India",TRUE,'RAW_AR_CONTENT'!$B369=SelectedScope),'RAW_AR_CONTENT'!B369,"")</f>
        <v>Nagaland</v>
      </c>
      <c r="C370" s="12" t="str">
        <f>IF(IF(SelectedScope="All India",TRUE,'RAW_AR_CONTENT'!$B369=SelectedScope),'RAW_AR_CONTENT'!C369,"")</f>
        <v>Mathematics</v>
      </c>
      <c r="D370" s="12" t="str">
        <f>IF(IF(SelectedScope="All India",TRUE,'RAW_AR_CONTENT'!$B369=SelectedScope),'RAW_AR_CONTENT'!D369,"")</f>
        <v>Class 10</v>
      </c>
      <c r="E370" s="12" t="str">
        <f>IF(IF(SelectedScope="All India",TRUE,'RAW_AR_CONTENT'!$B369=SelectedScope),'RAW_AR_CONTENT'!E369,"")</f>
        <v>Trigonometry 3D</v>
      </c>
      <c r="F370" s="12" t="str">
        <f>IF(IF(SelectedScope="All India",TRUE,'RAW_AR_CONTENT'!$B369=SelectedScope),'RAW_AR_CONTENT'!F369,"")</f>
        <v>Animated</v>
      </c>
      <c r="G370" s="12" t="str">
        <f>IF(IF(SelectedScope="All India",TRUE,'RAW_AR_CONTENT'!$B369=SelectedScope),'RAW_AR_CONTENT'!G369,"")</f>
        <v>Active</v>
      </c>
      <c r="H370" s="12">
        <f>IF(IF(SelectedScope="All India",TRUE,'RAW_AR_CONTENT'!$B369=SelectedScope),'RAW_AR_CONTENT'!H369,"")</f>
        <v>0</v>
      </c>
      <c r="I370" s="12">
        <f>IF(IF(SelectedScope="All India",TRUE,'RAW_AR_CONTENT'!$B369=SelectedScope),'RAW_AR_CONTENT'!I369,"")</f>
        <v>0</v>
      </c>
      <c r="J370" s="12">
        <f>IF(IF(SelectedScope="All India",TRUE,'RAW_AR_CONTENT'!$B369=SelectedScope),'RAW_AR_CONTENT'!J369,"")</f>
        <v>0</v>
      </c>
      <c r="K370" s="12">
        <f>IF(IF(SelectedScope="All India",TRUE,'RAW_AR_CONTENT'!$B369=SelectedScope),'RAW_AR_CONTENT'!K369,"")</f>
        <v>0</v>
      </c>
      <c r="L370" s="12">
        <f>IF(IF(SelectedScope="All India",TRUE,'RAW_AR_CONTENT'!$B369=SelectedScope),'RAW_AR_CONTENT'!L369,"")</f>
        <v>0</v>
      </c>
      <c r="M370" s="12">
        <f>IF(IF(SelectedScope="All India",TRUE,'RAW_AR_CONTENT'!$B369=SelectedScope),'RAW_AR_CONTENT'!M369,"")</f>
        <v>0</v>
      </c>
      <c r="N370" s="12">
        <f>IF(IF(SelectedScope="All India",TRUE,'RAW_AR_CONTENT'!$B369=SelectedScope),'RAW_AR_CONTENT'!N369,"")</f>
        <v>0</v>
      </c>
      <c r="O370" s="12">
        <f>IF(IF(SelectedScope="All India",TRUE,'RAW_AR_CONTENT'!$B369=SelectedScope),'RAW_AR_CONTENT'!O369,"")</f>
        <v>0</v>
      </c>
      <c r="P370" s="12">
        <f>IF(IF(SelectedScope="All India",TRUE,'RAW_AR_CONTENT'!$B369=SelectedScope),'RAW_AR_CONTENT'!P369,"")</f>
        <v>0</v>
      </c>
      <c r="Q370" s="12">
        <f>IF(IF(SelectedScope="All India",TRUE,'RAW_AR_CONTENT'!$B369=SelectedScope),'RAW_AR_CONTENT'!Q369,"")</f>
        <v>0</v>
      </c>
      <c r="R370" s="12">
        <f>IF(IF(SelectedScope="All India",TRUE,'RAW_AR_CONTENT'!$B369=SelectedScope),'RAW_AR_CONTENT'!R369,"")</f>
        <v>0</v>
      </c>
    </row>
    <row r="371" spans="1:18" ht="15" customHeight="1" x14ac:dyDescent="0.3">
      <c r="A371" s="9">
        <f>IF(IF(SelectedScope="All India",TRUE,'RAW_AR_CONTENT'!$B370=SelectedScope),'RAW_AR_CONTENT'!A370,"")</f>
        <v>367</v>
      </c>
      <c r="B371" s="9" t="str">
        <f>IF(IF(SelectedScope="All India",TRUE,'RAW_AR_CONTENT'!$B370=SelectedScope),'RAW_AR_CONTENT'!B370,"")</f>
        <v>Nagaland</v>
      </c>
      <c r="C371" s="9" t="str">
        <f>IF(IF(SelectedScope="All India",TRUE,'RAW_AR_CONTENT'!$B370=SelectedScope),'RAW_AR_CONTENT'!C370,"")</f>
        <v>History</v>
      </c>
      <c r="D371" s="9" t="str">
        <f>IF(IF(SelectedScope="All India",TRUE,'RAW_AR_CONTENT'!$B370=SelectedScope),'RAW_AR_CONTENT'!D370,"")</f>
        <v>Class 10</v>
      </c>
      <c r="E371" s="9" t="str">
        <f>IF(IF(SelectedScope="All India",TRUE,'RAW_AR_CONTENT'!$B370=SelectedScope),'RAW_AR_CONTENT'!E370,"")</f>
        <v>Mughal Empire AR</v>
      </c>
      <c r="F371" s="9" t="str">
        <f>IF(IF(SelectedScope="All India",TRUE,'RAW_AR_CONTENT'!$B370=SelectedScope),'RAW_AR_CONTENT'!F370,"")</f>
        <v>Basic 3D</v>
      </c>
      <c r="G371" s="9" t="str">
        <f>IF(IF(SelectedScope="All India",TRUE,'RAW_AR_CONTENT'!$B370=SelectedScope),'RAW_AR_CONTENT'!G370,"")</f>
        <v>Active</v>
      </c>
      <c r="H371" s="9">
        <f>IF(IF(SelectedScope="All India",TRUE,'RAW_AR_CONTENT'!$B370=SelectedScope),'RAW_AR_CONTENT'!H370,"")</f>
        <v>0</v>
      </c>
      <c r="I371" s="9">
        <f>IF(IF(SelectedScope="All India",TRUE,'RAW_AR_CONTENT'!$B370=SelectedScope),'RAW_AR_CONTENT'!I370,"")</f>
        <v>0</v>
      </c>
      <c r="J371" s="9">
        <f>IF(IF(SelectedScope="All India",TRUE,'RAW_AR_CONTENT'!$B370=SelectedScope),'RAW_AR_CONTENT'!J370,"")</f>
        <v>0</v>
      </c>
      <c r="K371" s="9">
        <f>IF(IF(SelectedScope="All India",TRUE,'RAW_AR_CONTENT'!$B370=SelectedScope),'RAW_AR_CONTENT'!K370,"")</f>
        <v>0</v>
      </c>
      <c r="L371" s="9">
        <f>IF(IF(SelectedScope="All India",TRUE,'RAW_AR_CONTENT'!$B370=SelectedScope),'RAW_AR_CONTENT'!L370,"")</f>
        <v>0</v>
      </c>
      <c r="M371" s="9">
        <f>IF(IF(SelectedScope="All India",TRUE,'RAW_AR_CONTENT'!$B370=SelectedScope),'RAW_AR_CONTENT'!M370,"")</f>
        <v>0</v>
      </c>
      <c r="N371" s="9">
        <f>IF(IF(SelectedScope="All India",TRUE,'RAW_AR_CONTENT'!$B370=SelectedScope),'RAW_AR_CONTENT'!N370,"")</f>
        <v>0</v>
      </c>
      <c r="O371" s="9">
        <f>IF(IF(SelectedScope="All India",TRUE,'RAW_AR_CONTENT'!$B370=SelectedScope),'RAW_AR_CONTENT'!O370,"")</f>
        <v>0</v>
      </c>
      <c r="P371" s="9">
        <f>IF(IF(SelectedScope="All India",TRUE,'RAW_AR_CONTENT'!$B370=SelectedScope),'RAW_AR_CONTENT'!P370,"")</f>
        <v>0</v>
      </c>
      <c r="Q371" s="9">
        <f>IF(IF(SelectedScope="All India",TRUE,'RAW_AR_CONTENT'!$B370=SelectedScope),'RAW_AR_CONTENT'!Q370,"")</f>
        <v>0</v>
      </c>
      <c r="R371" s="9">
        <f>IF(IF(SelectedScope="All India",TRUE,'RAW_AR_CONTENT'!$B370=SelectedScope),'RAW_AR_CONTENT'!R370,"")</f>
        <v>0</v>
      </c>
    </row>
    <row r="372" spans="1:18" ht="15" customHeight="1" x14ac:dyDescent="0.3">
      <c r="A372" s="12">
        <f>IF(IF(SelectedScope="All India",TRUE,'RAW_AR_CONTENT'!$B371=SelectedScope),'RAW_AR_CONTENT'!A371,"")</f>
        <v>368</v>
      </c>
      <c r="B372" s="12" t="str">
        <f>IF(IF(SelectedScope="All India",TRUE,'RAW_AR_CONTENT'!$B371=SelectedScope),'RAW_AR_CONTENT'!B371,"")</f>
        <v>Nagaland</v>
      </c>
      <c r="C372" s="12" t="str">
        <f>IF(IF(SelectedScope="All India",TRUE,'RAW_AR_CONTENT'!$B371=SelectedScope),'RAW_AR_CONTENT'!C371,"")</f>
        <v>Geography</v>
      </c>
      <c r="D372" s="12" t="str">
        <f>IF(IF(SelectedScope="All India",TRUE,'RAW_AR_CONTENT'!$B371=SelectedScope),'RAW_AR_CONTENT'!D371,"")</f>
        <v>Class 6</v>
      </c>
      <c r="E372" s="12" t="str">
        <f>IF(IF(SelectedScope="All India",TRUE,'RAW_AR_CONTENT'!$B371=SelectedScope),'RAW_AR_CONTENT'!E371,"")</f>
        <v>Water Cycle Simulation</v>
      </c>
      <c r="F372" s="12" t="str">
        <f>IF(IF(SelectedScope="All India",TRUE,'RAW_AR_CONTENT'!$B371=SelectedScope),'RAW_AR_CONTENT'!F371,"")</f>
        <v>Animated</v>
      </c>
      <c r="G372" s="12" t="str">
        <f>IF(IF(SelectedScope="All India",TRUE,'RAW_AR_CONTENT'!$B371=SelectedScope),'RAW_AR_CONTENT'!G371,"")</f>
        <v>Active</v>
      </c>
      <c r="H372" s="12">
        <f>IF(IF(SelectedScope="All India",TRUE,'RAW_AR_CONTENT'!$B371=SelectedScope),'RAW_AR_CONTENT'!H371,"")</f>
        <v>0</v>
      </c>
      <c r="I372" s="12">
        <f>IF(IF(SelectedScope="All India",TRUE,'RAW_AR_CONTENT'!$B371=SelectedScope),'RAW_AR_CONTENT'!I371,"")</f>
        <v>0</v>
      </c>
      <c r="J372" s="12">
        <f>IF(IF(SelectedScope="All India",TRUE,'RAW_AR_CONTENT'!$B371=SelectedScope),'RAW_AR_CONTENT'!J371,"")</f>
        <v>0</v>
      </c>
      <c r="K372" s="12">
        <f>IF(IF(SelectedScope="All India",TRUE,'RAW_AR_CONTENT'!$B371=SelectedScope),'RAW_AR_CONTENT'!K371,"")</f>
        <v>0</v>
      </c>
      <c r="L372" s="12">
        <f>IF(IF(SelectedScope="All India",TRUE,'RAW_AR_CONTENT'!$B371=SelectedScope),'RAW_AR_CONTENT'!L371,"")</f>
        <v>0</v>
      </c>
      <c r="M372" s="12">
        <f>IF(IF(SelectedScope="All India",TRUE,'RAW_AR_CONTENT'!$B371=SelectedScope),'RAW_AR_CONTENT'!M371,"")</f>
        <v>0</v>
      </c>
      <c r="N372" s="12">
        <f>IF(IF(SelectedScope="All India",TRUE,'RAW_AR_CONTENT'!$B371=SelectedScope),'RAW_AR_CONTENT'!N371,"")</f>
        <v>0</v>
      </c>
      <c r="O372" s="12">
        <f>IF(IF(SelectedScope="All India",TRUE,'RAW_AR_CONTENT'!$B371=SelectedScope),'RAW_AR_CONTENT'!O371,"")</f>
        <v>0</v>
      </c>
      <c r="P372" s="12">
        <f>IF(IF(SelectedScope="All India",TRUE,'RAW_AR_CONTENT'!$B371=SelectedScope),'RAW_AR_CONTENT'!P371,"")</f>
        <v>0</v>
      </c>
      <c r="Q372" s="12">
        <f>IF(IF(SelectedScope="All India",TRUE,'RAW_AR_CONTENT'!$B371=SelectedScope),'RAW_AR_CONTENT'!Q371,"")</f>
        <v>0</v>
      </c>
      <c r="R372" s="12">
        <f>IF(IF(SelectedScope="All India",TRUE,'RAW_AR_CONTENT'!$B371=SelectedScope),'RAW_AR_CONTENT'!R371,"")</f>
        <v>0</v>
      </c>
    </row>
    <row r="373" spans="1:18" ht="15" customHeight="1" x14ac:dyDescent="0.3">
      <c r="A373" s="9">
        <f>IF(IF(SelectedScope="All India",TRUE,'RAW_AR_CONTENT'!$B372=SelectedScope),'RAW_AR_CONTENT'!A372,"")</f>
        <v>369</v>
      </c>
      <c r="B373" s="9" t="str">
        <f>IF(IF(SelectedScope="All India",TRUE,'RAW_AR_CONTENT'!$B372=SelectedScope),'RAW_AR_CONTENT'!B372,"")</f>
        <v>Nagaland</v>
      </c>
      <c r="C373" s="9" t="str">
        <f>IF(IF(SelectedScope="All India",TRUE,'RAW_AR_CONTENT'!$B372=SelectedScope),'RAW_AR_CONTENT'!C372,"")</f>
        <v>Biology</v>
      </c>
      <c r="D373" s="9" t="str">
        <f>IF(IF(SelectedScope="All India",TRUE,'RAW_AR_CONTENT'!$B372=SelectedScope),'RAW_AR_CONTENT'!D372,"")</f>
        <v>Class 11</v>
      </c>
      <c r="E373" s="9" t="str">
        <f>IF(IF(SelectedScope="All India",TRUE,'RAW_AR_CONTENT'!$B372=SelectedScope),'RAW_AR_CONTENT'!E372,"")</f>
        <v>Human Anatomy AR</v>
      </c>
      <c r="F373" s="9" t="str">
        <f>IF(IF(SelectedScope="All India",TRUE,'RAW_AR_CONTENT'!$B372=SelectedScope),'RAW_AR_CONTENT'!F372,"")</f>
        <v>Fully Immersive</v>
      </c>
      <c r="G373" s="9" t="str">
        <f>IF(IF(SelectedScope="All India",TRUE,'RAW_AR_CONTENT'!$B372=SelectedScope),'RAW_AR_CONTENT'!G372,"")</f>
        <v>Active</v>
      </c>
      <c r="H373" s="9">
        <f>IF(IF(SelectedScope="All India",TRUE,'RAW_AR_CONTENT'!$B372=SelectedScope),'RAW_AR_CONTENT'!H372,"")</f>
        <v>0</v>
      </c>
      <c r="I373" s="9">
        <f>IF(IF(SelectedScope="All India",TRUE,'RAW_AR_CONTENT'!$B372=SelectedScope),'RAW_AR_CONTENT'!I372,"")</f>
        <v>0</v>
      </c>
      <c r="J373" s="9">
        <f>IF(IF(SelectedScope="All India",TRUE,'RAW_AR_CONTENT'!$B372=SelectedScope),'RAW_AR_CONTENT'!J372,"")</f>
        <v>0</v>
      </c>
      <c r="K373" s="9">
        <f>IF(IF(SelectedScope="All India",TRUE,'RAW_AR_CONTENT'!$B372=SelectedScope),'RAW_AR_CONTENT'!K372,"")</f>
        <v>0</v>
      </c>
      <c r="L373" s="9">
        <f>IF(IF(SelectedScope="All India",TRUE,'RAW_AR_CONTENT'!$B372=SelectedScope),'RAW_AR_CONTENT'!L372,"")</f>
        <v>0</v>
      </c>
      <c r="M373" s="9">
        <f>IF(IF(SelectedScope="All India",TRUE,'RAW_AR_CONTENT'!$B372=SelectedScope),'RAW_AR_CONTENT'!M372,"")</f>
        <v>0</v>
      </c>
      <c r="N373" s="9">
        <f>IF(IF(SelectedScope="All India",TRUE,'RAW_AR_CONTENT'!$B372=SelectedScope),'RAW_AR_CONTENT'!N372,"")</f>
        <v>0</v>
      </c>
      <c r="O373" s="9">
        <f>IF(IF(SelectedScope="All India",TRUE,'RAW_AR_CONTENT'!$B372=SelectedScope),'RAW_AR_CONTENT'!O372,"")</f>
        <v>0</v>
      </c>
      <c r="P373" s="9">
        <f>IF(IF(SelectedScope="All India",TRUE,'RAW_AR_CONTENT'!$B372=SelectedScope),'RAW_AR_CONTENT'!P372,"")</f>
        <v>0</v>
      </c>
      <c r="Q373" s="9">
        <f>IF(IF(SelectedScope="All India",TRUE,'RAW_AR_CONTENT'!$B372=SelectedScope),'RAW_AR_CONTENT'!Q372,"")</f>
        <v>0</v>
      </c>
      <c r="R373" s="9">
        <f>IF(IF(SelectedScope="All India",TRUE,'RAW_AR_CONTENT'!$B372=SelectedScope),'RAW_AR_CONTENT'!R372,"")</f>
        <v>0</v>
      </c>
    </row>
    <row r="374" spans="1:18" ht="15" customHeight="1" x14ac:dyDescent="0.3">
      <c r="A374" s="12">
        <f>IF(IF(SelectedScope="All India",TRUE,'RAW_AR_CONTENT'!$B373=SelectedScope),'RAW_AR_CONTENT'!A373,"")</f>
        <v>370</v>
      </c>
      <c r="B374" s="12" t="str">
        <f>IF(IF(SelectedScope="All India",TRUE,'RAW_AR_CONTENT'!$B373=SelectedScope),'RAW_AR_CONTENT'!B373,"")</f>
        <v>Nagaland</v>
      </c>
      <c r="C374" s="12" t="str">
        <f>IF(IF(SelectedScope="All India",TRUE,'RAW_AR_CONTENT'!$B373=SelectedScope),'RAW_AR_CONTENT'!C373,"")</f>
        <v>Physics</v>
      </c>
      <c r="D374" s="12" t="str">
        <f>IF(IF(SelectedScope="All India",TRUE,'RAW_AR_CONTENT'!$B373=SelectedScope),'RAW_AR_CONTENT'!D373,"")</f>
        <v>Class 9</v>
      </c>
      <c r="E374" s="12" t="str">
        <f>IF(IF(SelectedScope="All India",TRUE,'RAW_AR_CONTENT'!$B373=SelectedScope),'RAW_AR_CONTENT'!E373,"")</f>
        <v>Laws of Motion</v>
      </c>
      <c r="F374" s="12" t="str">
        <f>IF(IF(SelectedScope="All India",TRUE,'RAW_AR_CONTENT'!$B373=SelectedScope),'RAW_AR_CONTENT'!F373,"")</f>
        <v>Interactive</v>
      </c>
      <c r="G374" s="12" t="str">
        <f>IF(IF(SelectedScope="All India",TRUE,'RAW_AR_CONTENT'!$B373=SelectedScope),'RAW_AR_CONTENT'!G373,"")</f>
        <v>Active</v>
      </c>
      <c r="H374" s="12">
        <f>IF(IF(SelectedScope="All India",TRUE,'RAW_AR_CONTENT'!$B373=SelectedScope),'RAW_AR_CONTENT'!H373,"")</f>
        <v>0</v>
      </c>
      <c r="I374" s="12">
        <f>IF(IF(SelectedScope="All India",TRUE,'RAW_AR_CONTENT'!$B373=SelectedScope),'RAW_AR_CONTENT'!I373,"")</f>
        <v>0</v>
      </c>
      <c r="J374" s="12">
        <f>IF(IF(SelectedScope="All India",TRUE,'RAW_AR_CONTENT'!$B373=SelectedScope),'RAW_AR_CONTENT'!J373,"")</f>
        <v>0</v>
      </c>
      <c r="K374" s="12">
        <f>IF(IF(SelectedScope="All India",TRUE,'RAW_AR_CONTENT'!$B373=SelectedScope),'RAW_AR_CONTENT'!K373,"")</f>
        <v>0</v>
      </c>
      <c r="L374" s="12">
        <f>IF(IF(SelectedScope="All India",TRUE,'RAW_AR_CONTENT'!$B373=SelectedScope),'RAW_AR_CONTENT'!L373,"")</f>
        <v>0</v>
      </c>
      <c r="M374" s="12">
        <f>IF(IF(SelectedScope="All India",TRUE,'RAW_AR_CONTENT'!$B373=SelectedScope),'RAW_AR_CONTENT'!M373,"")</f>
        <v>0</v>
      </c>
      <c r="N374" s="12">
        <f>IF(IF(SelectedScope="All India",TRUE,'RAW_AR_CONTENT'!$B373=SelectedScope),'RAW_AR_CONTENT'!N373,"")</f>
        <v>0</v>
      </c>
      <c r="O374" s="12">
        <f>IF(IF(SelectedScope="All India",TRUE,'RAW_AR_CONTENT'!$B373=SelectedScope),'RAW_AR_CONTENT'!O373,"")</f>
        <v>0</v>
      </c>
      <c r="P374" s="12">
        <f>IF(IF(SelectedScope="All India",TRUE,'RAW_AR_CONTENT'!$B373=SelectedScope),'RAW_AR_CONTENT'!P373,"")</f>
        <v>0</v>
      </c>
      <c r="Q374" s="12">
        <f>IF(IF(SelectedScope="All India",TRUE,'RAW_AR_CONTENT'!$B373=SelectedScope),'RAW_AR_CONTENT'!Q373,"")</f>
        <v>0</v>
      </c>
      <c r="R374" s="12">
        <f>IF(IF(SelectedScope="All India",TRUE,'RAW_AR_CONTENT'!$B373=SelectedScope),'RAW_AR_CONTENT'!R373,"")</f>
        <v>0</v>
      </c>
    </row>
    <row r="375" spans="1:18" ht="15" customHeight="1" x14ac:dyDescent="0.3">
      <c r="A375" s="9">
        <f>IF(IF(SelectedScope="All India",TRUE,'RAW_AR_CONTENT'!$B374=SelectedScope),'RAW_AR_CONTENT'!A374,"")</f>
        <v>371</v>
      </c>
      <c r="B375" s="9" t="str">
        <f>IF(IF(SelectedScope="All India",TRUE,'RAW_AR_CONTENT'!$B374=SelectedScope),'RAW_AR_CONTENT'!B374,"")</f>
        <v>Nagaland</v>
      </c>
      <c r="C375" s="9" t="str">
        <f>IF(IF(SelectedScope="All India",TRUE,'RAW_AR_CONTENT'!$B374=SelectedScope),'RAW_AR_CONTENT'!C374,"")</f>
        <v>Chemistry</v>
      </c>
      <c r="D375" s="9" t="str">
        <f>IF(IF(SelectedScope="All India",TRUE,'RAW_AR_CONTENT'!$B374=SelectedScope),'RAW_AR_CONTENT'!D374,"")</f>
        <v>Class 11</v>
      </c>
      <c r="E375" s="9" t="str">
        <f>IF(IF(SelectedScope="All India",TRUE,'RAW_AR_CONTENT'!$B374=SelectedScope),'RAW_AR_CONTENT'!E374,"")</f>
        <v>Periodic Table 3D</v>
      </c>
      <c r="F375" s="9" t="str">
        <f>IF(IF(SelectedScope="All India",TRUE,'RAW_AR_CONTENT'!$B374=SelectedScope),'RAW_AR_CONTENT'!F374,"")</f>
        <v>Interactive</v>
      </c>
      <c r="G375" s="9" t="str">
        <f>IF(IF(SelectedScope="All India",TRUE,'RAW_AR_CONTENT'!$B374=SelectedScope),'RAW_AR_CONTENT'!G374,"")</f>
        <v>Active</v>
      </c>
      <c r="H375" s="9">
        <f>IF(IF(SelectedScope="All India",TRUE,'RAW_AR_CONTENT'!$B374=SelectedScope),'RAW_AR_CONTENT'!H374,"")</f>
        <v>0</v>
      </c>
      <c r="I375" s="9">
        <f>IF(IF(SelectedScope="All India",TRUE,'RAW_AR_CONTENT'!$B374=SelectedScope),'RAW_AR_CONTENT'!I374,"")</f>
        <v>0</v>
      </c>
      <c r="J375" s="9">
        <f>IF(IF(SelectedScope="All India",TRUE,'RAW_AR_CONTENT'!$B374=SelectedScope),'RAW_AR_CONTENT'!J374,"")</f>
        <v>0</v>
      </c>
      <c r="K375" s="9">
        <f>IF(IF(SelectedScope="All India",TRUE,'RAW_AR_CONTENT'!$B374=SelectedScope),'RAW_AR_CONTENT'!K374,"")</f>
        <v>0</v>
      </c>
      <c r="L375" s="9">
        <f>IF(IF(SelectedScope="All India",TRUE,'RAW_AR_CONTENT'!$B374=SelectedScope),'RAW_AR_CONTENT'!L374,"")</f>
        <v>0</v>
      </c>
      <c r="M375" s="9">
        <f>IF(IF(SelectedScope="All India",TRUE,'RAW_AR_CONTENT'!$B374=SelectedScope),'RAW_AR_CONTENT'!M374,"")</f>
        <v>0</v>
      </c>
      <c r="N375" s="9">
        <f>IF(IF(SelectedScope="All India",TRUE,'RAW_AR_CONTENT'!$B374=SelectedScope),'RAW_AR_CONTENT'!N374,"")</f>
        <v>0</v>
      </c>
      <c r="O375" s="9">
        <f>IF(IF(SelectedScope="All India",TRUE,'RAW_AR_CONTENT'!$B374=SelectedScope),'RAW_AR_CONTENT'!O374,"")</f>
        <v>0</v>
      </c>
      <c r="P375" s="9">
        <f>IF(IF(SelectedScope="All India",TRUE,'RAW_AR_CONTENT'!$B374=SelectedScope),'RAW_AR_CONTENT'!P374,"")</f>
        <v>0</v>
      </c>
      <c r="Q375" s="9">
        <f>IF(IF(SelectedScope="All India",TRUE,'RAW_AR_CONTENT'!$B374=SelectedScope),'RAW_AR_CONTENT'!Q374,"")</f>
        <v>0</v>
      </c>
      <c r="R375" s="9">
        <f>IF(IF(SelectedScope="All India",TRUE,'RAW_AR_CONTENT'!$B374=SelectedScope),'RAW_AR_CONTENT'!R374,"")</f>
        <v>0</v>
      </c>
    </row>
    <row r="376" spans="1:18" ht="15" customHeight="1" x14ac:dyDescent="0.3">
      <c r="A376" s="12">
        <f>IF(IF(SelectedScope="All India",TRUE,'RAW_AR_CONTENT'!$B375=SelectedScope),'RAW_AR_CONTENT'!A375,"")</f>
        <v>372</v>
      </c>
      <c r="B376" s="12" t="str">
        <f>IF(IF(SelectedScope="All India",TRUE,'RAW_AR_CONTENT'!$B375=SelectedScope),'RAW_AR_CONTENT'!B375,"")</f>
        <v>Nagaland</v>
      </c>
      <c r="C376" s="12" t="str">
        <f>IF(IF(SelectedScope="All India",TRUE,'RAW_AR_CONTENT'!$B375=SelectedScope),'RAW_AR_CONTENT'!C375,"")</f>
        <v>Physics</v>
      </c>
      <c r="D376" s="12" t="str">
        <f>IF(IF(SelectedScope="All India",TRUE,'RAW_AR_CONTENT'!$B375=SelectedScope),'RAW_AR_CONTENT'!D375,"")</f>
        <v>Class 10</v>
      </c>
      <c r="E376" s="12" t="str">
        <f>IF(IF(SelectedScope="All India",TRUE,'RAW_AR_CONTENT'!$B375=SelectedScope),'RAW_AR_CONTENT'!E375,"")</f>
        <v>Electricity Circuits</v>
      </c>
      <c r="F376" s="12" t="str">
        <f>IF(IF(SelectedScope="All India",TRUE,'RAW_AR_CONTENT'!$B375=SelectedScope),'RAW_AR_CONTENT'!F375,"")</f>
        <v>Interactive</v>
      </c>
      <c r="G376" s="12" t="str">
        <f>IF(IF(SelectedScope="All India",TRUE,'RAW_AR_CONTENT'!$B375=SelectedScope),'RAW_AR_CONTENT'!G375,"")</f>
        <v>Active</v>
      </c>
      <c r="H376" s="12">
        <f>IF(IF(SelectedScope="All India",TRUE,'RAW_AR_CONTENT'!$B375=SelectedScope),'RAW_AR_CONTENT'!H375,"")</f>
        <v>0</v>
      </c>
      <c r="I376" s="12">
        <f>IF(IF(SelectedScope="All India",TRUE,'RAW_AR_CONTENT'!$B375=SelectedScope),'RAW_AR_CONTENT'!I375,"")</f>
        <v>0</v>
      </c>
      <c r="J376" s="12">
        <f>IF(IF(SelectedScope="All India",TRUE,'RAW_AR_CONTENT'!$B375=SelectedScope),'RAW_AR_CONTENT'!J375,"")</f>
        <v>0</v>
      </c>
      <c r="K376" s="12">
        <f>IF(IF(SelectedScope="All India",TRUE,'RAW_AR_CONTENT'!$B375=SelectedScope),'RAW_AR_CONTENT'!K375,"")</f>
        <v>0</v>
      </c>
      <c r="L376" s="12">
        <f>IF(IF(SelectedScope="All India",TRUE,'RAW_AR_CONTENT'!$B375=SelectedScope),'RAW_AR_CONTENT'!L375,"")</f>
        <v>0</v>
      </c>
      <c r="M376" s="12">
        <f>IF(IF(SelectedScope="All India",TRUE,'RAW_AR_CONTENT'!$B375=SelectedScope),'RAW_AR_CONTENT'!M375,"")</f>
        <v>0</v>
      </c>
      <c r="N376" s="12">
        <f>IF(IF(SelectedScope="All India",TRUE,'RAW_AR_CONTENT'!$B375=SelectedScope),'RAW_AR_CONTENT'!N375,"")</f>
        <v>0</v>
      </c>
      <c r="O376" s="12">
        <f>IF(IF(SelectedScope="All India",TRUE,'RAW_AR_CONTENT'!$B375=SelectedScope),'RAW_AR_CONTENT'!O375,"")</f>
        <v>0</v>
      </c>
      <c r="P376" s="12">
        <f>IF(IF(SelectedScope="All India",TRUE,'RAW_AR_CONTENT'!$B375=SelectedScope),'RAW_AR_CONTENT'!P375,"")</f>
        <v>0</v>
      </c>
      <c r="Q376" s="12">
        <f>IF(IF(SelectedScope="All India",TRUE,'RAW_AR_CONTENT'!$B375=SelectedScope),'RAW_AR_CONTENT'!Q375,"")</f>
        <v>0</v>
      </c>
      <c r="R376" s="12">
        <f>IF(IF(SelectedScope="All India",TRUE,'RAW_AR_CONTENT'!$B375=SelectedScope),'RAW_AR_CONTENT'!R375,"")</f>
        <v>0</v>
      </c>
    </row>
    <row r="377" spans="1:18" ht="15" customHeight="1" x14ac:dyDescent="0.3">
      <c r="A377" s="9">
        <f>IF(IF(SelectedScope="All India",TRUE,'RAW_AR_CONTENT'!$B376=SelectedScope),'RAW_AR_CONTENT'!A376,"")</f>
        <v>373</v>
      </c>
      <c r="B377" s="9" t="str">
        <f>IF(IF(SelectedScope="All India",TRUE,'RAW_AR_CONTENT'!$B376=SelectedScope),'RAW_AR_CONTENT'!B376,"")</f>
        <v>Nagaland</v>
      </c>
      <c r="C377" s="9" t="str">
        <f>IF(IF(SelectedScope="All India",TRUE,'RAW_AR_CONTENT'!$B376=SelectedScope),'RAW_AR_CONTENT'!C376,"")</f>
        <v>Civics</v>
      </c>
      <c r="D377" s="9" t="str">
        <f>IF(IF(SelectedScope="All India",TRUE,'RAW_AR_CONTENT'!$B376=SelectedScope),'RAW_AR_CONTENT'!D376,"")</f>
        <v>Class 9</v>
      </c>
      <c r="E377" s="9" t="str">
        <f>IF(IF(SelectedScope="All India",TRUE,'RAW_AR_CONTENT'!$B376=SelectedScope),'RAW_AR_CONTENT'!E376,"")</f>
        <v>Indian Constitution</v>
      </c>
      <c r="F377" s="9" t="str">
        <f>IF(IF(SelectedScope="All India",TRUE,'RAW_AR_CONTENT'!$B376=SelectedScope),'RAW_AR_CONTENT'!F376,"")</f>
        <v>Basic 3D</v>
      </c>
      <c r="G377" s="9" t="str">
        <f>IF(IF(SelectedScope="All India",TRUE,'RAW_AR_CONTENT'!$B376=SelectedScope),'RAW_AR_CONTENT'!G376,"")</f>
        <v>Active</v>
      </c>
      <c r="H377" s="9">
        <f>IF(IF(SelectedScope="All India",TRUE,'RAW_AR_CONTENT'!$B376=SelectedScope),'RAW_AR_CONTENT'!H376,"")</f>
        <v>0</v>
      </c>
      <c r="I377" s="9">
        <f>IF(IF(SelectedScope="All India",TRUE,'RAW_AR_CONTENT'!$B376=SelectedScope),'RAW_AR_CONTENT'!I376,"")</f>
        <v>0</v>
      </c>
      <c r="J377" s="9">
        <f>IF(IF(SelectedScope="All India",TRUE,'RAW_AR_CONTENT'!$B376=SelectedScope),'RAW_AR_CONTENT'!J376,"")</f>
        <v>0</v>
      </c>
      <c r="K377" s="9">
        <f>IF(IF(SelectedScope="All India",TRUE,'RAW_AR_CONTENT'!$B376=SelectedScope),'RAW_AR_CONTENT'!K376,"")</f>
        <v>0</v>
      </c>
      <c r="L377" s="9">
        <f>IF(IF(SelectedScope="All India",TRUE,'RAW_AR_CONTENT'!$B376=SelectedScope),'RAW_AR_CONTENT'!L376,"")</f>
        <v>0</v>
      </c>
      <c r="M377" s="9">
        <f>IF(IF(SelectedScope="All India",TRUE,'RAW_AR_CONTENT'!$B376=SelectedScope),'RAW_AR_CONTENT'!M376,"")</f>
        <v>0</v>
      </c>
      <c r="N377" s="9">
        <f>IF(IF(SelectedScope="All India",TRUE,'RAW_AR_CONTENT'!$B376=SelectedScope),'RAW_AR_CONTENT'!N376,"")</f>
        <v>0</v>
      </c>
      <c r="O377" s="9">
        <f>IF(IF(SelectedScope="All India",TRUE,'RAW_AR_CONTENT'!$B376=SelectedScope),'RAW_AR_CONTENT'!O376,"")</f>
        <v>0</v>
      </c>
      <c r="P377" s="9">
        <f>IF(IF(SelectedScope="All India",TRUE,'RAW_AR_CONTENT'!$B376=SelectedScope),'RAW_AR_CONTENT'!P376,"")</f>
        <v>0</v>
      </c>
      <c r="Q377" s="9">
        <f>IF(IF(SelectedScope="All India",TRUE,'RAW_AR_CONTENT'!$B376=SelectedScope),'RAW_AR_CONTENT'!Q376,"")</f>
        <v>0</v>
      </c>
      <c r="R377" s="9">
        <f>IF(IF(SelectedScope="All India",TRUE,'RAW_AR_CONTENT'!$B376=SelectedScope),'RAW_AR_CONTENT'!R376,"")</f>
        <v>0</v>
      </c>
    </row>
    <row r="378" spans="1:18" ht="15" customHeight="1" x14ac:dyDescent="0.3">
      <c r="A378" s="12">
        <f>IF(IF(SelectedScope="All India",TRUE,'RAW_AR_CONTENT'!$B377=SelectedScope),'RAW_AR_CONTENT'!A377,"")</f>
        <v>374</v>
      </c>
      <c r="B378" s="12" t="str">
        <f>IF(IF(SelectedScope="All India",TRUE,'RAW_AR_CONTENT'!$B377=SelectedScope),'RAW_AR_CONTENT'!B377,"")</f>
        <v>Nagaland</v>
      </c>
      <c r="C378" s="12" t="str">
        <f>IF(IF(SelectedScope="All India",TRUE,'RAW_AR_CONTENT'!$B377=SelectedScope),'RAW_AR_CONTENT'!C377,"")</f>
        <v>Environmental Science</v>
      </c>
      <c r="D378" s="12" t="str">
        <f>IF(IF(SelectedScope="All India",TRUE,'RAW_AR_CONTENT'!$B377=SelectedScope),'RAW_AR_CONTENT'!D377,"")</f>
        <v>Class 6</v>
      </c>
      <c r="E378" s="12" t="str">
        <f>IF(IF(SelectedScope="All India",TRUE,'RAW_AR_CONTENT'!$B377=SelectedScope),'RAW_AR_CONTENT'!E377,"")</f>
        <v>Food Chain</v>
      </c>
      <c r="F378" s="12" t="str">
        <f>IF(IF(SelectedScope="All India",TRUE,'RAW_AR_CONTENT'!$B377=SelectedScope),'RAW_AR_CONTENT'!F377,"")</f>
        <v>Animated</v>
      </c>
      <c r="G378" s="12" t="str">
        <f>IF(IF(SelectedScope="All India",TRUE,'RAW_AR_CONTENT'!$B377=SelectedScope),'RAW_AR_CONTENT'!G377,"")</f>
        <v>Active</v>
      </c>
      <c r="H378" s="12">
        <f>IF(IF(SelectedScope="All India",TRUE,'RAW_AR_CONTENT'!$B377=SelectedScope),'RAW_AR_CONTENT'!H377,"")</f>
        <v>0</v>
      </c>
      <c r="I378" s="12">
        <f>IF(IF(SelectedScope="All India",TRUE,'RAW_AR_CONTENT'!$B377=SelectedScope),'RAW_AR_CONTENT'!I377,"")</f>
        <v>0</v>
      </c>
      <c r="J378" s="12">
        <f>IF(IF(SelectedScope="All India",TRUE,'RAW_AR_CONTENT'!$B377=SelectedScope),'RAW_AR_CONTENT'!J377,"")</f>
        <v>0</v>
      </c>
      <c r="K378" s="12">
        <f>IF(IF(SelectedScope="All India",TRUE,'RAW_AR_CONTENT'!$B377=SelectedScope),'RAW_AR_CONTENT'!K377,"")</f>
        <v>0</v>
      </c>
      <c r="L378" s="12">
        <f>IF(IF(SelectedScope="All India",TRUE,'RAW_AR_CONTENT'!$B377=SelectedScope),'RAW_AR_CONTENT'!L377,"")</f>
        <v>0</v>
      </c>
      <c r="M378" s="12">
        <f>IF(IF(SelectedScope="All India",TRUE,'RAW_AR_CONTENT'!$B377=SelectedScope),'RAW_AR_CONTENT'!M377,"")</f>
        <v>0</v>
      </c>
      <c r="N378" s="12">
        <f>IF(IF(SelectedScope="All India",TRUE,'RAW_AR_CONTENT'!$B377=SelectedScope),'RAW_AR_CONTENT'!N377,"")</f>
        <v>0</v>
      </c>
      <c r="O378" s="12">
        <f>IF(IF(SelectedScope="All India",TRUE,'RAW_AR_CONTENT'!$B377=SelectedScope),'RAW_AR_CONTENT'!O377,"")</f>
        <v>0</v>
      </c>
      <c r="P378" s="12">
        <f>IF(IF(SelectedScope="All India",TRUE,'RAW_AR_CONTENT'!$B377=SelectedScope),'RAW_AR_CONTENT'!P377,"")</f>
        <v>0</v>
      </c>
      <c r="Q378" s="12">
        <f>IF(IF(SelectedScope="All India",TRUE,'RAW_AR_CONTENT'!$B377=SelectedScope),'RAW_AR_CONTENT'!Q377,"")</f>
        <v>0</v>
      </c>
      <c r="R378" s="12">
        <f>IF(IF(SelectedScope="All India",TRUE,'RAW_AR_CONTENT'!$B377=SelectedScope),'RAW_AR_CONTENT'!R377,"")</f>
        <v>0</v>
      </c>
    </row>
    <row r="379" spans="1:18" ht="15" customHeight="1" x14ac:dyDescent="0.3">
      <c r="A379" s="9">
        <f>IF(IF(SelectedScope="All India",TRUE,'RAW_AR_CONTENT'!$B378=SelectedScope),'RAW_AR_CONTENT'!A378,"")</f>
        <v>375</v>
      </c>
      <c r="B379" s="9" t="str">
        <f>IF(IF(SelectedScope="All India",TRUE,'RAW_AR_CONTENT'!$B378=SelectedScope),'RAW_AR_CONTENT'!B378,"")</f>
        <v>Nagaland</v>
      </c>
      <c r="C379" s="9" t="str">
        <f>IF(IF(SelectedScope="All India",TRUE,'RAW_AR_CONTENT'!$B378=SelectedScope),'RAW_AR_CONTENT'!C378,"")</f>
        <v>Mathematics</v>
      </c>
      <c r="D379" s="9" t="str">
        <f>IF(IF(SelectedScope="All India",TRUE,'RAW_AR_CONTENT'!$B378=SelectedScope),'RAW_AR_CONTENT'!D378,"")</f>
        <v>Class 10</v>
      </c>
      <c r="E379" s="9" t="str">
        <f>IF(IF(SelectedScope="All India",TRUE,'RAW_AR_CONTENT'!$B378=SelectedScope),'RAW_AR_CONTENT'!E378,"")</f>
        <v>Quadratic Equations</v>
      </c>
      <c r="F379" s="9" t="str">
        <f>IF(IF(SelectedScope="All India",TRUE,'RAW_AR_CONTENT'!$B378=SelectedScope),'RAW_AR_CONTENT'!F378,"")</f>
        <v>Animated</v>
      </c>
      <c r="G379" s="9" t="str">
        <f>IF(IF(SelectedScope="All India",TRUE,'RAW_AR_CONTENT'!$B378=SelectedScope),'RAW_AR_CONTENT'!G378,"")</f>
        <v>Active</v>
      </c>
      <c r="H379" s="9">
        <f>IF(IF(SelectedScope="All India",TRUE,'RAW_AR_CONTENT'!$B378=SelectedScope),'RAW_AR_CONTENT'!H378,"")</f>
        <v>0</v>
      </c>
      <c r="I379" s="9">
        <f>IF(IF(SelectedScope="All India",TRUE,'RAW_AR_CONTENT'!$B378=SelectedScope),'RAW_AR_CONTENT'!I378,"")</f>
        <v>0</v>
      </c>
      <c r="J379" s="9">
        <f>IF(IF(SelectedScope="All India",TRUE,'RAW_AR_CONTENT'!$B378=SelectedScope),'RAW_AR_CONTENT'!J378,"")</f>
        <v>0</v>
      </c>
      <c r="K379" s="9">
        <f>IF(IF(SelectedScope="All India",TRUE,'RAW_AR_CONTENT'!$B378=SelectedScope),'RAW_AR_CONTENT'!K378,"")</f>
        <v>0</v>
      </c>
      <c r="L379" s="9">
        <f>IF(IF(SelectedScope="All India",TRUE,'RAW_AR_CONTENT'!$B378=SelectedScope),'RAW_AR_CONTENT'!L378,"")</f>
        <v>0</v>
      </c>
      <c r="M379" s="9">
        <f>IF(IF(SelectedScope="All India",TRUE,'RAW_AR_CONTENT'!$B378=SelectedScope),'RAW_AR_CONTENT'!M378,"")</f>
        <v>0</v>
      </c>
      <c r="N379" s="9">
        <f>IF(IF(SelectedScope="All India",TRUE,'RAW_AR_CONTENT'!$B378=SelectedScope),'RAW_AR_CONTENT'!N378,"")</f>
        <v>0</v>
      </c>
      <c r="O379" s="9">
        <f>IF(IF(SelectedScope="All India",TRUE,'RAW_AR_CONTENT'!$B378=SelectedScope),'RAW_AR_CONTENT'!O378,"")</f>
        <v>0</v>
      </c>
      <c r="P379" s="9">
        <f>IF(IF(SelectedScope="All India",TRUE,'RAW_AR_CONTENT'!$B378=SelectedScope),'RAW_AR_CONTENT'!P378,"")</f>
        <v>0</v>
      </c>
      <c r="Q379" s="9">
        <f>IF(IF(SelectedScope="All India",TRUE,'RAW_AR_CONTENT'!$B378=SelectedScope),'RAW_AR_CONTENT'!Q378,"")</f>
        <v>0</v>
      </c>
      <c r="R379" s="9">
        <f>IF(IF(SelectedScope="All India",TRUE,'RAW_AR_CONTENT'!$B378=SelectedScope),'RAW_AR_CONTENT'!R378,"")</f>
        <v>0</v>
      </c>
    </row>
    <row r="380" spans="1:18" ht="15" customHeight="1" x14ac:dyDescent="0.3">
      <c r="A380" s="12">
        <f>IF(IF(SelectedScope="All India",TRUE,'RAW_AR_CONTENT'!$B379=SelectedScope),'RAW_AR_CONTENT'!A379,"")</f>
        <v>376</v>
      </c>
      <c r="B380" s="12" t="str">
        <f>IF(IF(SelectedScope="All India",TRUE,'RAW_AR_CONTENT'!$B379=SelectedScope),'RAW_AR_CONTENT'!B379,"")</f>
        <v>Odisha</v>
      </c>
      <c r="C380" s="12" t="str">
        <f>IF(IF(SelectedScope="All India",TRUE,'RAW_AR_CONTENT'!$B379=SelectedScope),'RAW_AR_CONTENT'!C379,"")</f>
        <v>Science</v>
      </c>
      <c r="D380" s="12" t="str">
        <f>IF(IF(SelectedScope="All India",TRUE,'RAW_AR_CONTENT'!$B379=SelectedScope),'RAW_AR_CONTENT'!D379,"")</f>
        <v>Class 8</v>
      </c>
      <c r="E380" s="12" t="str">
        <f>IF(IF(SelectedScope="All India",TRUE,'RAW_AR_CONTENT'!$B379=SelectedScope),'RAW_AR_CONTENT'!E379,"")</f>
        <v>Solar System 3D</v>
      </c>
      <c r="F380" s="12" t="str">
        <f>IF(IF(SelectedScope="All India",TRUE,'RAW_AR_CONTENT'!$B379=SelectedScope),'RAW_AR_CONTENT'!F379,"")</f>
        <v>Animated</v>
      </c>
      <c r="G380" s="12" t="str">
        <f>IF(IF(SelectedScope="All India",TRUE,'RAW_AR_CONTENT'!$B379=SelectedScope),'RAW_AR_CONTENT'!G379,"")</f>
        <v>Active</v>
      </c>
      <c r="H380" s="12">
        <f>IF(IF(SelectedScope="All India",TRUE,'RAW_AR_CONTENT'!$B379=SelectedScope),'RAW_AR_CONTENT'!H379,"")</f>
        <v>0</v>
      </c>
      <c r="I380" s="12">
        <f>IF(IF(SelectedScope="All India",TRUE,'RAW_AR_CONTENT'!$B379=SelectedScope),'RAW_AR_CONTENT'!I379,"")</f>
        <v>0</v>
      </c>
      <c r="J380" s="12">
        <f>IF(IF(SelectedScope="All India",TRUE,'RAW_AR_CONTENT'!$B379=SelectedScope),'RAW_AR_CONTENT'!J379,"")</f>
        <v>0</v>
      </c>
      <c r="K380" s="12">
        <f>IF(IF(SelectedScope="All India",TRUE,'RAW_AR_CONTENT'!$B379=SelectedScope),'RAW_AR_CONTENT'!K379,"")</f>
        <v>0</v>
      </c>
      <c r="L380" s="12">
        <f>IF(IF(SelectedScope="All India",TRUE,'RAW_AR_CONTENT'!$B379=SelectedScope),'RAW_AR_CONTENT'!L379,"")</f>
        <v>0</v>
      </c>
      <c r="M380" s="12">
        <f>IF(IF(SelectedScope="All India",TRUE,'RAW_AR_CONTENT'!$B379=SelectedScope),'RAW_AR_CONTENT'!M379,"")</f>
        <v>0</v>
      </c>
      <c r="N380" s="12">
        <f>IF(IF(SelectedScope="All India",TRUE,'RAW_AR_CONTENT'!$B379=SelectedScope),'RAW_AR_CONTENT'!N379,"")</f>
        <v>0</v>
      </c>
      <c r="O380" s="12">
        <f>IF(IF(SelectedScope="All India",TRUE,'RAW_AR_CONTENT'!$B379=SelectedScope),'RAW_AR_CONTENT'!O379,"")</f>
        <v>0</v>
      </c>
      <c r="P380" s="12">
        <f>IF(IF(SelectedScope="All India",TRUE,'RAW_AR_CONTENT'!$B379=SelectedScope),'RAW_AR_CONTENT'!P379,"")</f>
        <v>0</v>
      </c>
      <c r="Q380" s="12">
        <f>IF(IF(SelectedScope="All India",TRUE,'RAW_AR_CONTENT'!$B379=SelectedScope),'RAW_AR_CONTENT'!Q379,"")</f>
        <v>0</v>
      </c>
      <c r="R380" s="12">
        <f>IF(IF(SelectedScope="All India",TRUE,'RAW_AR_CONTENT'!$B379=SelectedScope),'RAW_AR_CONTENT'!R379,"")</f>
        <v>0</v>
      </c>
    </row>
    <row r="381" spans="1:18" ht="15" customHeight="1" x14ac:dyDescent="0.3">
      <c r="A381" s="9">
        <f>IF(IF(SelectedScope="All India",TRUE,'RAW_AR_CONTENT'!$B380=SelectedScope),'RAW_AR_CONTENT'!A380,"")</f>
        <v>377</v>
      </c>
      <c r="B381" s="9" t="str">
        <f>IF(IF(SelectedScope="All India",TRUE,'RAW_AR_CONTENT'!$B380=SelectedScope),'RAW_AR_CONTENT'!B380,"")</f>
        <v>Odisha</v>
      </c>
      <c r="C381" s="9" t="str">
        <f>IF(IF(SelectedScope="All India",TRUE,'RAW_AR_CONTENT'!$B380=SelectedScope),'RAW_AR_CONTENT'!C380,"")</f>
        <v>Biology</v>
      </c>
      <c r="D381" s="9" t="str">
        <f>IF(IF(SelectedScope="All India",TRUE,'RAW_AR_CONTENT'!$B380=SelectedScope),'RAW_AR_CONTENT'!D380,"")</f>
        <v>Class 9</v>
      </c>
      <c r="E381" s="9" t="str">
        <f>IF(IF(SelectedScope="All India",TRUE,'RAW_AR_CONTENT'!$B380=SelectedScope),'RAW_AR_CONTENT'!E380,"")</f>
        <v>Cell Division</v>
      </c>
      <c r="F381" s="9" t="str">
        <f>IF(IF(SelectedScope="All India",TRUE,'RAW_AR_CONTENT'!$B380=SelectedScope),'RAW_AR_CONTENT'!F380,"")</f>
        <v>Interactive</v>
      </c>
      <c r="G381" s="9" t="str">
        <f>IF(IF(SelectedScope="All India",TRUE,'RAW_AR_CONTENT'!$B380=SelectedScope),'RAW_AR_CONTENT'!G380,"")</f>
        <v>Active</v>
      </c>
      <c r="H381" s="9">
        <f>IF(IF(SelectedScope="All India",TRUE,'RAW_AR_CONTENT'!$B380=SelectedScope),'RAW_AR_CONTENT'!H380,"")</f>
        <v>0</v>
      </c>
      <c r="I381" s="9">
        <f>IF(IF(SelectedScope="All India",TRUE,'RAW_AR_CONTENT'!$B380=SelectedScope),'RAW_AR_CONTENT'!I380,"")</f>
        <v>0</v>
      </c>
      <c r="J381" s="9">
        <f>IF(IF(SelectedScope="All India",TRUE,'RAW_AR_CONTENT'!$B380=SelectedScope),'RAW_AR_CONTENT'!J380,"")</f>
        <v>0</v>
      </c>
      <c r="K381" s="9">
        <f>IF(IF(SelectedScope="All India",TRUE,'RAW_AR_CONTENT'!$B380=SelectedScope),'RAW_AR_CONTENT'!K380,"")</f>
        <v>0</v>
      </c>
      <c r="L381" s="9">
        <f>IF(IF(SelectedScope="All India",TRUE,'RAW_AR_CONTENT'!$B380=SelectedScope),'RAW_AR_CONTENT'!L380,"")</f>
        <v>0</v>
      </c>
      <c r="M381" s="9">
        <f>IF(IF(SelectedScope="All India",TRUE,'RAW_AR_CONTENT'!$B380=SelectedScope),'RAW_AR_CONTENT'!M380,"")</f>
        <v>0</v>
      </c>
      <c r="N381" s="9">
        <f>IF(IF(SelectedScope="All India",TRUE,'RAW_AR_CONTENT'!$B380=SelectedScope),'RAW_AR_CONTENT'!N380,"")</f>
        <v>0</v>
      </c>
      <c r="O381" s="9">
        <f>IF(IF(SelectedScope="All India",TRUE,'RAW_AR_CONTENT'!$B380=SelectedScope),'RAW_AR_CONTENT'!O380,"")</f>
        <v>0</v>
      </c>
      <c r="P381" s="9">
        <f>IF(IF(SelectedScope="All India",TRUE,'RAW_AR_CONTENT'!$B380=SelectedScope),'RAW_AR_CONTENT'!P380,"")</f>
        <v>0</v>
      </c>
      <c r="Q381" s="9">
        <f>IF(IF(SelectedScope="All India",TRUE,'RAW_AR_CONTENT'!$B380=SelectedScope),'RAW_AR_CONTENT'!Q380,"")</f>
        <v>0</v>
      </c>
      <c r="R381" s="9">
        <f>IF(IF(SelectedScope="All India",TRUE,'RAW_AR_CONTENT'!$B380=SelectedScope),'RAW_AR_CONTENT'!R380,"")</f>
        <v>0</v>
      </c>
    </row>
    <row r="382" spans="1:18" ht="15" customHeight="1" x14ac:dyDescent="0.3">
      <c r="A382" s="12">
        <f>IF(IF(SelectedScope="All India",TRUE,'RAW_AR_CONTENT'!$B381=SelectedScope),'RAW_AR_CONTENT'!A381,"")</f>
        <v>378</v>
      </c>
      <c r="B382" s="12" t="str">
        <f>IF(IF(SelectedScope="All India",TRUE,'RAW_AR_CONTENT'!$B381=SelectedScope),'RAW_AR_CONTENT'!B381,"")</f>
        <v>Odisha</v>
      </c>
      <c r="C382" s="12" t="str">
        <f>IF(IF(SelectedScope="All India",TRUE,'RAW_AR_CONTENT'!$B381=SelectedScope),'RAW_AR_CONTENT'!C381,"")</f>
        <v>Chemistry</v>
      </c>
      <c r="D382" s="12" t="str">
        <f>IF(IF(SelectedScope="All India",TRUE,'RAW_AR_CONTENT'!$B381=SelectedScope),'RAW_AR_CONTENT'!D381,"")</f>
        <v>Class 9</v>
      </c>
      <c r="E382" s="12" t="str">
        <f>IF(IF(SelectedScope="All India",TRUE,'RAW_AR_CONTENT'!$B381=SelectedScope),'RAW_AR_CONTENT'!E381,"")</f>
        <v>Atoms and Molecules</v>
      </c>
      <c r="F382" s="12" t="str">
        <f>IF(IF(SelectedScope="All India",TRUE,'RAW_AR_CONTENT'!$B381=SelectedScope),'RAW_AR_CONTENT'!F381,"")</f>
        <v>Animated</v>
      </c>
      <c r="G382" s="12" t="str">
        <f>IF(IF(SelectedScope="All India",TRUE,'RAW_AR_CONTENT'!$B381=SelectedScope),'RAW_AR_CONTENT'!G381,"")</f>
        <v>Active</v>
      </c>
      <c r="H382" s="12">
        <f>IF(IF(SelectedScope="All India",TRUE,'RAW_AR_CONTENT'!$B381=SelectedScope),'RAW_AR_CONTENT'!H381,"")</f>
        <v>0</v>
      </c>
      <c r="I382" s="12">
        <f>IF(IF(SelectedScope="All India",TRUE,'RAW_AR_CONTENT'!$B381=SelectedScope),'RAW_AR_CONTENT'!I381,"")</f>
        <v>0</v>
      </c>
      <c r="J382" s="12">
        <f>IF(IF(SelectedScope="All India",TRUE,'RAW_AR_CONTENT'!$B381=SelectedScope),'RAW_AR_CONTENT'!J381,"")</f>
        <v>0</v>
      </c>
      <c r="K382" s="12">
        <f>IF(IF(SelectedScope="All India",TRUE,'RAW_AR_CONTENT'!$B381=SelectedScope),'RAW_AR_CONTENT'!K381,"")</f>
        <v>0</v>
      </c>
      <c r="L382" s="12">
        <f>IF(IF(SelectedScope="All India",TRUE,'RAW_AR_CONTENT'!$B381=SelectedScope),'RAW_AR_CONTENT'!L381,"")</f>
        <v>0</v>
      </c>
      <c r="M382" s="12">
        <f>IF(IF(SelectedScope="All India",TRUE,'RAW_AR_CONTENT'!$B381=SelectedScope),'RAW_AR_CONTENT'!M381,"")</f>
        <v>0</v>
      </c>
      <c r="N382" s="12">
        <f>IF(IF(SelectedScope="All India",TRUE,'RAW_AR_CONTENT'!$B381=SelectedScope),'RAW_AR_CONTENT'!N381,"")</f>
        <v>0</v>
      </c>
      <c r="O382" s="12">
        <f>IF(IF(SelectedScope="All India",TRUE,'RAW_AR_CONTENT'!$B381=SelectedScope),'RAW_AR_CONTENT'!O381,"")</f>
        <v>0</v>
      </c>
      <c r="P382" s="12">
        <f>IF(IF(SelectedScope="All India",TRUE,'RAW_AR_CONTENT'!$B381=SelectedScope),'RAW_AR_CONTENT'!P381,"")</f>
        <v>0</v>
      </c>
      <c r="Q382" s="12">
        <f>IF(IF(SelectedScope="All India",TRUE,'RAW_AR_CONTENT'!$B381=SelectedScope),'RAW_AR_CONTENT'!Q381,"")</f>
        <v>0</v>
      </c>
      <c r="R382" s="12">
        <f>IF(IF(SelectedScope="All India",TRUE,'RAW_AR_CONTENT'!$B381=SelectedScope),'RAW_AR_CONTENT'!R381,"")</f>
        <v>0</v>
      </c>
    </row>
    <row r="383" spans="1:18" ht="15" customHeight="1" x14ac:dyDescent="0.3">
      <c r="A383" s="9">
        <f>IF(IF(SelectedScope="All India",TRUE,'RAW_AR_CONTENT'!$B382=SelectedScope),'RAW_AR_CONTENT'!A382,"")</f>
        <v>379</v>
      </c>
      <c r="B383" s="9" t="str">
        <f>IF(IF(SelectedScope="All India",TRUE,'RAW_AR_CONTENT'!$B382=SelectedScope),'RAW_AR_CONTENT'!B382,"")</f>
        <v>Odisha</v>
      </c>
      <c r="C383" s="9" t="str">
        <f>IF(IF(SelectedScope="All India",TRUE,'RAW_AR_CONTENT'!$B382=SelectedScope),'RAW_AR_CONTENT'!C382,"")</f>
        <v>Biology</v>
      </c>
      <c r="D383" s="9" t="str">
        <f>IF(IF(SelectedScope="All India",TRUE,'RAW_AR_CONTENT'!$B382=SelectedScope),'RAW_AR_CONTENT'!D382,"")</f>
        <v>Class 7</v>
      </c>
      <c r="E383" s="9" t="str">
        <f>IF(IF(SelectedScope="All India",TRUE,'RAW_AR_CONTENT'!$B382=SelectedScope),'RAW_AR_CONTENT'!E382,"")</f>
        <v>Photosynthesis</v>
      </c>
      <c r="F383" s="9" t="str">
        <f>IF(IF(SelectedScope="All India",TRUE,'RAW_AR_CONTENT'!$B382=SelectedScope),'RAW_AR_CONTENT'!F382,"")</f>
        <v>Basic 3D</v>
      </c>
      <c r="G383" s="9" t="str">
        <f>IF(IF(SelectedScope="All India",TRUE,'RAW_AR_CONTENT'!$B382=SelectedScope),'RAW_AR_CONTENT'!G382,"")</f>
        <v>Active</v>
      </c>
      <c r="H383" s="9">
        <f>IF(IF(SelectedScope="All India",TRUE,'RAW_AR_CONTENT'!$B382=SelectedScope),'RAW_AR_CONTENT'!H382,"")</f>
        <v>0</v>
      </c>
      <c r="I383" s="9">
        <f>IF(IF(SelectedScope="All India",TRUE,'RAW_AR_CONTENT'!$B382=SelectedScope),'RAW_AR_CONTENT'!I382,"")</f>
        <v>0</v>
      </c>
      <c r="J383" s="9">
        <f>IF(IF(SelectedScope="All India",TRUE,'RAW_AR_CONTENT'!$B382=SelectedScope),'RAW_AR_CONTENT'!J382,"")</f>
        <v>0</v>
      </c>
      <c r="K383" s="9">
        <f>IF(IF(SelectedScope="All India",TRUE,'RAW_AR_CONTENT'!$B382=SelectedScope),'RAW_AR_CONTENT'!K382,"")</f>
        <v>0</v>
      </c>
      <c r="L383" s="9">
        <f>IF(IF(SelectedScope="All India",TRUE,'RAW_AR_CONTENT'!$B382=SelectedScope),'RAW_AR_CONTENT'!L382,"")</f>
        <v>0</v>
      </c>
      <c r="M383" s="9">
        <f>IF(IF(SelectedScope="All India",TRUE,'RAW_AR_CONTENT'!$B382=SelectedScope),'RAW_AR_CONTENT'!M382,"")</f>
        <v>0</v>
      </c>
      <c r="N383" s="9">
        <f>IF(IF(SelectedScope="All India",TRUE,'RAW_AR_CONTENT'!$B382=SelectedScope),'RAW_AR_CONTENT'!N382,"")</f>
        <v>0</v>
      </c>
      <c r="O383" s="9">
        <f>IF(IF(SelectedScope="All India",TRUE,'RAW_AR_CONTENT'!$B382=SelectedScope),'RAW_AR_CONTENT'!O382,"")</f>
        <v>0</v>
      </c>
      <c r="P383" s="9">
        <f>IF(IF(SelectedScope="All India",TRUE,'RAW_AR_CONTENT'!$B382=SelectedScope),'RAW_AR_CONTENT'!P382,"")</f>
        <v>0</v>
      </c>
      <c r="Q383" s="9">
        <f>IF(IF(SelectedScope="All India",TRUE,'RAW_AR_CONTENT'!$B382=SelectedScope),'RAW_AR_CONTENT'!Q382,"")</f>
        <v>0</v>
      </c>
      <c r="R383" s="9">
        <f>IF(IF(SelectedScope="All India",TRUE,'RAW_AR_CONTENT'!$B382=SelectedScope),'RAW_AR_CONTENT'!R382,"")</f>
        <v>0</v>
      </c>
    </row>
    <row r="384" spans="1:18" ht="15" customHeight="1" x14ac:dyDescent="0.3">
      <c r="A384" s="12">
        <f>IF(IF(SelectedScope="All India",TRUE,'RAW_AR_CONTENT'!$B383=SelectedScope),'RAW_AR_CONTENT'!A383,"")</f>
        <v>380</v>
      </c>
      <c r="B384" s="12" t="str">
        <f>IF(IF(SelectedScope="All India",TRUE,'RAW_AR_CONTENT'!$B383=SelectedScope),'RAW_AR_CONTENT'!B383,"")</f>
        <v>Odisha</v>
      </c>
      <c r="C384" s="12" t="str">
        <f>IF(IF(SelectedScope="All India",TRUE,'RAW_AR_CONTENT'!$B383=SelectedScope),'RAW_AR_CONTENT'!C383,"")</f>
        <v>Mathematics</v>
      </c>
      <c r="D384" s="12" t="str">
        <f>IF(IF(SelectedScope="All India",TRUE,'RAW_AR_CONTENT'!$B383=SelectedScope),'RAW_AR_CONTENT'!D383,"")</f>
        <v>Class 7</v>
      </c>
      <c r="E384" s="12" t="str">
        <f>IF(IF(SelectedScope="All India",TRUE,'RAW_AR_CONTENT'!$B383=SelectedScope),'RAW_AR_CONTENT'!E383,"")</f>
        <v>Fractions 3D Model</v>
      </c>
      <c r="F384" s="12" t="str">
        <f>IF(IF(SelectedScope="All India",TRUE,'RAW_AR_CONTENT'!$B383=SelectedScope),'RAW_AR_CONTENT'!F383,"")</f>
        <v>Interactive</v>
      </c>
      <c r="G384" s="12" t="str">
        <f>IF(IF(SelectedScope="All India",TRUE,'RAW_AR_CONTENT'!$B383=SelectedScope),'RAW_AR_CONTENT'!G383,"")</f>
        <v>Active</v>
      </c>
      <c r="H384" s="12">
        <f>IF(IF(SelectedScope="All India",TRUE,'RAW_AR_CONTENT'!$B383=SelectedScope),'RAW_AR_CONTENT'!H383,"")</f>
        <v>0</v>
      </c>
      <c r="I384" s="12">
        <f>IF(IF(SelectedScope="All India",TRUE,'RAW_AR_CONTENT'!$B383=SelectedScope),'RAW_AR_CONTENT'!I383,"")</f>
        <v>0</v>
      </c>
      <c r="J384" s="12">
        <f>IF(IF(SelectedScope="All India",TRUE,'RAW_AR_CONTENT'!$B383=SelectedScope),'RAW_AR_CONTENT'!J383,"")</f>
        <v>0</v>
      </c>
      <c r="K384" s="12">
        <f>IF(IF(SelectedScope="All India",TRUE,'RAW_AR_CONTENT'!$B383=SelectedScope),'RAW_AR_CONTENT'!K383,"")</f>
        <v>0</v>
      </c>
      <c r="L384" s="12">
        <f>IF(IF(SelectedScope="All India",TRUE,'RAW_AR_CONTENT'!$B383=SelectedScope),'RAW_AR_CONTENT'!L383,"")</f>
        <v>0</v>
      </c>
      <c r="M384" s="12">
        <f>IF(IF(SelectedScope="All India",TRUE,'RAW_AR_CONTENT'!$B383=SelectedScope),'RAW_AR_CONTENT'!M383,"")</f>
        <v>0</v>
      </c>
      <c r="N384" s="12">
        <f>IF(IF(SelectedScope="All India",TRUE,'RAW_AR_CONTENT'!$B383=SelectedScope),'RAW_AR_CONTENT'!N383,"")</f>
        <v>0</v>
      </c>
      <c r="O384" s="12">
        <f>IF(IF(SelectedScope="All India",TRUE,'RAW_AR_CONTENT'!$B383=SelectedScope),'RAW_AR_CONTENT'!O383,"")</f>
        <v>0</v>
      </c>
      <c r="P384" s="12">
        <f>IF(IF(SelectedScope="All India",TRUE,'RAW_AR_CONTENT'!$B383=SelectedScope),'RAW_AR_CONTENT'!P383,"")</f>
        <v>0</v>
      </c>
      <c r="Q384" s="12">
        <f>IF(IF(SelectedScope="All India",TRUE,'RAW_AR_CONTENT'!$B383=SelectedScope),'RAW_AR_CONTENT'!Q383,"")</f>
        <v>0</v>
      </c>
      <c r="R384" s="12">
        <f>IF(IF(SelectedScope="All India",TRUE,'RAW_AR_CONTENT'!$B383=SelectedScope),'RAW_AR_CONTENT'!R383,"")</f>
        <v>0</v>
      </c>
    </row>
    <row r="385" spans="1:18" ht="15" customHeight="1" x14ac:dyDescent="0.3">
      <c r="A385" s="9">
        <f>IF(IF(SelectedScope="All India",TRUE,'RAW_AR_CONTENT'!$B384=SelectedScope),'RAW_AR_CONTENT'!A384,"")</f>
        <v>381</v>
      </c>
      <c r="B385" s="9" t="str">
        <f>IF(IF(SelectedScope="All India",TRUE,'RAW_AR_CONTENT'!$B384=SelectedScope),'RAW_AR_CONTENT'!B384,"")</f>
        <v>Odisha</v>
      </c>
      <c r="C385" s="9" t="str">
        <f>IF(IF(SelectedScope="All India",TRUE,'RAW_AR_CONTENT'!$B384=SelectedScope),'RAW_AR_CONTENT'!C384,"")</f>
        <v>Mathematics</v>
      </c>
      <c r="D385" s="9" t="str">
        <f>IF(IF(SelectedScope="All India",TRUE,'RAW_AR_CONTENT'!$B384=SelectedScope),'RAW_AR_CONTENT'!D384,"")</f>
        <v>Class 10</v>
      </c>
      <c r="E385" s="9" t="str">
        <f>IF(IF(SelectedScope="All India",TRUE,'RAW_AR_CONTENT'!$B384=SelectedScope),'RAW_AR_CONTENT'!E384,"")</f>
        <v>Trigonometry 3D</v>
      </c>
      <c r="F385" s="9" t="str">
        <f>IF(IF(SelectedScope="All India",TRUE,'RAW_AR_CONTENT'!$B384=SelectedScope),'RAW_AR_CONTENT'!F384,"")</f>
        <v>Animated</v>
      </c>
      <c r="G385" s="9" t="str">
        <f>IF(IF(SelectedScope="All India",TRUE,'RAW_AR_CONTENT'!$B384=SelectedScope),'RAW_AR_CONTENT'!G384,"")</f>
        <v>Active</v>
      </c>
      <c r="H385" s="9">
        <f>IF(IF(SelectedScope="All India",TRUE,'RAW_AR_CONTENT'!$B384=SelectedScope),'RAW_AR_CONTENT'!H384,"")</f>
        <v>0</v>
      </c>
      <c r="I385" s="9">
        <f>IF(IF(SelectedScope="All India",TRUE,'RAW_AR_CONTENT'!$B384=SelectedScope),'RAW_AR_CONTENT'!I384,"")</f>
        <v>0</v>
      </c>
      <c r="J385" s="9">
        <f>IF(IF(SelectedScope="All India",TRUE,'RAW_AR_CONTENT'!$B384=SelectedScope),'RAW_AR_CONTENT'!J384,"")</f>
        <v>0</v>
      </c>
      <c r="K385" s="9">
        <f>IF(IF(SelectedScope="All India",TRUE,'RAW_AR_CONTENT'!$B384=SelectedScope),'RAW_AR_CONTENT'!K384,"")</f>
        <v>0</v>
      </c>
      <c r="L385" s="9">
        <f>IF(IF(SelectedScope="All India",TRUE,'RAW_AR_CONTENT'!$B384=SelectedScope),'RAW_AR_CONTENT'!L384,"")</f>
        <v>0</v>
      </c>
      <c r="M385" s="9">
        <f>IF(IF(SelectedScope="All India",TRUE,'RAW_AR_CONTENT'!$B384=SelectedScope),'RAW_AR_CONTENT'!M384,"")</f>
        <v>0</v>
      </c>
      <c r="N385" s="9">
        <f>IF(IF(SelectedScope="All India",TRUE,'RAW_AR_CONTENT'!$B384=SelectedScope),'RAW_AR_CONTENT'!N384,"")</f>
        <v>0</v>
      </c>
      <c r="O385" s="9">
        <f>IF(IF(SelectedScope="All India",TRUE,'RAW_AR_CONTENT'!$B384=SelectedScope),'RAW_AR_CONTENT'!O384,"")</f>
        <v>0</v>
      </c>
      <c r="P385" s="9">
        <f>IF(IF(SelectedScope="All India",TRUE,'RAW_AR_CONTENT'!$B384=SelectedScope),'RAW_AR_CONTENT'!P384,"")</f>
        <v>0</v>
      </c>
      <c r="Q385" s="9">
        <f>IF(IF(SelectedScope="All India",TRUE,'RAW_AR_CONTENT'!$B384=SelectedScope),'RAW_AR_CONTENT'!Q384,"")</f>
        <v>0</v>
      </c>
      <c r="R385" s="9">
        <f>IF(IF(SelectedScope="All India",TRUE,'RAW_AR_CONTENT'!$B384=SelectedScope),'RAW_AR_CONTENT'!R384,"")</f>
        <v>0</v>
      </c>
    </row>
    <row r="386" spans="1:18" ht="15" customHeight="1" x14ac:dyDescent="0.3">
      <c r="A386" s="12">
        <f>IF(IF(SelectedScope="All India",TRUE,'RAW_AR_CONTENT'!$B385=SelectedScope),'RAW_AR_CONTENT'!A385,"")</f>
        <v>382</v>
      </c>
      <c r="B386" s="12" t="str">
        <f>IF(IF(SelectedScope="All India",TRUE,'RAW_AR_CONTENT'!$B385=SelectedScope),'RAW_AR_CONTENT'!B385,"")</f>
        <v>Odisha</v>
      </c>
      <c r="C386" s="12" t="str">
        <f>IF(IF(SelectedScope="All India",TRUE,'RAW_AR_CONTENT'!$B385=SelectedScope),'RAW_AR_CONTENT'!C385,"")</f>
        <v>History</v>
      </c>
      <c r="D386" s="12" t="str">
        <f>IF(IF(SelectedScope="All India",TRUE,'RAW_AR_CONTENT'!$B385=SelectedScope),'RAW_AR_CONTENT'!D385,"")</f>
        <v>Class 10</v>
      </c>
      <c r="E386" s="12" t="str">
        <f>IF(IF(SelectedScope="All India",TRUE,'RAW_AR_CONTENT'!$B385=SelectedScope),'RAW_AR_CONTENT'!E385,"")</f>
        <v>Mughal Empire AR</v>
      </c>
      <c r="F386" s="12" t="str">
        <f>IF(IF(SelectedScope="All India",TRUE,'RAW_AR_CONTENT'!$B385=SelectedScope),'RAW_AR_CONTENT'!F385,"")</f>
        <v>Basic 3D</v>
      </c>
      <c r="G386" s="12" t="str">
        <f>IF(IF(SelectedScope="All India",TRUE,'RAW_AR_CONTENT'!$B385=SelectedScope),'RAW_AR_CONTENT'!G385,"")</f>
        <v>Active</v>
      </c>
      <c r="H386" s="12">
        <f>IF(IF(SelectedScope="All India",TRUE,'RAW_AR_CONTENT'!$B385=SelectedScope),'RAW_AR_CONTENT'!H385,"")</f>
        <v>0</v>
      </c>
      <c r="I386" s="12">
        <f>IF(IF(SelectedScope="All India",TRUE,'RAW_AR_CONTENT'!$B385=SelectedScope),'RAW_AR_CONTENT'!I385,"")</f>
        <v>0</v>
      </c>
      <c r="J386" s="12">
        <f>IF(IF(SelectedScope="All India",TRUE,'RAW_AR_CONTENT'!$B385=SelectedScope),'RAW_AR_CONTENT'!J385,"")</f>
        <v>0</v>
      </c>
      <c r="K386" s="12">
        <f>IF(IF(SelectedScope="All India",TRUE,'RAW_AR_CONTENT'!$B385=SelectedScope),'RAW_AR_CONTENT'!K385,"")</f>
        <v>0</v>
      </c>
      <c r="L386" s="12">
        <f>IF(IF(SelectedScope="All India",TRUE,'RAW_AR_CONTENT'!$B385=SelectedScope),'RAW_AR_CONTENT'!L385,"")</f>
        <v>0</v>
      </c>
      <c r="M386" s="12">
        <f>IF(IF(SelectedScope="All India",TRUE,'RAW_AR_CONTENT'!$B385=SelectedScope),'RAW_AR_CONTENT'!M385,"")</f>
        <v>0</v>
      </c>
      <c r="N386" s="12">
        <f>IF(IF(SelectedScope="All India",TRUE,'RAW_AR_CONTENT'!$B385=SelectedScope),'RAW_AR_CONTENT'!N385,"")</f>
        <v>0</v>
      </c>
      <c r="O386" s="12">
        <f>IF(IF(SelectedScope="All India",TRUE,'RAW_AR_CONTENT'!$B385=SelectedScope),'RAW_AR_CONTENT'!O385,"")</f>
        <v>0</v>
      </c>
      <c r="P386" s="12">
        <f>IF(IF(SelectedScope="All India",TRUE,'RAW_AR_CONTENT'!$B385=SelectedScope),'RAW_AR_CONTENT'!P385,"")</f>
        <v>0</v>
      </c>
      <c r="Q386" s="12">
        <f>IF(IF(SelectedScope="All India",TRUE,'RAW_AR_CONTENT'!$B385=SelectedScope),'RAW_AR_CONTENT'!Q385,"")</f>
        <v>0</v>
      </c>
      <c r="R386" s="12">
        <f>IF(IF(SelectedScope="All India",TRUE,'RAW_AR_CONTENT'!$B385=SelectedScope),'RAW_AR_CONTENT'!R385,"")</f>
        <v>0</v>
      </c>
    </row>
    <row r="387" spans="1:18" ht="15" customHeight="1" x14ac:dyDescent="0.3">
      <c r="A387" s="9">
        <f>IF(IF(SelectedScope="All India",TRUE,'RAW_AR_CONTENT'!$B386=SelectedScope),'RAW_AR_CONTENT'!A386,"")</f>
        <v>383</v>
      </c>
      <c r="B387" s="9" t="str">
        <f>IF(IF(SelectedScope="All India",TRUE,'RAW_AR_CONTENT'!$B386=SelectedScope),'RAW_AR_CONTENT'!B386,"")</f>
        <v>Odisha</v>
      </c>
      <c r="C387" s="9" t="str">
        <f>IF(IF(SelectedScope="All India",TRUE,'RAW_AR_CONTENT'!$B386=SelectedScope),'RAW_AR_CONTENT'!C386,"")</f>
        <v>Geography</v>
      </c>
      <c r="D387" s="9" t="str">
        <f>IF(IF(SelectedScope="All India",TRUE,'RAW_AR_CONTENT'!$B386=SelectedScope),'RAW_AR_CONTENT'!D386,"")</f>
        <v>Class 6</v>
      </c>
      <c r="E387" s="9" t="str">
        <f>IF(IF(SelectedScope="All India",TRUE,'RAW_AR_CONTENT'!$B386=SelectedScope),'RAW_AR_CONTENT'!E386,"")</f>
        <v>Water Cycle Simulation</v>
      </c>
      <c r="F387" s="9" t="str">
        <f>IF(IF(SelectedScope="All India",TRUE,'RAW_AR_CONTENT'!$B386=SelectedScope),'RAW_AR_CONTENT'!F386,"")</f>
        <v>Animated</v>
      </c>
      <c r="G387" s="9" t="str">
        <f>IF(IF(SelectedScope="All India",TRUE,'RAW_AR_CONTENT'!$B386=SelectedScope),'RAW_AR_CONTENT'!G386,"")</f>
        <v>Active</v>
      </c>
      <c r="H387" s="9">
        <f>IF(IF(SelectedScope="All India",TRUE,'RAW_AR_CONTENT'!$B386=SelectedScope),'RAW_AR_CONTENT'!H386,"")</f>
        <v>0</v>
      </c>
      <c r="I387" s="9">
        <f>IF(IF(SelectedScope="All India",TRUE,'RAW_AR_CONTENT'!$B386=SelectedScope),'RAW_AR_CONTENT'!I386,"")</f>
        <v>0</v>
      </c>
      <c r="J387" s="9">
        <f>IF(IF(SelectedScope="All India",TRUE,'RAW_AR_CONTENT'!$B386=SelectedScope),'RAW_AR_CONTENT'!J386,"")</f>
        <v>0</v>
      </c>
      <c r="K387" s="9">
        <f>IF(IF(SelectedScope="All India",TRUE,'RAW_AR_CONTENT'!$B386=SelectedScope),'RAW_AR_CONTENT'!K386,"")</f>
        <v>0</v>
      </c>
      <c r="L387" s="9">
        <f>IF(IF(SelectedScope="All India",TRUE,'RAW_AR_CONTENT'!$B386=SelectedScope),'RAW_AR_CONTENT'!L386,"")</f>
        <v>0</v>
      </c>
      <c r="M387" s="9">
        <f>IF(IF(SelectedScope="All India",TRUE,'RAW_AR_CONTENT'!$B386=SelectedScope),'RAW_AR_CONTENT'!M386,"")</f>
        <v>0</v>
      </c>
      <c r="N387" s="9">
        <f>IF(IF(SelectedScope="All India",TRUE,'RAW_AR_CONTENT'!$B386=SelectedScope),'RAW_AR_CONTENT'!N386,"")</f>
        <v>0</v>
      </c>
      <c r="O387" s="9">
        <f>IF(IF(SelectedScope="All India",TRUE,'RAW_AR_CONTENT'!$B386=SelectedScope),'RAW_AR_CONTENT'!O386,"")</f>
        <v>0</v>
      </c>
      <c r="P387" s="9">
        <f>IF(IF(SelectedScope="All India",TRUE,'RAW_AR_CONTENT'!$B386=SelectedScope),'RAW_AR_CONTENT'!P386,"")</f>
        <v>0</v>
      </c>
      <c r="Q387" s="9">
        <f>IF(IF(SelectedScope="All India",TRUE,'RAW_AR_CONTENT'!$B386=SelectedScope),'RAW_AR_CONTENT'!Q386,"")</f>
        <v>0</v>
      </c>
      <c r="R387" s="9">
        <f>IF(IF(SelectedScope="All India",TRUE,'RAW_AR_CONTENT'!$B386=SelectedScope),'RAW_AR_CONTENT'!R386,"")</f>
        <v>0</v>
      </c>
    </row>
    <row r="388" spans="1:18" ht="15" customHeight="1" x14ac:dyDescent="0.3">
      <c r="A388" s="12">
        <f>IF(IF(SelectedScope="All India",TRUE,'RAW_AR_CONTENT'!$B387=SelectedScope),'RAW_AR_CONTENT'!A387,"")</f>
        <v>384</v>
      </c>
      <c r="B388" s="12" t="str">
        <f>IF(IF(SelectedScope="All India",TRUE,'RAW_AR_CONTENT'!$B387=SelectedScope),'RAW_AR_CONTENT'!B387,"")</f>
        <v>Odisha</v>
      </c>
      <c r="C388" s="12" t="str">
        <f>IF(IF(SelectedScope="All India",TRUE,'RAW_AR_CONTENT'!$B387=SelectedScope),'RAW_AR_CONTENT'!C387,"")</f>
        <v>Biology</v>
      </c>
      <c r="D388" s="12" t="str">
        <f>IF(IF(SelectedScope="All India",TRUE,'RAW_AR_CONTENT'!$B387=SelectedScope),'RAW_AR_CONTENT'!D387,"")</f>
        <v>Class 11</v>
      </c>
      <c r="E388" s="12" t="str">
        <f>IF(IF(SelectedScope="All India",TRUE,'RAW_AR_CONTENT'!$B387=SelectedScope),'RAW_AR_CONTENT'!E387,"")</f>
        <v>Human Anatomy AR</v>
      </c>
      <c r="F388" s="12" t="str">
        <f>IF(IF(SelectedScope="All India",TRUE,'RAW_AR_CONTENT'!$B387=SelectedScope),'RAW_AR_CONTENT'!F387,"")</f>
        <v>Fully Immersive</v>
      </c>
      <c r="G388" s="12" t="str">
        <f>IF(IF(SelectedScope="All India",TRUE,'RAW_AR_CONTENT'!$B387=SelectedScope),'RAW_AR_CONTENT'!G387,"")</f>
        <v>Active</v>
      </c>
      <c r="H388" s="12">
        <f>IF(IF(SelectedScope="All India",TRUE,'RAW_AR_CONTENT'!$B387=SelectedScope),'RAW_AR_CONTENT'!H387,"")</f>
        <v>0</v>
      </c>
      <c r="I388" s="12">
        <f>IF(IF(SelectedScope="All India",TRUE,'RAW_AR_CONTENT'!$B387=SelectedScope),'RAW_AR_CONTENT'!I387,"")</f>
        <v>0</v>
      </c>
      <c r="J388" s="12">
        <f>IF(IF(SelectedScope="All India",TRUE,'RAW_AR_CONTENT'!$B387=SelectedScope),'RAW_AR_CONTENT'!J387,"")</f>
        <v>0</v>
      </c>
      <c r="K388" s="12">
        <f>IF(IF(SelectedScope="All India",TRUE,'RAW_AR_CONTENT'!$B387=SelectedScope),'RAW_AR_CONTENT'!K387,"")</f>
        <v>0</v>
      </c>
      <c r="L388" s="12">
        <f>IF(IF(SelectedScope="All India",TRUE,'RAW_AR_CONTENT'!$B387=SelectedScope),'RAW_AR_CONTENT'!L387,"")</f>
        <v>0</v>
      </c>
      <c r="M388" s="12">
        <f>IF(IF(SelectedScope="All India",TRUE,'RAW_AR_CONTENT'!$B387=SelectedScope),'RAW_AR_CONTENT'!M387,"")</f>
        <v>0</v>
      </c>
      <c r="N388" s="12">
        <f>IF(IF(SelectedScope="All India",TRUE,'RAW_AR_CONTENT'!$B387=SelectedScope),'RAW_AR_CONTENT'!N387,"")</f>
        <v>0</v>
      </c>
      <c r="O388" s="12">
        <f>IF(IF(SelectedScope="All India",TRUE,'RAW_AR_CONTENT'!$B387=SelectedScope),'RAW_AR_CONTENT'!O387,"")</f>
        <v>0</v>
      </c>
      <c r="P388" s="12">
        <f>IF(IF(SelectedScope="All India",TRUE,'RAW_AR_CONTENT'!$B387=SelectedScope),'RAW_AR_CONTENT'!P387,"")</f>
        <v>0</v>
      </c>
      <c r="Q388" s="12">
        <f>IF(IF(SelectedScope="All India",TRUE,'RAW_AR_CONTENT'!$B387=SelectedScope),'RAW_AR_CONTENT'!Q387,"")</f>
        <v>0</v>
      </c>
      <c r="R388" s="12">
        <f>IF(IF(SelectedScope="All India",TRUE,'RAW_AR_CONTENT'!$B387=SelectedScope),'RAW_AR_CONTENT'!R387,"")</f>
        <v>0</v>
      </c>
    </row>
    <row r="389" spans="1:18" ht="15" customHeight="1" x14ac:dyDescent="0.3">
      <c r="A389" s="9">
        <f>IF(IF(SelectedScope="All India",TRUE,'RAW_AR_CONTENT'!$B388=SelectedScope),'RAW_AR_CONTENT'!A388,"")</f>
        <v>385</v>
      </c>
      <c r="B389" s="9" t="str">
        <f>IF(IF(SelectedScope="All India",TRUE,'RAW_AR_CONTENT'!$B388=SelectedScope),'RAW_AR_CONTENT'!B388,"")</f>
        <v>Odisha</v>
      </c>
      <c r="C389" s="9" t="str">
        <f>IF(IF(SelectedScope="All India",TRUE,'RAW_AR_CONTENT'!$B388=SelectedScope),'RAW_AR_CONTENT'!C388,"")</f>
        <v>Physics</v>
      </c>
      <c r="D389" s="9" t="str">
        <f>IF(IF(SelectedScope="All India",TRUE,'RAW_AR_CONTENT'!$B388=SelectedScope),'RAW_AR_CONTENT'!D388,"")</f>
        <v>Class 9</v>
      </c>
      <c r="E389" s="9" t="str">
        <f>IF(IF(SelectedScope="All India",TRUE,'RAW_AR_CONTENT'!$B388=SelectedScope),'RAW_AR_CONTENT'!E388,"")</f>
        <v>Laws of Motion</v>
      </c>
      <c r="F389" s="9" t="str">
        <f>IF(IF(SelectedScope="All India",TRUE,'RAW_AR_CONTENT'!$B388=SelectedScope),'RAW_AR_CONTENT'!F388,"")</f>
        <v>Interactive</v>
      </c>
      <c r="G389" s="9" t="str">
        <f>IF(IF(SelectedScope="All India",TRUE,'RAW_AR_CONTENT'!$B388=SelectedScope),'RAW_AR_CONTENT'!G388,"")</f>
        <v>Active</v>
      </c>
      <c r="H389" s="9">
        <f>IF(IF(SelectedScope="All India",TRUE,'RAW_AR_CONTENT'!$B388=SelectedScope),'RAW_AR_CONTENT'!H388,"")</f>
        <v>0</v>
      </c>
      <c r="I389" s="9">
        <f>IF(IF(SelectedScope="All India",TRUE,'RAW_AR_CONTENT'!$B388=SelectedScope),'RAW_AR_CONTENT'!I388,"")</f>
        <v>0</v>
      </c>
      <c r="J389" s="9">
        <f>IF(IF(SelectedScope="All India",TRUE,'RAW_AR_CONTENT'!$B388=SelectedScope),'RAW_AR_CONTENT'!J388,"")</f>
        <v>0</v>
      </c>
      <c r="K389" s="9">
        <f>IF(IF(SelectedScope="All India",TRUE,'RAW_AR_CONTENT'!$B388=SelectedScope),'RAW_AR_CONTENT'!K388,"")</f>
        <v>0</v>
      </c>
      <c r="L389" s="9">
        <f>IF(IF(SelectedScope="All India",TRUE,'RAW_AR_CONTENT'!$B388=SelectedScope),'RAW_AR_CONTENT'!L388,"")</f>
        <v>0</v>
      </c>
      <c r="M389" s="9">
        <f>IF(IF(SelectedScope="All India",TRUE,'RAW_AR_CONTENT'!$B388=SelectedScope),'RAW_AR_CONTENT'!M388,"")</f>
        <v>0</v>
      </c>
      <c r="N389" s="9">
        <f>IF(IF(SelectedScope="All India",TRUE,'RAW_AR_CONTENT'!$B388=SelectedScope),'RAW_AR_CONTENT'!N388,"")</f>
        <v>0</v>
      </c>
      <c r="O389" s="9">
        <f>IF(IF(SelectedScope="All India",TRUE,'RAW_AR_CONTENT'!$B388=SelectedScope),'RAW_AR_CONTENT'!O388,"")</f>
        <v>0</v>
      </c>
      <c r="P389" s="9">
        <f>IF(IF(SelectedScope="All India",TRUE,'RAW_AR_CONTENT'!$B388=SelectedScope),'RAW_AR_CONTENT'!P388,"")</f>
        <v>0</v>
      </c>
      <c r="Q389" s="9">
        <f>IF(IF(SelectedScope="All India",TRUE,'RAW_AR_CONTENT'!$B388=SelectedScope),'RAW_AR_CONTENT'!Q388,"")</f>
        <v>0</v>
      </c>
      <c r="R389" s="9">
        <f>IF(IF(SelectedScope="All India",TRUE,'RAW_AR_CONTENT'!$B388=SelectedScope),'RAW_AR_CONTENT'!R388,"")</f>
        <v>0</v>
      </c>
    </row>
    <row r="390" spans="1:18" ht="15" customHeight="1" x14ac:dyDescent="0.3">
      <c r="A390" s="12">
        <f>IF(IF(SelectedScope="All India",TRUE,'RAW_AR_CONTENT'!$B389=SelectedScope),'RAW_AR_CONTENT'!A389,"")</f>
        <v>386</v>
      </c>
      <c r="B390" s="12" t="str">
        <f>IF(IF(SelectedScope="All India",TRUE,'RAW_AR_CONTENT'!$B389=SelectedScope),'RAW_AR_CONTENT'!B389,"")</f>
        <v>Odisha</v>
      </c>
      <c r="C390" s="12" t="str">
        <f>IF(IF(SelectedScope="All India",TRUE,'RAW_AR_CONTENT'!$B389=SelectedScope),'RAW_AR_CONTENT'!C389,"")</f>
        <v>Chemistry</v>
      </c>
      <c r="D390" s="12" t="str">
        <f>IF(IF(SelectedScope="All India",TRUE,'RAW_AR_CONTENT'!$B389=SelectedScope),'RAW_AR_CONTENT'!D389,"")</f>
        <v>Class 11</v>
      </c>
      <c r="E390" s="12" t="str">
        <f>IF(IF(SelectedScope="All India",TRUE,'RAW_AR_CONTENT'!$B389=SelectedScope),'RAW_AR_CONTENT'!E389,"")</f>
        <v>Periodic Table 3D</v>
      </c>
      <c r="F390" s="12" t="str">
        <f>IF(IF(SelectedScope="All India",TRUE,'RAW_AR_CONTENT'!$B389=SelectedScope),'RAW_AR_CONTENT'!F389,"")</f>
        <v>Interactive</v>
      </c>
      <c r="G390" s="12" t="str">
        <f>IF(IF(SelectedScope="All India",TRUE,'RAW_AR_CONTENT'!$B389=SelectedScope),'RAW_AR_CONTENT'!G389,"")</f>
        <v>Active</v>
      </c>
      <c r="H390" s="12">
        <f>IF(IF(SelectedScope="All India",TRUE,'RAW_AR_CONTENT'!$B389=SelectedScope),'RAW_AR_CONTENT'!H389,"")</f>
        <v>0</v>
      </c>
      <c r="I390" s="12">
        <f>IF(IF(SelectedScope="All India",TRUE,'RAW_AR_CONTENT'!$B389=SelectedScope),'RAW_AR_CONTENT'!I389,"")</f>
        <v>0</v>
      </c>
      <c r="J390" s="12">
        <f>IF(IF(SelectedScope="All India",TRUE,'RAW_AR_CONTENT'!$B389=SelectedScope),'RAW_AR_CONTENT'!J389,"")</f>
        <v>0</v>
      </c>
      <c r="K390" s="12">
        <f>IF(IF(SelectedScope="All India",TRUE,'RAW_AR_CONTENT'!$B389=SelectedScope),'RAW_AR_CONTENT'!K389,"")</f>
        <v>0</v>
      </c>
      <c r="L390" s="12">
        <f>IF(IF(SelectedScope="All India",TRUE,'RAW_AR_CONTENT'!$B389=SelectedScope),'RAW_AR_CONTENT'!L389,"")</f>
        <v>0</v>
      </c>
      <c r="M390" s="12">
        <f>IF(IF(SelectedScope="All India",TRUE,'RAW_AR_CONTENT'!$B389=SelectedScope),'RAW_AR_CONTENT'!M389,"")</f>
        <v>0</v>
      </c>
      <c r="N390" s="12">
        <f>IF(IF(SelectedScope="All India",TRUE,'RAW_AR_CONTENT'!$B389=SelectedScope),'RAW_AR_CONTENT'!N389,"")</f>
        <v>0</v>
      </c>
      <c r="O390" s="12">
        <f>IF(IF(SelectedScope="All India",TRUE,'RAW_AR_CONTENT'!$B389=SelectedScope),'RAW_AR_CONTENT'!O389,"")</f>
        <v>0</v>
      </c>
      <c r="P390" s="12">
        <f>IF(IF(SelectedScope="All India",TRUE,'RAW_AR_CONTENT'!$B389=SelectedScope),'RAW_AR_CONTENT'!P389,"")</f>
        <v>0</v>
      </c>
      <c r="Q390" s="12">
        <f>IF(IF(SelectedScope="All India",TRUE,'RAW_AR_CONTENT'!$B389=SelectedScope),'RAW_AR_CONTENT'!Q389,"")</f>
        <v>0</v>
      </c>
      <c r="R390" s="12">
        <f>IF(IF(SelectedScope="All India",TRUE,'RAW_AR_CONTENT'!$B389=SelectedScope),'RAW_AR_CONTENT'!R389,"")</f>
        <v>0</v>
      </c>
    </row>
    <row r="391" spans="1:18" ht="15" customHeight="1" x14ac:dyDescent="0.3">
      <c r="A391" s="9">
        <f>IF(IF(SelectedScope="All India",TRUE,'RAW_AR_CONTENT'!$B390=SelectedScope),'RAW_AR_CONTENT'!A390,"")</f>
        <v>387</v>
      </c>
      <c r="B391" s="9" t="str">
        <f>IF(IF(SelectedScope="All India",TRUE,'RAW_AR_CONTENT'!$B390=SelectedScope),'RAW_AR_CONTENT'!B390,"")</f>
        <v>Odisha</v>
      </c>
      <c r="C391" s="9" t="str">
        <f>IF(IF(SelectedScope="All India",TRUE,'RAW_AR_CONTENT'!$B390=SelectedScope),'RAW_AR_CONTENT'!C390,"")</f>
        <v>Physics</v>
      </c>
      <c r="D391" s="9" t="str">
        <f>IF(IF(SelectedScope="All India",TRUE,'RAW_AR_CONTENT'!$B390=SelectedScope),'RAW_AR_CONTENT'!D390,"")</f>
        <v>Class 10</v>
      </c>
      <c r="E391" s="9" t="str">
        <f>IF(IF(SelectedScope="All India",TRUE,'RAW_AR_CONTENT'!$B390=SelectedScope),'RAW_AR_CONTENT'!E390,"")</f>
        <v>Electricity Circuits</v>
      </c>
      <c r="F391" s="9" t="str">
        <f>IF(IF(SelectedScope="All India",TRUE,'RAW_AR_CONTENT'!$B390=SelectedScope),'RAW_AR_CONTENT'!F390,"")</f>
        <v>Interactive</v>
      </c>
      <c r="G391" s="9" t="str">
        <f>IF(IF(SelectedScope="All India",TRUE,'RAW_AR_CONTENT'!$B390=SelectedScope),'RAW_AR_CONTENT'!G390,"")</f>
        <v>Active</v>
      </c>
      <c r="H391" s="9">
        <f>IF(IF(SelectedScope="All India",TRUE,'RAW_AR_CONTENT'!$B390=SelectedScope),'RAW_AR_CONTENT'!H390,"")</f>
        <v>0</v>
      </c>
      <c r="I391" s="9">
        <f>IF(IF(SelectedScope="All India",TRUE,'RAW_AR_CONTENT'!$B390=SelectedScope),'RAW_AR_CONTENT'!I390,"")</f>
        <v>0</v>
      </c>
      <c r="J391" s="9">
        <f>IF(IF(SelectedScope="All India",TRUE,'RAW_AR_CONTENT'!$B390=SelectedScope),'RAW_AR_CONTENT'!J390,"")</f>
        <v>0</v>
      </c>
      <c r="K391" s="9">
        <f>IF(IF(SelectedScope="All India",TRUE,'RAW_AR_CONTENT'!$B390=SelectedScope),'RAW_AR_CONTENT'!K390,"")</f>
        <v>0</v>
      </c>
      <c r="L391" s="9">
        <f>IF(IF(SelectedScope="All India",TRUE,'RAW_AR_CONTENT'!$B390=SelectedScope),'RAW_AR_CONTENT'!L390,"")</f>
        <v>0</v>
      </c>
      <c r="M391" s="9">
        <f>IF(IF(SelectedScope="All India",TRUE,'RAW_AR_CONTENT'!$B390=SelectedScope),'RAW_AR_CONTENT'!M390,"")</f>
        <v>0</v>
      </c>
      <c r="N391" s="9">
        <f>IF(IF(SelectedScope="All India",TRUE,'RAW_AR_CONTENT'!$B390=SelectedScope),'RAW_AR_CONTENT'!N390,"")</f>
        <v>0</v>
      </c>
      <c r="O391" s="9">
        <f>IF(IF(SelectedScope="All India",TRUE,'RAW_AR_CONTENT'!$B390=SelectedScope),'RAW_AR_CONTENT'!O390,"")</f>
        <v>0</v>
      </c>
      <c r="P391" s="9">
        <f>IF(IF(SelectedScope="All India",TRUE,'RAW_AR_CONTENT'!$B390=SelectedScope),'RAW_AR_CONTENT'!P390,"")</f>
        <v>0</v>
      </c>
      <c r="Q391" s="9">
        <f>IF(IF(SelectedScope="All India",TRUE,'RAW_AR_CONTENT'!$B390=SelectedScope),'RAW_AR_CONTENT'!Q390,"")</f>
        <v>0</v>
      </c>
      <c r="R391" s="9">
        <f>IF(IF(SelectedScope="All India",TRUE,'RAW_AR_CONTENT'!$B390=SelectedScope),'RAW_AR_CONTENT'!R390,"")</f>
        <v>0</v>
      </c>
    </row>
    <row r="392" spans="1:18" ht="15" customHeight="1" x14ac:dyDescent="0.3">
      <c r="A392" s="12">
        <f>IF(IF(SelectedScope="All India",TRUE,'RAW_AR_CONTENT'!$B391=SelectedScope),'RAW_AR_CONTENT'!A391,"")</f>
        <v>388</v>
      </c>
      <c r="B392" s="12" t="str">
        <f>IF(IF(SelectedScope="All India",TRUE,'RAW_AR_CONTENT'!$B391=SelectedScope),'RAW_AR_CONTENT'!B391,"")</f>
        <v>Odisha</v>
      </c>
      <c r="C392" s="12" t="str">
        <f>IF(IF(SelectedScope="All India",TRUE,'RAW_AR_CONTENT'!$B391=SelectedScope),'RAW_AR_CONTENT'!C391,"")</f>
        <v>Civics</v>
      </c>
      <c r="D392" s="12" t="str">
        <f>IF(IF(SelectedScope="All India",TRUE,'RAW_AR_CONTENT'!$B391=SelectedScope),'RAW_AR_CONTENT'!D391,"")</f>
        <v>Class 9</v>
      </c>
      <c r="E392" s="12" t="str">
        <f>IF(IF(SelectedScope="All India",TRUE,'RAW_AR_CONTENT'!$B391=SelectedScope),'RAW_AR_CONTENT'!E391,"")</f>
        <v>Indian Constitution</v>
      </c>
      <c r="F392" s="12" t="str">
        <f>IF(IF(SelectedScope="All India",TRUE,'RAW_AR_CONTENT'!$B391=SelectedScope),'RAW_AR_CONTENT'!F391,"")</f>
        <v>Basic 3D</v>
      </c>
      <c r="G392" s="12" t="str">
        <f>IF(IF(SelectedScope="All India",TRUE,'RAW_AR_CONTENT'!$B391=SelectedScope),'RAW_AR_CONTENT'!G391,"")</f>
        <v>Active</v>
      </c>
      <c r="H392" s="12">
        <f>IF(IF(SelectedScope="All India",TRUE,'RAW_AR_CONTENT'!$B391=SelectedScope),'RAW_AR_CONTENT'!H391,"")</f>
        <v>0</v>
      </c>
      <c r="I392" s="12">
        <f>IF(IF(SelectedScope="All India",TRUE,'RAW_AR_CONTENT'!$B391=SelectedScope),'RAW_AR_CONTENT'!I391,"")</f>
        <v>0</v>
      </c>
      <c r="J392" s="12">
        <f>IF(IF(SelectedScope="All India",TRUE,'RAW_AR_CONTENT'!$B391=SelectedScope),'RAW_AR_CONTENT'!J391,"")</f>
        <v>0</v>
      </c>
      <c r="K392" s="12">
        <f>IF(IF(SelectedScope="All India",TRUE,'RAW_AR_CONTENT'!$B391=SelectedScope),'RAW_AR_CONTENT'!K391,"")</f>
        <v>0</v>
      </c>
      <c r="L392" s="12">
        <f>IF(IF(SelectedScope="All India",TRUE,'RAW_AR_CONTENT'!$B391=SelectedScope),'RAW_AR_CONTENT'!L391,"")</f>
        <v>0</v>
      </c>
      <c r="M392" s="12">
        <f>IF(IF(SelectedScope="All India",TRUE,'RAW_AR_CONTENT'!$B391=SelectedScope),'RAW_AR_CONTENT'!M391,"")</f>
        <v>0</v>
      </c>
      <c r="N392" s="12">
        <f>IF(IF(SelectedScope="All India",TRUE,'RAW_AR_CONTENT'!$B391=SelectedScope),'RAW_AR_CONTENT'!N391,"")</f>
        <v>0</v>
      </c>
      <c r="O392" s="12">
        <f>IF(IF(SelectedScope="All India",TRUE,'RAW_AR_CONTENT'!$B391=SelectedScope),'RAW_AR_CONTENT'!O391,"")</f>
        <v>0</v>
      </c>
      <c r="P392" s="12">
        <f>IF(IF(SelectedScope="All India",TRUE,'RAW_AR_CONTENT'!$B391=SelectedScope),'RAW_AR_CONTENT'!P391,"")</f>
        <v>0</v>
      </c>
      <c r="Q392" s="12">
        <f>IF(IF(SelectedScope="All India",TRUE,'RAW_AR_CONTENT'!$B391=SelectedScope),'RAW_AR_CONTENT'!Q391,"")</f>
        <v>0</v>
      </c>
      <c r="R392" s="12">
        <f>IF(IF(SelectedScope="All India",TRUE,'RAW_AR_CONTENT'!$B391=SelectedScope),'RAW_AR_CONTENT'!R391,"")</f>
        <v>0</v>
      </c>
    </row>
    <row r="393" spans="1:18" ht="15" customHeight="1" x14ac:dyDescent="0.3">
      <c r="A393" s="9">
        <f>IF(IF(SelectedScope="All India",TRUE,'RAW_AR_CONTENT'!$B392=SelectedScope),'RAW_AR_CONTENT'!A392,"")</f>
        <v>389</v>
      </c>
      <c r="B393" s="9" t="str">
        <f>IF(IF(SelectedScope="All India",TRUE,'RAW_AR_CONTENT'!$B392=SelectedScope),'RAW_AR_CONTENT'!B392,"")</f>
        <v>Odisha</v>
      </c>
      <c r="C393" s="9" t="str">
        <f>IF(IF(SelectedScope="All India",TRUE,'RAW_AR_CONTENT'!$B392=SelectedScope),'RAW_AR_CONTENT'!C392,"")</f>
        <v>Environmental Science</v>
      </c>
      <c r="D393" s="9" t="str">
        <f>IF(IF(SelectedScope="All India",TRUE,'RAW_AR_CONTENT'!$B392=SelectedScope),'RAW_AR_CONTENT'!D392,"")</f>
        <v>Class 6</v>
      </c>
      <c r="E393" s="9" t="str">
        <f>IF(IF(SelectedScope="All India",TRUE,'RAW_AR_CONTENT'!$B392=SelectedScope),'RAW_AR_CONTENT'!E392,"")</f>
        <v>Food Chain</v>
      </c>
      <c r="F393" s="9" t="str">
        <f>IF(IF(SelectedScope="All India",TRUE,'RAW_AR_CONTENT'!$B392=SelectedScope),'RAW_AR_CONTENT'!F392,"")</f>
        <v>Animated</v>
      </c>
      <c r="G393" s="9" t="str">
        <f>IF(IF(SelectedScope="All India",TRUE,'RAW_AR_CONTENT'!$B392=SelectedScope),'RAW_AR_CONTENT'!G392,"")</f>
        <v>Active</v>
      </c>
      <c r="H393" s="9">
        <f>IF(IF(SelectedScope="All India",TRUE,'RAW_AR_CONTENT'!$B392=SelectedScope),'RAW_AR_CONTENT'!H392,"")</f>
        <v>0</v>
      </c>
      <c r="I393" s="9">
        <f>IF(IF(SelectedScope="All India",TRUE,'RAW_AR_CONTENT'!$B392=SelectedScope),'RAW_AR_CONTENT'!I392,"")</f>
        <v>0</v>
      </c>
      <c r="J393" s="9">
        <f>IF(IF(SelectedScope="All India",TRUE,'RAW_AR_CONTENT'!$B392=SelectedScope),'RAW_AR_CONTENT'!J392,"")</f>
        <v>0</v>
      </c>
      <c r="K393" s="9">
        <f>IF(IF(SelectedScope="All India",TRUE,'RAW_AR_CONTENT'!$B392=SelectedScope),'RAW_AR_CONTENT'!K392,"")</f>
        <v>0</v>
      </c>
      <c r="L393" s="9">
        <f>IF(IF(SelectedScope="All India",TRUE,'RAW_AR_CONTENT'!$B392=SelectedScope),'RAW_AR_CONTENT'!L392,"")</f>
        <v>0</v>
      </c>
      <c r="M393" s="9">
        <f>IF(IF(SelectedScope="All India",TRUE,'RAW_AR_CONTENT'!$B392=SelectedScope),'RAW_AR_CONTENT'!M392,"")</f>
        <v>0</v>
      </c>
      <c r="N393" s="9">
        <f>IF(IF(SelectedScope="All India",TRUE,'RAW_AR_CONTENT'!$B392=SelectedScope),'RAW_AR_CONTENT'!N392,"")</f>
        <v>0</v>
      </c>
      <c r="O393" s="9">
        <f>IF(IF(SelectedScope="All India",TRUE,'RAW_AR_CONTENT'!$B392=SelectedScope),'RAW_AR_CONTENT'!O392,"")</f>
        <v>0</v>
      </c>
      <c r="P393" s="9">
        <f>IF(IF(SelectedScope="All India",TRUE,'RAW_AR_CONTENT'!$B392=SelectedScope),'RAW_AR_CONTENT'!P392,"")</f>
        <v>0</v>
      </c>
      <c r="Q393" s="9">
        <f>IF(IF(SelectedScope="All India",TRUE,'RAW_AR_CONTENT'!$B392=SelectedScope),'RAW_AR_CONTENT'!Q392,"")</f>
        <v>0</v>
      </c>
      <c r="R393" s="9">
        <f>IF(IF(SelectedScope="All India",TRUE,'RAW_AR_CONTENT'!$B392=SelectedScope),'RAW_AR_CONTENT'!R392,"")</f>
        <v>0</v>
      </c>
    </row>
    <row r="394" spans="1:18" ht="15" customHeight="1" x14ac:dyDescent="0.3">
      <c r="A394" s="12">
        <f>IF(IF(SelectedScope="All India",TRUE,'RAW_AR_CONTENT'!$B393=SelectedScope),'RAW_AR_CONTENT'!A393,"")</f>
        <v>390</v>
      </c>
      <c r="B394" s="12" t="str">
        <f>IF(IF(SelectedScope="All India",TRUE,'RAW_AR_CONTENT'!$B393=SelectedScope),'RAW_AR_CONTENT'!B393,"")</f>
        <v>Odisha</v>
      </c>
      <c r="C394" s="12" t="str">
        <f>IF(IF(SelectedScope="All India",TRUE,'RAW_AR_CONTENT'!$B393=SelectedScope),'RAW_AR_CONTENT'!C393,"")</f>
        <v>Mathematics</v>
      </c>
      <c r="D394" s="12" t="str">
        <f>IF(IF(SelectedScope="All India",TRUE,'RAW_AR_CONTENT'!$B393=SelectedScope),'RAW_AR_CONTENT'!D393,"")</f>
        <v>Class 10</v>
      </c>
      <c r="E394" s="12" t="str">
        <f>IF(IF(SelectedScope="All India",TRUE,'RAW_AR_CONTENT'!$B393=SelectedScope),'RAW_AR_CONTENT'!E393,"")</f>
        <v>Quadratic Equations</v>
      </c>
      <c r="F394" s="12" t="str">
        <f>IF(IF(SelectedScope="All India",TRUE,'RAW_AR_CONTENT'!$B393=SelectedScope),'RAW_AR_CONTENT'!F393,"")</f>
        <v>Animated</v>
      </c>
      <c r="G394" s="12" t="str">
        <f>IF(IF(SelectedScope="All India",TRUE,'RAW_AR_CONTENT'!$B393=SelectedScope),'RAW_AR_CONTENT'!G393,"")</f>
        <v>Active</v>
      </c>
      <c r="H394" s="12">
        <f>IF(IF(SelectedScope="All India",TRUE,'RAW_AR_CONTENT'!$B393=SelectedScope),'RAW_AR_CONTENT'!H393,"")</f>
        <v>0</v>
      </c>
      <c r="I394" s="12">
        <f>IF(IF(SelectedScope="All India",TRUE,'RAW_AR_CONTENT'!$B393=SelectedScope),'RAW_AR_CONTENT'!I393,"")</f>
        <v>0</v>
      </c>
      <c r="J394" s="12">
        <f>IF(IF(SelectedScope="All India",TRUE,'RAW_AR_CONTENT'!$B393=SelectedScope),'RAW_AR_CONTENT'!J393,"")</f>
        <v>0</v>
      </c>
      <c r="K394" s="12">
        <f>IF(IF(SelectedScope="All India",TRUE,'RAW_AR_CONTENT'!$B393=SelectedScope),'RAW_AR_CONTENT'!K393,"")</f>
        <v>0</v>
      </c>
      <c r="L394" s="12">
        <f>IF(IF(SelectedScope="All India",TRUE,'RAW_AR_CONTENT'!$B393=SelectedScope),'RAW_AR_CONTENT'!L393,"")</f>
        <v>0</v>
      </c>
      <c r="M394" s="12">
        <f>IF(IF(SelectedScope="All India",TRUE,'RAW_AR_CONTENT'!$B393=SelectedScope),'RAW_AR_CONTENT'!M393,"")</f>
        <v>0</v>
      </c>
      <c r="N394" s="12">
        <f>IF(IF(SelectedScope="All India",TRUE,'RAW_AR_CONTENT'!$B393=SelectedScope),'RAW_AR_CONTENT'!N393,"")</f>
        <v>0</v>
      </c>
      <c r="O394" s="12">
        <f>IF(IF(SelectedScope="All India",TRUE,'RAW_AR_CONTENT'!$B393=SelectedScope),'RAW_AR_CONTENT'!O393,"")</f>
        <v>0</v>
      </c>
      <c r="P394" s="12">
        <f>IF(IF(SelectedScope="All India",TRUE,'RAW_AR_CONTENT'!$B393=SelectedScope),'RAW_AR_CONTENT'!P393,"")</f>
        <v>0</v>
      </c>
      <c r="Q394" s="12">
        <f>IF(IF(SelectedScope="All India",TRUE,'RAW_AR_CONTENT'!$B393=SelectedScope),'RAW_AR_CONTENT'!Q393,"")</f>
        <v>0</v>
      </c>
      <c r="R394" s="12">
        <f>IF(IF(SelectedScope="All India",TRUE,'RAW_AR_CONTENT'!$B393=SelectedScope),'RAW_AR_CONTENT'!R393,"")</f>
        <v>0</v>
      </c>
    </row>
    <row r="395" spans="1:18" ht="15" customHeight="1" x14ac:dyDescent="0.3">
      <c r="A395" s="9">
        <f>IF(IF(SelectedScope="All India",TRUE,'RAW_AR_CONTENT'!$B394=SelectedScope),'RAW_AR_CONTENT'!A394,"")</f>
        <v>391</v>
      </c>
      <c r="B395" s="9" t="str">
        <f>IF(IF(SelectedScope="All India",TRUE,'RAW_AR_CONTENT'!$B394=SelectedScope),'RAW_AR_CONTENT'!B394,"")</f>
        <v>Puducherry</v>
      </c>
      <c r="C395" s="9" t="str">
        <f>IF(IF(SelectedScope="All India",TRUE,'RAW_AR_CONTENT'!$B394=SelectedScope),'RAW_AR_CONTENT'!C394,"")</f>
        <v>Science</v>
      </c>
      <c r="D395" s="9" t="str">
        <f>IF(IF(SelectedScope="All India",TRUE,'RAW_AR_CONTENT'!$B394=SelectedScope),'RAW_AR_CONTENT'!D394,"")</f>
        <v>Class 8</v>
      </c>
      <c r="E395" s="9" t="str">
        <f>IF(IF(SelectedScope="All India",TRUE,'RAW_AR_CONTENT'!$B394=SelectedScope),'RAW_AR_CONTENT'!E394,"")</f>
        <v>Solar System 3D</v>
      </c>
      <c r="F395" s="9" t="str">
        <f>IF(IF(SelectedScope="All India",TRUE,'RAW_AR_CONTENT'!$B394=SelectedScope),'RAW_AR_CONTENT'!F394,"")</f>
        <v>Animated</v>
      </c>
      <c r="G395" s="9" t="str">
        <f>IF(IF(SelectedScope="All India",TRUE,'RAW_AR_CONTENT'!$B394=SelectedScope),'RAW_AR_CONTENT'!G394,"")</f>
        <v>Active</v>
      </c>
      <c r="H395" s="9">
        <f>IF(IF(SelectedScope="All India",TRUE,'RAW_AR_CONTENT'!$B394=SelectedScope),'RAW_AR_CONTENT'!H394,"")</f>
        <v>0</v>
      </c>
      <c r="I395" s="9">
        <f>IF(IF(SelectedScope="All India",TRUE,'RAW_AR_CONTENT'!$B394=SelectedScope),'RAW_AR_CONTENT'!I394,"")</f>
        <v>0</v>
      </c>
      <c r="J395" s="9">
        <f>IF(IF(SelectedScope="All India",TRUE,'RAW_AR_CONTENT'!$B394=SelectedScope),'RAW_AR_CONTENT'!J394,"")</f>
        <v>0</v>
      </c>
      <c r="K395" s="9">
        <f>IF(IF(SelectedScope="All India",TRUE,'RAW_AR_CONTENT'!$B394=SelectedScope),'RAW_AR_CONTENT'!K394,"")</f>
        <v>0</v>
      </c>
      <c r="L395" s="9">
        <f>IF(IF(SelectedScope="All India",TRUE,'RAW_AR_CONTENT'!$B394=SelectedScope),'RAW_AR_CONTENT'!L394,"")</f>
        <v>0</v>
      </c>
      <c r="M395" s="9">
        <f>IF(IF(SelectedScope="All India",TRUE,'RAW_AR_CONTENT'!$B394=SelectedScope),'RAW_AR_CONTENT'!M394,"")</f>
        <v>0</v>
      </c>
      <c r="N395" s="9">
        <f>IF(IF(SelectedScope="All India",TRUE,'RAW_AR_CONTENT'!$B394=SelectedScope),'RAW_AR_CONTENT'!N394,"")</f>
        <v>0</v>
      </c>
      <c r="O395" s="9">
        <f>IF(IF(SelectedScope="All India",TRUE,'RAW_AR_CONTENT'!$B394=SelectedScope),'RAW_AR_CONTENT'!O394,"")</f>
        <v>0</v>
      </c>
      <c r="P395" s="9">
        <f>IF(IF(SelectedScope="All India",TRUE,'RAW_AR_CONTENT'!$B394=SelectedScope),'RAW_AR_CONTENT'!P394,"")</f>
        <v>0</v>
      </c>
      <c r="Q395" s="9">
        <f>IF(IF(SelectedScope="All India",TRUE,'RAW_AR_CONTENT'!$B394=SelectedScope),'RAW_AR_CONTENT'!Q394,"")</f>
        <v>0</v>
      </c>
      <c r="R395" s="9">
        <f>IF(IF(SelectedScope="All India",TRUE,'RAW_AR_CONTENT'!$B394=SelectedScope),'RAW_AR_CONTENT'!R394,"")</f>
        <v>0</v>
      </c>
    </row>
    <row r="396" spans="1:18" ht="15" customHeight="1" x14ac:dyDescent="0.3">
      <c r="A396" s="12">
        <f>IF(IF(SelectedScope="All India",TRUE,'RAW_AR_CONTENT'!$B395=SelectedScope),'RAW_AR_CONTENT'!A395,"")</f>
        <v>392</v>
      </c>
      <c r="B396" s="12" t="str">
        <f>IF(IF(SelectedScope="All India",TRUE,'RAW_AR_CONTENT'!$B395=SelectedScope),'RAW_AR_CONTENT'!B395,"")</f>
        <v>Puducherry</v>
      </c>
      <c r="C396" s="12" t="str">
        <f>IF(IF(SelectedScope="All India",TRUE,'RAW_AR_CONTENT'!$B395=SelectedScope),'RAW_AR_CONTENT'!C395,"")</f>
        <v>Biology</v>
      </c>
      <c r="D396" s="12" t="str">
        <f>IF(IF(SelectedScope="All India",TRUE,'RAW_AR_CONTENT'!$B395=SelectedScope),'RAW_AR_CONTENT'!D395,"")</f>
        <v>Class 9</v>
      </c>
      <c r="E396" s="12" t="str">
        <f>IF(IF(SelectedScope="All India",TRUE,'RAW_AR_CONTENT'!$B395=SelectedScope),'RAW_AR_CONTENT'!E395,"")</f>
        <v>Cell Division</v>
      </c>
      <c r="F396" s="12" t="str">
        <f>IF(IF(SelectedScope="All India",TRUE,'RAW_AR_CONTENT'!$B395=SelectedScope),'RAW_AR_CONTENT'!F395,"")</f>
        <v>Interactive</v>
      </c>
      <c r="G396" s="12" t="str">
        <f>IF(IF(SelectedScope="All India",TRUE,'RAW_AR_CONTENT'!$B395=SelectedScope),'RAW_AR_CONTENT'!G395,"")</f>
        <v>Active</v>
      </c>
      <c r="H396" s="12">
        <f>IF(IF(SelectedScope="All India",TRUE,'RAW_AR_CONTENT'!$B395=SelectedScope),'RAW_AR_CONTENT'!H395,"")</f>
        <v>0</v>
      </c>
      <c r="I396" s="12">
        <f>IF(IF(SelectedScope="All India",TRUE,'RAW_AR_CONTENT'!$B395=SelectedScope),'RAW_AR_CONTENT'!I395,"")</f>
        <v>0</v>
      </c>
      <c r="J396" s="12">
        <f>IF(IF(SelectedScope="All India",TRUE,'RAW_AR_CONTENT'!$B395=SelectedScope),'RAW_AR_CONTENT'!J395,"")</f>
        <v>0</v>
      </c>
      <c r="K396" s="12">
        <f>IF(IF(SelectedScope="All India",TRUE,'RAW_AR_CONTENT'!$B395=SelectedScope),'RAW_AR_CONTENT'!K395,"")</f>
        <v>0</v>
      </c>
      <c r="L396" s="12">
        <f>IF(IF(SelectedScope="All India",TRUE,'RAW_AR_CONTENT'!$B395=SelectedScope),'RAW_AR_CONTENT'!L395,"")</f>
        <v>0</v>
      </c>
      <c r="M396" s="12">
        <f>IF(IF(SelectedScope="All India",TRUE,'RAW_AR_CONTENT'!$B395=SelectedScope),'RAW_AR_CONTENT'!M395,"")</f>
        <v>0</v>
      </c>
      <c r="N396" s="12">
        <f>IF(IF(SelectedScope="All India",TRUE,'RAW_AR_CONTENT'!$B395=SelectedScope),'RAW_AR_CONTENT'!N395,"")</f>
        <v>0</v>
      </c>
      <c r="O396" s="12">
        <f>IF(IF(SelectedScope="All India",TRUE,'RAW_AR_CONTENT'!$B395=SelectedScope),'RAW_AR_CONTENT'!O395,"")</f>
        <v>0</v>
      </c>
      <c r="P396" s="12">
        <f>IF(IF(SelectedScope="All India",TRUE,'RAW_AR_CONTENT'!$B395=SelectedScope),'RAW_AR_CONTENT'!P395,"")</f>
        <v>0</v>
      </c>
      <c r="Q396" s="12">
        <f>IF(IF(SelectedScope="All India",TRUE,'RAW_AR_CONTENT'!$B395=SelectedScope),'RAW_AR_CONTENT'!Q395,"")</f>
        <v>0</v>
      </c>
      <c r="R396" s="12">
        <f>IF(IF(SelectedScope="All India",TRUE,'RAW_AR_CONTENT'!$B395=SelectedScope),'RAW_AR_CONTENT'!R395,"")</f>
        <v>0</v>
      </c>
    </row>
    <row r="397" spans="1:18" ht="15" customHeight="1" x14ac:dyDescent="0.3">
      <c r="A397" s="9">
        <f>IF(IF(SelectedScope="All India",TRUE,'RAW_AR_CONTENT'!$B396=SelectedScope),'RAW_AR_CONTENT'!A396,"")</f>
        <v>393</v>
      </c>
      <c r="B397" s="9" t="str">
        <f>IF(IF(SelectedScope="All India",TRUE,'RAW_AR_CONTENT'!$B396=SelectedScope),'RAW_AR_CONTENT'!B396,"")</f>
        <v>Puducherry</v>
      </c>
      <c r="C397" s="9" t="str">
        <f>IF(IF(SelectedScope="All India",TRUE,'RAW_AR_CONTENT'!$B396=SelectedScope),'RAW_AR_CONTENT'!C396,"")</f>
        <v>Chemistry</v>
      </c>
      <c r="D397" s="9" t="str">
        <f>IF(IF(SelectedScope="All India",TRUE,'RAW_AR_CONTENT'!$B396=SelectedScope),'RAW_AR_CONTENT'!D396,"")</f>
        <v>Class 9</v>
      </c>
      <c r="E397" s="9" t="str">
        <f>IF(IF(SelectedScope="All India",TRUE,'RAW_AR_CONTENT'!$B396=SelectedScope),'RAW_AR_CONTENT'!E396,"")</f>
        <v>Atoms and Molecules</v>
      </c>
      <c r="F397" s="9" t="str">
        <f>IF(IF(SelectedScope="All India",TRUE,'RAW_AR_CONTENT'!$B396=SelectedScope),'RAW_AR_CONTENT'!F396,"")</f>
        <v>Animated</v>
      </c>
      <c r="G397" s="9" t="str">
        <f>IF(IF(SelectedScope="All India",TRUE,'RAW_AR_CONTENT'!$B396=SelectedScope),'RAW_AR_CONTENT'!G396,"")</f>
        <v>Active</v>
      </c>
      <c r="H397" s="9">
        <f>IF(IF(SelectedScope="All India",TRUE,'RAW_AR_CONTENT'!$B396=SelectedScope),'RAW_AR_CONTENT'!H396,"")</f>
        <v>0</v>
      </c>
      <c r="I397" s="9">
        <f>IF(IF(SelectedScope="All India",TRUE,'RAW_AR_CONTENT'!$B396=SelectedScope),'RAW_AR_CONTENT'!I396,"")</f>
        <v>0</v>
      </c>
      <c r="J397" s="9">
        <f>IF(IF(SelectedScope="All India",TRUE,'RAW_AR_CONTENT'!$B396=SelectedScope),'RAW_AR_CONTENT'!J396,"")</f>
        <v>0</v>
      </c>
      <c r="K397" s="9">
        <f>IF(IF(SelectedScope="All India",TRUE,'RAW_AR_CONTENT'!$B396=SelectedScope),'RAW_AR_CONTENT'!K396,"")</f>
        <v>0</v>
      </c>
      <c r="L397" s="9">
        <f>IF(IF(SelectedScope="All India",TRUE,'RAW_AR_CONTENT'!$B396=SelectedScope),'RAW_AR_CONTENT'!L396,"")</f>
        <v>0</v>
      </c>
      <c r="M397" s="9">
        <f>IF(IF(SelectedScope="All India",TRUE,'RAW_AR_CONTENT'!$B396=SelectedScope),'RAW_AR_CONTENT'!M396,"")</f>
        <v>0</v>
      </c>
      <c r="N397" s="9">
        <f>IF(IF(SelectedScope="All India",TRUE,'RAW_AR_CONTENT'!$B396=SelectedScope),'RAW_AR_CONTENT'!N396,"")</f>
        <v>0</v>
      </c>
      <c r="O397" s="9">
        <f>IF(IF(SelectedScope="All India",TRUE,'RAW_AR_CONTENT'!$B396=SelectedScope),'RAW_AR_CONTENT'!O396,"")</f>
        <v>0</v>
      </c>
      <c r="P397" s="9">
        <f>IF(IF(SelectedScope="All India",TRUE,'RAW_AR_CONTENT'!$B396=SelectedScope),'RAW_AR_CONTENT'!P396,"")</f>
        <v>0</v>
      </c>
      <c r="Q397" s="9">
        <f>IF(IF(SelectedScope="All India",TRUE,'RAW_AR_CONTENT'!$B396=SelectedScope),'RAW_AR_CONTENT'!Q396,"")</f>
        <v>0</v>
      </c>
      <c r="R397" s="9">
        <f>IF(IF(SelectedScope="All India",TRUE,'RAW_AR_CONTENT'!$B396=SelectedScope),'RAW_AR_CONTENT'!R396,"")</f>
        <v>0</v>
      </c>
    </row>
    <row r="398" spans="1:18" ht="15" customHeight="1" x14ac:dyDescent="0.3">
      <c r="A398" s="12">
        <f>IF(IF(SelectedScope="All India",TRUE,'RAW_AR_CONTENT'!$B397=SelectedScope),'RAW_AR_CONTENT'!A397,"")</f>
        <v>394</v>
      </c>
      <c r="B398" s="12" t="str">
        <f>IF(IF(SelectedScope="All India",TRUE,'RAW_AR_CONTENT'!$B397=SelectedScope),'RAW_AR_CONTENT'!B397,"")</f>
        <v>Puducherry</v>
      </c>
      <c r="C398" s="12" t="str">
        <f>IF(IF(SelectedScope="All India",TRUE,'RAW_AR_CONTENT'!$B397=SelectedScope),'RAW_AR_CONTENT'!C397,"")</f>
        <v>Biology</v>
      </c>
      <c r="D398" s="12" t="str">
        <f>IF(IF(SelectedScope="All India",TRUE,'RAW_AR_CONTENT'!$B397=SelectedScope),'RAW_AR_CONTENT'!D397,"")</f>
        <v>Class 7</v>
      </c>
      <c r="E398" s="12" t="str">
        <f>IF(IF(SelectedScope="All India",TRUE,'RAW_AR_CONTENT'!$B397=SelectedScope),'RAW_AR_CONTENT'!E397,"")</f>
        <v>Photosynthesis</v>
      </c>
      <c r="F398" s="12" t="str">
        <f>IF(IF(SelectedScope="All India",TRUE,'RAW_AR_CONTENT'!$B397=SelectedScope),'RAW_AR_CONTENT'!F397,"")</f>
        <v>Basic 3D</v>
      </c>
      <c r="G398" s="12" t="str">
        <f>IF(IF(SelectedScope="All India",TRUE,'RAW_AR_CONTENT'!$B397=SelectedScope),'RAW_AR_CONTENT'!G397,"")</f>
        <v>Active</v>
      </c>
      <c r="H398" s="12">
        <f>IF(IF(SelectedScope="All India",TRUE,'RAW_AR_CONTENT'!$B397=SelectedScope),'RAW_AR_CONTENT'!H397,"")</f>
        <v>0</v>
      </c>
      <c r="I398" s="12">
        <f>IF(IF(SelectedScope="All India",TRUE,'RAW_AR_CONTENT'!$B397=SelectedScope),'RAW_AR_CONTENT'!I397,"")</f>
        <v>0</v>
      </c>
      <c r="J398" s="12">
        <f>IF(IF(SelectedScope="All India",TRUE,'RAW_AR_CONTENT'!$B397=SelectedScope),'RAW_AR_CONTENT'!J397,"")</f>
        <v>0</v>
      </c>
      <c r="K398" s="12">
        <f>IF(IF(SelectedScope="All India",TRUE,'RAW_AR_CONTENT'!$B397=SelectedScope),'RAW_AR_CONTENT'!K397,"")</f>
        <v>0</v>
      </c>
      <c r="L398" s="12">
        <f>IF(IF(SelectedScope="All India",TRUE,'RAW_AR_CONTENT'!$B397=SelectedScope),'RAW_AR_CONTENT'!L397,"")</f>
        <v>0</v>
      </c>
      <c r="M398" s="12">
        <f>IF(IF(SelectedScope="All India",TRUE,'RAW_AR_CONTENT'!$B397=SelectedScope),'RAW_AR_CONTENT'!M397,"")</f>
        <v>0</v>
      </c>
      <c r="N398" s="12">
        <f>IF(IF(SelectedScope="All India",TRUE,'RAW_AR_CONTENT'!$B397=SelectedScope),'RAW_AR_CONTENT'!N397,"")</f>
        <v>0</v>
      </c>
      <c r="O398" s="12">
        <f>IF(IF(SelectedScope="All India",TRUE,'RAW_AR_CONTENT'!$B397=SelectedScope),'RAW_AR_CONTENT'!O397,"")</f>
        <v>0</v>
      </c>
      <c r="P398" s="12">
        <f>IF(IF(SelectedScope="All India",TRUE,'RAW_AR_CONTENT'!$B397=SelectedScope),'RAW_AR_CONTENT'!P397,"")</f>
        <v>0</v>
      </c>
      <c r="Q398" s="12">
        <f>IF(IF(SelectedScope="All India",TRUE,'RAW_AR_CONTENT'!$B397=SelectedScope),'RAW_AR_CONTENT'!Q397,"")</f>
        <v>0</v>
      </c>
      <c r="R398" s="12">
        <f>IF(IF(SelectedScope="All India",TRUE,'RAW_AR_CONTENT'!$B397=SelectedScope),'RAW_AR_CONTENT'!R397,"")</f>
        <v>0</v>
      </c>
    </row>
    <row r="399" spans="1:18" ht="15" customHeight="1" x14ac:dyDescent="0.3">
      <c r="A399" s="9">
        <f>IF(IF(SelectedScope="All India",TRUE,'RAW_AR_CONTENT'!$B398=SelectedScope),'RAW_AR_CONTENT'!A398,"")</f>
        <v>395</v>
      </c>
      <c r="B399" s="9" t="str">
        <f>IF(IF(SelectedScope="All India",TRUE,'RAW_AR_CONTENT'!$B398=SelectedScope),'RAW_AR_CONTENT'!B398,"")</f>
        <v>Puducherry</v>
      </c>
      <c r="C399" s="9" t="str">
        <f>IF(IF(SelectedScope="All India",TRUE,'RAW_AR_CONTENT'!$B398=SelectedScope),'RAW_AR_CONTENT'!C398,"")</f>
        <v>Mathematics</v>
      </c>
      <c r="D399" s="9" t="str">
        <f>IF(IF(SelectedScope="All India",TRUE,'RAW_AR_CONTENT'!$B398=SelectedScope),'RAW_AR_CONTENT'!D398,"")</f>
        <v>Class 7</v>
      </c>
      <c r="E399" s="9" t="str">
        <f>IF(IF(SelectedScope="All India",TRUE,'RAW_AR_CONTENT'!$B398=SelectedScope),'RAW_AR_CONTENT'!E398,"")</f>
        <v>Fractions 3D Model</v>
      </c>
      <c r="F399" s="9" t="str">
        <f>IF(IF(SelectedScope="All India",TRUE,'RAW_AR_CONTENT'!$B398=SelectedScope),'RAW_AR_CONTENT'!F398,"")</f>
        <v>Interactive</v>
      </c>
      <c r="G399" s="9" t="str">
        <f>IF(IF(SelectedScope="All India",TRUE,'RAW_AR_CONTENT'!$B398=SelectedScope),'RAW_AR_CONTENT'!G398,"")</f>
        <v>Active</v>
      </c>
      <c r="H399" s="9">
        <f>IF(IF(SelectedScope="All India",TRUE,'RAW_AR_CONTENT'!$B398=SelectedScope),'RAW_AR_CONTENT'!H398,"")</f>
        <v>0</v>
      </c>
      <c r="I399" s="9">
        <f>IF(IF(SelectedScope="All India",TRUE,'RAW_AR_CONTENT'!$B398=SelectedScope),'RAW_AR_CONTENT'!I398,"")</f>
        <v>0</v>
      </c>
      <c r="J399" s="9">
        <f>IF(IF(SelectedScope="All India",TRUE,'RAW_AR_CONTENT'!$B398=SelectedScope),'RAW_AR_CONTENT'!J398,"")</f>
        <v>0</v>
      </c>
      <c r="K399" s="9">
        <f>IF(IF(SelectedScope="All India",TRUE,'RAW_AR_CONTENT'!$B398=SelectedScope),'RAW_AR_CONTENT'!K398,"")</f>
        <v>0</v>
      </c>
      <c r="L399" s="9">
        <f>IF(IF(SelectedScope="All India",TRUE,'RAW_AR_CONTENT'!$B398=SelectedScope),'RAW_AR_CONTENT'!L398,"")</f>
        <v>0</v>
      </c>
      <c r="M399" s="9">
        <f>IF(IF(SelectedScope="All India",TRUE,'RAW_AR_CONTENT'!$B398=SelectedScope),'RAW_AR_CONTENT'!M398,"")</f>
        <v>0</v>
      </c>
      <c r="N399" s="9">
        <f>IF(IF(SelectedScope="All India",TRUE,'RAW_AR_CONTENT'!$B398=SelectedScope),'RAW_AR_CONTENT'!N398,"")</f>
        <v>0</v>
      </c>
      <c r="O399" s="9">
        <f>IF(IF(SelectedScope="All India",TRUE,'RAW_AR_CONTENT'!$B398=SelectedScope),'RAW_AR_CONTENT'!O398,"")</f>
        <v>0</v>
      </c>
      <c r="P399" s="9">
        <f>IF(IF(SelectedScope="All India",TRUE,'RAW_AR_CONTENT'!$B398=SelectedScope),'RAW_AR_CONTENT'!P398,"")</f>
        <v>0</v>
      </c>
      <c r="Q399" s="9">
        <f>IF(IF(SelectedScope="All India",TRUE,'RAW_AR_CONTENT'!$B398=SelectedScope),'RAW_AR_CONTENT'!Q398,"")</f>
        <v>0</v>
      </c>
      <c r="R399" s="9">
        <f>IF(IF(SelectedScope="All India",TRUE,'RAW_AR_CONTENT'!$B398=SelectedScope),'RAW_AR_CONTENT'!R398,"")</f>
        <v>0</v>
      </c>
    </row>
    <row r="400" spans="1:18" ht="15" customHeight="1" x14ac:dyDescent="0.3">
      <c r="A400" s="12">
        <f>IF(IF(SelectedScope="All India",TRUE,'RAW_AR_CONTENT'!$B399=SelectedScope),'RAW_AR_CONTENT'!A399,"")</f>
        <v>396</v>
      </c>
      <c r="B400" s="12" t="str">
        <f>IF(IF(SelectedScope="All India",TRUE,'RAW_AR_CONTENT'!$B399=SelectedScope),'RAW_AR_CONTENT'!B399,"")</f>
        <v>Puducherry</v>
      </c>
      <c r="C400" s="12" t="str">
        <f>IF(IF(SelectedScope="All India",TRUE,'RAW_AR_CONTENT'!$B399=SelectedScope),'RAW_AR_CONTENT'!C399,"")</f>
        <v>Mathematics</v>
      </c>
      <c r="D400" s="12" t="str">
        <f>IF(IF(SelectedScope="All India",TRUE,'RAW_AR_CONTENT'!$B399=SelectedScope),'RAW_AR_CONTENT'!D399,"")</f>
        <v>Class 10</v>
      </c>
      <c r="E400" s="12" t="str">
        <f>IF(IF(SelectedScope="All India",TRUE,'RAW_AR_CONTENT'!$B399=SelectedScope),'RAW_AR_CONTENT'!E399,"")</f>
        <v>Trigonometry 3D</v>
      </c>
      <c r="F400" s="12" t="str">
        <f>IF(IF(SelectedScope="All India",TRUE,'RAW_AR_CONTENT'!$B399=SelectedScope),'RAW_AR_CONTENT'!F399,"")</f>
        <v>Animated</v>
      </c>
      <c r="G400" s="12" t="str">
        <f>IF(IF(SelectedScope="All India",TRUE,'RAW_AR_CONTENT'!$B399=SelectedScope),'RAW_AR_CONTENT'!G399,"")</f>
        <v>Active</v>
      </c>
      <c r="H400" s="12">
        <f>IF(IF(SelectedScope="All India",TRUE,'RAW_AR_CONTENT'!$B399=SelectedScope),'RAW_AR_CONTENT'!H399,"")</f>
        <v>0</v>
      </c>
      <c r="I400" s="12">
        <f>IF(IF(SelectedScope="All India",TRUE,'RAW_AR_CONTENT'!$B399=SelectedScope),'RAW_AR_CONTENT'!I399,"")</f>
        <v>0</v>
      </c>
      <c r="J400" s="12">
        <f>IF(IF(SelectedScope="All India",TRUE,'RAW_AR_CONTENT'!$B399=SelectedScope),'RAW_AR_CONTENT'!J399,"")</f>
        <v>0</v>
      </c>
      <c r="K400" s="12">
        <f>IF(IF(SelectedScope="All India",TRUE,'RAW_AR_CONTENT'!$B399=SelectedScope),'RAW_AR_CONTENT'!K399,"")</f>
        <v>0</v>
      </c>
      <c r="L400" s="12">
        <f>IF(IF(SelectedScope="All India",TRUE,'RAW_AR_CONTENT'!$B399=SelectedScope),'RAW_AR_CONTENT'!L399,"")</f>
        <v>0</v>
      </c>
      <c r="M400" s="12">
        <f>IF(IF(SelectedScope="All India",TRUE,'RAW_AR_CONTENT'!$B399=SelectedScope),'RAW_AR_CONTENT'!M399,"")</f>
        <v>0</v>
      </c>
      <c r="N400" s="12">
        <f>IF(IF(SelectedScope="All India",TRUE,'RAW_AR_CONTENT'!$B399=SelectedScope),'RAW_AR_CONTENT'!N399,"")</f>
        <v>0</v>
      </c>
      <c r="O400" s="12">
        <f>IF(IF(SelectedScope="All India",TRUE,'RAW_AR_CONTENT'!$B399=SelectedScope),'RAW_AR_CONTENT'!O399,"")</f>
        <v>0</v>
      </c>
      <c r="P400" s="12">
        <f>IF(IF(SelectedScope="All India",TRUE,'RAW_AR_CONTENT'!$B399=SelectedScope),'RAW_AR_CONTENT'!P399,"")</f>
        <v>0</v>
      </c>
      <c r="Q400" s="12">
        <f>IF(IF(SelectedScope="All India",TRUE,'RAW_AR_CONTENT'!$B399=SelectedScope),'RAW_AR_CONTENT'!Q399,"")</f>
        <v>0</v>
      </c>
      <c r="R400" s="12">
        <f>IF(IF(SelectedScope="All India",TRUE,'RAW_AR_CONTENT'!$B399=SelectedScope),'RAW_AR_CONTENT'!R399,"")</f>
        <v>0</v>
      </c>
    </row>
    <row r="401" spans="1:18" ht="15" customHeight="1" x14ac:dyDescent="0.3">
      <c r="A401" s="9">
        <f>IF(IF(SelectedScope="All India",TRUE,'RAW_AR_CONTENT'!$B400=SelectedScope),'RAW_AR_CONTENT'!A400,"")</f>
        <v>397</v>
      </c>
      <c r="B401" s="9" t="str">
        <f>IF(IF(SelectedScope="All India",TRUE,'RAW_AR_CONTENT'!$B400=SelectedScope),'RAW_AR_CONTENT'!B400,"")</f>
        <v>Puducherry</v>
      </c>
      <c r="C401" s="9" t="str">
        <f>IF(IF(SelectedScope="All India",TRUE,'RAW_AR_CONTENT'!$B400=SelectedScope),'RAW_AR_CONTENT'!C400,"")</f>
        <v>History</v>
      </c>
      <c r="D401" s="9" t="str">
        <f>IF(IF(SelectedScope="All India",TRUE,'RAW_AR_CONTENT'!$B400=SelectedScope),'RAW_AR_CONTENT'!D400,"")</f>
        <v>Class 10</v>
      </c>
      <c r="E401" s="9" t="str">
        <f>IF(IF(SelectedScope="All India",TRUE,'RAW_AR_CONTENT'!$B400=SelectedScope),'RAW_AR_CONTENT'!E400,"")</f>
        <v>Mughal Empire AR</v>
      </c>
      <c r="F401" s="9" t="str">
        <f>IF(IF(SelectedScope="All India",TRUE,'RAW_AR_CONTENT'!$B400=SelectedScope),'RAW_AR_CONTENT'!F400,"")</f>
        <v>Basic 3D</v>
      </c>
      <c r="G401" s="9" t="str">
        <f>IF(IF(SelectedScope="All India",TRUE,'RAW_AR_CONTENT'!$B400=SelectedScope),'RAW_AR_CONTENT'!G400,"")</f>
        <v>Active</v>
      </c>
      <c r="H401" s="9">
        <f>IF(IF(SelectedScope="All India",TRUE,'RAW_AR_CONTENT'!$B400=SelectedScope),'RAW_AR_CONTENT'!H400,"")</f>
        <v>0</v>
      </c>
      <c r="I401" s="9">
        <f>IF(IF(SelectedScope="All India",TRUE,'RAW_AR_CONTENT'!$B400=SelectedScope),'RAW_AR_CONTENT'!I400,"")</f>
        <v>0</v>
      </c>
      <c r="J401" s="9">
        <f>IF(IF(SelectedScope="All India",TRUE,'RAW_AR_CONTENT'!$B400=SelectedScope),'RAW_AR_CONTENT'!J400,"")</f>
        <v>0</v>
      </c>
      <c r="K401" s="9">
        <f>IF(IF(SelectedScope="All India",TRUE,'RAW_AR_CONTENT'!$B400=SelectedScope),'RAW_AR_CONTENT'!K400,"")</f>
        <v>0</v>
      </c>
      <c r="L401" s="9">
        <f>IF(IF(SelectedScope="All India",TRUE,'RAW_AR_CONTENT'!$B400=SelectedScope),'RAW_AR_CONTENT'!L400,"")</f>
        <v>0</v>
      </c>
      <c r="M401" s="9">
        <f>IF(IF(SelectedScope="All India",TRUE,'RAW_AR_CONTENT'!$B400=SelectedScope),'RAW_AR_CONTENT'!M400,"")</f>
        <v>0</v>
      </c>
      <c r="N401" s="9">
        <f>IF(IF(SelectedScope="All India",TRUE,'RAW_AR_CONTENT'!$B400=SelectedScope),'RAW_AR_CONTENT'!N400,"")</f>
        <v>0</v>
      </c>
      <c r="O401" s="9">
        <f>IF(IF(SelectedScope="All India",TRUE,'RAW_AR_CONTENT'!$B400=SelectedScope),'RAW_AR_CONTENT'!O400,"")</f>
        <v>0</v>
      </c>
      <c r="P401" s="9">
        <f>IF(IF(SelectedScope="All India",TRUE,'RAW_AR_CONTENT'!$B400=SelectedScope),'RAW_AR_CONTENT'!P400,"")</f>
        <v>0</v>
      </c>
      <c r="Q401" s="9">
        <f>IF(IF(SelectedScope="All India",TRUE,'RAW_AR_CONTENT'!$B400=SelectedScope),'RAW_AR_CONTENT'!Q400,"")</f>
        <v>0</v>
      </c>
      <c r="R401" s="9">
        <f>IF(IF(SelectedScope="All India",TRUE,'RAW_AR_CONTENT'!$B400=SelectedScope),'RAW_AR_CONTENT'!R400,"")</f>
        <v>0</v>
      </c>
    </row>
    <row r="402" spans="1:18" ht="15" customHeight="1" x14ac:dyDescent="0.3">
      <c r="A402" s="12">
        <f>IF(IF(SelectedScope="All India",TRUE,'RAW_AR_CONTENT'!$B401=SelectedScope),'RAW_AR_CONTENT'!A401,"")</f>
        <v>398</v>
      </c>
      <c r="B402" s="12" t="str">
        <f>IF(IF(SelectedScope="All India",TRUE,'RAW_AR_CONTENT'!$B401=SelectedScope),'RAW_AR_CONTENT'!B401,"")</f>
        <v>Puducherry</v>
      </c>
      <c r="C402" s="12" t="str">
        <f>IF(IF(SelectedScope="All India",TRUE,'RAW_AR_CONTENT'!$B401=SelectedScope),'RAW_AR_CONTENT'!C401,"")</f>
        <v>Geography</v>
      </c>
      <c r="D402" s="12" t="str">
        <f>IF(IF(SelectedScope="All India",TRUE,'RAW_AR_CONTENT'!$B401=SelectedScope),'RAW_AR_CONTENT'!D401,"")</f>
        <v>Class 6</v>
      </c>
      <c r="E402" s="12" t="str">
        <f>IF(IF(SelectedScope="All India",TRUE,'RAW_AR_CONTENT'!$B401=SelectedScope),'RAW_AR_CONTENT'!E401,"")</f>
        <v>Water Cycle Simulation</v>
      </c>
      <c r="F402" s="12" t="str">
        <f>IF(IF(SelectedScope="All India",TRUE,'RAW_AR_CONTENT'!$B401=SelectedScope),'RAW_AR_CONTENT'!F401,"")</f>
        <v>Animated</v>
      </c>
      <c r="G402" s="12" t="str">
        <f>IF(IF(SelectedScope="All India",TRUE,'RAW_AR_CONTENT'!$B401=SelectedScope),'RAW_AR_CONTENT'!G401,"")</f>
        <v>Active</v>
      </c>
      <c r="H402" s="12">
        <f>IF(IF(SelectedScope="All India",TRUE,'RAW_AR_CONTENT'!$B401=SelectedScope),'RAW_AR_CONTENT'!H401,"")</f>
        <v>0</v>
      </c>
      <c r="I402" s="12">
        <f>IF(IF(SelectedScope="All India",TRUE,'RAW_AR_CONTENT'!$B401=SelectedScope),'RAW_AR_CONTENT'!I401,"")</f>
        <v>0</v>
      </c>
      <c r="J402" s="12">
        <f>IF(IF(SelectedScope="All India",TRUE,'RAW_AR_CONTENT'!$B401=SelectedScope),'RAW_AR_CONTENT'!J401,"")</f>
        <v>0</v>
      </c>
      <c r="K402" s="12">
        <f>IF(IF(SelectedScope="All India",TRUE,'RAW_AR_CONTENT'!$B401=SelectedScope),'RAW_AR_CONTENT'!K401,"")</f>
        <v>0</v>
      </c>
      <c r="L402" s="12">
        <f>IF(IF(SelectedScope="All India",TRUE,'RAW_AR_CONTENT'!$B401=SelectedScope),'RAW_AR_CONTENT'!L401,"")</f>
        <v>0</v>
      </c>
      <c r="M402" s="12">
        <f>IF(IF(SelectedScope="All India",TRUE,'RAW_AR_CONTENT'!$B401=SelectedScope),'RAW_AR_CONTENT'!M401,"")</f>
        <v>0</v>
      </c>
      <c r="N402" s="12">
        <f>IF(IF(SelectedScope="All India",TRUE,'RAW_AR_CONTENT'!$B401=SelectedScope),'RAW_AR_CONTENT'!N401,"")</f>
        <v>0</v>
      </c>
      <c r="O402" s="12">
        <f>IF(IF(SelectedScope="All India",TRUE,'RAW_AR_CONTENT'!$B401=SelectedScope),'RAW_AR_CONTENT'!O401,"")</f>
        <v>0</v>
      </c>
      <c r="P402" s="12">
        <f>IF(IF(SelectedScope="All India",TRUE,'RAW_AR_CONTENT'!$B401=SelectedScope),'RAW_AR_CONTENT'!P401,"")</f>
        <v>0</v>
      </c>
      <c r="Q402" s="12">
        <f>IF(IF(SelectedScope="All India",TRUE,'RAW_AR_CONTENT'!$B401=SelectedScope),'RAW_AR_CONTENT'!Q401,"")</f>
        <v>0</v>
      </c>
      <c r="R402" s="12">
        <f>IF(IF(SelectedScope="All India",TRUE,'RAW_AR_CONTENT'!$B401=SelectedScope),'RAW_AR_CONTENT'!R401,"")</f>
        <v>0</v>
      </c>
    </row>
    <row r="403" spans="1:18" ht="15" customHeight="1" x14ac:dyDescent="0.3">
      <c r="A403" s="9">
        <f>IF(IF(SelectedScope="All India",TRUE,'RAW_AR_CONTENT'!$B402=SelectedScope),'RAW_AR_CONTENT'!A402,"")</f>
        <v>399</v>
      </c>
      <c r="B403" s="9" t="str">
        <f>IF(IF(SelectedScope="All India",TRUE,'RAW_AR_CONTENT'!$B402=SelectedScope),'RAW_AR_CONTENT'!B402,"")</f>
        <v>Puducherry</v>
      </c>
      <c r="C403" s="9" t="str">
        <f>IF(IF(SelectedScope="All India",TRUE,'RAW_AR_CONTENT'!$B402=SelectedScope),'RAW_AR_CONTENT'!C402,"")</f>
        <v>Biology</v>
      </c>
      <c r="D403" s="9" t="str">
        <f>IF(IF(SelectedScope="All India",TRUE,'RAW_AR_CONTENT'!$B402=SelectedScope),'RAW_AR_CONTENT'!D402,"")</f>
        <v>Class 11</v>
      </c>
      <c r="E403" s="9" t="str">
        <f>IF(IF(SelectedScope="All India",TRUE,'RAW_AR_CONTENT'!$B402=SelectedScope),'RAW_AR_CONTENT'!E402,"")</f>
        <v>Human Anatomy AR</v>
      </c>
      <c r="F403" s="9" t="str">
        <f>IF(IF(SelectedScope="All India",TRUE,'RAW_AR_CONTENT'!$B402=SelectedScope),'RAW_AR_CONTENT'!F402,"")</f>
        <v>Fully Immersive</v>
      </c>
      <c r="G403" s="9" t="str">
        <f>IF(IF(SelectedScope="All India",TRUE,'RAW_AR_CONTENT'!$B402=SelectedScope),'RAW_AR_CONTENT'!G402,"")</f>
        <v>Active</v>
      </c>
      <c r="H403" s="9">
        <f>IF(IF(SelectedScope="All India",TRUE,'RAW_AR_CONTENT'!$B402=SelectedScope),'RAW_AR_CONTENT'!H402,"")</f>
        <v>0</v>
      </c>
      <c r="I403" s="9">
        <f>IF(IF(SelectedScope="All India",TRUE,'RAW_AR_CONTENT'!$B402=SelectedScope),'RAW_AR_CONTENT'!I402,"")</f>
        <v>0</v>
      </c>
      <c r="J403" s="9">
        <f>IF(IF(SelectedScope="All India",TRUE,'RAW_AR_CONTENT'!$B402=SelectedScope),'RAW_AR_CONTENT'!J402,"")</f>
        <v>0</v>
      </c>
      <c r="K403" s="9">
        <f>IF(IF(SelectedScope="All India",TRUE,'RAW_AR_CONTENT'!$B402=SelectedScope),'RAW_AR_CONTENT'!K402,"")</f>
        <v>0</v>
      </c>
      <c r="L403" s="9">
        <f>IF(IF(SelectedScope="All India",TRUE,'RAW_AR_CONTENT'!$B402=SelectedScope),'RAW_AR_CONTENT'!L402,"")</f>
        <v>0</v>
      </c>
      <c r="M403" s="9">
        <f>IF(IF(SelectedScope="All India",TRUE,'RAW_AR_CONTENT'!$B402=SelectedScope),'RAW_AR_CONTENT'!M402,"")</f>
        <v>0</v>
      </c>
      <c r="N403" s="9">
        <f>IF(IF(SelectedScope="All India",TRUE,'RAW_AR_CONTENT'!$B402=SelectedScope),'RAW_AR_CONTENT'!N402,"")</f>
        <v>0</v>
      </c>
      <c r="O403" s="9">
        <f>IF(IF(SelectedScope="All India",TRUE,'RAW_AR_CONTENT'!$B402=SelectedScope),'RAW_AR_CONTENT'!O402,"")</f>
        <v>0</v>
      </c>
      <c r="P403" s="9">
        <f>IF(IF(SelectedScope="All India",TRUE,'RAW_AR_CONTENT'!$B402=SelectedScope),'RAW_AR_CONTENT'!P402,"")</f>
        <v>0</v>
      </c>
      <c r="Q403" s="9">
        <f>IF(IF(SelectedScope="All India",TRUE,'RAW_AR_CONTENT'!$B402=SelectedScope),'RAW_AR_CONTENT'!Q402,"")</f>
        <v>0</v>
      </c>
      <c r="R403" s="9">
        <f>IF(IF(SelectedScope="All India",TRUE,'RAW_AR_CONTENT'!$B402=SelectedScope),'RAW_AR_CONTENT'!R402,"")</f>
        <v>0</v>
      </c>
    </row>
    <row r="404" spans="1:18" ht="15" customHeight="1" x14ac:dyDescent="0.3">
      <c r="A404" s="12">
        <f>IF(IF(SelectedScope="All India",TRUE,'RAW_AR_CONTENT'!$B403=SelectedScope),'RAW_AR_CONTENT'!A403,"")</f>
        <v>400</v>
      </c>
      <c r="B404" s="12" t="str">
        <f>IF(IF(SelectedScope="All India",TRUE,'RAW_AR_CONTENT'!$B403=SelectedScope),'RAW_AR_CONTENT'!B403,"")</f>
        <v>Puducherry</v>
      </c>
      <c r="C404" s="12" t="str">
        <f>IF(IF(SelectedScope="All India",TRUE,'RAW_AR_CONTENT'!$B403=SelectedScope),'RAW_AR_CONTENT'!C403,"")</f>
        <v>Physics</v>
      </c>
      <c r="D404" s="12" t="str">
        <f>IF(IF(SelectedScope="All India",TRUE,'RAW_AR_CONTENT'!$B403=SelectedScope),'RAW_AR_CONTENT'!D403,"")</f>
        <v>Class 9</v>
      </c>
      <c r="E404" s="12" t="str">
        <f>IF(IF(SelectedScope="All India",TRUE,'RAW_AR_CONTENT'!$B403=SelectedScope),'RAW_AR_CONTENT'!E403,"")</f>
        <v>Laws of Motion</v>
      </c>
      <c r="F404" s="12" t="str">
        <f>IF(IF(SelectedScope="All India",TRUE,'RAW_AR_CONTENT'!$B403=SelectedScope),'RAW_AR_CONTENT'!F403,"")</f>
        <v>Interactive</v>
      </c>
      <c r="G404" s="12" t="str">
        <f>IF(IF(SelectedScope="All India",TRUE,'RAW_AR_CONTENT'!$B403=SelectedScope),'RAW_AR_CONTENT'!G403,"")</f>
        <v>Active</v>
      </c>
      <c r="H404" s="12">
        <f>IF(IF(SelectedScope="All India",TRUE,'RAW_AR_CONTENT'!$B403=SelectedScope),'RAW_AR_CONTENT'!H403,"")</f>
        <v>0</v>
      </c>
      <c r="I404" s="12">
        <f>IF(IF(SelectedScope="All India",TRUE,'RAW_AR_CONTENT'!$B403=SelectedScope),'RAW_AR_CONTENT'!I403,"")</f>
        <v>0</v>
      </c>
      <c r="J404" s="12">
        <f>IF(IF(SelectedScope="All India",TRUE,'RAW_AR_CONTENT'!$B403=SelectedScope),'RAW_AR_CONTENT'!J403,"")</f>
        <v>0</v>
      </c>
      <c r="K404" s="12">
        <f>IF(IF(SelectedScope="All India",TRUE,'RAW_AR_CONTENT'!$B403=SelectedScope),'RAW_AR_CONTENT'!K403,"")</f>
        <v>0</v>
      </c>
      <c r="L404" s="12">
        <f>IF(IF(SelectedScope="All India",TRUE,'RAW_AR_CONTENT'!$B403=SelectedScope),'RAW_AR_CONTENT'!L403,"")</f>
        <v>0</v>
      </c>
      <c r="M404" s="12">
        <f>IF(IF(SelectedScope="All India",TRUE,'RAW_AR_CONTENT'!$B403=SelectedScope),'RAW_AR_CONTENT'!M403,"")</f>
        <v>0</v>
      </c>
      <c r="N404" s="12">
        <f>IF(IF(SelectedScope="All India",TRUE,'RAW_AR_CONTENT'!$B403=SelectedScope),'RAW_AR_CONTENT'!N403,"")</f>
        <v>0</v>
      </c>
      <c r="O404" s="12">
        <f>IF(IF(SelectedScope="All India",TRUE,'RAW_AR_CONTENT'!$B403=SelectedScope),'RAW_AR_CONTENT'!O403,"")</f>
        <v>0</v>
      </c>
      <c r="P404" s="12">
        <f>IF(IF(SelectedScope="All India",TRUE,'RAW_AR_CONTENT'!$B403=SelectedScope),'RAW_AR_CONTENT'!P403,"")</f>
        <v>0</v>
      </c>
      <c r="Q404" s="12">
        <f>IF(IF(SelectedScope="All India",TRUE,'RAW_AR_CONTENT'!$B403=SelectedScope),'RAW_AR_CONTENT'!Q403,"")</f>
        <v>0</v>
      </c>
      <c r="R404" s="12">
        <f>IF(IF(SelectedScope="All India",TRUE,'RAW_AR_CONTENT'!$B403=SelectedScope),'RAW_AR_CONTENT'!R403,"")</f>
        <v>0</v>
      </c>
    </row>
    <row r="405" spans="1:18" ht="15" customHeight="1" x14ac:dyDescent="0.3">
      <c r="A405" s="9">
        <f>IF(IF(SelectedScope="All India",TRUE,'RAW_AR_CONTENT'!$B404=SelectedScope),'RAW_AR_CONTENT'!A404,"")</f>
        <v>401</v>
      </c>
      <c r="B405" s="9" t="str">
        <f>IF(IF(SelectedScope="All India",TRUE,'RAW_AR_CONTENT'!$B404=SelectedScope),'RAW_AR_CONTENT'!B404,"")</f>
        <v>Puducherry</v>
      </c>
      <c r="C405" s="9" t="str">
        <f>IF(IF(SelectedScope="All India",TRUE,'RAW_AR_CONTENT'!$B404=SelectedScope),'RAW_AR_CONTENT'!C404,"")</f>
        <v>Chemistry</v>
      </c>
      <c r="D405" s="9" t="str">
        <f>IF(IF(SelectedScope="All India",TRUE,'RAW_AR_CONTENT'!$B404=SelectedScope),'RAW_AR_CONTENT'!D404,"")</f>
        <v>Class 11</v>
      </c>
      <c r="E405" s="9" t="str">
        <f>IF(IF(SelectedScope="All India",TRUE,'RAW_AR_CONTENT'!$B404=SelectedScope),'RAW_AR_CONTENT'!E404,"")</f>
        <v>Periodic Table 3D</v>
      </c>
      <c r="F405" s="9" t="str">
        <f>IF(IF(SelectedScope="All India",TRUE,'RAW_AR_CONTENT'!$B404=SelectedScope),'RAW_AR_CONTENT'!F404,"")</f>
        <v>Interactive</v>
      </c>
      <c r="G405" s="9" t="str">
        <f>IF(IF(SelectedScope="All India",TRUE,'RAW_AR_CONTENT'!$B404=SelectedScope),'RAW_AR_CONTENT'!G404,"")</f>
        <v>Active</v>
      </c>
      <c r="H405" s="9">
        <f>IF(IF(SelectedScope="All India",TRUE,'RAW_AR_CONTENT'!$B404=SelectedScope),'RAW_AR_CONTENT'!H404,"")</f>
        <v>0</v>
      </c>
      <c r="I405" s="9">
        <f>IF(IF(SelectedScope="All India",TRUE,'RAW_AR_CONTENT'!$B404=SelectedScope),'RAW_AR_CONTENT'!I404,"")</f>
        <v>0</v>
      </c>
      <c r="J405" s="9">
        <f>IF(IF(SelectedScope="All India",TRUE,'RAW_AR_CONTENT'!$B404=SelectedScope),'RAW_AR_CONTENT'!J404,"")</f>
        <v>0</v>
      </c>
      <c r="K405" s="9">
        <f>IF(IF(SelectedScope="All India",TRUE,'RAW_AR_CONTENT'!$B404=SelectedScope),'RAW_AR_CONTENT'!K404,"")</f>
        <v>0</v>
      </c>
      <c r="L405" s="9">
        <f>IF(IF(SelectedScope="All India",TRUE,'RAW_AR_CONTENT'!$B404=SelectedScope),'RAW_AR_CONTENT'!L404,"")</f>
        <v>0</v>
      </c>
      <c r="M405" s="9">
        <f>IF(IF(SelectedScope="All India",TRUE,'RAW_AR_CONTENT'!$B404=SelectedScope),'RAW_AR_CONTENT'!M404,"")</f>
        <v>0</v>
      </c>
      <c r="N405" s="9">
        <f>IF(IF(SelectedScope="All India",TRUE,'RAW_AR_CONTENT'!$B404=SelectedScope),'RAW_AR_CONTENT'!N404,"")</f>
        <v>0</v>
      </c>
      <c r="O405" s="9">
        <f>IF(IF(SelectedScope="All India",TRUE,'RAW_AR_CONTENT'!$B404=SelectedScope),'RAW_AR_CONTENT'!O404,"")</f>
        <v>0</v>
      </c>
      <c r="P405" s="9">
        <f>IF(IF(SelectedScope="All India",TRUE,'RAW_AR_CONTENT'!$B404=SelectedScope),'RAW_AR_CONTENT'!P404,"")</f>
        <v>0</v>
      </c>
      <c r="Q405" s="9">
        <f>IF(IF(SelectedScope="All India",TRUE,'RAW_AR_CONTENT'!$B404=SelectedScope),'RAW_AR_CONTENT'!Q404,"")</f>
        <v>0</v>
      </c>
      <c r="R405" s="9">
        <f>IF(IF(SelectedScope="All India",TRUE,'RAW_AR_CONTENT'!$B404=SelectedScope),'RAW_AR_CONTENT'!R404,"")</f>
        <v>0</v>
      </c>
    </row>
    <row r="406" spans="1:18" ht="15" customHeight="1" x14ac:dyDescent="0.3">
      <c r="A406" s="12">
        <f>IF(IF(SelectedScope="All India",TRUE,'RAW_AR_CONTENT'!$B405=SelectedScope),'RAW_AR_CONTENT'!A405,"")</f>
        <v>402</v>
      </c>
      <c r="B406" s="12" t="str">
        <f>IF(IF(SelectedScope="All India",TRUE,'RAW_AR_CONTENT'!$B405=SelectedScope),'RAW_AR_CONTENT'!B405,"")</f>
        <v>Puducherry</v>
      </c>
      <c r="C406" s="12" t="str">
        <f>IF(IF(SelectedScope="All India",TRUE,'RAW_AR_CONTENT'!$B405=SelectedScope),'RAW_AR_CONTENT'!C405,"")</f>
        <v>Physics</v>
      </c>
      <c r="D406" s="12" t="str">
        <f>IF(IF(SelectedScope="All India",TRUE,'RAW_AR_CONTENT'!$B405=SelectedScope),'RAW_AR_CONTENT'!D405,"")</f>
        <v>Class 10</v>
      </c>
      <c r="E406" s="12" t="str">
        <f>IF(IF(SelectedScope="All India",TRUE,'RAW_AR_CONTENT'!$B405=SelectedScope),'RAW_AR_CONTENT'!E405,"")</f>
        <v>Electricity Circuits</v>
      </c>
      <c r="F406" s="12" t="str">
        <f>IF(IF(SelectedScope="All India",TRUE,'RAW_AR_CONTENT'!$B405=SelectedScope),'RAW_AR_CONTENT'!F405,"")</f>
        <v>Interactive</v>
      </c>
      <c r="G406" s="12" t="str">
        <f>IF(IF(SelectedScope="All India",TRUE,'RAW_AR_CONTENT'!$B405=SelectedScope),'RAW_AR_CONTENT'!G405,"")</f>
        <v>Active</v>
      </c>
      <c r="H406" s="12">
        <f>IF(IF(SelectedScope="All India",TRUE,'RAW_AR_CONTENT'!$B405=SelectedScope),'RAW_AR_CONTENT'!H405,"")</f>
        <v>0</v>
      </c>
      <c r="I406" s="12">
        <f>IF(IF(SelectedScope="All India",TRUE,'RAW_AR_CONTENT'!$B405=SelectedScope),'RAW_AR_CONTENT'!I405,"")</f>
        <v>0</v>
      </c>
      <c r="J406" s="12">
        <f>IF(IF(SelectedScope="All India",TRUE,'RAW_AR_CONTENT'!$B405=SelectedScope),'RAW_AR_CONTENT'!J405,"")</f>
        <v>0</v>
      </c>
      <c r="K406" s="12">
        <f>IF(IF(SelectedScope="All India",TRUE,'RAW_AR_CONTENT'!$B405=SelectedScope),'RAW_AR_CONTENT'!K405,"")</f>
        <v>0</v>
      </c>
      <c r="L406" s="12">
        <f>IF(IF(SelectedScope="All India",TRUE,'RAW_AR_CONTENT'!$B405=SelectedScope),'RAW_AR_CONTENT'!L405,"")</f>
        <v>0</v>
      </c>
      <c r="M406" s="12">
        <f>IF(IF(SelectedScope="All India",TRUE,'RAW_AR_CONTENT'!$B405=SelectedScope),'RAW_AR_CONTENT'!M405,"")</f>
        <v>0</v>
      </c>
      <c r="N406" s="12">
        <f>IF(IF(SelectedScope="All India",TRUE,'RAW_AR_CONTENT'!$B405=SelectedScope),'RAW_AR_CONTENT'!N405,"")</f>
        <v>0</v>
      </c>
      <c r="O406" s="12">
        <f>IF(IF(SelectedScope="All India",TRUE,'RAW_AR_CONTENT'!$B405=SelectedScope),'RAW_AR_CONTENT'!O405,"")</f>
        <v>0</v>
      </c>
      <c r="P406" s="12">
        <f>IF(IF(SelectedScope="All India",TRUE,'RAW_AR_CONTENT'!$B405=SelectedScope),'RAW_AR_CONTENT'!P405,"")</f>
        <v>0</v>
      </c>
      <c r="Q406" s="12">
        <f>IF(IF(SelectedScope="All India",TRUE,'RAW_AR_CONTENT'!$B405=SelectedScope),'RAW_AR_CONTENT'!Q405,"")</f>
        <v>0</v>
      </c>
      <c r="R406" s="12">
        <f>IF(IF(SelectedScope="All India",TRUE,'RAW_AR_CONTENT'!$B405=SelectedScope),'RAW_AR_CONTENT'!R405,"")</f>
        <v>0</v>
      </c>
    </row>
    <row r="407" spans="1:18" ht="15" customHeight="1" x14ac:dyDescent="0.3">
      <c r="A407" s="9">
        <f>IF(IF(SelectedScope="All India",TRUE,'RAW_AR_CONTENT'!$B406=SelectedScope),'RAW_AR_CONTENT'!A406,"")</f>
        <v>403</v>
      </c>
      <c r="B407" s="9" t="str">
        <f>IF(IF(SelectedScope="All India",TRUE,'RAW_AR_CONTENT'!$B406=SelectedScope),'RAW_AR_CONTENT'!B406,"")</f>
        <v>Puducherry</v>
      </c>
      <c r="C407" s="9" t="str">
        <f>IF(IF(SelectedScope="All India",TRUE,'RAW_AR_CONTENT'!$B406=SelectedScope),'RAW_AR_CONTENT'!C406,"")</f>
        <v>Civics</v>
      </c>
      <c r="D407" s="9" t="str">
        <f>IF(IF(SelectedScope="All India",TRUE,'RAW_AR_CONTENT'!$B406=SelectedScope),'RAW_AR_CONTENT'!D406,"")</f>
        <v>Class 9</v>
      </c>
      <c r="E407" s="9" t="str">
        <f>IF(IF(SelectedScope="All India",TRUE,'RAW_AR_CONTENT'!$B406=SelectedScope),'RAW_AR_CONTENT'!E406,"")</f>
        <v>Indian Constitution</v>
      </c>
      <c r="F407" s="9" t="str">
        <f>IF(IF(SelectedScope="All India",TRUE,'RAW_AR_CONTENT'!$B406=SelectedScope),'RAW_AR_CONTENT'!F406,"")</f>
        <v>Basic 3D</v>
      </c>
      <c r="G407" s="9" t="str">
        <f>IF(IF(SelectedScope="All India",TRUE,'RAW_AR_CONTENT'!$B406=SelectedScope),'RAW_AR_CONTENT'!G406,"")</f>
        <v>Active</v>
      </c>
      <c r="H407" s="9">
        <f>IF(IF(SelectedScope="All India",TRUE,'RAW_AR_CONTENT'!$B406=SelectedScope),'RAW_AR_CONTENT'!H406,"")</f>
        <v>0</v>
      </c>
      <c r="I407" s="9">
        <f>IF(IF(SelectedScope="All India",TRUE,'RAW_AR_CONTENT'!$B406=SelectedScope),'RAW_AR_CONTENT'!I406,"")</f>
        <v>0</v>
      </c>
      <c r="J407" s="9">
        <f>IF(IF(SelectedScope="All India",TRUE,'RAW_AR_CONTENT'!$B406=SelectedScope),'RAW_AR_CONTENT'!J406,"")</f>
        <v>0</v>
      </c>
      <c r="K407" s="9">
        <f>IF(IF(SelectedScope="All India",TRUE,'RAW_AR_CONTENT'!$B406=SelectedScope),'RAW_AR_CONTENT'!K406,"")</f>
        <v>0</v>
      </c>
      <c r="L407" s="9">
        <f>IF(IF(SelectedScope="All India",TRUE,'RAW_AR_CONTENT'!$B406=SelectedScope),'RAW_AR_CONTENT'!L406,"")</f>
        <v>0</v>
      </c>
      <c r="M407" s="9">
        <f>IF(IF(SelectedScope="All India",TRUE,'RAW_AR_CONTENT'!$B406=SelectedScope),'RAW_AR_CONTENT'!M406,"")</f>
        <v>0</v>
      </c>
      <c r="N407" s="9">
        <f>IF(IF(SelectedScope="All India",TRUE,'RAW_AR_CONTENT'!$B406=SelectedScope),'RAW_AR_CONTENT'!N406,"")</f>
        <v>0</v>
      </c>
      <c r="O407" s="9">
        <f>IF(IF(SelectedScope="All India",TRUE,'RAW_AR_CONTENT'!$B406=SelectedScope),'RAW_AR_CONTENT'!O406,"")</f>
        <v>0</v>
      </c>
      <c r="P407" s="9">
        <f>IF(IF(SelectedScope="All India",TRUE,'RAW_AR_CONTENT'!$B406=SelectedScope),'RAW_AR_CONTENT'!P406,"")</f>
        <v>0</v>
      </c>
      <c r="Q407" s="9">
        <f>IF(IF(SelectedScope="All India",TRUE,'RAW_AR_CONTENT'!$B406=SelectedScope),'RAW_AR_CONTENT'!Q406,"")</f>
        <v>0</v>
      </c>
      <c r="R407" s="9">
        <f>IF(IF(SelectedScope="All India",TRUE,'RAW_AR_CONTENT'!$B406=SelectedScope),'RAW_AR_CONTENT'!R406,"")</f>
        <v>0</v>
      </c>
    </row>
    <row r="408" spans="1:18" ht="15" customHeight="1" x14ac:dyDescent="0.3">
      <c r="A408" s="12">
        <f>IF(IF(SelectedScope="All India",TRUE,'RAW_AR_CONTENT'!$B407=SelectedScope),'RAW_AR_CONTENT'!A407,"")</f>
        <v>404</v>
      </c>
      <c r="B408" s="12" t="str">
        <f>IF(IF(SelectedScope="All India",TRUE,'RAW_AR_CONTENT'!$B407=SelectedScope),'RAW_AR_CONTENT'!B407,"")</f>
        <v>Puducherry</v>
      </c>
      <c r="C408" s="12" t="str">
        <f>IF(IF(SelectedScope="All India",TRUE,'RAW_AR_CONTENT'!$B407=SelectedScope),'RAW_AR_CONTENT'!C407,"")</f>
        <v>Environmental Science</v>
      </c>
      <c r="D408" s="12" t="str">
        <f>IF(IF(SelectedScope="All India",TRUE,'RAW_AR_CONTENT'!$B407=SelectedScope),'RAW_AR_CONTENT'!D407,"")</f>
        <v>Class 6</v>
      </c>
      <c r="E408" s="12" t="str">
        <f>IF(IF(SelectedScope="All India",TRUE,'RAW_AR_CONTENT'!$B407=SelectedScope),'RAW_AR_CONTENT'!E407,"")</f>
        <v>Food Chain</v>
      </c>
      <c r="F408" s="12" t="str">
        <f>IF(IF(SelectedScope="All India",TRUE,'RAW_AR_CONTENT'!$B407=SelectedScope),'RAW_AR_CONTENT'!F407,"")</f>
        <v>Animated</v>
      </c>
      <c r="G408" s="12" t="str">
        <f>IF(IF(SelectedScope="All India",TRUE,'RAW_AR_CONTENT'!$B407=SelectedScope),'RAW_AR_CONTENT'!G407,"")</f>
        <v>Active</v>
      </c>
      <c r="H408" s="12">
        <f>IF(IF(SelectedScope="All India",TRUE,'RAW_AR_CONTENT'!$B407=SelectedScope),'RAW_AR_CONTENT'!H407,"")</f>
        <v>0</v>
      </c>
      <c r="I408" s="12">
        <f>IF(IF(SelectedScope="All India",TRUE,'RAW_AR_CONTENT'!$B407=SelectedScope),'RAW_AR_CONTENT'!I407,"")</f>
        <v>0</v>
      </c>
      <c r="J408" s="12">
        <f>IF(IF(SelectedScope="All India",TRUE,'RAW_AR_CONTENT'!$B407=SelectedScope),'RAW_AR_CONTENT'!J407,"")</f>
        <v>0</v>
      </c>
      <c r="K408" s="12">
        <f>IF(IF(SelectedScope="All India",TRUE,'RAW_AR_CONTENT'!$B407=SelectedScope),'RAW_AR_CONTENT'!K407,"")</f>
        <v>0</v>
      </c>
      <c r="L408" s="12">
        <f>IF(IF(SelectedScope="All India",TRUE,'RAW_AR_CONTENT'!$B407=SelectedScope),'RAW_AR_CONTENT'!L407,"")</f>
        <v>0</v>
      </c>
      <c r="M408" s="12">
        <f>IF(IF(SelectedScope="All India",TRUE,'RAW_AR_CONTENT'!$B407=SelectedScope),'RAW_AR_CONTENT'!M407,"")</f>
        <v>0</v>
      </c>
      <c r="N408" s="12">
        <f>IF(IF(SelectedScope="All India",TRUE,'RAW_AR_CONTENT'!$B407=SelectedScope),'RAW_AR_CONTENT'!N407,"")</f>
        <v>0</v>
      </c>
      <c r="O408" s="12">
        <f>IF(IF(SelectedScope="All India",TRUE,'RAW_AR_CONTENT'!$B407=SelectedScope),'RAW_AR_CONTENT'!O407,"")</f>
        <v>0</v>
      </c>
      <c r="P408" s="12">
        <f>IF(IF(SelectedScope="All India",TRUE,'RAW_AR_CONTENT'!$B407=SelectedScope),'RAW_AR_CONTENT'!P407,"")</f>
        <v>0</v>
      </c>
      <c r="Q408" s="12">
        <f>IF(IF(SelectedScope="All India",TRUE,'RAW_AR_CONTENT'!$B407=SelectedScope),'RAW_AR_CONTENT'!Q407,"")</f>
        <v>0</v>
      </c>
      <c r="R408" s="12">
        <f>IF(IF(SelectedScope="All India",TRUE,'RAW_AR_CONTENT'!$B407=SelectedScope),'RAW_AR_CONTENT'!R407,"")</f>
        <v>0</v>
      </c>
    </row>
    <row r="409" spans="1:18" ht="15" customHeight="1" x14ac:dyDescent="0.3">
      <c r="A409" s="9">
        <f>IF(IF(SelectedScope="All India",TRUE,'RAW_AR_CONTENT'!$B408=SelectedScope),'RAW_AR_CONTENT'!A408,"")</f>
        <v>405</v>
      </c>
      <c r="B409" s="9" t="str">
        <f>IF(IF(SelectedScope="All India",TRUE,'RAW_AR_CONTENT'!$B408=SelectedScope),'RAW_AR_CONTENT'!B408,"")</f>
        <v>Puducherry</v>
      </c>
      <c r="C409" s="9" t="str">
        <f>IF(IF(SelectedScope="All India",TRUE,'RAW_AR_CONTENT'!$B408=SelectedScope),'RAW_AR_CONTENT'!C408,"")</f>
        <v>Mathematics</v>
      </c>
      <c r="D409" s="9" t="str">
        <f>IF(IF(SelectedScope="All India",TRUE,'RAW_AR_CONTENT'!$B408=SelectedScope),'RAW_AR_CONTENT'!D408,"")</f>
        <v>Class 10</v>
      </c>
      <c r="E409" s="9" t="str">
        <f>IF(IF(SelectedScope="All India",TRUE,'RAW_AR_CONTENT'!$B408=SelectedScope),'RAW_AR_CONTENT'!E408,"")</f>
        <v>Quadratic Equations</v>
      </c>
      <c r="F409" s="9" t="str">
        <f>IF(IF(SelectedScope="All India",TRUE,'RAW_AR_CONTENT'!$B408=SelectedScope),'RAW_AR_CONTENT'!F408,"")</f>
        <v>Animated</v>
      </c>
      <c r="G409" s="9" t="str">
        <f>IF(IF(SelectedScope="All India",TRUE,'RAW_AR_CONTENT'!$B408=SelectedScope),'RAW_AR_CONTENT'!G408,"")</f>
        <v>Active</v>
      </c>
      <c r="H409" s="9">
        <f>IF(IF(SelectedScope="All India",TRUE,'RAW_AR_CONTENT'!$B408=SelectedScope),'RAW_AR_CONTENT'!H408,"")</f>
        <v>0</v>
      </c>
      <c r="I409" s="9">
        <f>IF(IF(SelectedScope="All India",TRUE,'RAW_AR_CONTENT'!$B408=SelectedScope),'RAW_AR_CONTENT'!I408,"")</f>
        <v>0</v>
      </c>
      <c r="J409" s="9">
        <f>IF(IF(SelectedScope="All India",TRUE,'RAW_AR_CONTENT'!$B408=SelectedScope),'RAW_AR_CONTENT'!J408,"")</f>
        <v>0</v>
      </c>
      <c r="K409" s="9">
        <f>IF(IF(SelectedScope="All India",TRUE,'RAW_AR_CONTENT'!$B408=SelectedScope),'RAW_AR_CONTENT'!K408,"")</f>
        <v>0</v>
      </c>
      <c r="L409" s="9">
        <f>IF(IF(SelectedScope="All India",TRUE,'RAW_AR_CONTENT'!$B408=SelectedScope),'RAW_AR_CONTENT'!L408,"")</f>
        <v>0</v>
      </c>
      <c r="M409" s="9">
        <f>IF(IF(SelectedScope="All India",TRUE,'RAW_AR_CONTENT'!$B408=SelectedScope),'RAW_AR_CONTENT'!M408,"")</f>
        <v>0</v>
      </c>
      <c r="N409" s="9">
        <f>IF(IF(SelectedScope="All India",TRUE,'RAW_AR_CONTENT'!$B408=SelectedScope),'RAW_AR_CONTENT'!N408,"")</f>
        <v>0</v>
      </c>
      <c r="O409" s="9">
        <f>IF(IF(SelectedScope="All India",TRUE,'RAW_AR_CONTENT'!$B408=SelectedScope),'RAW_AR_CONTENT'!O408,"")</f>
        <v>0</v>
      </c>
      <c r="P409" s="9">
        <f>IF(IF(SelectedScope="All India",TRUE,'RAW_AR_CONTENT'!$B408=SelectedScope),'RAW_AR_CONTENT'!P408,"")</f>
        <v>0</v>
      </c>
      <c r="Q409" s="9">
        <f>IF(IF(SelectedScope="All India",TRUE,'RAW_AR_CONTENT'!$B408=SelectedScope),'RAW_AR_CONTENT'!Q408,"")</f>
        <v>0</v>
      </c>
      <c r="R409" s="9">
        <f>IF(IF(SelectedScope="All India",TRUE,'RAW_AR_CONTENT'!$B408=SelectedScope),'RAW_AR_CONTENT'!R408,"")</f>
        <v>0</v>
      </c>
    </row>
    <row r="410" spans="1:18" ht="15" customHeight="1" x14ac:dyDescent="0.3">
      <c r="A410" s="12">
        <f>IF(IF(SelectedScope="All India",TRUE,'RAW_AR_CONTENT'!$B409=SelectedScope),'RAW_AR_CONTENT'!A409,"")</f>
        <v>406</v>
      </c>
      <c r="B410" s="12" t="str">
        <f>IF(IF(SelectedScope="All India",TRUE,'RAW_AR_CONTENT'!$B409=SelectedScope),'RAW_AR_CONTENT'!B409,"")</f>
        <v>Punjab</v>
      </c>
      <c r="C410" s="12" t="str">
        <f>IF(IF(SelectedScope="All India",TRUE,'RAW_AR_CONTENT'!$B409=SelectedScope),'RAW_AR_CONTENT'!C409,"")</f>
        <v>Science</v>
      </c>
      <c r="D410" s="12" t="str">
        <f>IF(IF(SelectedScope="All India",TRUE,'RAW_AR_CONTENT'!$B409=SelectedScope),'RAW_AR_CONTENT'!D409,"")</f>
        <v>Class 8</v>
      </c>
      <c r="E410" s="12" t="str">
        <f>IF(IF(SelectedScope="All India",TRUE,'RAW_AR_CONTENT'!$B409=SelectedScope),'RAW_AR_CONTENT'!E409,"")</f>
        <v>Solar System 3D</v>
      </c>
      <c r="F410" s="12" t="str">
        <f>IF(IF(SelectedScope="All India",TRUE,'RAW_AR_CONTENT'!$B409=SelectedScope),'RAW_AR_CONTENT'!F409,"")</f>
        <v>Animated</v>
      </c>
      <c r="G410" s="12" t="str">
        <f>IF(IF(SelectedScope="All India",TRUE,'RAW_AR_CONTENT'!$B409=SelectedScope),'RAW_AR_CONTENT'!G409,"")</f>
        <v>Active</v>
      </c>
      <c r="H410" s="12">
        <f>IF(IF(SelectedScope="All India",TRUE,'RAW_AR_CONTENT'!$B409=SelectedScope),'RAW_AR_CONTENT'!H409,"")</f>
        <v>0</v>
      </c>
      <c r="I410" s="12">
        <f>IF(IF(SelectedScope="All India",TRUE,'RAW_AR_CONTENT'!$B409=SelectedScope),'RAW_AR_CONTENT'!I409,"")</f>
        <v>0</v>
      </c>
      <c r="J410" s="12">
        <f>IF(IF(SelectedScope="All India",TRUE,'RAW_AR_CONTENT'!$B409=SelectedScope),'RAW_AR_CONTENT'!J409,"")</f>
        <v>0</v>
      </c>
      <c r="K410" s="12">
        <f>IF(IF(SelectedScope="All India",TRUE,'RAW_AR_CONTENT'!$B409=SelectedScope),'RAW_AR_CONTENT'!K409,"")</f>
        <v>0</v>
      </c>
      <c r="L410" s="12">
        <f>IF(IF(SelectedScope="All India",TRUE,'RAW_AR_CONTENT'!$B409=SelectedScope),'RAW_AR_CONTENT'!L409,"")</f>
        <v>0</v>
      </c>
      <c r="M410" s="12">
        <f>IF(IF(SelectedScope="All India",TRUE,'RAW_AR_CONTENT'!$B409=SelectedScope),'RAW_AR_CONTENT'!M409,"")</f>
        <v>0</v>
      </c>
      <c r="N410" s="12">
        <f>IF(IF(SelectedScope="All India",TRUE,'RAW_AR_CONTENT'!$B409=SelectedScope),'RAW_AR_CONTENT'!N409,"")</f>
        <v>0</v>
      </c>
      <c r="O410" s="12">
        <f>IF(IF(SelectedScope="All India",TRUE,'RAW_AR_CONTENT'!$B409=SelectedScope),'RAW_AR_CONTENT'!O409,"")</f>
        <v>0</v>
      </c>
      <c r="P410" s="12">
        <f>IF(IF(SelectedScope="All India",TRUE,'RAW_AR_CONTENT'!$B409=SelectedScope),'RAW_AR_CONTENT'!P409,"")</f>
        <v>0</v>
      </c>
      <c r="Q410" s="12">
        <f>IF(IF(SelectedScope="All India",TRUE,'RAW_AR_CONTENT'!$B409=SelectedScope),'RAW_AR_CONTENT'!Q409,"")</f>
        <v>0</v>
      </c>
      <c r="R410" s="12">
        <f>IF(IF(SelectedScope="All India",TRUE,'RAW_AR_CONTENT'!$B409=SelectedScope),'RAW_AR_CONTENT'!R409,"")</f>
        <v>0</v>
      </c>
    </row>
    <row r="411" spans="1:18" ht="15" customHeight="1" x14ac:dyDescent="0.3">
      <c r="A411" s="9">
        <f>IF(IF(SelectedScope="All India",TRUE,'RAW_AR_CONTENT'!$B410=SelectedScope),'RAW_AR_CONTENT'!A410,"")</f>
        <v>407</v>
      </c>
      <c r="B411" s="9" t="str">
        <f>IF(IF(SelectedScope="All India",TRUE,'RAW_AR_CONTENT'!$B410=SelectedScope),'RAW_AR_CONTENT'!B410,"")</f>
        <v>Punjab</v>
      </c>
      <c r="C411" s="9" t="str">
        <f>IF(IF(SelectedScope="All India",TRUE,'RAW_AR_CONTENT'!$B410=SelectedScope),'RAW_AR_CONTENT'!C410,"")</f>
        <v>Biology</v>
      </c>
      <c r="D411" s="9" t="str">
        <f>IF(IF(SelectedScope="All India",TRUE,'RAW_AR_CONTENT'!$B410=SelectedScope),'RAW_AR_CONTENT'!D410,"")</f>
        <v>Class 9</v>
      </c>
      <c r="E411" s="9" t="str">
        <f>IF(IF(SelectedScope="All India",TRUE,'RAW_AR_CONTENT'!$B410=SelectedScope),'RAW_AR_CONTENT'!E410,"")</f>
        <v>Cell Division</v>
      </c>
      <c r="F411" s="9" t="str">
        <f>IF(IF(SelectedScope="All India",TRUE,'RAW_AR_CONTENT'!$B410=SelectedScope),'RAW_AR_CONTENT'!F410,"")</f>
        <v>Interactive</v>
      </c>
      <c r="G411" s="9" t="str">
        <f>IF(IF(SelectedScope="All India",TRUE,'RAW_AR_CONTENT'!$B410=SelectedScope),'RAW_AR_CONTENT'!G410,"")</f>
        <v>Active</v>
      </c>
      <c r="H411" s="9">
        <f>IF(IF(SelectedScope="All India",TRUE,'RAW_AR_CONTENT'!$B410=SelectedScope),'RAW_AR_CONTENT'!H410,"")</f>
        <v>0</v>
      </c>
      <c r="I411" s="9">
        <f>IF(IF(SelectedScope="All India",TRUE,'RAW_AR_CONTENT'!$B410=SelectedScope),'RAW_AR_CONTENT'!I410,"")</f>
        <v>0</v>
      </c>
      <c r="J411" s="9">
        <f>IF(IF(SelectedScope="All India",TRUE,'RAW_AR_CONTENT'!$B410=SelectedScope),'RAW_AR_CONTENT'!J410,"")</f>
        <v>0</v>
      </c>
      <c r="K411" s="9">
        <f>IF(IF(SelectedScope="All India",TRUE,'RAW_AR_CONTENT'!$B410=SelectedScope),'RAW_AR_CONTENT'!K410,"")</f>
        <v>0</v>
      </c>
      <c r="L411" s="9">
        <f>IF(IF(SelectedScope="All India",TRUE,'RAW_AR_CONTENT'!$B410=SelectedScope),'RAW_AR_CONTENT'!L410,"")</f>
        <v>0</v>
      </c>
      <c r="M411" s="9">
        <f>IF(IF(SelectedScope="All India",TRUE,'RAW_AR_CONTENT'!$B410=SelectedScope),'RAW_AR_CONTENT'!M410,"")</f>
        <v>0</v>
      </c>
      <c r="N411" s="9">
        <f>IF(IF(SelectedScope="All India",TRUE,'RAW_AR_CONTENT'!$B410=SelectedScope),'RAW_AR_CONTENT'!N410,"")</f>
        <v>0</v>
      </c>
      <c r="O411" s="9">
        <f>IF(IF(SelectedScope="All India",TRUE,'RAW_AR_CONTENT'!$B410=SelectedScope),'RAW_AR_CONTENT'!O410,"")</f>
        <v>0</v>
      </c>
      <c r="P411" s="9">
        <f>IF(IF(SelectedScope="All India",TRUE,'RAW_AR_CONTENT'!$B410=SelectedScope),'RAW_AR_CONTENT'!P410,"")</f>
        <v>0</v>
      </c>
      <c r="Q411" s="9">
        <f>IF(IF(SelectedScope="All India",TRUE,'RAW_AR_CONTENT'!$B410=SelectedScope),'RAW_AR_CONTENT'!Q410,"")</f>
        <v>0</v>
      </c>
      <c r="R411" s="9">
        <f>IF(IF(SelectedScope="All India",TRUE,'RAW_AR_CONTENT'!$B410=SelectedScope),'RAW_AR_CONTENT'!R410,"")</f>
        <v>0</v>
      </c>
    </row>
    <row r="412" spans="1:18" ht="15" customHeight="1" x14ac:dyDescent="0.3">
      <c r="A412" s="12">
        <f>IF(IF(SelectedScope="All India",TRUE,'RAW_AR_CONTENT'!$B411=SelectedScope),'RAW_AR_CONTENT'!A411,"")</f>
        <v>408</v>
      </c>
      <c r="B412" s="12" t="str">
        <f>IF(IF(SelectedScope="All India",TRUE,'RAW_AR_CONTENT'!$B411=SelectedScope),'RAW_AR_CONTENT'!B411,"")</f>
        <v>Punjab</v>
      </c>
      <c r="C412" s="12" t="str">
        <f>IF(IF(SelectedScope="All India",TRUE,'RAW_AR_CONTENT'!$B411=SelectedScope),'RAW_AR_CONTENT'!C411,"")</f>
        <v>Chemistry</v>
      </c>
      <c r="D412" s="12" t="str">
        <f>IF(IF(SelectedScope="All India",TRUE,'RAW_AR_CONTENT'!$B411=SelectedScope),'RAW_AR_CONTENT'!D411,"")</f>
        <v>Class 9</v>
      </c>
      <c r="E412" s="12" t="str">
        <f>IF(IF(SelectedScope="All India",TRUE,'RAW_AR_CONTENT'!$B411=SelectedScope),'RAW_AR_CONTENT'!E411,"")</f>
        <v>Atoms and Molecules</v>
      </c>
      <c r="F412" s="12" t="str">
        <f>IF(IF(SelectedScope="All India",TRUE,'RAW_AR_CONTENT'!$B411=SelectedScope),'RAW_AR_CONTENT'!F411,"")</f>
        <v>Animated</v>
      </c>
      <c r="G412" s="12" t="str">
        <f>IF(IF(SelectedScope="All India",TRUE,'RAW_AR_CONTENT'!$B411=SelectedScope),'RAW_AR_CONTENT'!G411,"")</f>
        <v>Active</v>
      </c>
      <c r="H412" s="12">
        <f>IF(IF(SelectedScope="All India",TRUE,'RAW_AR_CONTENT'!$B411=SelectedScope),'RAW_AR_CONTENT'!H411,"")</f>
        <v>0</v>
      </c>
      <c r="I412" s="12">
        <f>IF(IF(SelectedScope="All India",TRUE,'RAW_AR_CONTENT'!$B411=SelectedScope),'RAW_AR_CONTENT'!I411,"")</f>
        <v>0</v>
      </c>
      <c r="J412" s="12">
        <f>IF(IF(SelectedScope="All India",TRUE,'RAW_AR_CONTENT'!$B411=SelectedScope),'RAW_AR_CONTENT'!J411,"")</f>
        <v>0</v>
      </c>
      <c r="K412" s="12">
        <f>IF(IF(SelectedScope="All India",TRUE,'RAW_AR_CONTENT'!$B411=SelectedScope),'RAW_AR_CONTENT'!K411,"")</f>
        <v>0</v>
      </c>
      <c r="L412" s="12">
        <f>IF(IF(SelectedScope="All India",TRUE,'RAW_AR_CONTENT'!$B411=SelectedScope),'RAW_AR_CONTENT'!L411,"")</f>
        <v>0</v>
      </c>
      <c r="M412" s="12">
        <f>IF(IF(SelectedScope="All India",TRUE,'RAW_AR_CONTENT'!$B411=SelectedScope),'RAW_AR_CONTENT'!M411,"")</f>
        <v>0</v>
      </c>
      <c r="N412" s="12">
        <f>IF(IF(SelectedScope="All India",TRUE,'RAW_AR_CONTENT'!$B411=SelectedScope),'RAW_AR_CONTENT'!N411,"")</f>
        <v>0</v>
      </c>
      <c r="O412" s="12">
        <f>IF(IF(SelectedScope="All India",TRUE,'RAW_AR_CONTENT'!$B411=SelectedScope),'RAW_AR_CONTENT'!O411,"")</f>
        <v>0</v>
      </c>
      <c r="P412" s="12">
        <f>IF(IF(SelectedScope="All India",TRUE,'RAW_AR_CONTENT'!$B411=SelectedScope),'RAW_AR_CONTENT'!P411,"")</f>
        <v>0</v>
      </c>
      <c r="Q412" s="12">
        <f>IF(IF(SelectedScope="All India",TRUE,'RAW_AR_CONTENT'!$B411=SelectedScope),'RAW_AR_CONTENT'!Q411,"")</f>
        <v>0</v>
      </c>
      <c r="R412" s="12">
        <f>IF(IF(SelectedScope="All India",TRUE,'RAW_AR_CONTENT'!$B411=SelectedScope),'RAW_AR_CONTENT'!R411,"")</f>
        <v>0</v>
      </c>
    </row>
    <row r="413" spans="1:18" ht="15" customHeight="1" x14ac:dyDescent="0.3">
      <c r="A413" s="9">
        <f>IF(IF(SelectedScope="All India",TRUE,'RAW_AR_CONTENT'!$B412=SelectedScope),'RAW_AR_CONTENT'!A412,"")</f>
        <v>409</v>
      </c>
      <c r="B413" s="9" t="str">
        <f>IF(IF(SelectedScope="All India",TRUE,'RAW_AR_CONTENT'!$B412=SelectedScope),'RAW_AR_CONTENT'!B412,"")</f>
        <v>Punjab</v>
      </c>
      <c r="C413" s="9" t="str">
        <f>IF(IF(SelectedScope="All India",TRUE,'RAW_AR_CONTENT'!$B412=SelectedScope),'RAW_AR_CONTENT'!C412,"")</f>
        <v>Biology</v>
      </c>
      <c r="D413" s="9" t="str">
        <f>IF(IF(SelectedScope="All India",TRUE,'RAW_AR_CONTENT'!$B412=SelectedScope),'RAW_AR_CONTENT'!D412,"")</f>
        <v>Class 7</v>
      </c>
      <c r="E413" s="9" t="str">
        <f>IF(IF(SelectedScope="All India",TRUE,'RAW_AR_CONTENT'!$B412=SelectedScope),'RAW_AR_CONTENT'!E412,"")</f>
        <v>Photosynthesis</v>
      </c>
      <c r="F413" s="9" t="str">
        <f>IF(IF(SelectedScope="All India",TRUE,'RAW_AR_CONTENT'!$B412=SelectedScope),'RAW_AR_CONTENT'!F412,"")</f>
        <v>Basic 3D</v>
      </c>
      <c r="G413" s="9" t="str">
        <f>IF(IF(SelectedScope="All India",TRUE,'RAW_AR_CONTENT'!$B412=SelectedScope),'RAW_AR_CONTENT'!G412,"")</f>
        <v>Active</v>
      </c>
      <c r="H413" s="9">
        <f>IF(IF(SelectedScope="All India",TRUE,'RAW_AR_CONTENT'!$B412=SelectedScope),'RAW_AR_CONTENT'!H412,"")</f>
        <v>0</v>
      </c>
      <c r="I413" s="9">
        <f>IF(IF(SelectedScope="All India",TRUE,'RAW_AR_CONTENT'!$B412=SelectedScope),'RAW_AR_CONTENT'!I412,"")</f>
        <v>0</v>
      </c>
      <c r="J413" s="9">
        <f>IF(IF(SelectedScope="All India",TRUE,'RAW_AR_CONTENT'!$B412=SelectedScope),'RAW_AR_CONTENT'!J412,"")</f>
        <v>0</v>
      </c>
      <c r="K413" s="9">
        <f>IF(IF(SelectedScope="All India",TRUE,'RAW_AR_CONTENT'!$B412=SelectedScope),'RAW_AR_CONTENT'!K412,"")</f>
        <v>0</v>
      </c>
      <c r="L413" s="9">
        <f>IF(IF(SelectedScope="All India",TRUE,'RAW_AR_CONTENT'!$B412=SelectedScope),'RAW_AR_CONTENT'!L412,"")</f>
        <v>0</v>
      </c>
      <c r="M413" s="9">
        <f>IF(IF(SelectedScope="All India",TRUE,'RAW_AR_CONTENT'!$B412=SelectedScope),'RAW_AR_CONTENT'!M412,"")</f>
        <v>0</v>
      </c>
      <c r="N413" s="9">
        <f>IF(IF(SelectedScope="All India",TRUE,'RAW_AR_CONTENT'!$B412=SelectedScope),'RAW_AR_CONTENT'!N412,"")</f>
        <v>0</v>
      </c>
      <c r="O413" s="9">
        <f>IF(IF(SelectedScope="All India",TRUE,'RAW_AR_CONTENT'!$B412=SelectedScope),'RAW_AR_CONTENT'!O412,"")</f>
        <v>0</v>
      </c>
      <c r="P413" s="9">
        <f>IF(IF(SelectedScope="All India",TRUE,'RAW_AR_CONTENT'!$B412=SelectedScope),'RAW_AR_CONTENT'!P412,"")</f>
        <v>0</v>
      </c>
      <c r="Q413" s="9">
        <f>IF(IF(SelectedScope="All India",TRUE,'RAW_AR_CONTENT'!$B412=SelectedScope),'RAW_AR_CONTENT'!Q412,"")</f>
        <v>0</v>
      </c>
      <c r="R413" s="9">
        <f>IF(IF(SelectedScope="All India",TRUE,'RAW_AR_CONTENT'!$B412=SelectedScope),'RAW_AR_CONTENT'!R412,"")</f>
        <v>0</v>
      </c>
    </row>
    <row r="414" spans="1:18" ht="15" customHeight="1" x14ac:dyDescent="0.3">
      <c r="A414" s="12">
        <f>IF(IF(SelectedScope="All India",TRUE,'RAW_AR_CONTENT'!$B413=SelectedScope),'RAW_AR_CONTENT'!A413,"")</f>
        <v>410</v>
      </c>
      <c r="B414" s="12" t="str">
        <f>IF(IF(SelectedScope="All India",TRUE,'RAW_AR_CONTENT'!$B413=SelectedScope),'RAW_AR_CONTENT'!B413,"")</f>
        <v>Punjab</v>
      </c>
      <c r="C414" s="12" t="str">
        <f>IF(IF(SelectedScope="All India",TRUE,'RAW_AR_CONTENT'!$B413=SelectedScope),'RAW_AR_CONTENT'!C413,"")</f>
        <v>Mathematics</v>
      </c>
      <c r="D414" s="12" t="str">
        <f>IF(IF(SelectedScope="All India",TRUE,'RAW_AR_CONTENT'!$B413=SelectedScope),'RAW_AR_CONTENT'!D413,"")</f>
        <v>Class 7</v>
      </c>
      <c r="E414" s="12" t="str">
        <f>IF(IF(SelectedScope="All India",TRUE,'RAW_AR_CONTENT'!$B413=SelectedScope),'RAW_AR_CONTENT'!E413,"")</f>
        <v>Fractions 3D Model</v>
      </c>
      <c r="F414" s="12" t="str">
        <f>IF(IF(SelectedScope="All India",TRUE,'RAW_AR_CONTENT'!$B413=SelectedScope),'RAW_AR_CONTENT'!F413,"")</f>
        <v>Interactive</v>
      </c>
      <c r="G414" s="12" t="str">
        <f>IF(IF(SelectedScope="All India",TRUE,'RAW_AR_CONTENT'!$B413=SelectedScope),'RAW_AR_CONTENT'!G413,"")</f>
        <v>Active</v>
      </c>
      <c r="H414" s="12">
        <f>IF(IF(SelectedScope="All India",TRUE,'RAW_AR_CONTENT'!$B413=SelectedScope),'RAW_AR_CONTENT'!H413,"")</f>
        <v>0</v>
      </c>
      <c r="I414" s="12">
        <f>IF(IF(SelectedScope="All India",TRUE,'RAW_AR_CONTENT'!$B413=SelectedScope),'RAW_AR_CONTENT'!I413,"")</f>
        <v>0</v>
      </c>
      <c r="J414" s="12">
        <f>IF(IF(SelectedScope="All India",TRUE,'RAW_AR_CONTENT'!$B413=SelectedScope),'RAW_AR_CONTENT'!J413,"")</f>
        <v>0</v>
      </c>
      <c r="K414" s="12">
        <f>IF(IF(SelectedScope="All India",TRUE,'RAW_AR_CONTENT'!$B413=SelectedScope),'RAW_AR_CONTENT'!K413,"")</f>
        <v>0</v>
      </c>
      <c r="L414" s="12">
        <f>IF(IF(SelectedScope="All India",TRUE,'RAW_AR_CONTENT'!$B413=SelectedScope),'RAW_AR_CONTENT'!L413,"")</f>
        <v>0</v>
      </c>
      <c r="M414" s="12">
        <f>IF(IF(SelectedScope="All India",TRUE,'RAW_AR_CONTENT'!$B413=SelectedScope),'RAW_AR_CONTENT'!M413,"")</f>
        <v>0</v>
      </c>
      <c r="N414" s="12">
        <f>IF(IF(SelectedScope="All India",TRUE,'RAW_AR_CONTENT'!$B413=SelectedScope),'RAW_AR_CONTENT'!N413,"")</f>
        <v>0</v>
      </c>
      <c r="O414" s="12">
        <f>IF(IF(SelectedScope="All India",TRUE,'RAW_AR_CONTENT'!$B413=SelectedScope),'RAW_AR_CONTENT'!O413,"")</f>
        <v>0</v>
      </c>
      <c r="P414" s="12">
        <f>IF(IF(SelectedScope="All India",TRUE,'RAW_AR_CONTENT'!$B413=SelectedScope),'RAW_AR_CONTENT'!P413,"")</f>
        <v>0</v>
      </c>
      <c r="Q414" s="12">
        <f>IF(IF(SelectedScope="All India",TRUE,'RAW_AR_CONTENT'!$B413=SelectedScope),'RAW_AR_CONTENT'!Q413,"")</f>
        <v>0</v>
      </c>
      <c r="R414" s="12">
        <f>IF(IF(SelectedScope="All India",TRUE,'RAW_AR_CONTENT'!$B413=SelectedScope),'RAW_AR_CONTENT'!R413,"")</f>
        <v>0</v>
      </c>
    </row>
    <row r="415" spans="1:18" ht="15" customHeight="1" x14ac:dyDescent="0.3">
      <c r="A415" s="9">
        <f>IF(IF(SelectedScope="All India",TRUE,'RAW_AR_CONTENT'!$B414=SelectedScope),'RAW_AR_CONTENT'!A414,"")</f>
        <v>411</v>
      </c>
      <c r="B415" s="9" t="str">
        <f>IF(IF(SelectedScope="All India",TRUE,'RAW_AR_CONTENT'!$B414=SelectedScope),'RAW_AR_CONTENT'!B414,"")</f>
        <v>Punjab</v>
      </c>
      <c r="C415" s="9" t="str">
        <f>IF(IF(SelectedScope="All India",TRUE,'RAW_AR_CONTENT'!$B414=SelectedScope),'RAW_AR_CONTENT'!C414,"")</f>
        <v>Mathematics</v>
      </c>
      <c r="D415" s="9" t="str">
        <f>IF(IF(SelectedScope="All India",TRUE,'RAW_AR_CONTENT'!$B414=SelectedScope),'RAW_AR_CONTENT'!D414,"")</f>
        <v>Class 10</v>
      </c>
      <c r="E415" s="9" t="str">
        <f>IF(IF(SelectedScope="All India",TRUE,'RAW_AR_CONTENT'!$B414=SelectedScope),'RAW_AR_CONTENT'!E414,"")</f>
        <v>Trigonometry 3D</v>
      </c>
      <c r="F415" s="9" t="str">
        <f>IF(IF(SelectedScope="All India",TRUE,'RAW_AR_CONTENT'!$B414=SelectedScope),'RAW_AR_CONTENT'!F414,"")</f>
        <v>Animated</v>
      </c>
      <c r="G415" s="9" t="str">
        <f>IF(IF(SelectedScope="All India",TRUE,'RAW_AR_CONTENT'!$B414=SelectedScope),'RAW_AR_CONTENT'!G414,"")</f>
        <v>Active</v>
      </c>
      <c r="H415" s="9">
        <f>IF(IF(SelectedScope="All India",TRUE,'RAW_AR_CONTENT'!$B414=SelectedScope),'RAW_AR_CONTENT'!H414,"")</f>
        <v>0</v>
      </c>
      <c r="I415" s="9">
        <f>IF(IF(SelectedScope="All India",TRUE,'RAW_AR_CONTENT'!$B414=SelectedScope),'RAW_AR_CONTENT'!I414,"")</f>
        <v>0</v>
      </c>
      <c r="J415" s="9">
        <f>IF(IF(SelectedScope="All India",TRUE,'RAW_AR_CONTENT'!$B414=SelectedScope),'RAW_AR_CONTENT'!J414,"")</f>
        <v>0</v>
      </c>
      <c r="K415" s="9">
        <f>IF(IF(SelectedScope="All India",TRUE,'RAW_AR_CONTENT'!$B414=SelectedScope),'RAW_AR_CONTENT'!K414,"")</f>
        <v>0</v>
      </c>
      <c r="L415" s="9">
        <f>IF(IF(SelectedScope="All India",TRUE,'RAW_AR_CONTENT'!$B414=SelectedScope),'RAW_AR_CONTENT'!L414,"")</f>
        <v>0</v>
      </c>
      <c r="M415" s="9">
        <f>IF(IF(SelectedScope="All India",TRUE,'RAW_AR_CONTENT'!$B414=SelectedScope),'RAW_AR_CONTENT'!M414,"")</f>
        <v>0</v>
      </c>
      <c r="N415" s="9">
        <f>IF(IF(SelectedScope="All India",TRUE,'RAW_AR_CONTENT'!$B414=SelectedScope),'RAW_AR_CONTENT'!N414,"")</f>
        <v>0</v>
      </c>
      <c r="O415" s="9">
        <f>IF(IF(SelectedScope="All India",TRUE,'RAW_AR_CONTENT'!$B414=SelectedScope),'RAW_AR_CONTENT'!O414,"")</f>
        <v>0</v>
      </c>
      <c r="P415" s="9">
        <f>IF(IF(SelectedScope="All India",TRUE,'RAW_AR_CONTENT'!$B414=SelectedScope),'RAW_AR_CONTENT'!P414,"")</f>
        <v>0</v>
      </c>
      <c r="Q415" s="9">
        <f>IF(IF(SelectedScope="All India",TRUE,'RAW_AR_CONTENT'!$B414=SelectedScope),'RAW_AR_CONTENT'!Q414,"")</f>
        <v>0</v>
      </c>
      <c r="R415" s="9">
        <f>IF(IF(SelectedScope="All India",TRUE,'RAW_AR_CONTENT'!$B414=SelectedScope),'RAW_AR_CONTENT'!R414,"")</f>
        <v>0</v>
      </c>
    </row>
    <row r="416" spans="1:18" ht="15" customHeight="1" x14ac:dyDescent="0.3">
      <c r="A416" s="12">
        <f>IF(IF(SelectedScope="All India",TRUE,'RAW_AR_CONTENT'!$B415=SelectedScope),'RAW_AR_CONTENT'!A415,"")</f>
        <v>412</v>
      </c>
      <c r="B416" s="12" t="str">
        <f>IF(IF(SelectedScope="All India",TRUE,'RAW_AR_CONTENT'!$B415=SelectedScope),'RAW_AR_CONTENT'!B415,"")</f>
        <v>Punjab</v>
      </c>
      <c r="C416" s="12" t="str">
        <f>IF(IF(SelectedScope="All India",TRUE,'RAW_AR_CONTENT'!$B415=SelectedScope),'RAW_AR_CONTENT'!C415,"")</f>
        <v>History</v>
      </c>
      <c r="D416" s="12" t="str">
        <f>IF(IF(SelectedScope="All India",TRUE,'RAW_AR_CONTENT'!$B415=SelectedScope),'RAW_AR_CONTENT'!D415,"")</f>
        <v>Class 10</v>
      </c>
      <c r="E416" s="12" t="str">
        <f>IF(IF(SelectedScope="All India",TRUE,'RAW_AR_CONTENT'!$B415=SelectedScope),'RAW_AR_CONTENT'!E415,"")</f>
        <v>Mughal Empire AR</v>
      </c>
      <c r="F416" s="12" t="str">
        <f>IF(IF(SelectedScope="All India",TRUE,'RAW_AR_CONTENT'!$B415=SelectedScope),'RAW_AR_CONTENT'!F415,"")</f>
        <v>Basic 3D</v>
      </c>
      <c r="G416" s="12" t="str">
        <f>IF(IF(SelectedScope="All India",TRUE,'RAW_AR_CONTENT'!$B415=SelectedScope),'RAW_AR_CONTENT'!G415,"")</f>
        <v>Active</v>
      </c>
      <c r="H416" s="12">
        <f>IF(IF(SelectedScope="All India",TRUE,'RAW_AR_CONTENT'!$B415=SelectedScope),'RAW_AR_CONTENT'!H415,"")</f>
        <v>0</v>
      </c>
      <c r="I416" s="12">
        <f>IF(IF(SelectedScope="All India",TRUE,'RAW_AR_CONTENT'!$B415=SelectedScope),'RAW_AR_CONTENT'!I415,"")</f>
        <v>0</v>
      </c>
      <c r="J416" s="12">
        <f>IF(IF(SelectedScope="All India",TRUE,'RAW_AR_CONTENT'!$B415=SelectedScope),'RAW_AR_CONTENT'!J415,"")</f>
        <v>0</v>
      </c>
      <c r="K416" s="12">
        <f>IF(IF(SelectedScope="All India",TRUE,'RAW_AR_CONTENT'!$B415=SelectedScope),'RAW_AR_CONTENT'!K415,"")</f>
        <v>0</v>
      </c>
      <c r="L416" s="12">
        <f>IF(IF(SelectedScope="All India",TRUE,'RAW_AR_CONTENT'!$B415=SelectedScope),'RAW_AR_CONTENT'!L415,"")</f>
        <v>0</v>
      </c>
      <c r="M416" s="12">
        <f>IF(IF(SelectedScope="All India",TRUE,'RAW_AR_CONTENT'!$B415=SelectedScope),'RAW_AR_CONTENT'!M415,"")</f>
        <v>0</v>
      </c>
      <c r="N416" s="12">
        <f>IF(IF(SelectedScope="All India",TRUE,'RAW_AR_CONTENT'!$B415=SelectedScope),'RAW_AR_CONTENT'!N415,"")</f>
        <v>0</v>
      </c>
      <c r="O416" s="12">
        <f>IF(IF(SelectedScope="All India",TRUE,'RAW_AR_CONTENT'!$B415=SelectedScope),'RAW_AR_CONTENT'!O415,"")</f>
        <v>0</v>
      </c>
      <c r="P416" s="12">
        <f>IF(IF(SelectedScope="All India",TRUE,'RAW_AR_CONTENT'!$B415=SelectedScope),'RAW_AR_CONTENT'!P415,"")</f>
        <v>0</v>
      </c>
      <c r="Q416" s="12">
        <f>IF(IF(SelectedScope="All India",TRUE,'RAW_AR_CONTENT'!$B415=SelectedScope),'RAW_AR_CONTENT'!Q415,"")</f>
        <v>0</v>
      </c>
      <c r="R416" s="12">
        <f>IF(IF(SelectedScope="All India",TRUE,'RAW_AR_CONTENT'!$B415=SelectedScope),'RAW_AR_CONTENT'!R415,"")</f>
        <v>0</v>
      </c>
    </row>
    <row r="417" spans="1:18" ht="15" customHeight="1" x14ac:dyDescent="0.3">
      <c r="A417" s="9">
        <f>IF(IF(SelectedScope="All India",TRUE,'RAW_AR_CONTENT'!$B416=SelectedScope),'RAW_AR_CONTENT'!A416,"")</f>
        <v>413</v>
      </c>
      <c r="B417" s="9" t="str">
        <f>IF(IF(SelectedScope="All India",TRUE,'RAW_AR_CONTENT'!$B416=SelectedScope),'RAW_AR_CONTENT'!B416,"")</f>
        <v>Punjab</v>
      </c>
      <c r="C417" s="9" t="str">
        <f>IF(IF(SelectedScope="All India",TRUE,'RAW_AR_CONTENT'!$B416=SelectedScope),'RAW_AR_CONTENT'!C416,"")</f>
        <v>Geography</v>
      </c>
      <c r="D417" s="9" t="str">
        <f>IF(IF(SelectedScope="All India",TRUE,'RAW_AR_CONTENT'!$B416=SelectedScope),'RAW_AR_CONTENT'!D416,"")</f>
        <v>Class 6</v>
      </c>
      <c r="E417" s="9" t="str">
        <f>IF(IF(SelectedScope="All India",TRUE,'RAW_AR_CONTENT'!$B416=SelectedScope),'RAW_AR_CONTENT'!E416,"")</f>
        <v>Water Cycle Simulation</v>
      </c>
      <c r="F417" s="9" t="str">
        <f>IF(IF(SelectedScope="All India",TRUE,'RAW_AR_CONTENT'!$B416=SelectedScope),'RAW_AR_CONTENT'!F416,"")</f>
        <v>Animated</v>
      </c>
      <c r="G417" s="9" t="str">
        <f>IF(IF(SelectedScope="All India",TRUE,'RAW_AR_CONTENT'!$B416=SelectedScope),'RAW_AR_CONTENT'!G416,"")</f>
        <v>Active</v>
      </c>
      <c r="H417" s="9">
        <f>IF(IF(SelectedScope="All India",TRUE,'RAW_AR_CONTENT'!$B416=SelectedScope),'RAW_AR_CONTENT'!H416,"")</f>
        <v>0</v>
      </c>
      <c r="I417" s="9">
        <f>IF(IF(SelectedScope="All India",TRUE,'RAW_AR_CONTENT'!$B416=SelectedScope),'RAW_AR_CONTENT'!I416,"")</f>
        <v>0</v>
      </c>
      <c r="J417" s="9">
        <f>IF(IF(SelectedScope="All India",TRUE,'RAW_AR_CONTENT'!$B416=SelectedScope),'RAW_AR_CONTENT'!J416,"")</f>
        <v>0</v>
      </c>
      <c r="K417" s="9">
        <f>IF(IF(SelectedScope="All India",TRUE,'RAW_AR_CONTENT'!$B416=SelectedScope),'RAW_AR_CONTENT'!K416,"")</f>
        <v>0</v>
      </c>
      <c r="L417" s="9">
        <f>IF(IF(SelectedScope="All India",TRUE,'RAW_AR_CONTENT'!$B416=SelectedScope),'RAW_AR_CONTENT'!L416,"")</f>
        <v>0</v>
      </c>
      <c r="M417" s="9">
        <f>IF(IF(SelectedScope="All India",TRUE,'RAW_AR_CONTENT'!$B416=SelectedScope),'RAW_AR_CONTENT'!M416,"")</f>
        <v>0</v>
      </c>
      <c r="N417" s="9">
        <f>IF(IF(SelectedScope="All India",TRUE,'RAW_AR_CONTENT'!$B416=SelectedScope),'RAW_AR_CONTENT'!N416,"")</f>
        <v>0</v>
      </c>
      <c r="O417" s="9">
        <f>IF(IF(SelectedScope="All India",TRUE,'RAW_AR_CONTENT'!$B416=SelectedScope),'RAW_AR_CONTENT'!O416,"")</f>
        <v>0</v>
      </c>
      <c r="P417" s="9">
        <f>IF(IF(SelectedScope="All India",TRUE,'RAW_AR_CONTENT'!$B416=SelectedScope),'RAW_AR_CONTENT'!P416,"")</f>
        <v>0</v>
      </c>
      <c r="Q417" s="9">
        <f>IF(IF(SelectedScope="All India",TRUE,'RAW_AR_CONTENT'!$B416=SelectedScope),'RAW_AR_CONTENT'!Q416,"")</f>
        <v>0</v>
      </c>
      <c r="R417" s="9">
        <f>IF(IF(SelectedScope="All India",TRUE,'RAW_AR_CONTENT'!$B416=SelectedScope),'RAW_AR_CONTENT'!R416,"")</f>
        <v>0</v>
      </c>
    </row>
    <row r="418" spans="1:18" ht="15" customHeight="1" x14ac:dyDescent="0.3">
      <c r="A418" s="12">
        <f>IF(IF(SelectedScope="All India",TRUE,'RAW_AR_CONTENT'!$B417=SelectedScope),'RAW_AR_CONTENT'!A417,"")</f>
        <v>414</v>
      </c>
      <c r="B418" s="12" t="str">
        <f>IF(IF(SelectedScope="All India",TRUE,'RAW_AR_CONTENT'!$B417=SelectedScope),'RAW_AR_CONTENT'!B417,"")</f>
        <v>Punjab</v>
      </c>
      <c r="C418" s="12" t="str">
        <f>IF(IF(SelectedScope="All India",TRUE,'RAW_AR_CONTENT'!$B417=SelectedScope),'RAW_AR_CONTENT'!C417,"")</f>
        <v>Biology</v>
      </c>
      <c r="D418" s="12" t="str">
        <f>IF(IF(SelectedScope="All India",TRUE,'RAW_AR_CONTENT'!$B417=SelectedScope),'RAW_AR_CONTENT'!D417,"")</f>
        <v>Class 11</v>
      </c>
      <c r="E418" s="12" t="str">
        <f>IF(IF(SelectedScope="All India",TRUE,'RAW_AR_CONTENT'!$B417=SelectedScope),'RAW_AR_CONTENT'!E417,"")</f>
        <v>Human Anatomy AR</v>
      </c>
      <c r="F418" s="12" t="str">
        <f>IF(IF(SelectedScope="All India",TRUE,'RAW_AR_CONTENT'!$B417=SelectedScope),'RAW_AR_CONTENT'!F417,"")</f>
        <v>Fully Immersive</v>
      </c>
      <c r="G418" s="12" t="str">
        <f>IF(IF(SelectedScope="All India",TRUE,'RAW_AR_CONTENT'!$B417=SelectedScope),'RAW_AR_CONTENT'!G417,"")</f>
        <v>Active</v>
      </c>
      <c r="H418" s="12">
        <f>IF(IF(SelectedScope="All India",TRUE,'RAW_AR_CONTENT'!$B417=SelectedScope),'RAW_AR_CONTENT'!H417,"")</f>
        <v>0</v>
      </c>
      <c r="I418" s="12">
        <f>IF(IF(SelectedScope="All India",TRUE,'RAW_AR_CONTENT'!$B417=SelectedScope),'RAW_AR_CONTENT'!I417,"")</f>
        <v>0</v>
      </c>
      <c r="J418" s="12">
        <f>IF(IF(SelectedScope="All India",TRUE,'RAW_AR_CONTENT'!$B417=SelectedScope),'RAW_AR_CONTENT'!J417,"")</f>
        <v>0</v>
      </c>
      <c r="K418" s="12">
        <f>IF(IF(SelectedScope="All India",TRUE,'RAW_AR_CONTENT'!$B417=SelectedScope),'RAW_AR_CONTENT'!K417,"")</f>
        <v>0</v>
      </c>
      <c r="L418" s="12">
        <f>IF(IF(SelectedScope="All India",TRUE,'RAW_AR_CONTENT'!$B417=SelectedScope),'RAW_AR_CONTENT'!L417,"")</f>
        <v>0</v>
      </c>
      <c r="M418" s="12">
        <f>IF(IF(SelectedScope="All India",TRUE,'RAW_AR_CONTENT'!$B417=SelectedScope),'RAW_AR_CONTENT'!M417,"")</f>
        <v>0</v>
      </c>
      <c r="N418" s="12">
        <f>IF(IF(SelectedScope="All India",TRUE,'RAW_AR_CONTENT'!$B417=SelectedScope),'RAW_AR_CONTENT'!N417,"")</f>
        <v>0</v>
      </c>
      <c r="O418" s="12">
        <f>IF(IF(SelectedScope="All India",TRUE,'RAW_AR_CONTENT'!$B417=SelectedScope),'RAW_AR_CONTENT'!O417,"")</f>
        <v>0</v>
      </c>
      <c r="P418" s="12">
        <f>IF(IF(SelectedScope="All India",TRUE,'RAW_AR_CONTENT'!$B417=SelectedScope),'RAW_AR_CONTENT'!P417,"")</f>
        <v>0</v>
      </c>
      <c r="Q418" s="12">
        <f>IF(IF(SelectedScope="All India",TRUE,'RAW_AR_CONTENT'!$B417=SelectedScope),'RAW_AR_CONTENT'!Q417,"")</f>
        <v>0</v>
      </c>
      <c r="R418" s="12">
        <f>IF(IF(SelectedScope="All India",TRUE,'RAW_AR_CONTENT'!$B417=SelectedScope),'RAW_AR_CONTENT'!R417,"")</f>
        <v>0</v>
      </c>
    </row>
    <row r="419" spans="1:18" ht="15" customHeight="1" x14ac:dyDescent="0.3">
      <c r="A419" s="9">
        <f>IF(IF(SelectedScope="All India",TRUE,'RAW_AR_CONTENT'!$B418=SelectedScope),'RAW_AR_CONTENT'!A418,"")</f>
        <v>415</v>
      </c>
      <c r="B419" s="9" t="str">
        <f>IF(IF(SelectedScope="All India",TRUE,'RAW_AR_CONTENT'!$B418=SelectedScope),'RAW_AR_CONTENT'!B418,"")</f>
        <v>Punjab</v>
      </c>
      <c r="C419" s="9" t="str">
        <f>IF(IF(SelectedScope="All India",TRUE,'RAW_AR_CONTENT'!$B418=SelectedScope),'RAW_AR_CONTENT'!C418,"")</f>
        <v>Physics</v>
      </c>
      <c r="D419" s="9" t="str">
        <f>IF(IF(SelectedScope="All India",TRUE,'RAW_AR_CONTENT'!$B418=SelectedScope),'RAW_AR_CONTENT'!D418,"")</f>
        <v>Class 9</v>
      </c>
      <c r="E419" s="9" t="str">
        <f>IF(IF(SelectedScope="All India",TRUE,'RAW_AR_CONTENT'!$B418=SelectedScope),'RAW_AR_CONTENT'!E418,"")</f>
        <v>Laws of Motion</v>
      </c>
      <c r="F419" s="9" t="str">
        <f>IF(IF(SelectedScope="All India",TRUE,'RAW_AR_CONTENT'!$B418=SelectedScope),'RAW_AR_CONTENT'!F418,"")</f>
        <v>Interactive</v>
      </c>
      <c r="G419" s="9" t="str">
        <f>IF(IF(SelectedScope="All India",TRUE,'RAW_AR_CONTENT'!$B418=SelectedScope),'RAW_AR_CONTENT'!G418,"")</f>
        <v>Active</v>
      </c>
      <c r="H419" s="9">
        <f>IF(IF(SelectedScope="All India",TRUE,'RAW_AR_CONTENT'!$B418=SelectedScope),'RAW_AR_CONTENT'!H418,"")</f>
        <v>0</v>
      </c>
      <c r="I419" s="9">
        <f>IF(IF(SelectedScope="All India",TRUE,'RAW_AR_CONTENT'!$B418=SelectedScope),'RAW_AR_CONTENT'!I418,"")</f>
        <v>0</v>
      </c>
      <c r="J419" s="9">
        <f>IF(IF(SelectedScope="All India",TRUE,'RAW_AR_CONTENT'!$B418=SelectedScope),'RAW_AR_CONTENT'!J418,"")</f>
        <v>0</v>
      </c>
      <c r="K419" s="9">
        <f>IF(IF(SelectedScope="All India",TRUE,'RAW_AR_CONTENT'!$B418=SelectedScope),'RAW_AR_CONTENT'!K418,"")</f>
        <v>0</v>
      </c>
      <c r="L419" s="9">
        <f>IF(IF(SelectedScope="All India",TRUE,'RAW_AR_CONTENT'!$B418=SelectedScope),'RAW_AR_CONTENT'!L418,"")</f>
        <v>0</v>
      </c>
      <c r="M419" s="9">
        <f>IF(IF(SelectedScope="All India",TRUE,'RAW_AR_CONTENT'!$B418=SelectedScope),'RAW_AR_CONTENT'!M418,"")</f>
        <v>0</v>
      </c>
      <c r="N419" s="9">
        <f>IF(IF(SelectedScope="All India",TRUE,'RAW_AR_CONTENT'!$B418=SelectedScope),'RAW_AR_CONTENT'!N418,"")</f>
        <v>0</v>
      </c>
      <c r="O419" s="9">
        <f>IF(IF(SelectedScope="All India",TRUE,'RAW_AR_CONTENT'!$B418=SelectedScope),'RAW_AR_CONTENT'!O418,"")</f>
        <v>0</v>
      </c>
      <c r="P419" s="9">
        <f>IF(IF(SelectedScope="All India",TRUE,'RAW_AR_CONTENT'!$B418=SelectedScope),'RAW_AR_CONTENT'!P418,"")</f>
        <v>0</v>
      </c>
      <c r="Q419" s="9">
        <f>IF(IF(SelectedScope="All India",TRUE,'RAW_AR_CONTENT'!$B418=SelectedScope),'RAW_AR_CONTENT'!Q418,"")</f>
        <v>0</v>
      </c>
      <c r="R419" s="9">
        <f>IF(IF(SelectedScope="All India",TRUE,'RAW_AR_CONTENT'!$B418=SelectedScope),'RAW_AR_CONTENT'!R418,"")</f>
        <v>0</v>
      </c>
    </row>
    <row r="420" spans="1:18" ht="15" customHeight="1" x14ac:dyDescent="0.3">
      <c r="A420" s="12">
        <f>IF(IF(SelectedScope="All India",TRUE,'RAW_AR_CONTENT'!$B419=SelectedScope),'RAW_AR_CONTENT'!A419,"")</f>
        <v>416</v>
      </c>
      <c r="B420" s="12" t="str">
        <f>IF(IF(SelectedScope="All India",TRUE,'RAW_AR_CONTENT'!$B419=SelectedScope),'RAW_AR_CONTENT'!B419,"")</f>
        <v>Punjab</v>
      </c>
      <c r="C420" s="12" t="str">
        <f>IF(IF(SelectedScope="All India",TRUE,'RAW_AR_CONTENT'!$B419=SelectedScope),'RAW_AR_CONTENT'!C419,"")</f>
        <v>Chemistry</v>
      </c>
      <c r="D420" s="12" t="str">
        <f>IF(IF(SelectedScope="All India",TRUE,'RAW_AR_CONTENT'!$B419=SelectedScope),'RAW_AR_CONTENT'!D419,"")</f>
        <v>Class 11</v>
      </c>
      <c r="E420" s="12" t="str">
        <f>IF(IF(SelectedScope="All India",TRUE,'RAW_AR_CONTENT'!$B419=SelectedScope),'RAW_AR_CONTENT'!E419,"")</f>
        <v>Periodic Table 3D</v>
      </c>
      <c r="F420" s="12" t="str">
        <f>IF(IF(SelectedScope="All India",TRUE,'RAW_AR_CONTENT'!$B419=SelectedScope),'RAW_AR_CONTENT'!F419,"")</f>
        <v>Interactive</v>
      </c>
      <c r="G420" s="12" t="str">
        <f>IF(IF(SelectedScope="All India",TRUE,'RAW_AR_CONTENT'!$B419=SelectedScope),'RAW_AR_CONTENT'!G419,"")</f>
        <v>Active</v>
      </c>
      <c r="H420" s="12">
        <f>IF(IF(SelectedScope="All India",TRUE,'RAW_AR_CONTENT'!$B419=SelectedScope),'RAW_AR_CONTENT'!H419,"")</f>
        <v>0</v>
      </c>
      <c r="I420" s="12">
        <f>IF(IF(SelectedScope="All India",TRUE,'RAW_AR_CONTENT'!$B419=SelectedScope),'RAW_AR_CONTENT'!I419,"")</f>
        <v>0</v>
      </c>
      <c r="J420" s="12">
        <f>IF(IF(SelectedScope="All India",TRUE,'RAW_AR_CONTENT'!$B419=SelectedScope),'RAW_AR_CONTENT'!J419,"")</f>
        <v>0</v>
      </c>
      <c r="K420" s="12">
        <f>IF(IF(SelectedScope="All India",TRUE,'RAW_AR_CONTENT'!$B419=SelectedScope),'RAW_AR_CONTENT'!K419,"")</f>
        <v>0</v>
      </c>
      <c r="L420" s="12">
        <f>IF(IF(SelectedScope="All India",TRUE,'RAW_AR_CONTENT'!$B419=SelectedScope),'RAW_AR_CONTENT'!L419,"")</f>
        <v>0</v>
      </c>
      <c r="M420" s="12">
        <f>IF(IF(SelectedScope="All India",TRUE,'RAW_AR_CONTENT'!$B419=SelectedScope),'RAW_AR_CONTENT'!M419,"")</f>
        <v>0</v>
      </c>
      <c r="N420" s="12">
        <f>IF(IF(SelectedScope="All India",TRUE,'RAW_AR_CONTENT'!$B419=SelectedScope),'RAW_AR_CONTENT'!N419,"")</f>
        <v>0</v>
      </c>
      <c r="O420" s="12">
        <f>IF(IF(SelectedScope="All India",TRUE,'RAW_AR_CONTENT'!$B419=SelectedScope),'RAW_AR_CONTENT'!O419,"")</f>
        <v>0</v>
      </c>
      <c r="P420" s="12">
        <f>IF(IF(SelectedScope="All India",TRUE,'RAW_AR_CONTENT'!$B419=SelectedScope),'RAW_AR_CONTENT'!P419,"")</f>
        <v>0</v>
      </c>
      <c r="Q420" s="12">
        <f>IF(IF(SelectedScope="All India",TRUE,'RAW_AR_CONTENT'!$B419=SelectedScope),'RAW_AR_CONTENT'!Q419,"")</f>
        <v>0</v>
      </c>
      <c r="R420" s="12">
        <f>IF(IF(SelectedScope="All India",TRUE,'RAW_AR_CONTENT'!$B419=SelectedScope),'RAW_AR_CONTENT'!R419,"")</f>
        <v>0</v>
      </c>
    </row>
    <row r="421" spans="1:18" ht="15" customHeight="1" x14ac:dyDescent="0.3">
      <c r="A421" s="9">
        <f>IF(IF(SelectedScope="All India",TRUE,'RAW_AR_CONTENT'!$B420=SelectedScope),'RAW_AR_CONTENT'!A420,"")</f>
        <v>417</v>
      </c>
      <c r="B421" s="9" t="str">
        <f>IF(IF(SelectedScope="All India",TRUE,'RAW_AR_CONTENT'!$B420=SelectedScope),'RAW_AR_CONTENT'!B420,"")</f>
        <v>Punjab</v>
      </c>
      <c r="C421" s="9" t="str">
        <f>IF(IF(SelectedScope="All India",TRUE,'RAW_AR_CONTENT'!$B420=SelectedScope),'RAW_AR_CONTENT'!C420,"")</f>
        <v>Physics</v>
      </c>
      <c r="D421" s="9" t="str">
        <f>IF(IF(SelectedScope="All India",TRUE,'RAW_AR_CONTENT'!$B420=SelectedScope),'RAW_AR_CONTENT'!D420,"")</f>
        <v>Class 10</v>
      </c>
      <c r="E421" s="9" t="str">
        <f>IF(IF(SelectedScope="All India",TRUE,'RAW_AR_CONTENT'!$B420=SelectedScope),'RAW_AR_CONTENT'!E420,"")</f>
        <v>Electricity Circuits</v>
      </c>
      <c r="F421" s="9" t="str">
        <f>IF(IF(SelectedScope="All India",TRUE,'RAW_AR_CONTENT'!$B420=SelectedScope),'RAW_AR_CONTENT'!F420,"")</f>
        <v>Interactive</v>
      </c>
      <c r="G421" s="9" t="str">
        <f>IF(IF(SelectedScope="All India",TRUE,'RAW_AR_CONTENT'!$B420=SelectedScope),'RAW_AR_CONTENT'!G420,"")</f>
        <v>Active</v>
      </c>
      <c r="H421" s="9">
        <f>IF(IF(SelectedScope="All India",TRUE,'RAW_AR_CONTENT'!$B420=SelectedScope),'RAW_AR_CONTENT'!H420,"")</f>
        <v>0</v>
      </c>
      <c r="I421" s="9">
        <f>IF(IF(SelectedScope="All India",TRUE,'RAW_AR_CONTENT'!$B420=SelectedScope),'RAW_AR_CONTENT'!I420,"")</f>
        <v>0</v>
      </c>
      <c r="J421" s="9">
        <f>IF(IF(SelectedScope="All India",TRUE,'RAW_AR_CONTENT'!$B420=SelectedScope),'RAW_AR_CONTENT'!J420,"")</f>
        <v>0</v>
      </c>
      <c r="K421" s="9">
        <f>IF(IF(SelectedScope="All India",TRUE,'RAW_AR_CONTENT'!$B420=SelectedScope),'RAW_AR_CONTENT'!K420,"")</f>
        <v>0</v>
      </c>
      <c r="L421" s="9">
        <f>IF(IF(SelectedScope="All India",TRUE,'RAW_AR_CONTENT'!$B420=SelectedScope),'RAW_AR_CONTENT'!L420,"")</f>
        <v>0</v>
      </c>
      <c r="M421" s="9">
        <f>IF(IF(SelectedScope="All India",TRUE,'RAW_AR_CONTENT'!$B420=SelectedScope),'RAW_AR_CONTENT'!M420,"")</f>
        <v>0</v>
      </c>
      <c r="N421" s="9">
        <f>IF(IF(SelectedScope="All India",TRUE,'RAW_AR_CONTENT'!$B420=SelectedScope),'RAW_AR_CONTENT'!N420,"")</f>
        <v>0</v>
      </c>
      <c r="O421" s="9">
        <f>IF(IF(SelectedScope="All India",TRUE,'RAW_AR_CONTENT'!$B420=SelectedScope),'RAW_AR_CONTENT'!O420,"")</f>
        <v>0</v>
      </c>
      <c r="P421" s="9">
        <f>IF(IF(SelectedScope="All India",TRUE,'RAW_AR_CONTENT'!$B420=SelectedScope),'RAW_AR_CONTENT'!P420,"")</f>
        <v>0</v>
      </c>
      <c r="Q421" s="9">
        <f>IF(IF(SelectedScope="All India",TRUE,'RAW_AR_CONTENT'!$B420=SelectedScope),'RAW_AR_CONTENT'!Q420,"")</f>
        <v>0</v>
      </c>
      <c r="R421" s="9">
        <f>IF(IF(SelectedScope="All India",TRUE,'RAW_AR_CONTENT'!$B420=SelectedScope),'RAW_AR_CONTENT'!R420,"")</f>
        <v>0</v>
      </c>
    </row>
    <row r="422" spans="1:18" ht="15" customHeight="1" x14ac:dyDescent="0.3">
      <c r="A422" s="12">
        <f>IF(IF(SelectedScope="All India",TRUE,'RAW_AR_CONTENT'!$B421=SelectedScope),'RAW_AR_CONTENT'!A421,"")</f>
        <v>418</v>
      </c>
      <c r="B422" s="12" t="str">
        <f>IF(IF(SelectedScope="All India",TRUE,'RAW_AR_CONTENT'!$B421=SelectedScope),'RAW_AR_CONTENT'!B421,"")</f>
        <v>Punjab</v>
      </c>
      <c r="C422" s="12" t="str">
        <f>IF(IF(SelectedScope="All India",TRUE,'RAW_AR_CONTENT'!$B421=SelectedScope),'RAW_AR_CONTENT'!C421,"")</f>
        <v>Civics</v>
      </c>
      <c r="D422" s="12" t="str">
        <f>IF(IF(SelectedScope="All India",TRUE,'RAW_AR_CONTENT'!$B421=SelectedScope),'RAW_AR_CONTENT'!D421,"")</f>
        <v>Class 9</v>
      </c>
      <c r="E422" s="12" t="str">
        <f>IF(IF(SelectedScope="All India",TRUE,'RAW_AR_CONTENT'!$B421=SelectedScope),'RAW_AR_CONTENT'!E421,"")</f>
        <v>Indian Constitution</v>
      </c>
      <c r="F422" s="12" t="str">
        <f>IF(IF(SelectedScope="All India",TRUE,'RAW_AR_CONTENT'!$B421=SelectedScope),'RAW_AR_CONTENT'!F421,"")</f>
        <v>Basic 3D</v>
      </c>
      <c r="G422" s="12" t="str">
        <f>IF(IF(SelectedScope="All India",TRUE,'RAW_AR_CONTENT'!$B421=SelectedScope),'RAW_AR_CONTENT'!G421,"")</f>
        <v>Active</v>
      </c>
      <c r="H422" s="12">
        <f>IF(IF(SelectedScope="All India",TRUE,'RAW_AR_CONTENT'!$B421=SelectedScope),'RAW_AR_CONTENT'!H421,"")</f>
        <v>0</v>
      </c>
      <c r="I422" s="12">
        <f>IF(IF(SelectedScope="All India",TRUE,'RAW_AR_CONTENT'!$B421=SelectedScope),'RAW_AR_CONTENT'!I421,"")</f>
        <v>0</v>
      </c>
      <c r="J422" s="12">
        <f>IF(IF(SelectedScope="All India",TRUE,'RAW_AR_CONTENT'!$B421=SelectedScope),'RAW_AR_CONTENT'!J421,"")</f>
        <v>0</v>
      </c>
      <c r="K422" s="12">
        <f>IF(IF(SelectedScope="All India",TRUE,'RAW_AR_CONTENT'!$B421=SelectedScope),'RAW_AR_CONTENT'!K421,"")</f>
        <v>0</v>
      </c>
      <c r="L422" s="12">
        <f>IF(IF(SelectedScope="All India",TRUE,'RAW_AR_CONTENT'!$B421=SelectedScope),'RAW_AR_CONTENT'!L421,"")</f>
        <v>0</v>
      </c>
      <c r="M422" s="12">
        <f>IF(IF(SelectedScope="All India",TRUE,'RAW_AR_CONTENT'!$B421=SelectedScope),'RAW_AR_CONTENT'!M421,"")</f>
        <v>0</v>
      </c>
      <c r="N422" s="12">
        <f>IF(IF(SelectedScope="All India",TRUE,'RAW_AR_CONTENT'!$B421=SelectedScope),'RAW_AR_CONTENT'!N421,"")</f>
        <v>0</v>
      </c>
      <c r="O422" s="12">
        <f>IF(IF(SelectedScope="All India",TRUE,'RAW_AR_CONTENT'!$B421=SelectedScope),'RAW_AR_CONTENT'!O421,"")</f>
        <v>0</v>
      </c>
      <c r="P422" s="12">
        <f>IF(IF(SelectedScope="All India",TRUE,'RAW_AR_CONTENT'!$B421=SelectedScope),'RAW_AR_CONTENT'!P421,"")</f>
        <v>0</v>
      </c>
      <c r="Q422" s="12">
        <f>IF(IF(SelectedScope="All India",TRUE,'RAW_AR_CONTENT'!$B421=SelectedScope),'RAW_AR_CONTENT'!Q421,"")</f>
        <v>0</v>
      </c>
      <c r="R422" s="12">
        <f>IF(IF(SelectedScope="All India",TRUE,'RAW_AR_CONTENT'!$B421=SelectedScope),'RAW_AR_CONTENT'!R421,"")</f>
        <v>0</v>
      </c>
    </row>
    <row r="423" spans="1:18" ht="15" customHeight="1" x14ac:dyDescent="0.3">
      <c r="A423" s="9">
        <f>IF(IF(SelectedScope="All India",TRUE,'RAW_AR_CONTENT'!$B422=SelectedScope),'RAW_AR_CONTENT'!A422,"")</f>
        <v>419</v>
      </c>
      <c r="B423" s="9" t="str">
        <f>IF(IF(SelectedScope="All India",TRUE,'RAW_AR_CONTENT'!$B422=SelectedScope),'RAW_AR_CONTENT'!B422,"")</f>
        <v>Punjab</v>
      </c>
      <c r="C423" s="9" t="str">
        <f>IF(IF(SelectedScope="All India",TRUE,'RAW_AR_CONTENT'!$B422=SelectedScope),'RAW_AR_CONTENT'!C422,"")</f>
        <v>Environmental Science</v>
      </c>
      <c r="D423" s="9" t="str">
        <f>IF(IF(SelectedScope="All India",TRUE,'RAW_AR_CONTENT'!$B422=SelectedScope),'RAW_AR_CONTENT'!D422,"")</f>
        <v>Class 6</v>
      </c>
      <c r="E423" s="9" t="str">
        <f>IF(IF(SelectedScope="All India",TRUE,'RAW_AR_CONTENT'!$B422=SelectedScope),'RAW_AR_CONTENT'!E422,"")</f>
        <v>Food Chain</v>
      </c>
      <c r="F423" s="9" t="str">
        <f>IF(IF(SelectedScope="All India",TRUE,'RAW_AR_CONTENT'!$B422=SelectedScope),'RAW_AR_CONTENT'!F422,"")</f>
        <v>Animated</v>
      </c>
      <c r="G423" s="9" t="str">
        <f>IF(IF(SelectedScope="All India",TRUE,'RAW_AR_CONTENT'!$B422=SelectedScope),'RAW_AR_CONTENT'!G422,"")</f>
        <v>Active</v>
      </c>
      <c r="H423" s="9">
        <f>IF(IF(SelectedScope="All India",TRUE,'RAW_AR_CONTENT'!$B422=SelectedScope),'RAW_AR_CONTENT'!H422,"")</f>
        <v>0</v>
      </c>
      <c r="I423" s="9">
        <f>IF(IF(SelectedScope="All India",TRUE,'RAW_AR_CONTENT'!$B422=SelectedScope),'RAW_AR_CONTENT'!I422,"")</f>
        <v>0</v>
      </c>
      <c r="J423" s="9">
        <f>IF(IF(SelectedScope="All India",TRUE,'RAW_AR_CONTENT'!$B422=SelectedScope),'RAW_AR_CONTENT'!J422,"")</f>
        <v>0</v>
      </c>
      <c r="K423" s="9">
        <f>IF(IF(SelectedScope="All India",TRUE,'RAW_AR_CONTENT'!$B422=SelectedScope),'RAW_AR_CONTENT'!K422,"")</f>
        <v>0</v>
      </c>
      <c r="L423" s="9">
        <f>IF(IF(SelectedScope="All India",TRUE,'RAW_AR_CONTENT'!$B422=SelectedScope),'RAW_AR_CONTENT'!L422,"")</f>
        <v>0</v>
      </c>
      <c r="M423" s="9">
        <f>IF(IF(SelectedScope="All India",TRUE,'RAW_AR_CONTENT'!$B422=SelectedScope),'RAW_AR_CONTENT'!M422,"")</f>
        <v>0</v>
      </c>
      <c r="N423" s="9">
        <f>IF(IF(SelectedScope="All India",TRUE,'RAW_AR_CONTENT'!$B422=SelectedScope),'RAW_AR_CONTENT'!N422,"")</f>
        <v>0</v>
      </c>
      <c r="O423" s="9">
        <f>IF(IF(SelectedScope="All India",TRUE,'RAW_AR_CONTENT'!$B422=SelectedScope),'RAW_AR_CONTENT'!O422,"")</f>
        <v>0</v>
      </c>
      <c r="P423" s="9">
        <f>IF(IF(SelectedScope="All India",TRUE,'RAW_AR_CONTENT'!$B422=SelectedScope),'RAW_AR_CONTENT'!P422,"")</f>
        <v>0</v>
      </c>
      <c r="Q423" s="9">
        <f>IF(IF(SelectedScope="All India",TRUE,'RAW_AR_CONTENT'!$B422=SelectedScope),'RAW_AR_CONTENT'!Q422,"")</f>
        <v>0</v>
      </c>
      <c r="R423" s="9">
        <f>IF(IF(SelectedScope="All India",TRUE,'RAW_AR_CONTENT'!$B422=SelectedScope),'RAW_AR_CONTENT'!R422,"")</f>
        <v>0</v>
      </c>
    </row>
    <row r="424" spans="1:18" ht="15" customHeight="1" x14ac:dyDescent="0.3">
      <c r="A424" s="12">
        <f>IF(IF(SelectedScope="All India",TRUE,'RAW_AR_CONTENT'!$B423=SelectedScope),'RAW_AR_CONTENT'!A423,"")</f>
        <v>420</v>
      </c>
      <c r="B424" s="12" t="str">
        <f>IF(IF(SelectedScope="All India",TRUE,'RAW_AR_CONTENT'!$B423=SelectedScope),'RAW_AR_CONTENT'!B423,"")</f>
        <v>Punjab</v>
      </c>
      <c r="C424" s="12" t="str">
        <f>IF(IF(SelectedScope="All India",TRUE,'RAW_AR_CONTENT'!$B423=SelectedScope),'RAW_AR_CONTENT'!C423,"")</f>
        <v>Mathematics</v>
      </c>
      <c r="D424" s="12" t="str">
        <f>IF(IF(SelectedScope="All India",TRUE,'RAW_AR_CONTENT'!$B423=SelectedScope),'RAW_AR_CONTENT'!D423,"")</f>
        <v>Class 10</v>
      </c>
      <c r="E424" s="12" t="str">
        <f>IF(IF(SelectedScope="All India",TRUE,'RAW_AR_CONTENT'!$B423=SelectedScope),'RAW_AR_CONTENT'!E423,"")</f>
        <v>Quadratic Equations</v>
      </c>
      <c r="F424" s="12" t="str">
        <f>IF(IF(SelectedScope="All India",TRUE,'RAW_AR_CONTENT'!$B423=SelectedScope),'RAW_AR_CONTENT'!F423,"")</f>
        <v>Animated</v>
      </c>
      <c r="G424" s="12" t="str">
        <f>IF(IF(SelectedScope="All India",TRUE,'RAW_AR_CONTENT'!$B423=SelectedScope),'RAW_AR_CONTENT'!G423,"")</f>
        <v>Active</v>
      </c>
      <c r="H424" s="12">
        <f>IF(IF(SelectedScope="All India",TRUE,'RAW_AR_CONTENT'!$B423=SelectedScope),'RAW_AR_CONTENT'!H423,"")</f>
        <v>0</v>
      </c>
      <c r="I424" s="12">
        <f>IF(IF(SelectedScope="All India",TRUE,'RAW_AR_CONTENT'!$B423=SelectedScope),'RAW_AR_CONTENT'!I423,"")</f>
        <v>0</v>
      </c>
      <c r="J424" s="12">
        <f>IF(IF(SelectedScope="All India",TRUE,'RAW_AR_CONTENT'!$B423=SelectedScope),'RAW_AR_CONTENT'!J423,"")</f>
        <v>0</v>
      </c>
      <c r="K424" s="12">
        <f>IF(IF(SelectedScope="All India",TRUE,'RAW_AR_CONTENT'!$B423=SelectedScope),'RAW_AR_CONTENT'!K423,"")</f>
        <v>0</v>
      </c>
      <c r="L424" s="12">
        <f>IF(IF(SelectedScope="All India",TRUE,'RAW_AR_CONTENT'!$B423=SelectedScope),'RAW_AR_CONTENT'!L423,"")</f>
        <v>0</v>
      </c>
      <c r="M424" s="12">
        <f>IF(IF(SelectedScope="All India",TRUE,'RAW_AR_CONTENT'!$B423=SelectedScope),'RAW_AR_CONTENT'!M423,"")</f>
        <v>0</v>
      </c>
      <c r="N424" s="12">
        <f>IF(IF(SelectedScope="All India",TRUE,'RAW_AR_CONTENT'!$B423=SelectedScope),'RAW_AR_CONTENT'!N423,"")</f>
        <v>0</v>
      </c>
      <c r="O424" s="12">
        <f>IF(IF(SelectedScope="All India",TRUE,'RAW_AR_CONTENT'!$B423=SelectedScope),'RAW_AR_CONTENT'!O423,"")</f>
        <v>0</v>
      </c>
      <c r="P424" s="12">
        <f>IF(IF(SelectedScope="All India",TRUE,'RAW_AR_CONTENT'!$B423=SelectedScope),'RAW_AR_CONTENT'!P423,"")</f>
        <v>0</v>
      </c>
      <c r="Q424" s="12">
        <f>IF(IF(SelectedScope="All India",TRUE,'RAW_AR_CONTENT'!$B423=SelectedScope),'RAW_AR_CONTENT'!Q423,"")</f>
        <v>0</v>
      </c>
      <c r="R424" s="12">
        <f>IF(IF(SelectedScope="All India",TRUE,'RAW_AR_CONTENT'!$B423=SelectedScope),'RAW_AR_CONTENT'!R423,"")</f>
        <v>0</v>
      </c>
    </row>
    <row r="425" spans="1:18" ht="15" customHeight="1" x14ac:dyDescent="0.3">
      <c r="A425" s="9">
        <f>IF(IF(SelectedScope="All India",TRUE,'RAW_AR_CONTENT'!$B424=SelectedScope),'RAW_AR_CONTENT'!A424,"")</f>
        <v>421</v>
      </c>
      <c r="B425" s="9" t="str">
        <f>IF(IF(SelectedScope="All India",TRUE,'RAW_AR_CONTENT'!$B424=SelectedScope),'RAW_AR_CONTENT'!B424,"")</f>
        <v>Rajasthan</v>
      </c>
      <c r="C425" s="9" t="str">
        <f>IF(IF(SelectedScope="All India",TRUE,'RAW_AR_CONTENT'!$B424=SelectedScope),'RAW_AR_CONTENT'!C424,"")</f>
        <v>Science</v>
      </c>
      <c r="D425" s="9" t="str">
        <f>IF(IF(SelectedScope="All India",TRUE,'RAW_AR_CONTENT'!$B424=SelectedScope),'RAW_AR_CONTENT'!D424,"")</f>
        <v>Class 8</v>
      </c>
      <c r="E425" s="9" t="str">
        <f>IF(IF(SelectedScope="All India",TRUE,'RAW_AR_CONTENT'!$B424=SelectedScope),'RAW_AR_CONTENT'!E424,"")</f>
        <v>Solar System 3D</v>
      </c>
      <c r="F425" s="9" t="str">
        <f>IF(IF(SelectedScope="All India",TRUE,'RAW_AR_CONTENT'!$B424=SelectedScope),'RAW_AR_CONTENT'!F424,"")</f>
        <v>Animated</v>
      </c>
      <c r="G425" s="9" t="str">
        <f>IF(IF(SelectedScope="All India",TRUE,'RAW_AR_CONTENT'!$B424=SelectedScope),'RAW_AR_CONTENT'!G424,"")</f>
        <v>Active</v>
      </c>
      <c r="H425" s="9">
        <f>IF(IF(SelectedScope="All India",TRUE,'RAW_AR_CONTENT'!$B424=SelectedScope),'RAW_AR_CONTENT'!H424,"")</f>
        <v>0</v>
      </c>
      <c r="I425" s="9">
        <f>IF(IF(SelectedScope="All India",TRUE,'RAW_AR_CONTENT'!$B424=SelectedScope),'RAW_AR_CONTENT'!I424,"")</f>
        <v>0</v>
      </c>
      <c r="J425" s="9">
        <f>IF(IF(SelectedScope="All India",TRUE,'RAW_AR_CONTENT'!$B424=SelectedScope),'RAW_AR_CONTENT'!J424,"")</f>
        <v>0</v>
      </c>
      <c r="K425" s="9">
        <f>IF(IF(SelectedScope="All India",TRUE,'RAW_AR_CONTENT'!$B424=SelectedScope),'RAW_AR_CONTENT'!K424,"")</f>
        <v>0</v>
      </c>
      <c r="L425" s="9">
        <f>IF(IF(SelectedScope="All India",TRUE,'RAW_AR_CONTENT'!$B424=SelectedScope),'RAW_AR_CONTENT'!L424,"")</f>
        <v>0</v>
      </c>
      <c r="M425" s="9">
        <f>IF(IF(SelectedScope="All India",TRUE,'RAW_AR_CONTENT'!$B424=SelectedScope),'RAW_AR_CONTENT'!M424,"")</f>
        <v>0</v>
      </c>
      <c r="N425" s="9">
        <f>IF(IF(SelectedScope="All India",TRUE,'RAW_AR_CONTENT'!$B424=SelectedScope),'RAW_AR_CONTENT'!N424,"")</f>
        <v>0</v>
      </c>
      <c r="O425" s="9">
        <f>IF(IF(SelectedScope="All India",TRUE,'RAW_AR_CONTENT'!$B424=SelectedScope),'RAW_AR_CONTENT'!O424,"")</f>
        <v>0</v>
      </c>
      <c r="P425" s="9">
        <f>IF(IF(SelectedScope="All India",TRUE,'RAW_AR_CONTENT'!$B424=SelectedScope),'RAW_AR_CONTENT'!P424,"")</f>
        <v>0</v>
      </c>
      <c r="Q425" s="9">
        <f>IF(IF(SelectedScope="All India",TRUE,'RAW_AR_CONTENT'!$B424=SelectedScope),'RAW_AR_CONTENT'!Q424,"")</f>
        <v>0</v>
      </c>
      <c r="R425" s="9">
        <f>IF(IF(SelectedScope="All India",TRUE,'RAW_AR_CONTENT'!$B424=SelectedScope),'RAW_AR_CONTENT'!R424,"")</f>
        <v>0</v>
      </c>
    </row>
    <row r="426" spans="1:18" ht="15" customHeight="1" x14ac:dyDescent="0.3">
      <c r="A426" s="12">
        <f>IF(IF(SelectedScope="All India",TRUE,'RAW_AR_CONTENT'!$B425=SelectedScope),'RAW_AR_CONTENT'!A425,"")</f>
        <v>422</v>
      </c>
      <c r="B426" s="12" t="str">
        <f>IF(IF(SelectedScope="All India",TRUE,'RAW_AR_CONTENT'!$B425=SelectedScope),'RAW_AR_CONTENT'!B425,"")</f>
        <v>Rajasthan</v>
      </c>
      <c r="C426" s="12" t="str">
        <f>IF(IF(SelectedScope="All India",TRUE,'RAW_AR_CONTENT'!$B425=SelectedScope),'RAW_AR_CONTENT'!C425,"")</f>
        <v>Biology</v>
      </c>
      <c r="D426" s="12" t="str">
        <f>IF(IF(SelectedScope="All India",TRUE,'RAW_AR_CONTENT'!$B425=SelectedScope),'RAW_AR_CONTENT'!D425,"")</f>
        <v>Class 9</v>
      </c>
      <c r="E426" s="12" t="str">
        <f>IF(IF(SelectedScope="All India",TRUE,'RAW_AR_CONTENT'!$B425=SelectedScope),'RAW_AR_CONTENT'!E425,"")</f>
        <v>Cell Division</v>
      </c>
      <c r="F426" s="12" t="str">
        <f>IF(IF(SelectedScope="All India",TRUE,'RAW_AR_CONTENT'!$B425=SelectedScope),'RAW_AR_CONTENT'!F425,"")</f>
        <v>Interactive</v>
      </c>
      <c r="G426" s="12" t="str">
        <f>IF(IF(SelectedScope="All India",TRUE,'RAW_AR_CONTENT'!$B425=SelectedScope),'RAW_AR_CONTENT'!G425,"")</f>
        <v>Active</v>
      </c>
      <c r="H426" s="12">
        <f>IF(IF(SelectedScope="All India",TRUE,'RAW_AR_CONTENT'!$B425=SelectedScope),'RAW_AR_CONTENT'!H425,"")</f>
        <v>0</v>
      </c>
      <c r="I426" s="12">
        <f>IF(IF(SelectedScope="All India",TRUE,'RAW_AR_CONTENT'!$B425=SelectedScope),'RAW_AR_CONTENT'!I425,"")</f>
        <v>0</v>
      </c>
      <c r="J426" s="12">
        <f>IF(IF(SelectedScope="All India",TRUE,'RAW_AR_CONTENT'!$B425=SelectedScope),'RAW_AR_CONTENT'!J425,"")</f>
        <v>0</v>
      </c>
      <c r="K426" s="12">
        <f>IF(IF(SelectedScope="All India",TRUE,'RAW_AR_CONTENT'!$B425=SelectedScope),'RAW_AR_CONTENT'!K425,"")</f>
        <v>0</v>
      </c>
      <c r="L426" s="12">
        <f>IF(IF(SelectedScope="All India",TRUE,'RAW_AR_CONTENT'!$B425=SelectedScope),'RAW_AR_CONTENT'!L425,"")</f>
        <v>0</v>
      </c>
      <c r="M426" s="12">
        <f>IF(IF(SelectedScope="All India",TRUE,'RAW_AR_CONTENT'!$B425=SelectedScope),'RAW_AR_CONTENT'!M425,"")</f>
        <v>0</v>
      </c>
      <c r="N426" s="12">
        <f>IF(IF(SelectedScope="All India",TRUE,'RAW_AR_CONTENT'!$B425=SelectedScope),'RAW_AR_CONTENT'!N425,"")</f>
        <v>0</v>
      </c>
      <c r="O426" s="12">
        <f>IF(IF(SelectedScope="All India",TRUE,'RAW_AR_CONTENT'!$B425=SelectedScope),'RAW_AR_CONTENT'!O425,"")</f>
        <v>0</v>
      </c>
      <c r="P426" s="12">
        <f>IF(IF(SelectedScope="All India",TRUE,'RAW_AR_CONTENT'!$B425=SelectedScope),'RAW_AR_CONTENT'!P425,"")</f>
        <v>0</v>
      </c>
      <c r="Q426" s="12">
        <f>IF(IF(SelectedScope="All India",TRUE,'RAW_AR_CONTENT'!$B425=SelectedScope),'RAW_AR_CONTENT'!Q425,"")</f>
        <v>0</v>
      </c>
      <c r="R426" s="12">
        <f>IF(IF(SelectedScope="All India",TRUE,'RAW_AR_CONTENT'!$B425=SelectedScope),'RAW_AR_CONTENT'!R425,"")</f>
        <v>0</v>
      </c>
    </row>
    <row r="427" spans="1:18" ht="15" customHeight="1" x14ac:dyDescent="0.3">
      <c r="A427" s="9">
        <f>IF(IF(SelectedScope="All India",TRUE,'RAW_AR_CONTENT'!$B426=SelectedScope),'RAW_AR_CONTENT'!A426,"")</f>
        <v>423</v>
      </c>
      <c r="B427" s="9" t="str">
        <f>IF(IF(SelectedScope="All India",TRUE,'RAW_AR_CONTENT'!$B426=SelectedScope),'RAW_AR_CONTENT'!B426,"")</f>
        <v>Rajasthan</v>
      </c>
      <c r="C427" s="9" t="str">
        <f>IF(IF(SelectedScope="All India",TRUE,'RAW_AR_CONTENT'!$B426=SelectedScope),'RAW_AR_CONTENT'!C426,"")</f>
        <v>Chemistry</v>
      </c>
      <c r="D427" s="9" t="str">
        <f>IF(IF(SelectedScope="All India",TRUE,'RAW_AR_CONTENT'!$B426=SelectedScope),'RAW_AR_CONTENT'!D426,"")</f>
        <v>Class 9</v>
      </c>
      <c r="E427" s="9" t="str">
        <f>IF(IF(SelectedScope="All India",TRUE,'RAW_AR_CONTENT'!$B426=SelectedScope),'RAW_AR_CONTENT'!E426,"")</f>
        <v>Atoms and Molecules</v>
      </c>
      <c r="F427" s="9" t="str">
        <f>IF(IF(SelectedScope="All India",TRUE,'RAW_AR_CONTENT'!$B426=SelectedScope),'RAW_AR_CONTENT'!F426,"")</f>
        <v>Animated</v>
      </c>
      <c r="G427" s="9" t="str">
        <f>IF(IF(SelectedScope="All India",TRUE,'RAW_AR_CONTENT'!$B426=SelectedScope),'RAW_AR_CONTENT'!G426,"")</f>
        <v>Active</v>
      </c>
      <c r="H427" s="9">
        <f>IF(IF(SelectedScope="All India",TRUE,'RAW_AR_CONTENT'!$B426=SelectedScope),'RAW_AR_CONTENT'!H426,"")</f>
        <v>0</v>
      </c>
      <c r="I427" s="9">
        <f>IF(IF(SelectedScope="All India",TRUE,'RAW_AR_CONTENT'!$B426=SelectedScope),'RAW_AR_CONTENT'!I426,"")</f>
        <v>0</v>
      </c>
      <c r="J427" s="9">
        <f>IF(IF(SelectedScope="All India",TRUE,'RAW_AR_CONTENT'!$B426=SelectedScope),'RAW_AR_CONTENT'!J426,"")</f>
        <v>0</v>
      </c>
      <c r="K427" s="9">
        <f>IF(IF(SelectedScope="All India",TRUE,'RAW_AR_CONTENT'!$B426=SelectedScope),'RAW_AR_CONTENT'!K426,"")</f>
        <v>0</v>
      </c>
      <c r="L427" s="9">
        <f>IF(IF(SelectedScope="All India",TRUE,'RAW_AR_CONTENT'!$B426=SelectedScope),'RAW_AR_CONTENT'!L426,"")</f>
        <v>0</v>
      </c>
      <c r="M427" s="9">
        <f>IF(IF(SelectedScope="All India",TRUE,'RAW_AR_CONTENT'!$B426=SelectedScope),'RAW_AR_CONTENT'!M426,"")</f>
        <v>0</v>
      </c>
      <c r="N427" s="9">
        <f>IF(IF(SelectedScope="All India",TRUE,'RAW_AR_CONTENT'!$B426=SelectedScope),'RAW_AR_CONTENT'!N426,"")</f>
        <v>0</v>
      </c>
      <c r="O427" s="9">
        <f>IF(IF(SelectedScope="All India",TRUE,'RAW_AR_CONTENT'!$B426=SelectedScope),'RAW_AR_CONTENT'!O426,"")</f>
        <v>0</v>
      </c>
      <c r="P427" s="9">
        <f>IF(IF(SelectedScope="All India",TRUE,'RAW_AR_CONTENT'!$B426=SelectedScope),'RAW_AR_CONTENT'!P426,"")</f>
        <v>0</v>
      </c>
      <c r="Q427" s="9">
        <f>IF(IF(SelectedScope="All India",TRUE,'RAW_AR_CONTENT'!$B426=SelectedScope),'RAW_AR_CONTENT'!Q426,"")</f>
        <v>0</v>
      </c>
      <c r="R427" s="9">
        <f>IF(IF(SelectedScope="All India",TRUE,'RAW_AR_CONTENT'!$B426=SelectedScope),'RAW_AR_CONTENT'!R426,"")</f>
        <v>0</v>
      </c>
    </row>
    <row r="428" spans="1:18" ht="15" customHeight="1" x14ac:dyDescent="0.3">
      <c r="A428" s="12">
        <f>IF(IF(SelectedScope="All India",TRUE,'RAW_AR_CONTENT'!$B427=SelectedScope),'RAW_AR_CONTENT'!A427,"")</f>
        <v>424</v>
      </c>
      <c r="B428" s="12" t="str">
        <f>IF(IF(SelectedScope="All India",TRUE,'RAW_AR_CONTENT'!$B427=SelectedScope),'RAW_AR_CONTENT'!B427,"")</f>
        <v>Rajasthan</v>
      </c>
      <c r="C428" s="12" t="str">
        <f>IF(IF(SelectedScope="All India",TRUE,'RAW_AR_CONTENT'!$B427=SelectedScope),'RAW_AR_CONTENT'!C427,"")</f>
        <v>Biology</v>
      </c>
      <c r="D428" s="12" t="str">
        <f>IF(IF(SelectedScope="All India",TRUE,'RAW_AR_CONTENT'!$B427=SelectedScope),'RAW_AR_CONTENT'!D427,"")</f>
        <v>Class 7</v>
      </c>
      <c r="E428" s="12" t="str">
        <f>IF(IF(SelectedScope="All India",TRUE,'RAW_AR_CONTENT'!$B427=SelectedScope),'RAW_AR_CONTENT'!E427,"")</f>
        <v>Photosynthesis</v>
      </c>
      <c r="F428" s="12" t="str">
        <f>IF(IF(SelectedScope="All India",TRUE,'RAW_AR_CONTENT'!$B427=SelectedScope),'RAW_AR_CONTENT'!F427,"")</f>
        <v>Basic 3D</v>
      </c>
      <c r="G428" s="12" t="str">
        <f>IF(IF(SelectedScope="All India",TRUE,'RAW_AR_CONTENT'!$B427=SelectedScope),'RAW_AR_CONTENT'!G427,"")</f>
        <v>Active</v>
      </c>
      <c r="H428" s="12">
        <f>IF(IF(SelectedScope="All India",TRUE,'RAW_AR_CONTENT'!$B427=SelectedScope),'RAW_AR_CONTENT'!H427,"")</f>
        <v>0</v>
      </c>
      <c r="I428" s="12">
        <f>IF(IF(SelectedScope="All India",TRUE,'RAW_AR_CONTENT'!$B427=SelectedScope),'RAW_AR_CONTENT'!I427,"")</f>
        <v>0</v>
      </c>
      <c r="J428" s="12">
        <f>IF(IF(SelectedScope="All India",TRUE,'RAW_AR_CONTENT'!$B427=SelectedScope),'RAW_AR_CONTENT'!J427,"")</f>
        <v>0</v>
      </c>
      <c r="K428" s="12">
        <f>IF(IF(SelectedScope="All India",TRUE,'RAW_AR_CONTENT'!$B427=SelectedScope),'RAW_AR_CONTENT'!K427,"")</f>
        <v>0</v>
      </c>
      <c r="L428" s="12">
        <f>IF(IF(SelectedScope="All India",TRUE,'RAW_AR_CONTENT'!$B427=SelectedScope),'RAW_AR_CONTENT'!L427,"")</f>
        <v>0</v>
      </c>
      <c r="M428" s="12">
        <f>IF(IF(SelectedScope="All India",TRUE,'RAW_AR_CONTENT'!$B427=SelectedScope),'RAW_AR_CONTENT'!M427,"")</f>
        <v>0</v>
      </c>
      <c r="N428" s="12">
        <f>IF(IF(SelectedScope="All India",TRUE,'RAW_AR_CONTENT'!$B427=SelectedScope),'RAW_AR_CONTENT'!N427,"")</f>
        <v>0</v>
      </c>
      <c r="O428" s="12">
        <f>IF(IF(SelectedScope="All India",TRUE,'RAW_AR_CONTENT'!$B427=SelectedScope),'RAW_AR_CONTENT'!O427,"")</f>
        <v>0</v>
      </c>
      <c r="P428" s="12">
        <f>IF(IF(SelectedScope="All India",TRUE,'RAW_AR_CONTENT'!$B427=SelectedScope),'RAW_AR_CONTENT'!P427,"")</f>
        <v>0</v>
      </c>
      <c r="Q428" s="12">
        <f>IF(IF(SelectedScope="All India",TRUE,'RAW_AR_CONTENT'!$B427=SelectedScope),'RAW_AR_CONTENT'!Q427,"")</f>
        <v>0</v>
      </c>
      <c r="R428" s="12">
        <f>IF(IF(SelectedScope="All India",TRUE,'RAW_AR_CONTENT'!$B427=SelectedScope),'RAW_AR_CONTENT'!R427,"")</f>
        <v>0</v>
      </c>
    </row>
    <row r="429" spans="1:18" ht="15" customHeight="1" x14ac:dyDescent="0.3">
      <c r="A429" s="9">
        <f>IF(IF(SelectedScope="All India",TRUE,'RAW_AR_CONTENT'!$B428=SelectedScope),'RAW_AR_CONTENT'!A428,"")</f>
        <v>425</v>
      </c>
      <c r="B429" s="9" t="str">
        <f>IF(IF(SelectedScope="All India",TRUE,'RAW_AR_CONTENT'!$B428=SelectedScope),'RAW_AR_CONTENT'!B428,"")</f>
        <v>Rajasthan</v>
      </c>
      <c r="C429" s="9" t="str">
        <f>IF(IF(SelectedScope="All India",TRUE,'RAW_AR_CONTENT'!$B428=SelectedScope),'RAW_AR_CONTENT'!C428,"")</f>
        <v>Mathematics</v>
      </c>
      <c r="D429" s="9" t="str">
        <f>IF(IF(SelectedScope="All India",TRUE,'RAW_AR_CONTENT'!$B428=SelectedScope),'RAW_AR_CONTENT'!D428,"")</f>
        <v>Class 7</v>
      </c>
      <c r="E429" s="9" t="str">
        <f>IF(IF(SelectedScope="All India",TRUE,'RAW_AR_CONTENT'!$B428=SelectedScope),'RAW_AR_CONTENT'!E428,"")</f>
        <v>Fractions 3D Model</v>
      </c>
      <c r="F429" s="9" t="str">
        <f>IF(IF(SelectedScope="All India",TRUE,'RAW_AR_CONTENT'!$B428=SelectedScope),'RAW_AR_CONTENT'!F428,"")</f>
        <v>Interactive</v>
      </c>
      <c r="G429" s="9" t="str">
        <f>IF(IF(SelectedScope="All India",TRUE,'RAW_AR_CONTENT'!$B428=SelectedScope),'RAW_AR_CONTENT'!G428,"")</f>
        <v>Active</v>
      </c>
      <c r="H429" s="9">
        <f>IF(IF(SelectedScope="All India",TRUE,'RAW_AR_CONTENT'!$B428=SelectedScope),'RAW_AR_CONTENT'!H428,"")</f>
        <v>0</v>
      </c>
      <c r="I429" s="9">
        <f>IF(IF(SelectedScope="All India",TRUE,'RAW_AR_CONTENT'!$B428=SelectedScope),'RAW_AR_CONTENT'!I428,"")</f>
        <v>0</v>
      </c>
      <c r="J429" s="9">
        <f>IF(IF(SelectedScope="All India",TRUE,'RAW_AR_CONTENT'!$B428=SelectedScope),'RAW_AR_CONTENT'!J428,"")</f>
        <v>0</v>
      </c>
      <c r="K429" s="9">
        <f>IF(IF(SelectedScope="All India",TRUE,'RAW_AR_CONTENT'!$B428=SelectedScope),'RAW_AR_CONTENT'!K428,"")</f>
        <v>0</v>
      </c>
      <c r="L429" s="9">
        <f>IF(IF(SelectedScope="All India",TRUE,'RAW_AR_CONTENT'!$B428=SelectedScope),'RAW_AR_CONTENT'!L428,"")</f>
        <v>0</v>
      </c>
      <c r="M429" s="9">
        <f>IF(IF(SelectedScope="All India",TRUE,'RAW_AR_CONTENT'!$B428=SelectedScope),'RAW_AR_CONTENT'!M428,"")</f>
        <v>0</v>
      </c>
      <c r="N429" s="9">
        <f>IF(IF(SelectedScope="All India",TRUE,'RAW_AR_CONTENT'!$B428=SelectedScope),'RAW_AR_CONTENT'!N428,"")</f>
        <v>0</v>
      </c>
      <c r="O429" s="9">
        <f>IF(IF(SelectedScope="All India",TRUE,'RAW_AR_CONTENT'!$B428=SelectedScope),'RAW_AR_CONTENT'!O428,"")</f>
        <v>0</v>
      </c>
      <c r="P429" s="9">
        <f>IF(IF(SelectedScope="All India",TRUE,'RAW_AR_CONTENT'!$B428=SelectedScope),'RAW_AR_CONTENT'!P428,"")</f>
        <v>0</v>
      </c>
      <c r="Q429" s="9">
        <f>IF(IF(SelectedScope="All India",TRUE,'RAW_AR_CONTENT'!$B428=SelectedScope),'RAW_AR_CONTENT'!Q428,"")</f>
        <v>0</v>
      </c>
      <c r="R429" s="9">
        <f>IF(IF(SelectedScope="All India",TRUE,'RAW_AR_CONTENT'!$B428=SelectedScope),'RAW_AR_CONTENT'!R428,"")</f>
        <v>0</v>
      </c>
    </row>
    <row r="430" spans="1:18" ht="15" customHeight="1" x14ac:dyDescent="0.3">
      <c r="A430" s="12">
        <f>IF(IF(SelectedScope="All India",TRUE,'RAW_AR_CONTENT'!$B429=SelectedScope),'RAW_AR_CONTENT'!A429,"")</f>
        <v>426</v>
      </c>
      <c r="B430" s="12" t="str">
        <f>IF(IF(SelectedScope="All India",TRUE,'RAW_AR_CONTENT'!$B429=SelectedScope),'RAW_AR_CONTENT'!B429,"")</f>
        <v>Rajasthan</v>
      </c>
      <c r="C430" s="12" t="str">
        <f>IF(IF(SelectedScope="All India",TRUE,'RAW_AR_CONTENT'!$B429=SelectedScope),'RAW_AR_CONTENT'!C429,"")</f>
        <v>Mathematics</v>
      </c>
      <c r="D430" s="12" t="str">
        <f>IF(IF(SelectedScope="All India",TRUE,'RAW_AR_CONTENT'!$B429=SelectedScope),'RAW_AR_CONTENT'!D429,"")</f>
        <v>Class 10</v>
      </c>
      <c r="E430" s="12" t="str">
        <f>IF(IF(SelectedScope="All India",TRUE,'RAW_AR_CONTENT'!$B429=SelectedScope),'RAW_AR_CONTENT'!E429,"")</f>
        <v>Trigonometry 3D</v>
      </c>
      <c r="F430" s="12" t="str">
        <f>IF(IF(SelectedScope="All India",TRUE,'RAW_AR_CONTENT'!$B429=SelectedScope),'RAW_AR_CONTENT'!F429,"")</f>
        <v>Animated</v>
      </c>
      <c r="G430" s="12" t="str">
        <f>IF(IF(SelectedScope="All India",TRUE,'RAW_AR_CONTENT'!$B429=SelectedScope),'RAW_AR_CONTENT'!G429,"")</f>
        <v>Active</v>
      </c>
      <c r="H430" s="12">
        <f>IF(IF(SelectedScope="All India",TRUE,'RAW_AR_CONTENT'!$B429=SelectedScope),'RAW_AR_CONTENT'!H429,"")</f>
        <v>0</v>
      </c>
      <c r="I430" s="12">
        <f>IF(IF(SelectedScope="All India",TRUE,'RAW_AR_CONTENT'!$B429=SelectedScope),'RAW_AR_CONTENT'!I429,"")</f>
        <v>0</v>
      </c>
      <c r="J430" s="12">
        <f>IF(IF(SelectedScope="All India",TRUE,'RAW_AR_CONTENT'!$B429=SelectedScope),'RAW_AR_CONTENT'!J429,"")</f>
        <v>0</v>
      </c>
      <c r="K430" s="12">
        <f>IF(IF(SelectedScope="All India",TRUE,'RAW_AR_CONTENT'!$B429=SelectedScope),'RAW_AR_CONTENT'!K429,"")</f>
        <v>0</v>
      </c>
      <c r="L430" s="12">
        <f>IF(IF(SelectedScope="All India",TRUE,'RAW_AR_CONTENT'!$B429=SelectedScope),'RAW_AR_CONTENT'!L429,"")</f>
        <v>0</v>
      </c>
      <c r="M430" s="12">
        <f>IF(IF(SelectedScope="All India",TRUE,'RAW_AR_CONTENT'!$B429=SelectedScope),'RAW_AR_CONTENT'!M429,"")</f>
        <v>0</v>
      </c>
      <c r="N430" s="12">
        <f>IF(IF(SelectedScope="All India",TRUE,'RAW_AR_CONTENT'!$B429=SelectedScope),'RAW_AR_CONTENT'!N429,"")</f>
        <v>0</v>
      </c>
      <c r="O430" s="12">
        <f>IF(IF(SelectedScope="All India",TRUE,'RAW_AR_CONTENT'!$B429=SelectedScope),'RAW_AR_CONTENT'!O429,"")</f>
        <v>0</v>
      </c>
      <c r="P430" s="12">
        <f>IF(IF(SelectedScope="All India",TRUE,'RAW_AR_CONTENT'!$B429=SelectedScope),'RAW_AR_CONTENT'!P429,"")</f>
        <v>0</v>
      </c>
      <c r="Q430" s="12">
        <f>IF(IF(SelectedScope="All India",TRUE,'RAW_AR_CONTENT'!$B429=SelectedScope),'RAW_AR_CONTENT'!Q429,"")</f>
        <v>0</v>
      </c>
      <c r="R430" s="12">
        <f>IF(IF(SelectedScope="All India",TRUE,'RAW_AR_CONTENT'!$B429=SelectedScope),'RAW_AR_CONTENT'!R429,"")</f>
        <v>0</v>
      </c>
    </row>
    <row r="431" spans="1:18" ht="15" customHeight="1" x14ac:dyDescent="0.3">
      <c r="A431" s="9">
        <f>IF(IF(SelectedScope="All India",TRUE,'RAW_AR_CONTENT'!$B430=SelectedScope),'RAW_AR_CONTENT'!A430,"")</f>
        <v>427</v>
      </c>
      <c r="B431" s="9" t="str">
        <f>IF(IF(SelectedScope="All India",TRUE,'RAW_AR_CONTENT'!$B430=SelectedScope),'RAW_AR_CONTENT'!B430,"")</f>
        <v>Rajasthan</v>
      </c>
      <c r="C431" s="9" t="str">
        <f>IF(IF(SelectedScope="All India",TRUE,'RAW_AR_CONTENT'!$B430=SelectedScope),'RAW_AR_CONTENT'!C430,"")</f>
        <v>History</v>
      </c>
      <c r="D431" s="9" t="str">
        <f>IF(IF(SelectedScope="All India",TRUE,'RAW_AR_CONTENT'!$B430=SelectedScope),'RAW_AR_CONTENT'!D430,"")</f>
        <v>Class 10</v>
      </c>
      <c r="E431" s="9" t="str">
        <f>IF(IF(SelectedScope="All India",TRUE,'RAW_AR_CONTENT'!$B430=SelectedScope),'RAW_AR_CONTENT'!E430,"")</f>
        <v>Mughal Empire AR</v>
      </c>
      <c r="F431" s="9" t="str">
        <f>IF(IF(SelectedScope="All India",TRUE,'RAW_AR_CONTENT'!$B430=SelectedScope),'RAW_AR_CONTENT'!F430,"")</f>
        <v>Basic 3D</v>
      </c>
      <c r="G431" s="9" t="str">
        <f>IF(IF(SelectedScope="All India",TRUE,'RAW_AR_CONTENT'!$B430=SelectedScope),'RAW_AR_CONTENT'!G430,"")</f>
        <v>Active</v>
      </c>
      <c r="H431" s="9">
        <f>IF(IF(SelectedScope="All India",TRUE,'RAW_AR_CONTENT'!$B430=SelectedScope),'RAW_AR_CONTENT'!H430,"")</f>
        <v>0</v>
      </c>
      <c r="I431" s="9">
        <f>IF(IF(SelectedScope="All India",TRUE,'RAW_AR_CONTENT'!$B430=SelectedScope),'RAW_AR_CONTENT'!I430,"")</f>
        <v>0</v>
      </c>
      <c r="J431" s="9">
        <f>IF(IF(SelectedScope="All India",TRUE,'RAW_AR_CONTENT'!$B430=SelectedScope),'RAW_AR_CONTENT'!J430,"")</f>
        <v>0</v>
      </c>
      <c r="K431" s="9">
        <f>IF(IF(SelectedScope="All India",TRUE,'RAW_AR_CONTENT'!$B430=SelectedScope),'RAW_AR_CONTENT'!K430,"")</f>
        <v>0</v>
      </c>
      <c r="L431" s="9">
        <f>IF(IF(SelectedScope="All India",TRUE,'RAW_AR_CONTENT'!$B430=SelectedScope),'RAW_AR_CONTENT'!L430,"")</f>
        <v>0</v>
      </c>
      <c r="M431" s="9">
        <f>IF(IF(SelectedScope="All India",TRUE,'RAW_AR_CONTENT'!$B430=SelectedScope),'RAW_AR_CONTENT'!M430,"")</f>
        <v>0</v>
      </c>
      <c r="N431" s="9">
        <f>IF(IF(SelectedScope="All India",TRUE,'RAW_AR_CONTENT'!$B430=SelectedScope),'RAW_AR_CONTENT'!N430,"")</f>
        <v>0</v>
      </c>
      <c r="O431" s="9">
        <f>IF(IF(SelectedScope="All India",TRUE,'RAW_AR_CONTENT'!$B430=SelectedScope),'RAW_AR_CONTENT'!O430,"")</f>
        <v>0</v>
      </c>
      <c r="P431" s="9">
        <f>IF(IF(SelectedScope="All India",TRUE,'RAW_AR_CONTENT'!$B430=SelectedScope),'RAW_AR_CONTENT'!P430,"")</f>
        <v>0</v>
      </c>
      <c r="Q431" s="9">
        <f>IF(IF(SelectedScope="All India",TRUE,'RAW_AR_CONTENT'!$B430=SelectedScope),'RAW_AR_CONTENT'!Q430,"")</f>
        <v>0</v>
      </c>
      <c r="R431" s="9">
        <f>IF(IF(SelectedScope="All India",TRUE,'RAW_AR_CONTENT'!$B430=SelectedScope),'RAW_AR_CONTENT'!R430,"")</f>
        <v>0</v>
      </c>
    </row>
    <row r="432" spans="1:18" ht="15" customHeight="1" x14ac:dyDescent="0.3">
      <c r="A432" s="12">
        <f>IF(IF(SelectedScope="All India",TRUE,'RAW_AR_CONTENT'!$B431=SelectedScope),'RAW_AR_CONTENT'!A431,"")</f>
        <v>428</v>
      </c>
      <c r="B432" s="12" t="str">
        <f>IF(IF(SelectedScope="All India",TRUE,'RAW_AR_CONTENT'!$B431=SelectedScope),'RAW_AR_CONTENT'!B431,"")</f>
        <v>Rajasthan</v>
      </c>
      <c r="C432" s="12" t="str">
        <f>IF(IF(SelectedScope="All India",TRUE,'RAW_AR_CONTENT'!$B431=SelectedScope),'RAW_AR_CONTENT'!C431,"")</f>
        <v>Geography</v>
      </c>
      <c r="D432" s="12" t="str">
        <f>IF(IF(SelectedScope="All India",TRUE,'RAW_AR_CONTENT'!$B431=SelectedScope),'RAW_AR_CONTENT'!D431,"")</f>
        <v>Class 6</v>
      </c>
      <c r="E432" s="12" t="str">
        <f>IF(IF(SelectedScope="All India",TRUE,'RAW_AR_CONTENT'!$B431=SelectedScope),'RAW_AR_CONTENT'!E431,"")</f>
        <v>Water Cycle Simulation</v>
      </c>
      <c r="F432" s="12" t="str">
        <f>IF(IF(SelectedScope="All India",TRUE,'RAW_AR_CONTENT'!$B431=SelectedScope),'RAW_AR_CONTENT'!F431,"")</f>
        <v>Animated</v>
      </c>
      <c r="G432" s="12" t="str">
        <f>IF(IF(SelectedScope="All India",TRUE,'RAW_AR_CONTENT'!$B431=SelectedScope),'RAW_AR_CONTENT'!G431,"")</f>
        <v>Active</v>
      </c>
      <c r="H432" s="12">
        <f>IF(IF(SelectedScope="All India",TRUE,'RAW_AR_CONTENT'!$B431=SelectedScope),'RAW_AR_CONTENT'!H431,"")</f>
        <v>0</v>
      </c>
      <c r="I432" s="12">
        <f>IF(IF(SelectedScope="All India",TRUE,'RAW_AR_CONTENT'!$B431=SelectedScope),'RAW_AR_CONTENT'!I431,"")</f>
        <v>0</v>
      </c>
      <c r="J432" s="12">
        <f>IF(IF(SelectedScope="All India",TRUE,'RAW_AR_CONTENT'!$B431=SelectedScope),'RAW_AR_CONTENT'!J431,"")</f>
        <v>0</v>
      </c>
      <c r="K432" s="12">
        <f>IF(IF(SelectedScope="All India",TRUE,'RAW_AR_CONTENT'!$B431=SelectedScope),'RAW_AR_CONTENT'!K431,"")</f>
        <v>0</v>
      </c>
      <c r="L432" s="12">
        <f>IF(IF(SelectedScope="All India",TRUE,'RAW_AR_CONTENT'!$B431=SelectedScope),'RAW_AR_CONTENT'!L431,"")</f>
        <v>0</v>
      </c>
      <c r="M432" s="12">
        <f>IF(IF(SelectedScope="All India",TRUE,'RAW_AR_CONTENT'!$B431=SelectedScope),'RAW_AR_CONTENT'!M431,"")</f>
        <v>0</v>
      </c>
      <c r="N432" s="12">
        <f>IF(IF(SelectedScope="All India",TRUE,'RAW_AR_CONTENT'!$B431=SelectedScope),'RAW_AR_CONTENT'!N431,"")</f>
        <v>0</v>
      </c>
      <c r="O432" s="12">
        <f>IF(IF(SelectedScope="All India",TRUE,'RAW_AR_CONTENT'!$B431=SelectedScope),'RAW_AR_CONTENT'!O431,"")</f>
        <v>0</v>
      </c>
      <c r="P432" s="12">
        <f>IF(IF(SelectedScope="All India",TRUE,'RAW_AR_CONTENT'!$B431=SelectedScope),'RAW_AR_CONTENT'!P431,"")</f>
        <v>0</v>
      </c>
      <c r="Q432" s="12">
        <f>IF(IF(SelectedScope="All India",TRUE,'RAW_AR_CONTENT'!$B431=SelectedScope),'RAW_AR_CONTENT'!Q431,"")</f>
        <v>0</v>
      </c>
      <c r="R432" s="12">
        <f>IF(IF(SelectedScope="All India",TRUE,'RAW_AR_CONTENT'!$B431=SelectedScope),'RAW_AR_CONTENT'!R431,"")</f>
        <v>0</v>
      </c>
    </row>
    <row r="433" spans="1:18" ht="15" customHeight="1" x14ac:dyDescent="0.3">
      <c r="A433" s="9">
        <f>IF(IF(SelectedScope="All India",TRUE,'RAW_AR_CONTENT'!$B432=SelectedScope),'RAW_AR_CONTENT'!A432,"")</f>
        <v>429</v>
      </c>
      <c r="B433" s="9" t="str">
        <f>IF(IF(SelectedScope="All India",TRUE,'RAW_AR_CONTENT'!$B432=SelectedScope),'RAW_AR_CONTENT'!B432,"")</f>
        <v>Rajasthan</v>
      </c>
      <c r="C433" s="9" t="str">
        <f>IF(IF(SelectedScope="All India",TRUE,'RAW_AR_CONTENT'!$B432=SelectedScope),'RAW_AR_CONTENT'!C432,"")</f>
        <v>Biology</v>
      </c>
      <c r="D433" s="9" t="str">
        <f>IF(IF(SelectedScope="All India",TRUE,'RAW_AR_CONTENT'!$B432=SelectedScope),'RAW_AR_CONTENT'!D432,"")</f>
        <v>Class 11</v>
      </c>
      <c r="E433" s="9" t="str">
        <f>IF(IF(SelectedScope="All India",TRUE,'RAW_AR_CONTENT'!$B432=SelectedScope),'RAW_AR_CONTENT'!E432,"")</f>
        <v>Human Anatomy AR</v>
      </c>
      <c r="F433" s="9" t="str">
        <f>IF(IF(SelectedScope="All India",TRUE,'RAW_AR_CONTENT'!$B432=SelectedScope),'RAW_AR_CONTENT'!F432,"")</f>
        <v>Fully Immersive</v>
      </c>
      <c r="G433" s="9" t="str">
        <f>IF(IF(SelectedScope="All India",TRUE,'RAW_AR_CONTENT'!$B432=SelectedScope),'RAW_AR_CONTENT'!G432,"")</f>
        <v>Active</v>
      </c>
      <c r="H433" s="9">
        <f>IF(IF(SelectedScope="All India",TRUE,'RAW_AR_CONTENT'!$B432=SelectedScope),'RAW_AR_CONTENT'!H432,"")</f>
        <v>0</v>
      </c>
      <c r="I433" s="9">
        <f>IF(IF(SelectedScope="All India",TRUE,'RAW_AR_CONTENT'!$B432=SelectedScope),'RAW_AR_CONTENT'!I432,"")</f>
        <v>0</v>
      </c>
      <c r="J433" s="9">
        <f>IF(IF(SelectedScope="All India",TRUE,'RAW_AR_CONTENT'!$B432=SelectedScope),'RAW_AR_CONTENT'!J432,"")</f>
        <v>0</v>
      </c>
      <c r="K433" s="9">
        <f>IF(IF(SelectedScope="All India",TRUE,'RAW_AR_CONTENT'!$B432=SelectedScope),'RAW_AR_CONTENT'!K432,"")</f>
        <v>0</v>
      </c>
      <c r="L433" s="9">
        <f>IF(IF(SelectedScope="All India",TRUE,'RAW_AR_CONTENT'!$B432=SelectedScope),'RAW_AR_CONTENT'!L432,"")</f>
        <v>0</v>
      </c>
      <c r="M433" s="9">
        <f>IF(IF(SelectedScope="All India",TRUE,'RAW_AR_CONTENT'!$B432=SelectedScope),'RAW_AR_CONTENT'!M432,"")</f>
        <v>0</v>
      </c>
      <c r="N433" s="9">
        <f>IF(IF(SelectedScope="All India",TRUE,'RAW_AR_CONTENT'!$B432=SelectedScope),'RAW_AR_CONTENT'!N432,"")</f>
        <v>0</v>
      </c>
      <c r="O433" s="9">
        <f>IF(IF(SelectedScope="All India",TRUE,'RAW_AR_CONTENT'!$B432=SelectedScope),'RAW_AR_CONTENT'!O432,"")</f>
        <v>0</v>
      </c>
      <c r="P433" s="9">
        <f>IF(IF(SelectedScope="All India",TRUE,'RAW_AR_CONTENT'!$B432=SelectedScope),'RAW_AR_CONTENT'!P432,"")</f>
        <v>0</v>
      </c>
      <c r="Q433" s="9">
        <f>IF(IF(SelectedScope="All India",TRUE,'RAW_AR_CONTENT'!$B432=SelectedScope),'RAW_AR_CONTENT'!Q432,"")</f>
        <v>0</v>
      </c>
      <c r="R433" s="9">
        <f>IF(IF(SelectedScope="All India",TRUE,'RAW_AR_CONTENT'!$B432=SelectedScope),'RAW_AR_CONTENT'!R432,"")</f>
        <v>0</v>
      </c>
    </row>
    <row r="434" spans="1:18" ht="15" customHeight="1" x14ac:dyDescent="0.3">
      <c r="A434" s="12">
        <f>IF(IF(SelectedScope="All India",TRUE,'RAW_AR_CONTENT'!$B433=SelectedScope),'RAW_AR_CONTENT'!A433,"")</f>
        <v>430</v>
      </c>
      <c r="B434" s="12" t="str">
        <f>IF(IF(SelectedScope="All India",TRUE,'RAW_AR_CONTENT'!$B433=SelectedScope),'RAW_AR_CONTENT'!B433,"")</f>
        <v>Rajasthan</v>
      </c>
      <c r="C434" s="12" t="str">
        <f>IF(IF(SelectedScope="All India",TRUE,'RAW_AR_CONTENT'!$B433=SelectedScope),'RAW_AR_CONTENT'!C433,"")</f>
        <v>Physics</v>
      </c>
      <c r="D434" s="12" t="str">
        <f>IF(IF(SelectedScope="All India",TRUE,'RAW_AR_CONTENT'!$B433=SelectedScope),'RAW_AR_CONTENT'!D433,"")</f>
        <v>Class 9</v>
      </c>
      <c r="E434" s="12" t="str">
        <f>IF(IF(SelectedScope="All India",TRUE,'RAW_AR_CONTENT'!$B433=SelectedScope),'RAW_AR_CONTENT'!E433,"")</f>
        <v>Laws of Motion</v>
      </c>
      <c r="F434" s="12" t="str">
        <f>IF(IF(SelectedScope="All India",TRUE,'RAW_AR_CONTENT'!$B433=SelectedScope),'RAW_AR_CONTENT'!F433,"")</f>
        <v>Interactive</v>
      </c>
      <c r="G434" s="12" t="str">
        <f>IF(IF(SelectedScope="All India",TRUE,'RAW_AR_CONTENT'!$B433=SelectedScope),'RAW_AR_CONTENT'!G433,"")</f>
        <v>Active</v>
      </c>
      <c r="H434" s="12">
        <f>IF(IF(SelectedScope="All India",TRUE,'RAW_AR_CONTENT'!$B433=SelectedScope),'RAW_AR_CONTENT'!H433,"")</f>
        <v>0</v>
      </c>
      <c r="I434" s="12">
        <f>IF(IF(SelectedScope="All India",TRUE,'RAW_AR_CONTENT'!$B433=SelectedScope),'RAW_AR_CONTENT'!I433,"")</f>
        <v>0</v>
      </c>
      <c r="J434" s="12">
        <f>IF(IF(SelectedScope="All India",TRUE,'RAW_AR_CONTENT'!$B433=SelectedScope),'RAW_AR_CONTENT'!J433,"")</f>
        <v>0</v>
      </c>
      <c r="K434" s="12">
        <f>IF(IF(SelectedScope="All India",TRUE,'RAW_AR_CONTENT'!$B433=SelectedScope),'RAW_AR_CONTENT'!K433,"")</f>
        <v>0</v>
      </c>
      <c r="L434" s="12">
        <f>IF(IF(SelectedScope="All India",TRUE,'RAW_AR_CONTENT'!$B433=SelectedScope),'RAW_AR_CONTENT'!L433,"")</f>
        <v>0</v>
      </c>
      <c r="M434" s="12">
        <f>IF(IF(SelectedScope="All India",TRUE,'RAW_AR_CONTENT'!$B433=SelectedScope),'RAW_AR_CONTENT'!M433,"")</f>
        <v>0</v>
      </c>
      <c r="N434" s="12">
        <f>IF(IF(SelectedScope="All India",TRUE,'RAW_AR_CONTENT'!$B433=SelectedScope),'RAW_AR_CONTENT'!N433,"")</f>
        <v>0</v>
      </c>
      <c r="O434" s="12">
        <f>IF(IF(SelectedScope="All India",TRUE,'RAW_AR_CONTENT'!$B433=SelectedScope),'RAW_AR_CONTENT'!O433,"")</f>
        <v>0</v>
      </c>
      <c r="P434" s="12">
        <f>IF(IF(SelectedScope="All India",TRUE,'RAW_AR_CONTENT'!$B433=SelectedScope),'RAW_AR_CONTENT'!P433,"")</f>
        <v>0</v>
      </c>
      <c r="Q434" s="12">
        <f>IF(IF(SelectedScope="All India",TRUE,'RAW_AR_CONTENT'!$B433=SelectedScope),'RAW_AR_CONTENT'!Q433,"")</f>
        <v>0</v>
      </c>
      <c r="R434" s="12">
        <f>IF(IF(SelectedScope="All India",TRUE,'RAW_AR_CONTENT'!$B433=SelectedScope),'RAW_AR_CONTENT'!R433,"")</f>
        <v>0</v>
      </c>
    </row>
    <row r="435" spans="1:18" ht="15" customHeight="1" x14ac:dyDescent="0.3">
      <c r="A435" s="9">
        <f>IF(IF(SelectedScope="All India",TRUE,'RAW_AR_CONTENT'!$B434=SelectedScope),'RAW_AR_CONTENT'!A434,"")</f>
        <v>431</v>
      </c>
      <c r="B435" s="9" t="str">
        <f>IF(IF(SelectedScope="All India",TRUE,'RAW_AR_CONTENT'!$B434=SelectedScope),'RAW_AR_CONTENT'!B434,"")</f>
        <v>Rajasthan</v>
      </c>
      <c r="C435" s="9" t="str">
        <f>IF(IF(SelectedScope="All India",TRUE,'RAW_AR_CONTENT'!$B434=SelectedScope),'RAW_AR_CONTENT'!C434,"")</f>
        <v>Chemistry</v>
      </c>
      <c r="D435" s="9" t="str">
        <f>IF(IF(SelectedScope="All India",TRUE,'RAW_AR_CONTENT'!$B434=SelectedScope),'RAW_AR_CONTENT'!D434,"")</f>
        <v>Class 11</v>
      </c>
      <c r="E435" s="9" t="str">
        <f>IF(IF(SelectedScope="All India",TRUE,'RAW_AR_CONTENT'!$B434=SelectedScope),'RAW_AR_CONTENT'!E434,"")</f>
        <v>Periodic Table 3D</v>
      </c>
      <c r="F435" s="9" t="str">
        <f>IF(IF(SelectedScope="All India",TRUE,'RAW_AR_CONTENT'!$B434=SelectedScope),'RAW_AR_CONTENT'!F434,"")</f>
        <v>Interactive</v>
      </c>
      <c r="G435" s="9" t="str">
        <f>IF(IF(SelectedScope="All India",TRUE,'RAW_AR_CONTENT'!$B434=SelectedScope),'RAW_AR_CONTENT'!G434,"")</f>
        <v>Active</v>
      </c>
      <c r="H435" s="9">
        <f>IF(IF(SelectedScope="All India",TRUE,'RAW_AR_CONTENT'!$B434=SelectedScope),'RAW_AR_CONTENT'!H434,"")</f>
        <v>0</v>
      </c>
      <c r="I435" s="9">
        <f>IF(IF(SelectedScope="All India",TRUE,'RAW_AR_CONTENT'!$B434=SelectedScope),'RAW_AR_CONTENT'!I434,"")</f>
        <v>0</v>
      </c>
      <c r="J435" s="9">
        <f>IF(IF(SelectedScope="All India",TRUE,'RAW_AR_CONTENT'!$B434=SelectedScope),'RAW_AR_CONTENT'!J434,"")</f>
        <v>0</v>
      </c>
      <c r="K435" s="9">
        <f>IF(IF(SelectedScope="All India",TRUE,'RAW_AR_CONTENT'!$B434=SelectedScope),'RAW_AR_CONTENT'!K434,"")</f>
        <v>0</v>
      </c>
      <c r="L435" s="9">
        <f>IF(IF(SelectedScope="All India",TRUE,'RAW_AR_CONTENT'!$B434=SelectedScope),'RAW_AR_CONTENT'!L434,"")</f>
        <v>0</v>
      </c>
      <c r="M435" s="9">
        <f>IF(IF(SelectedScope="All India",TRUE,'RAW_AR_CONTENT'!$B434=SelectedScope),'RAW_AR_CONTENT'!M434,"")</f>
        <v>0</v>
      </c>
      <c r="N435" s="9">
        <f>IF(IF(SelectedScope="All India",TRUE,'RAW_AR_CONTENT'!$B434=SelectedScope),'RAW_AR_CONTENT'!N434,"")</f>
        <v>0</v>
      </c>
      <c r="O435" s="9">
        <f>IF(IF(SelectedScope="All India",TRUE,'RAW_AR_CONTENT'!$B434=SelectedScope),'RAW_AR_CONTENT'!O434,"")</f>
        <v>0</v>
      </c>
      <c r="P435" s="9">
        <f>IF(IF(SelectedScope="All India",TRUE,'RAW_AR_CONTENT'!$B434=SelectedScope),'RAW_AR_CONTENT'!P434,"")</f>
        <v>0</v>
      </c>
      <c r="Q435" s="9">
        <f>IF(IF(SelectedScope="All India",TRUE,'RAW_AR_CONTENT'!$B434=SelectedScope),'RAW_AR_CONTENT'!Q434,"")</f>
        <v>0</v>
      </c>
      <c r="R435" s="9">
        <f>IF(IF(SelectedScope="All India",TRUE,'RAW_AR_CONTENT'!$B434=SelectedScope),'RAW_AR_CONTENT'!R434,"")</f>
        <v>0</v>
      </c>
    </row>
    <row r="436" spans="1:18" ht="15" customHeight="1" x14ac:dyDescent="0.3">
      <c r="A436" s="12">
        <f>IF(IF(SelectedScope="All India",TRUE,'RAW_AR_CONTENT'!$B435=SelectedScope),'RAW_AR_CONTENT'!A435,"")</f>
        <v>432</v>
      </c>
      <c r="B436" s="12" t="str">
        <f>IF(IF(SelectedScope="All India",TRUE,'RAW_AR_CONTENT'!$B435=SelectedScope),'RAW_AR_CONTENT'!B435,"")</f>
        <v>Rajasthan</v>
      </c>
      <c r="C436" s="12" t="str">
        <f>IF(IF(SelectedScope="All India",TRUE,'RAW_AR_CONTENT'!$B435=SelectedScope),'RAW_AR_CONTENT'!C435,"")</f>
        <v>Physics</v>
      </c>
      <c r="D436" s="12" t="str">
        <f>IF(IF(SelectedScope="All India",TRUE,'RAW_AR_CONTENT'!$B435=SelectedScope),'RAW_AR_CONTENT'!D435,"")</f>
        <v>Class 10</v>
      </c>
      <c r="E436" s="12" t="str">
        <f>IF(IF(SelectedScope="All India",TRUE,'RAW_AR_CONTENT'!$B435=SelectedScope),'RAW_AR_CONTENT'!E435,"")</f>
        <v>Electricity Circuits</v>
      </c>
      <c r="F436" s="12" t="str">
        <f>IF(IF(SelectedScope="All India",TRUE,'RAW_AR_CONTENT'!$B435=SelectedScope),'RAW_AR_CONTENT'!F435,"")</f>
        <v>Interactive</v>
      </c>
      <c r="G436" s="12" t="str">
        <f>IF(IF(SelectedScope="All India",TRUE,'RAW_AR_CONTENT'!$B435=SelectedScope),'RAW_AR_CONTENT'!G435,"")</f>
        <v>Active</v>
      </c>
      <c r="H436" s="12">
        <f>IF(IF(SelectedScope="All India",TRUE,'RAW_AR_CONTENT'!$B435=SelectedScope),'RAW_AR_CONTENT'!H435,"")</f>
        <v>0</v>
      </c>
      <c r="I436" s="12">
        <f>IF(IF(SelectedScope="All India",TRUE,'RAW_AR_CONTENT'!$B435=SelectedScope),'RAW_AR_CONTENT'!I435,"")</f>
        <v>0</v>
      </c>
      <c r="J436" s="12">
        <f>IF(IF(SelectedScope="All India",TRUE,'RAW_AR_CONTENT'!$B435=SelectedScope),'RAW_AR_CONTENT'!J435,"")</f>
        <v>0</v>
      </c>
      <c r="K436" s="12">
        <f>IF(IF(SelectedScope="All India",TRUE,'RAW_AR_CONTENT'!$B435=SelectedScope),'RAW_AR_CONTENT'!K435,"")</f>
        <v>0</v>
      </c>
      <c r="L436" s="12">
        <f>IF(IF(SelectedScope="All India",TRUE,'RAW_AR_CONTENT'!$B435=SelectedScope),'RAW_AR_CONTENT'!L435,"")</f>
        <v>0</v>
      </c>
      <c r="M436" s="12">
        <f>IF(IF(SelectedScope="All India",TRUE,'RAW_AR_CONTENT'!$B435=SelectedScope),'RAW_AR_CONTENT'!M435,"")</f>
        <v>0</v>
      </c>
      <c r="N436" s="12">
        <f>IF(IF(SelectedScope="All India",TRUE,'RAW_AR_CONTENT'!$B435=SelectedScope),'RAW_AR_CONTENT'!N435,"")</f>
        <v>0</v>
      </c>
      <c r="O436" s="12">
        <f>IF(IF(SelectedScope="All India",TRUE,'RAW_AR_CONTENT'!$B435=SelectedScope),'RAW_AR_CONTENT'!O435,"")</f>
        <v>0</v>
      </c>
      <c r="P436" s="12">
        <f>IF(IF(SelectedScope="All India",TRUE,'RAW_AR_CONTENT'!$B435=SelectedScope),'RAW_AR_CONTENT'!P435,"")</f>
        <v>0</v>
      </c>
      <c r="Q436" s="12">
        <f>IF(IF(SelectedScope="All India",TRUE,'RAW_AR_CONTENT'!$B435=SelectedScope),'RAW_AR_CONTENT'!Q435,"")</f>
        <v>0</v>
      </c>
      <c r="R436" s="12">
        <f>IF(IF(SelectedScope="All India",TRUE,'RAW_AR_CONTENT'!$B435=SelectedScope),'RAW_AR_CONTENT'!R435,"")</f>
        <v>0</v>
      </c>
    </row>
    <row r="437" spans="1:18" ht="15" customHeight="1" x14ac:dyDescent="0.3">
      <c r="A437" s="9">
        <f>IF(IF(SelectedScope="All India",TRUE,'RAW_AR_CONTENT'!$B436=SelectedScope),'RAW_AR_CONTENT'!A436,"")</f>
        <v>433</v>
      </c>
      <c r="B437" s="9" t="str">
        <f>IF(IF(SelectedScope="All India",TRUE,'RAW_AR_CONTENT'!$B436=SelectedScope),'RAW_AR_CONTENT'!B436,"")</f>
        <v>Rajasthan</v>
      </c>
      <c r="C437" s="9" t="str">
        <f>IF(IF(SelectedScope="All India",TRUE,'RAW_AR_CONTENT'!$B436=SelectedScope),'RAW_AR_CONTENT'!C436,"")</f>
        <v>Civics</v>
      </c>
      <c r="D437" s="9" t="str">
        <f>IF(IF(SelectedScope="All India",TRUE,'RAW_AR_CONTENT'!$B436=SelectedScope),'RAW_AR_CONTENT'!D436,"")</f>
        <v>Class 9</v>
      </c>
      <c r="E437" s="9" t="str">
        <f>IF(IF(SelectedScope="All India",TRUE,'RAW_AR_CONTENT'!$B436=SelectedScope),'RAW_AR_CONTENT'!E436,"")</f>
        <v>Indian Constitution</v>
      </c>
      <c r="F437" s="9" t="str">
        <f>IF(IF(SelectedScope="All India",TRUE,'RAW_AR_CONTENT'!$B436=SelectedScope),'RAW_AR_CONTENT'!F436,"")</f>
        <v>Basic 3D</v>
      </c>
      <c r="G437" s="9" t="str">
        <f>IF(IF(SelectedScope="All India",TRUE,'RAW_AR_CONTENT'!$B436=SelectedScope),'RAW_AR_CONTENT'!G436,"")</f>
        <v>Active</v>
      </c>
      <c r="H437" s="9">
        <f>IF(IF(SelectedScope="All India",TRUE,'RAW_AR_CONTENT'!$B436=SelectedScope),'RAW_AR_CONTENT'!H436,"")</f>
        <v>0</v>
      </c>
      <c r="I437" s="9">
        <f>IF(IF(SelectedScope="All India",TRUE,'RAW_AR_CONTENT'!$B436=SelectedScope),'RAW_AR_CONTENT'!I436,"")</f>
        <v>0</v>
      </c>
      <c r="J437" s="9">
        <f>IF(IF(SelectedScope="All India",TRUE,'RAW_AR_CONTENT'!$B436=SelectedScope),'RAW_AR_CONTENT'!J436,"")</f>
        <v>0</v>
      </c>
      <c r="K437" s="9">
        <f>IF(IF(SelectedScope="All India",TRUE,'RAW_AR_CONTENT'!$B436=SelectedScope),'RAW_AR_CONTENT'!K436,"")</f>
        <v>0</v>
      </c>
      <c r="L437" s="9">
        <f>IF(IF(SelectedScope="All India",TRUE,'RAW_AR_CONTENT'!$B436=SelectedScope),'RAW_AR_CONTENT'!L436,"")</f>
        <v>0</v>
      </c>
      <c r="M437" s="9">
        <f>IF(IF(SelectedScope="All India",TRUE,'RAW_AR_CONTENT'!$B436=SelectedScope),'RAW_AR_CONTENT'!M436,"")</f>
        <v>0</v>
      </c>
      <c r="N437" s="9">
        <f>IF(IF(SelectedScope="All India",TRUE,'RAW_AR_CONTENT'!$B436=SelectedScope),'RAW_AR_CONTENT'!N436,"")</f>
        <v>0</v>
      </c>
      <c r="O437" s="9">
        <f>IF(IF(SelectedScope="All India",TRUE,'RAW_AR_CONTENT'!$B436=SelectedScope),'RAW_AR_CONTENT'!O436,"")</f>
        <v>0</v>
      </c>
      <c r="P437" s="9">
        <f>IF(IF(SelectedScope="All India",TRUE,'RAW_AR_CONTENT'!$B436=SelectedScope),'RAW_AR_CONTENT'!P436,"")</f>
        <v>0</v>
      </c>
      <c r="Q437" s="9">
        <f>IF(IF(SelectedScope="All India",TRUE,'RAW_AR_CONTENT'!$B436=SelectedScope),'RAW_AR_CONTENT'!Q436,"")</f>
        <v>0</v>
      </c>
      <c r="R437" s="9">
        <f>IF(IF(SelectedScope="All India",TRUE,'RAW_AR_CONTENT'!$B436=SelectedScope),'RAW_AR_CONTENT'!R436,"")</f>
        <v>0</v>
      </c>
    </row>
    <row r="438" spans="1:18" ht="15" customHeight="1" x14ac:dyDescent="0.3">
      <c r="A438" s="12">
        <f>IF(IF(SelectedScope="All India",TRUE,'RAW_AR_CONTENT'!$B437=SelectedScope),'RAW_AR_CONTENT'!A437,"")</f>
        <v>434</v>
      </c>
      <c r="B438" s="12" t="str">
        <f>IF(IF(SelectedScope="All India",TRUE,'RAW_AR_CONTENT'!$B437=SelectedScope),'RAW_AR_CONTENT'!B437,"")</f>
        <v>Rajasthan</v>
      </c>
      <c r="C438" s="12" t="str">
        <f>IF(IF(SelectedScope="All India",TRUE,'RAW_AR_CONTENT'!$B437=SelectedScope),'RAW_AR_CONTENT'!C437,"")</f>
        <v>Environmental Science</v>
      </c>
      <c r="D438" s="12" t="str">
        <f>IF(IF(SelectedScope="All India",TRUE,'RAW_AR_CONTENT'!$B437=SelectedScope),'RAW_AR_CONTENT'!D437,"")</f>
        <v>Class 6</v>
      </c>
      <c r="E438" s="12" t="str">
        <f>IF(IF(SelectedScope="All India",TRUE,'RAW_AR_CONTENT'!$B437=SelectedScope),'RAW_AR_CONTENT'!E437,"")</f>
        <v>Food Chain</v>
      </c>
      <c r="F438" s="12" t="str">
        <f>IF(IF(SelectedScope="All India",TRUE,'RAW_AR_CONTENT'!$B437=SelectedScope),'RAW_AR_CONTENT'!F437,"")</f>
        <v>Animated</v>
      </c>
      <c r="G438" s="12" t="str">
        <f>IF(IF(SelectedScope="All India",TRUE,'RAW_AR_CONTENT'!$B437=SelectedScope),'RAW_AR_CONTENT'!G437,"")</f>
        <v>Active</v>
      </c>
      <c r="H438" s="12">
        <f>IF(IF(SelectedScope="All India",TRUE,'RAW_AR_CONTENT'!$B437=SelectedScope),'RAW_AR_CONTENT'!H437,"")</f>
        <v>0</v>
      </c>
      <c r="I438" s="12">
        <f>IF(IF(SelectedScope="All India",TRUE,'RAW_AR_CONTENT'!$B437=SelectedScope),'RAW_AR_CONTENT'!I437,"")</f>
        <v>0</v>
      </c>
      <c r="J438" s="12">
        <f>IF(IF(SelectedScope="All India",TRUE,'RAW_AR_CONTENT'!$B437=SelectedScope),'RAW_AR_CONTENT'!J437,"")</f>
        <v>0</v>
      </c>
      <c r="K438" s="12">
        <f>IF(IF(SelectedScope="All India",TRUE,'RAW_AR_CONTENT'!$B437=SelectedScope),'RAW_AR_CONTENT'!K437,"")</f>
        <v>0</v>
      </c>
      <c r="L438" s="12">
        <f>IF(IF(SelectedScope="All India",TRUE,'RAW_AR_CONTENT'!$B437=SelectedScope),'RAW_AR_CONTENT'!L437,"")</f>
        <v>0</v>
      </c>
      <c r="M438" s="12">
        <f>IF(IF(SelectedScope="All India",TRUE,'RAW_AR_CONTENT'!$B437=SelectedScope),'RAW_AR_CONTENT'!M437,"")</f>
        <v>0</v>
      </c>
      <c r="N438" s="12">
        <f>IF(IF(SelectedScope="All India",TRUE,'RAW_AR_CONTENT'!$B437=SelectedScope),'RAW_AR_CONTENT'!N437,"")</f>
        <v>0</v>
      </c>
      <c r="O438" s="12">
        <f>IF(IF(SelectedScope="All India",TRUE,'RAW_AR_CONTENT'!$B437=SelectedScope),'RAW_AR_CONTENT'!O437,"")</f>
        <v>0</v>
      </c>
      <c r="P438" s="12">
        <f>IF(IF(SelectedScope="All India",TRUE,'RAW_AR_CONTENT'!$B437=SelectedScope),'RAW_AR_CONTENT'!P437,"")</f>
        <v>0</v>
      </c>
      <c r="Q438" s="12">
        <f>IF(IF(SelectedScope="All India",TRUE,'RAW_AR_CONTENT'!$B437=SelectedScope),'RAW_AR_CONTENT'!Q437,"")</f>
        <v>0</v>
      </c>
      <c r="R438" s="12">
        <f>IF(IF(SelectedScope="All India",TRUE,'RAW_AR_CONTENT'!$B437=SelectedScope),'RAW_AR_CONTENT'!R437,"")</f>
        <v>0</v>
      </c>
    </row>
    <row r="439" spans="1:18" ht="15" customHeight="1" x14ac:dyDescent="0.3">
      <c r="A439" s="9">
        <f>IF(IF(SelectedScope="All India",TRUE,'RAW_AR_CONTENT'!$B438=SelectedScope),'RAW_AR_CONTENT'!A438,"")</f>
        <v>435</v>
      </c>
      <c r="B439" s="9" t="str">
        <f>IF(IF(SelectedScope="All India",TRUE,'RAW_AR_CONTENT'!$B438=SelectedScope),'RAW_AR_CONTENT'!B438,"")</f>
        <v>Rajasthan</v>
      </c>
      <c r="C439" s="9" t="str">
        <f>IF(IF(SelectedScope="All India",TRUE,'RAW_AR_CONTENT'!$B438=SelectedScope),'RAW_AR_CONTENT'!C438,"")</f>
        <v>Mathematics</v>
      </c>
      <c r="D439" s="9" t="str">
        <f>IF(IF(SelectedScope="All India",TRUE,'RAW_AR_CONTENT'!$B438=SelectedScope),'RAW_AR_CONTENT'!D438,"")</f>
        <v>Class 10</v>
      </c>
      <c r="E439" s="9" t="str">
        <f>IF(IF(SelectedScope="All India",TRUE,'RAW_AR_CONTENT'!$B438=SelectedScope),'RAW_AR_CONTENT'!E438,"")</f>
        <v>Quadratic Equations</v>
      </c>
      <c r="F439" s="9" t="str">
        <f>IF(IF(SelectedScope="All India",TRUE,'RAW_AR_CONTENT'!$B438=SelectedScope),'RAW_AR_CONTENT'!F438,"")</f>
        <v>Animated</v>
      </c>
      <c r="G439" s="9" t="str">
        <f>IF(IF(SelectedScope="All India",TRUE,'RAW_AR_CONTENT'!$B438=SelectedScope),'RAW_AR_CONTENT'!G438,"")</f>
        <v>Active</v>
      </c>
      <c r="H439" s="9">
        <f>IF(IF(SelectedScope="All India",TRUE,'RAW_AR_CONTENT'!$B438=SelectedScope),'RAW_AR_CONTENT'!H438,"")</f>
        <v>0</v>
      </c>
      <c r="I439" s="9">
        <f>IF(IF(SelectedScope="All India",TRUE,'RAW_AR_CONTENT'!$B438=SelectedScope),'RAW_AR_CONTENT'!I438,"")</f>
        <v>0</v>
      </c>
      <c r="J439" s="9">
        <f>IF(IF(SelectedScope="All India",TRUE,'RAW_AR_CONTENT'!$B438=SelectedScope),'RAW_AR_CONTENT'!J438,"")</f>
        <v>0</v>
      </c>
      <c r="K439" s="9">
        <f>IF(IF(SelectedScope="All India",TRUE,'RAW_AR_CONTENT'!$B438=SelectedScope),'RAW_AR_CONTENT'!K438,"")</f>
        <v>0</v>
      </c>
      <c r="L439" s="9">
        <f>IF(IF(SelectedScope="All India",TRUE,'RAW_AR_CONTENT'!$B438=SelectedScope),'RAW_AR_CONTENT'!L438,"")</f>
        <v>0</v>
      </c>
      <c r="M439" s="9">
        <f>IF(IF(SelectedScope="All India",TRUE,'RAW_AR_CONTENT'!$B438=SelectedScope),'RAW_AR_CONTENT'!M438,"")</f>
        <v>0</v>
      </c>
      <c r="N439" s="9">
        <f>IF(IF(SelectedScope="All India",TRUE,'RAW_AR_CONTENT'!$B438=SelectedScope),'RAW_AR_CONTENT'!N438,"")</f>
        <v>0</v>
      </c>
      <c r="O439" s="9">
        <f>IF(IF(SelectedScope="All India",TRUE,'RAW_AR_CONTENT'!$B438=SelectedScope),'RAW_AR_CONTENT'!O438,"")</f>
        <v>0</v>
      </c>
      <c r="P439" s="9">
        <f>IF(IF(SelectedScope="All India",TRUE,'RAW_AR_CONTENT'!$B438=SelectedScope),'RAW_AR_CONTENT'!P438,"")</f>
        <v>0</v>
      </c>
      <c r="Q439" s="9">
        <f>IF(IF(SelectedScope="All India",TRUE,'RAW_AR_CONTENT'!$B438=SelectedScope),'RAW_AR_CONTENT'!Q438,"")</f>
        <v>0</v>
      </c>
      <c r="R439" s="9">
        <f>IF(IF(SelectedScope="All India",TRUE,'RAW_AR_CONTENT'!$B438=SelectedScope),'RAW_AR_CONTENT'!R438,"")</f>
        <v>0</v>
      </c>
    </row>
    <row r="440" spans="1:18" ht="15" customHeight="1" x14ac:dyDescent="0.3">
      <c r="A440" s="12">
        <f>IF(IF(SelectedScope="All India",TRUE,'RAW_AR_CONTENT'!$B439=SelectedScope),'RAW_AR_CONTENT'!A439,"")</f>
        <v>436</v>
      </c>
      <c r="B440" s="12" t="str">
        <f>IF(IF(SelectedScope="All India",TRUE,'RAW_AR_CONTENT'!$B439=SelectedScope),'RAW_AR_CONTENT'!B439,"")</f>
        <v>Sikkim</v>
      </c>
      <c r="C440" s="12" t="str">
        <f>IF(IF(SelectedScope="All India",TRUE,'RAW_AR_CONTENT'!$B439=SelectedScope),'RAW_AR_CONTENT'!C439,"")</f>
        <v>Science</v>
      </c>
      <c r="D440" s="12" t="str">
        <f>IF(IF(SelectedScope="All India",TRUE,'RAW_AR_CONTENT'!$B439=SelectedScope),'RAW_AR_CONTENT'!D439,"")</f>
        <v>Class 8</v>
      </c>
      <c r="E440" s="12" t="str">
        <f>IF(IF(SelectedScope="All India",TRUE,'RAW_AR_CONTENT'!$B439=SelectedScope),'RAW_AR_CONTENT'!E439,"")</f>
        <v>Solar System 3D</v>
      </c>
      <c r="F440" s="12" t="str">
        <f>IF(IF(SelectedScope="All India",TRUE,'RAW_AR_CONTENT'!$B439=SelectedScope),'RAW_AR_CONTENT'!F439,"")</f>
        <v>Animated</v>
      </c>
      <c r="G440" s="12" t="str">
        <f>IF(IF(SelectedScope="All India",TRUE,'RAW_AR_CONTENT'!$B439=SelectedScope),'RAW_AR_CONTENT'!G439,"")</f>
        <v>Active</v>
      </c>
      <c r="H440" s="12">
        <f>IF(IF(SelectedScope="All India",TRUE,'RAW_AR_CONTENT'!$B439=SelectedScope),'RAW_AR_CONTENT'!H439,"")</f>
        <v>0</v>
      </c>
      <c r="I440" s="12">
        <f>IF(IF(SelectedScope="All India",TRUE,'RAW_AR_CONTENT'!$B439=SelectedScope),'RAW_AR_CONTENT'!I439,"")</f>
        <v>0</v>
      </c>
      <c r="J440" s="12">
        <f>IF(IF(SelectedScope="All India",TRUE,'RAW_AR_CONTENT'!$B439=SelectedScope),'RAW_AR_CONTENT'!J439,"")</f>
        <v>0</v>
      </c>
      <c r="K440" s="12">
        <f>IF(IF(SelectedScope="All India",TRUE,'RAW_AR_CONTENT'!$B439=SelectedScope),'RAW_AR_CONTENT'!K439,"")</f>
        <v>0</v>
      </c>
      <c r="L440" s="12">
        <f>IF(IF(SelectedScope="All India",TRUE,'RAW_AR_CONTENT'!$B439=SelectedScope),'RAW_AR_CONTENT'!L439,"")</f>
        <v>0</v>
      </c>
      <c r="M440" s="12">
        <f>IF(IF(SelectedScope="All India",TRUE,'RAW_AR_CONTENT'!$B439=SelectedScope),'RAW_AR_CONTENT'!M439,"")</f>
        <v>0</v>
      </c>
      <c r="N440" s="12">
        <f>IF(IF(SelectedScope="All India",TRUE,'RAW_AR_CONTENT'!$B439=SelectedScope),'RAW_AR_CONTENT'!N439,"")</f>
        <v>0</v>
      </c>
      <c r="O440" s="12">
        <f>IF(IF(SelectedScope="All India",TRUE,'RAW_AR_CONTENT'!$B439=SelectedScope),'RAW_AR_CONTENT'!O439,"")</f>
        <v>0</v>
      </c>
      <c r="P440" s="12">
        <f>IF(IF(SelectedScope="All India",TRUE,'RAW_AR_CONTENT'!$B439=SelectedScope),'RAW_AR_CONTENT'!P439,"")</f>
        <v>0</v>
      </c>
      <c r="Q440" s="12">
        <f>IF(IF(SelectedScope="All India",TRUE,'RAW_AR_CONTENT'!$B439=SelectedScope),'RAW_AR_CONTENT'!Q439,"")</f>
        <v>0</v>
      </c>
      <c r="R440" s="12">
        <f>IF(IF(SelectedScope="All India",TRUE,'RAW_AR_CONTENT'!$B439=SelectedScope),'RAW_AR_CONTENT'!R439,"")</f>
        <v>0</v>
      </c>
    </row>
    <row r="441" spans="1:18" ht="15" customHeight="1" x14ac:dyDescent="0.3">
      <c r="A441" s="9">
        <f>IF(IF(SelectedScope="All India",TRUE,'RAW_AR_CONTENT'!$B440=SelectedScope),'RAW_AR_CONTENT'!A440,"")</f>
        <v>437</v>
      </c>
      <c r="B441" s="9" t="str">
        <f>IF(IF(SelectedScope="All India",TRUE,'RAW_AR_CONTENT'!$B440=SelectedScope),'RAW_AR_CONTENT'!B440,"")</f>
        <v>Sikkim</v>
      </c>
      <c r="C441" s="9" t="str">
        <f>IF(IF(SelectedScope="All India",TRUE,'RAW_AR_CONTENT'!$B440=SelectedScope),'RAW_AR_CONTENT'!C440,"")</f>
        <v>Biology</v>
      </c>
      <c r="D441" s="9" t="str">
        <f>IF(IF(SelectedScope="All India",TRUE,'RAW_AR_CONTENT'!$B440=SelectedScope),'RAW_AR_CONTENT'!D440,"")</f>
        <v>Class 9</v>
      </c>
      <c r="E441" s="9" t="str">
        <f>IF(IF(SelectedScope="All India",TRUE,'RAW_AR_CONTENT'!$B440=SelectedScope),'RAW_AR_CONTENT'!E440,"")</f>
        <v>Cell Division</v>
      </c>
      <c r="F441" s="9" t="str">
        <f>IF(IF(SelectedScope="All India",TRUE,'RAW_AR_CONTENT'!$B440=SelectedScope),'RAW_AR_CONTENT'!F440,"")</f>
        <v>Interactive</v>
      </c>
      <c r="G441" s="9" t="str">
        <f>IF(IF(SelectedScope="All India",TRUE,'RAW_AR_CONTENT'!$B440=SelectedScope),'RAW_AR_CONTENT'!G440,"")</f>
        <v>Active</v>
      </c>
      <c r="H441" s="9">
        <f>IF(IF(SelectedScope="All India",TRUE,'RAW_AR_CONTENT'!$B440=SelectedScope),'RAW_AR_CONTENT'!H440,"")</f>
        <v>0</v>
      </c>
      <c r="I441" s="9">
        <f>IF(IF(SelectedScope="All India",TRUE,'RAW_AR_CONTENT'!$B440=SelectedScope),'RAW_AR_CONTENT'!I440,"")</f>
        <v>0</v>
      </c>
      <c r="J441" s="9">
        <f>IF(IF(SelectedScope="All India",TRUE,'RAW_AR_CONTENT'!$B440=SelectedScope),'RAW_AR_CONTENT'!J440,"")</f>
        <v>0</v>
      </c>
      <c r="K441" s="9">
        <f>IF(IF(SelectedScope="All India",TRUE,'RAW_AR_CONTENT'!$B440=SelectedScope),'RAW_AR_CONTENT'!K440,"")</f>
        <v>0</v>
      </c>
      <c r="L441" s="9">
        <f>IF(IF(SelectedScope="All India",TRUE,'RAW_AR_CONTENT'!$B440=SelectedScope),'RAW_AR_CONTENT'!L440,"")</f>
        <v>0</v>
      </c>
      <c r="M441" s="9">
        <f>IF(IF(SelectedScope="All India",TRUE,'RAW_AR_CONTENT'!$B440=SelectedScope),'RAW_AR_CONTENT'!M440,"")</f>
        <v>0</v>
      </c>
      <c r="N441" s="9">
        <f>IF(IF(SelectedScope="All India",TRUE,'RAW_AR_CONTENT'!$B440=SelectedScope),'RAW_AR_CONTENT'!N440,"")</f>
        <v>0</v>
      </c>
      <c r="O441" s="9">
        <f>IF(IF(SelectedScope="All India",TRUE,'RAW_AR_CONTENT'!$B440=SelectedScope),'RAW_AR_CONTENT'!O440,"")</f>
        <v>0</v>
      </c>
      <c r="P441" s="9">
        <f>IF(IF(SelectedScope="All India",TRUE,'RAW_AR_CONTENT'!$B440=SelectedScope),'RAW_AR_CONTENT'!P440,"")</f>
        <v>0</v>
      </c>
      <c r="Q441" s="9">
        <f>IF(IF(SelectedScope="All India",TRUE,'RAW_AR_CONTENT'!$B440=SelectedScope),'RAW_AR_CONTENT'!Q440,"")</f>
        <v>0</v>
      </c>
      <c r="R441" s="9">
        <f>IF(IF(SelectedScope="All India",TRUE,'RAW_AR_CONTENT'!$B440=SelectedScope),'RAW_AR_CONTENT'!R440,"")</f>
        <v>0</v>
      </c>
    </row>
    <row r="442" spans="1:18" ht="15" customHeight="1" x14ac:dyDescent="0.3">
      <c r="A442" s="12">
        <f>IF(IF(SelectedScope="All India",TRUE,'RAW_AR_CONTENT'!$B441=SelectedScope),'RAW_AR_CONTENT'!A441,"")</f>
        <v>438</v>
      </c>
      <c r="B442" s="12" t="str">
        <f>IF(IF(SelectedScope="All India",TRUE,'RAW_AR_CONTENT'!$B441=SelectedScope),'RAW_AR_CONTENT'!B441,"")</f>
        <v>Sikkim</v>
      </c>
      <c r="C442" s="12" t="str">
        <f>IF(IF(SelectedScope="All India",TRUE,'RAW_AR_CONTENT'!$B441=SelectedScope),'RAW_AR_CONTENT'!C441,"")</f>
        <v>Chemistry</v>
      </c>
      <c r="D442" s="12" t="str">
        <f>IF(IF(SelectedScope="All India",TRUE,'RAW_AR_CONTENT'!$B441=SelectedScope),'RAW_AR_CONTENT'!D441,"")</f>
        <v>Class 9</v>
      </c>
      <c r="E442" s="12" t="str">
        <f>IF(IF(SelectedScope="All India",TRUE,'RAW_AR_CONTENT'!$B441=SelectedScope),'RAW_AR_CONTENT'!E441,"")</f>
        <v>Atoms and Molecules</v>
      </c>
      <c r="F442" s="12" t="str">
        <f>IF(IF(SelectedScope="All India",TRUE,'RAW_AR_CONTENT'!$B441=SelectedScope),'RAW_AR_CONTENT'!F441,"")</f>
        <v>Animated</v>
      </c>
      <c r="G442" s="12" t="str">
        <f>IF(IF(SelectedScope="All India",TRUE,'RAW_AR_CONTENT'!$B441=SelectedScope),'RAW_AR_CONTENT'!G441,"")</f>
        <v>Active</v>
      </c>
      <c r="H442" s="12">
        <f>IF(IF(SelectedScope="All India",TRUE,'RAW_AR_CONTENT'!$B441=SelectedScope),'RAW_AR_CONTENT'!H441,"")</f>
        <v>0</v>
      </c>
      <c r="I442" s="12">
        <f>IF(IF(SelectedScope="All India",TRUE,'RAW_AR_CONTENT'!$B441=SelectedScope),'RAW_AR_CONTENT'!I441,"")</f>
        <v>0</v>
      </c>
      <c r="J442" s="12">
        <f>IF(IF(SelectedScope="All India",TRUE,'RAW_AR_CONTENT'!$B441=SelectedScope),'RAW_AR_CONTENT'!J441,"")</f>
        <v>0</v>
      </c>
      <c r="K442" s="12">
        <f>IF(IF(SelectedScope="All India",TRUE,'RAW_AR_CONTENT'!$B441=SelectedScope),'RAW_AR_CONTENT'!K441,"")</f>
        <v>0</v>
      </c>
      <c r="L442" s="12">
        <f>IF(IF(SelectedScope="All India",TRUE,'RAW_AR_CONTENT'!$B441=SelectedScope),'RAW_AR_CONTENT'!L441,"")</f>
        <v>0</v>
      </c>
      <c r="M442" s="12">
        <f>IF(IF(SelectedScope="All India",TRUE,'RAW_AR_CONTENT'!$B441=SelectedScope),'RAW_AR_CONTENT'!M441,"")</f>
        <v>0</v>
      </c>
      <c r="N442" s="12">
        <f>IF(IF(SelectedScope="All India",TRUE,'RAW_AR_CONTENT'!$B441=SelectedScope),'RAW_AR_CONTENT'!N441,"")</f>
        <v>0</v>
      </c>
      <c r="O442" s="12">
        <f>IF(IF(SelectedScope="All India",TRUE,'RAW_AR_CONTENT'!$B441=SelectedScope),'RAW_AR_CONTENT'!O441,"")</f>
        <v>0</v>
      </c>
      <c r="P442" s="12">
        <f>IF(IF(SelectedScope="All India",TRUE,'RAW_AR_CONTENT'!$B441=SelectedScope),'RAW_AR_CONTENT'!P441,"")</f>
        <v>0</v>
      </c>
      <c r="Q442" s="12">
        <f>IF(IF(SelectedScope="All India",TRUE,'RAW_AR_CONTENT'!$B441=SelectedScope),'RAW_AR_CONTENT'!Q441,"")</f>
        <v>0</v>
      </c>
      <c r="R442" s="12">
        <f>IF(IF(SelectedScope="All India",TRUE,'RAW_AR_CONTENT'!$B441=SelectedScope),'RAW_AR_CONTENT'!R441,"")</f>
        <v>0</v>
      </c>
    </row>
    <row r="443" spans="1:18" ht="15" customHeight="1" x14ac:dyDescent="0.3">
      <c r="A443" s="9">
        <f>IF(IF(SelectedScope="All India",TRUE,'RAW_AR_CONTENT'!$B442=SelectedScope),'RAW_AR_CONTENT'!A442,"")</f>
        <v>439</v>
      </c>
      <c r="B443" s="9" t="str">
        <f>IF(IF(SelectedScope="All India",TRUE,'RAW_AR_CONTENT'!$B442=SelectedScope),'RAW_AR_CONTENT'!B442,"")</f>
        <v>Sikkim</v>
      </c>
      <c r="C443" s="9" t="str">
        <f>IF(IF(SelectedScope="All India",TRUE,'RAW_AR_CONTENT'!$B442=SelectedScope),'RAW_AR_CONTENT'!C442,"")</f>
        <v>Biology</v>
      </c>
      <c r="D443" s="9" t="str">
        <f>IF(IF(SelectedScope="All India",TRUE,'RAW_AR_CONTENT'!$B442=SelectedScope),'RAW_AR_CONTENT'!D442,"")</f>
        <v>Class 7</v>
      </c>
      <c r="E443" s="9" t="str">
        <f>IF(IF(SelectedScope="All India",TRUE,'RAW_AR_CONTENT'!$B442=SelectedScope),'RAW_AR_CONTENT'!E442,"")</f>
        <v>Photosynthesis</v>
      </c>
      <c r="F443" s="9" t="str">
        <f>IF(IF(SelectedScope="All India",TRUE,'RAW_AR_CONTENT'!$B442=SelectedScope),'RAW_AR_CONTENT'!F442,"")</f>
        <v>Basic 3D</v>
      </c>
      <c r="G443" s="9" t="str">
        <f>IF(IF(SelectedScope="All India",TRUE,'RAW_AR_CONTENT'!$B442=SelectedScope),'RAW_AR_CONTENT'!G442,"")</f>
        <v>Active</v>
      </c>
      <c r="H443" s="9">
        <f>IF(IF(SelectedScope="All India",TRUE,'RAW_AR_CONTENT'!$B442=SelectedScope),'RAW_AR_CONTENT'!H442,"")</f>
        <v>0</v>
      </c>
      <c r="I443" s="9">
        <f>IF(IF(SelectedScope="All India",TRUE,'RAW_AR_CONTENT'!$B442=SelectedScope),'RAW_AR_CONTENT'!I442,"")</f>
        <v>0</v>
      </c>
      <c r="J443" s="9">
        <f>IF(IF(SelectedScope="All India",TRUE,'RAW_AR_CONTENT'!$B442=SelectedScope),'RAW_AR_CONTENT'!J442,"")</f>
        <v>0</v>
      </c>
      <c r="K443" s="9">
        <f>IF(IF(SelectedScope="All India",TRUE,'RAW_AR_CONTENT'!$B442=SelectedScope),'RAW_AR_CONTENT'!K442,"")</f>
        <v>0</v>
      </c>
      <c r="L443" s="9">
        <f>IF(IF(SelectedScope="All India",TRUE,'RAW_AR_CONTENT'!$B442=SelectedScope),'RAW_AR_CONTENT'!L442,"")</f>
        <v>0</v>
      </c>
      <c r="M443" s="9">
        <f>IF(IF(SelectedScope="All India",TRUE,'RAW_AR_CONTENT'!$B442=SelectedScope),'RAW_AR_CONTENT'!M442,"")</f>
        <v>0</v>
      </c>
      <c r="N443" s="9">
        <f>IF(IF(SelectedScope="All India",TRUE,'RAW_AR_CONTENT'!$B442=SelectedScope),'RAW_AR_CONTENT'!N442,"")</f>
        <v>0</v>
      </c>
      <c r="O443" s="9">
        <f>IF(IF(SelectedScope="All India",TRUE,'RAW_AR_CONTENT'!$B442=SelectedScope),'RAW_AR_CONTENT'!O442,"")</f>
        <v>0</v>
      </c>
      <c r="P443" s="9">
        <f>IF(IF(SelectedScope="All India",TRUE,'RAW_AR_CONTENT'!$B442=SelectedScope),'RAW_AR_CONTENT'!P442,"")</f>
        <v>0</v>
      </c>
      <c r="Q443" s="9">
        <f>IF(IF(SelectedScope="All India",TRUE,'RAW_AR_CONTENT'!$B442=SelectedScope),'RAW_AR_CONTENT'!Q442,"")</f>
        <v>0</v>
      </c>
      <c r="R443" s="9">
        <f>IF(IF(SelectedScope="All India",TRUE,'RAW_AR_CONTENT'!$B442=SelectedScope),'RAW_AR_CONTENT'!R442,"")</f>
        <v>0</v>
      </c>
    </row>
    <row r="444" spans="1:18" ht="15" customHeight="1" x14ac:dyDescent="0.3">
      <c r="A444" s="12">
        <f>IF(IF(SelectedScope="All India",TRUE,'RAW_AR_CONTENT'!$B443=SelectedScope),'RAW_AR_CONTENT'!A443,"")</f>
        <v>440</v>
      </c>
      <c r="B444" s="12" t="str">
        <f>IF(IF(SelectedScope="All India",TRUE,'RAW_AR_CONTENT'!$B443=SelectedScope),'RAW_AR_CONTENT'!B443,"")</f>
        <v>Sikkim</v>
      </c>
      <c r="C444" s="12" t="str">
        <f>IF(IF(SelectedScope="All India",TRUE,'RAW_AR_CONTENT'!$B443=SelectedScope),'RAW_AR_CONTENT'!C443,"")</f>
        <v>Mathematics</v>
      </c>
      <c r="D444" s="12" t="str">
        <f>IF(IF(SelectedScope="All India",TRUE,'RAW_AR_CONTENT'!$B443=SelectedScope),'RAW_AR_CONTENT'!D443,"")</f>
        <v>Class 7</v>
      </c>
      <c r="E444" s="12" t="str">
        <f>IF(IF(SelectedScope="All India",TRUE,'RAW_AR_CONTENT'!$B443=SelectedScope),'RAW_AR_CONTENT'!E443,"")</f>
        <v>Fractions 3D Model</v>
      </c>
      <c r="F444" s="12" t="str">
        <f>IF(IF(SelectedScope="All India",TRUE,'RAW_AR_CONTENT'!$B443=SelectedScope),'RAW_AR_CONTENT'!F443,"")</f>
        <v>Interactive</v>
      </c>
      <c r="G444" s="12" t="str">
        <f>IF(IF(SelectedScope="All India",TRUE,'RAW_AR_CONTENT'!$B443=SelectedScope),'RAW_AR_CONTENT'!G443,"")</f>
        <v>Active</v>
      </c>
      <c r="H444" s="12">
        <f>IF(IF(SelectedScope="All India",TRUE,'RAW_AR_CONTENT'!$B443=SelectedScope),'RAW_AR_CONTENT'!H443,"")</f>
        <v>0</v>
      </c>
      <c r="I444" s="12">
        <f>IF(IF(SelectedScope="All India",TRUE,'RAW_AR_CONTENT'!$B443=SelectedScope),'RAW_AR_CONTENT'!I443,"")</f>
        <v>0</v>
      </c>
      <c r="J444" s="12">
        <f>IF(IF(SelectedScope="All India",TRUE,'RAW_AR_CONTENT'!$B443=SelectedScope),'RAW_AR_CONTENT'!J443,"")</f>
        <v>0</v>
      </c>
      <c r="K444" s="12">
        <f>IF(IF(SelectedScope="All India",TRUE,'RAW_AR_CONTENT'!$B443=SelectedScope),'RAW_AR_CONTENT'!K443,"")</f>
        <v>0</v>
      </c>
      <c r="L444" s="12">
        <f>IF(IF(SelectedScope="All India",TRUE,'RAW_AR_CONTENT'!$B443=SelectedScope),'RAW_AR_CONTENT'!L443,"")</f>
        <v>0</v>
      </c>
      <c r="M444" s="12">
        <f>IF(IF(SelectedScope="All India",TRUE,'RAW_AR_CONTENT'!$B443=SelectedScope),'RAW_AR_CONTENT'!M443,"")</f>
        <v>0</v>
      </c>
      <c r="N444" s="12">
        <f>IF(IF(SelectedScope="All India",TRUE,'RAW_AR_CONTENT'!$B443=SelectedScope),'RAW_AR_CONTENT'!N443,"")</f>
        <v>0</v>
      </c>
      <c r="O444" s="12">
        <f>IF(IF(SelectedScope="All India",TRUE,'RAW_AR_CONTENT'!$B443=SelectedScope),'RAW_AR_CONTENT'!O443,"")</f>
        <v>0</v>
      </c>
      <c r="P444" s="12">
        <f>IF(IF(SelectedScope="All India",TRUE,'RAW_AR_CONTENT'!$B443=SelectedScope),'RAW_AR_CONTENT'!P443,"")</f>
        <v>0</v>
      </c>
      <c r="Q444" s="12">
        <f>IF(IF(SelectedScope="All India",TRUE,'RAW_AR_CONTENT'!$B443=SelectedScope),'RAW_AR_CONTENT'!Q443,"")</f>
        <v>0</v>
      </c>
      <c r="R444" s="12">
        <f>IF(IF(SelectedScope="All India",TRUE,'RAW_AR_CONTENT'!$B443=SelectedScope),'RAW_AR_CONTENT'!R443,"")</f>
        <v>0</v>
      </c>
    </row>
    <row r="445" spans="1:18" ht="15" customHeight="1" x14ac:dyDescent="0.3">
      <c r="A445" s="9">
        <f>IF(IF(SelectedScope="All India",TRUE,'RAW_AR_CONTENT'!$B444=SelectedScope),'RAW_AR_CONTENT'!A444,"")</f>
        <v>441</v>
      </c>
      <c r="B445" s="9" t="str">
        <f>IF(IF(SelectedScope="All India",TRUE,'RAW_AR_CONTENT'!$B444=SelectedScope),'RAW_AR_CONTENT'!B444,"")</f>
        <v>Sikkim</v>
      </c>
      <c r="C445" s="9" t="str">
        <f>IF(IF(SelectedScope="All India",TRUE,'RAW_AR_CONTENT'!$B444=SelectedScope),'RAW_AR_CONTENT'!C444,"")</f>
        <v>Mathematics</v>
      </c>
      <c r="D445" s="9" t="str">
        <f>IF(IF(SelectedScope="All India",TRUE,'RAW_AR_CONTENT'!$B444=SelectedScope),'RAW_AR_CONTENT'!D444,"")</f>
        <v>Class 10</v>
      </c>
      <c r="E445" s="9" t="str">
        <f>IF(IF(SelectedScope="All India",TRUE,'RAW_AR_CONTENT'!$B444=SelectedScope),'RAW_AR_CONTENT'!E444,"")</f>
        <v>Trigonometry 3D</v>
      </c>
      <c r="F445" s="9" t="str">
        <f>IF(IF(SelectedScope="All India",TRUE,'RAW_AR_CONTENT'!$B444=SelectedScope),'RAW_AR_CONTENT'!F444,"")</f>
        <v>Animated</v>
      </c>
      <c r="G445" s="9" t="str">
        <f>IF(IF(SelectedScope="All India",TRUE,'RAW_AR_CONTENT'!$B444=SelectedScope),'RAW_AR_CONTENT'!G444,"")</f>
        <v>Active</v>
      </c>
      <c r="H445" s="9">
        <f>IF(IF(SelectedScope="All India",TRUE,'RAW_AR_CONTENT'!$B444=SelectedScope),'RAW_AR_CONTENT'!H444,"")</f>
        <v>0</v>
      </c>
      <c r="I445" s="9">
        <f>IF(IF(SelectedScope="All India",TRUE,'RAW_AR_CONTENT'!$B444=SelectedScope),'RAW_AR_CONTENT'!I444,"")</f>
        <v>0</v>
      </c>
      <c r="J445" s="9">
        <f>IF(IF(SelectedScope="All India",TRUE,'RAW_AR_CONTENT'!$B444=SelectedScope),'RAW_AR_CONTENT'!J444,"")</f>
        <v>0</v>
      </c>
      <c r="K445" s="9">
        <f>IF(IF(SelectedScope="All India",TRUE,'RAW_AR_CONTENT'!$B444=SelectedScope),'RAW_AR_CONTENT'!K444,"")</f>
        <v>0</v>
      </c>
      <c r="L445" s="9">
        <f>IF(IF(SelectedScope="All India",TRUE,'RAW_AR_CONTENT'!$B444=SelectedScope),'RAW_AR_CONTENT'!L444,"")</f>
        <v>0</v>
      </c>
      <c r="M445" s="9">
        <f>IF(IF(SelectedScope="All India",TRUE,'RAW_AR_CONTENT'!$B444=SelectedScope),'RAW_AR_CONTENT'!M444,"")</f>
        <v>0</v>
      </c>
      <c r="N445" s="9">
        <f>IF(IF(SelectedScope="All India",TRUE,'RAW_AR_CONTENT'!$B444=SelectedScope),'RAW_AR_CONTENT'!N444,"")</f>
        <v>0</v>
      </c>
      <c r="O445" s="9">
        <f>IF(IF(SelectedScope="All India",TRUE,'RAW_AR_CONTENT'!$B444=SelectedScope),'RAW_AR_CONTENT'!O444,"")</f>
        <v>0</v>
      </c>
      <c r="P445" s="9">
        <f>IF(IF(SelectedScope="All India",TRUE,'RAW_AR_CONTENT'!$B444=SelectedScope),'RAW_AR_CONTENT'!P444,"")</f>
        <v>0</v>
      </c>
      <c r="Q445" s="9">
        <f>IF(IF(SelectedScope="All India",TRUE,'RAW_AR_CONTENT'!$B444=SelectedScope),'RAW_AR_CONTENT'!Q444,"")</f>
        <v>0</v>
      </c>
      <c r="R445" s="9">
        <f>IF(IF(SelectedScope="All India",TRUE,'RAW_AR_CONTENT'!$B444=SelectedScope),'RAW_AR_CONTENT'!R444,"")</f>
        <v>0</v>
      </c>
    </row>
    <row r="446" spans="1:18" ht="15" customHeight="1" x14ac:dyDescent="0.3">
      <c r="A446" s="12">
        <f>IF(IF(SelectedScope="All India",TRUE,'RAW_AR_CONTENT'!$B445=SelectedScope),'RAW_AR_CONTENT'!A445,"")</f>
        <v>442</v>
      </c>
      <c r="B446" s="12" t="str">
        <f>IF(IF(SelectedScope="All India",TRUE,'RAW_AR_CONTENT'!$B445=SelectedScope),'RAW_AR_CONTENT'!B445,"")</f>
        <v>Sikkim</v>
      </c>
      <c r="C446" s="12" t="str">
        <f>IF(IF(SelectedScope="All India",TRUE,'RAW_AR_CONTENT'!$B445=SelectedScope),'RAW_AR_CONTENT'!C445,"")</f>
        <v>History</v>
      </c>
      <c r="D446" s="12" t="str">
        <f>IF(IF(SelectedScope="All India",TRUE,'RAW_AR_CONTENT'!$B445=SelectedScope),'RAW_AR_CONTENT'!D445,"")</f>
        <v>Class 10</v>
      </c>
      <c r="E446" s="12" t="str">
        <f>IF(IF(SelectedScope="All India",TRUE,'RAW_AR_CONTENT'!$B445=SelectedScope),'RAW_AR_CONTENT'!E445,"")</f>
        <v>Mughal Empire AR</v>
      </c>
      <c r="F446" s="12" t="str">
        <f>IF(IF(SelectedScope="All India",TRUE,'RAW_AR_CONTENT'!$B445=SelectedScope),'RAW_AR_CONTENT'!F445,"")</f>
        <v>Basic 3D</v>
      </c>
      <c r="G446" s="12" t="str">
        <f>IF(IF(SelectedScope="All India",TRUE,'RAW_AR_CONTENT'!$B445=SelectedScope),'RAW_AR_CONTENT'!G445,"")</f>
        <v>Active</v>
      </c>
      <c r="H446" s="12">
        <f>IF(IF(SelectedScope="All India",TRUE,'RAW_AR_CONTENT'!$B445=SelectedScope),'RAW_AR_CONTENT'!H445,"")</f>
        <v>0</v>
      </c>
      <c r="I446" s="12">
        <f>IF(IF(SelectedScope="All India",TRUE,'RAW_AR_CONTENT'!$B445=SelectedScope),'RAW_AR_CONTENT'!I445,"")</f>
        <v>0</v>
      </c>
      <c r="J446" s="12">
        <f>IF(IF(SelectedScope="All India",TRUE,'RAW_AR_CONTENT'!$B445=SelectedScope),'RAW_AR_CONTENT'!J445,"")</f>
        <v>0</v>
      </c>
      <c r="K446" s="12">
        <f>IF(IF(SelectedScope="All India",TRUE,'RAW_AR_CONTENT'!$B445=SelectedScope),'RAW_AR_CONTENT'!K445,"")</f>
        <v>0</v>
      </c>
      <c r="L446" s="12">
        <f>IF(IF(SelectedScope="All India",TRUE,'RAW_AR_CONTENT'!$B445=SelectedScope),'RAW_AR_CONTENT'!L445,"")</f>
        <v>0</v>
      </c>
      <c r="M446" s="12">
        <f>IF(IF(SelectedScope="All India",TRUE,'RAW_AR_CONTENT'!$B445=SelectedScope),'RAW_AR_CONTENT'!M445,"")</f>
        <v>0</v>
      </c>
      <c r="N446" s="12">
        <f>IF(IF(SelectedScope="All India",TRUE,'RAW_AR_CONTENT'!$B445=SelectedScope),'RAW_AR_CONTENT'!N445,"")</f>
        <v>0</v>
      </c>
      <c r="O446" s="12">
        <f>IF(IF(SelectedScope="All India",TRUE,'RAW_AR_CONTENT'!$B445=SelectedScope),'RAW_AR_CONTENT'!O445,"")</f>
        <v>0</v>
      </c>
      <c r="P446" s="12">
        <f>IF(IF(SelectedScope="All India",TRUE,'RAW_AR_CONTENT'!$B445=SelectedScope),'RAW_AR_CONTENT'!P445,"")</f>
        <v>0</v>
      </c>
      <c r="Q446" s="12">
        <f>IF(IF(SelectedScope="All India",TRUE,'RAW_AR_CONTENT'!$B445=SelectedScope),'RAW_AR_CONTENT'!Q445,"")</f>
        <v>0</v>
      </c>
      <c r="R446" s="12">
        <f>IF(IF(SelectedScope="All India",TRUE,'RAW_AR_CONTENT'!$B445=SelectedScope),'RAW_AR_CONTENT'!R445,"")</f>
        <v>0</v>
      </c>
    </row>
    <row r="447" spans="1:18" ht="15" customHeight="1" x14ac:dyDescent="0.3">
      <c r="A447" s="9">
        <f>IF(IF(SelectedScope="All India",TRUE,'RAW_AR_CONTENT'!$B446=SelectedScope),'RAW_AR_CONTENT'!A446,"")</f>
        <v>443</v>
      </c>
      <c r="B447" s="9" t="str">
        <f>IF(IF(SelectedScope="All India",TRUE,'RAW_AR_CONTENT'!$B446=SelectedScope),'RAW_AR_CONTENT'!B446,"")</f>
        <v>Sikkim</v>
      </c>
      <c r="C447" s="9" t="str">
        <f>IF(IF(SelectedScope="All India",TRUE,'RAW_AR_CONTENT'!$B446=SelectedScope),'RAW_AR_CONTENT'!C446,"")</f>
        <v>Geography</v>
      </c>
      <c r="D447" s="9" t="str">
        <f>IF(IF(SelectedScope="All India",TRUE,'RAW_AR_CONTENT'!$B446=SelectedScope),'RAW_AR_CONTENT'!D446,"")</f>
        <v>Class 6</v>
      </c>
      <c r="E447" s="9" t="str">
        <f>IF(IF(SelectedScope="All India",TRUE,'RAW_AR_CONTENT'!$B446=SelectedScope),'RAW_AR_CONTENT'!E446,"")</f>
        <v>Water Cycle Simulation</v>
      </c>
      <c r="F447" s="9" t="str">
        <f>IF(IF(SelectedScope="All India",TRUE,'RAW_AR_CONTENT'!$B446=SelectedScope),'RAW_AR_CONTENT'!F446,"")</f>
        <v>Animated</v>
      </c>
      <c r="G447" s="9" t="str">
        <f>IF(IF(SelectedScope="All India",TRUE,'RAW_AR_CONTENT'!$B446=SelectedScope),'RAW_AR_CONTENT'!G446,"")</f>
        <v>Active</v>
      </c>
      <c r="H447" s="9">
        <f>IF(IF(SelectedScope="All India",TRUE,'RAW_AR_CONTENT'!$B446=SelectedScope),'RAW_AR_CONTENT'!H446,"")</f>
        <v>0</v>
      </c>
      <c r="I447" s="9">
        <f>IF(IF(SelectedScope="All India",TRUE,'RAW_AR_CONTENT'!$B446=SelectedScope),'RAW_AR_CONTENT'!I446,"")</f>
        <v>0</v>
      </c>
      <c r="J447" s="9">
        <f>IF(IF(SelectedScope="All India",TRUE,'RAW_AR_CONTENT'!$B446=SelectedScope),'RAW_AR_CONTENT'!J446,"")</f>
        <v>0</v>
      </c>
      <c r="K447" s="9">
        <f>IF(IF(SelectedScope="All India",TRUE,'RAW_AR_CONTENT'!$B446=SelectedScope),'RAW_AR_CONTENT'!K446,"")</f>
        <v>0</v>
      </c>
      <c r="L447" s="9">
        <f>IF(IF(SelectedScope="All India",TRUE,'RAW_AR_CONTENT'!$B446=SelectedScope),'RAW_AR_CONTENT'!L446,"")</f>
        <v>0</v>
      </c>
      <c r="M447" s="9">
        <f>IF(IF(SelectedScope="All India",TRUE,'RAW_AR_CONTENT'!$B446=SelectedScope),'RAW_AR_CONTENT'!M446,"")</f>
        <v>0</v>
      </c>
      <c r="N447" s="9">
        <f>IF(IF(SelectedScope="All India",TRUE,'RAW_AR_CONTENT'!$B446=SelectedScope),'RAW_AR_CONTENT'!N446,"")</f>
        <v>0</v>
      </c>
      <c r="O447" s="9">
        <f>IF(IF(SelectedScope="All India",TRUE,'RAW_AR_CONTENT'!$B446=SelectedScope),'RAW_AR_CONTENT'!O446,"")</f>
        <v>0</v>
      </c>
      <c r="P447" s="9">
        <f>IF(IF(SelectedScope="All India",TRUE,'RAW_AR_CONTENT'!$B446=SelectedScope),'RAW_AR_CONTENT'!P446,"")</f>
        <v>0</v>
      </c>
      <c r="Q447" s="9">
        <f>IF(IF(SelectedScope="All India",TRUE,'RAW_AR_CONTENT'!$B446=SelectedScope),'RAW_AR_CONTENT'!Q446,"")</f>
        <v>0</v>
      </c>
      <c r="R447" s="9">
        <f>IF(IF(SelectedScope="All India",TRUE,'RAW_AR_CONTENT'!$B446=SelectedScope),'RAW_AR_CONTENT'!R446,"")</f>
        <v>0</v>
      </c>
    </row>
    <row r="448" spans="1:18" ht="15" customHeight="1" x14ac:dyDescent="0.3">
      <c r="A448" s="12">
        <f>IF(IF(SelectedScope="All India",TRUE,'RAW_AR_CONTENT'!$B447=SelectedScope),'RAW_AR_CONTENT'!A447,"")</f>
        <v>444</v>
      </c>
      <c r="B448" s="12" t="str">
        <f>IF(IF(SelectedScope="All India",TRUE,'RAW_AR_CONTENT'!$B447=SelectedScope),'RAW_AR_CONTENT'!B447,"")</f>
        <v>Sikkim</v>
      </c>
      <c r="C448" s="12" t="str">
        <f>IF(IF(SelectedScope="All India",TRUE,'RAW_AR_CONTENT'!$B447=SelectedScope),'RAW_AR_CONTENT'!C447,"")</f>
        <v>Biology</v>
      </c>
      <c r="D448" s="12" t="str">
        <f>IF(IF(SelectedScope="All India",TRUE,'RAW_AR_CONTENT'!$B447=SelectedScope),'RAW_AR_CONTENT'!D447,"")</f>
        <v>Class 11</v>
      </c>
      <c r="E448" s="12" t="str">
        <f>IF(IF(SelectedScope="All India",TRUE,'RAW_AR_CONTENT'!$B447=SelectedScope),'RAW_AR_CONTENT'!E447,"")</f>
        <v>Human Anatomy AR</v>
      </c>
      <c r="F448" s="12" t="str">
        <f>IF(IF(SelectedScope="All India",TRUE,'RAW_AR_CONTENT'!$B447=SelectedScope),'RAW_AR_CONTENT'!F447,"")</f>
        <v>Fully Immersive</v>
      </c>
      <c r="G448" s="12" t="str">
        <f>IF(IF(SelectedScope="All India",TRUE,'RAW_AR_CONTENT'!$B447=SelectedScope),'RAW_AR_CONTENT'!G447,"")</f>
        <v>Active</v>
      </c>
      <c r="H448" s="12">
        <f>IF(IF(SelectedScope="All India",TRUE,'RAW_AR_CONTENT'!$B447=SelectedScope),'RAW_AR_CONTENT'!H447,"")</f>
        <v>0</v>
      </c>
      <c r="I448" s="12">
        <f>IF(IF(SelectedScope="All India",TRUE,'RAW_AR_CONTENT'!$B447=SelectedScope),'RAW_AR_CONTENT'!I447,"")</f>
        <v>0</v>
      </c>
      <c r="J448" s="12">
        <f>IF(IF(SelectedScope="All India",TRUE,'RAW_AR_CONTENT'!$B447=SelectedScope),'RAW_AR_CONTENT'!J447,"")</f>
        <v>0</v>
      </c>
      <c r="K448" s="12">
        <f>IF(IF(SelectedScope="All India",TRUE,'RAW_AR_CONTENT'!$B447=SelectedScope),'RAW_AR_CONTENT'!K447,"")</f>
        <v>0</v>
      </c>
      <c r="L448" s="12">
        <f>IF(IF(SelectedScope="All India",TRUE,'RAW_AR_CONTENT'!$B447=SelectedScope),'RAW_AR_CONTENT'!L447,"")</f>
        <v>0</v>
      </c>
      <c r="M448" s="12">
        <f>IF(IF(SelectedScope="All India",TRUE,'RAW_AR_CONTENT'!$B447=SelectedScope),'RAW_AR_CONTENT'!M447,"")</f>
        <v>0</v>
      </c>
      <c r="N448" s="12">
        <f>IF(IF(SelectedScope="All India",TRUE,'RAW_AR_CONTENT'!$B447=SelectedScope),'RAW_AR_CONTENT'!N447,"")</f>
        <v>0</v>
      </c>
      <c r="O448" s="12">
        <f>IF(IF(SelectedScope="All India",TRUE,'RAW_AR_CONTENT'!$B447=SelectedScope),'RAW_AR_CONTENT'!O447,"")</f>
        <v>0</v>
      </c>
      <c r="P448" s="12">
        <f>IF(IF(SelectedScope="All India",TRUE,'RAW_AR_CONTENT'!$B447=SelectedScope),'RAW_AR_CONTENT'!P447,"")</f>
        <v>0</v>
      </c>
      <c r="Q448" s="12">
        <f>IF(IF(SelectedScope="All India",TRUE,'RAW_AR_CONTENT'!$B447=SelectedScope),'RAW_AR_CONTENT'!Q447,"")</f>
        <v>0</v>
      </c>
      <c r="R448" s="12">
        <f>IF(IF(SelectedScope="All India",TRUE,'RAW_AR_CONTENT'!$B447=SelectedScope),'RAW_AR_CONTENT'!R447,"")</f>
        <v>0</v>
      </c>
    </row>
    <row r="449" spans="1:18" ht="15" customHeight="1" x14ac:dyDescent="0.3">
      <c r="A449" s="9">
        <f>IF(IF(SelectedScope="All India",TRUE,'RAW_AR_CONTENT'!$B448=SelectedScope),'RAW_AR_CONTENT'!A448,"")</f>
        <v>445</v>
      </c>
      <c r="B449" s="9" t="str">
        <f>IF(IF(SelectedScope="All India",TRUE,'RAW_AR_CONTENT'!$B448=SelectedScope),'RAW_AR_CONTENT'!B448,"")</f>
        <v>Sikkim</v>
      </c>
      <c r="C449" s="9" t="str">
        <f>IF(IF(SelectedScope="All India",TRUE,'RAW_AR_CONTENT'!$B448=SelectedScope),'RAW_AR_CONTENT'!C448,"")</f>
        <v>Physics</v>
      </c>
      <c r="D449" s="9" t="str">
        <f>IF(IF(SelectedScope="All India",TRUE,'RAW_AR_CONTENT'!$B448=SelectedScope),'RAW_AR_CONTENT'!D448,"")</f>
        <v>Class 9</v>
      </c>
      <c r="E449" s="9" t="str">
        <f>IF(IF(SelectedScope="All India",TRUE,'RAW_AR_CONTENT'!$B448=SelectedScope),'RAW_AR_CONTENT'!E448,"")</f>
        <v>Laws of Motion</v>
      </c>
      <c r="F449" s="9" t="str">
        <f>IF(IF(SelectedScope="All India",TRUE,'RAW_AR_CONTENT'!$B448=SelectedScope),'RAW_AR_CONTENT'!F448,"")</f>
        <v>Interactive</v>
      </c>
      <c r="G449" s="9" t="str">
        <f>IF(IF(SelectedScope="All India",TRUE,'RAW_AR_CONTENT'!$B448=SelectedScope),'RAW_AR_CONTENT'!G448,"")</f>
        <v>Active</v>
      </c>
      <c r="H449" s="9">
        <f>IF(IF(SelectedScope="All India",TRUE,'RAW_AR_CONTENT'!$B448=SelectedScope),'RAW_AR_CONTENT'!H448,"")</f>
        <v>0</v>
      </c>
      <c r="I449" s="9">
        <f>IF(IF(SelectedScope="All India",TRUE,'RAW_AR_CONTENT'!$B448=SelectedScope),'RAW_AR_CONTENT'!I448,"")</f>
        <v>0</v>
      </c>
      <c r="J449" s="9">
        <f>IF(IF(SelectedScope="All India",TRUE,'RAW_AR_CONTENT'!$B448=SelectedScope),'RAW_AR_CONTENT'!J448,"")</f>
        <v>0</v>
      </c>
      <c r="K449" s="9">
        <f>IF(IF(SelectedScope="All India",TRUE,'RAW_AR_CONTENT'!$B448=SelectedScope),'RAW_AR_CONTENT'!K448,"")</f>
        <v>0</v>
      </c>
      <c r="L449" s="9">
        <f>IF(IF(SelectedScope="All India",TRUE,'RAW_AR_CONTENT'!$B448=SelectedScope),'RAW_AR_CONTENT'!L448,"")</f>
        <v>0</v>
      </c>
      <c r="M449" s="9">
        <f>IF(IF(SelectedScope="All India",TRUE,'RAW_AR_CONTENT'!$B448=SelectedScope),'RAW_AR_CONTENT'!M448,"")</f>
        <v>0</v>
      </c>
      <c r="N449" s="9">
        <f>IF(IF(SelectedScope="All India",TRUE,'RAW_AR_CONTENT'!$B448=SelectedScope),'RAW_AR_CONTENT'!N448,"")</f>
        <v>0</v>
      </c>
      <c r="O449" s="9">
        <f>IF(IF(SelectedScope="All India",TRUE,'RAW_AR_CONTENT'!$B448=SelectedScope),'RAW_AR_CONTENT'!O448,"")</f>
        <v>0</v>
      </c>
      <c r="P449" s="9">
        <f>IF(IF(SelectedScope="All India",TRUE,'RAW_AR_CONTENT'!$B448=SelectedScope),'RAW_AR_CONTENT'!P448,"")</f>
        <v>0</v>
      </c>
      <c r="Q449" s="9">
        <f>IF(IF(SelectedScope="All India",TRUE,'RAW_AR_CONTENT'!$B448=SelectedScope),'RAW_AR_CONTENT'!Q448,"")</f>
        <v>0</v>
      </c>
      <c r="R449" s="9">
        <f>IF(IF(SelectedScope="All India",TRUE,'RAW_AR_CONTENT'!$B448=SelectedScope),'RAW_AR_CONTENT'!R448,"")</f>
        <v>0</v>
      </c>
    </row>
    <row r="450" spans="1:18" ht="15" customHeight="1" x14ac:dyDescent="0.3">
      <c r="A450" s="12">
        <f>IF(IF(SelectedScope="All India",TRUE,'RAW_AR_CONTENT'!$B449=SelectedScope),'RAW_AR_CONTENT'!A449,"")</f>
        <v>446</v>
      </c>
      <c r="B450" s="12" t="str">
        <f>IF(IF(SelectedScope="All India",TRUE,'RAW_AR_CONTENT'!$B449=SelectedScope),'RAW_AR_CONTENT'!B449,"")</f>
        <v>Sikkim</v>
      </c>
      <c r="C450" s="12" t="str">
        <f>IF(IF(SelectedScope="All India",TRUE,'RAW_AR_CONTENT'!$B449=SelectedScope),'RAW_AR_CONTENT'!C449,"")</f>
        <v>Chemistry</v>
      </c>
      <c r="D450" s="12" t="str">
        <f>IF(IF(SelectedScope="All India",TRUE,'RAW_AR_CONTENT'!$B449=SelectedScope),'RAW_AR_CONTENT'!D449,"")</f>
        <v>Class 11</v>
      </c>
      <c r="E450" s="12" t="str">
        <f>IF(IF(SelectedScope="All India",TRUE,'RAW_AR_CONTENT'!$B449=SelectedScope),'RAW_AR_CONTENT'!E449,"")</f>
        <v>Periodic Table 3D</v>
      </c>
      <c r="F450" s="12" t="str">
        <f>IF(IF(SelectedScope="All India",TRUE,'RAW_AR_CONTENT'!$B449=SelectedScope),'RAW_AR_CONTENT'!F449,"")</f>
        <v>Interactive</v>
      </c>
      <c r="G450" s="12" t="str">
        <f>IF(IF(SelectedScope="All India",TRUE,'RAW_AR_CONTENT'!$B449=SelectedScope),'RAW_AR_CONTENT'!G449,"")</f>
        <v>Active</v>
      </c>
      <c r="H450" s="12">
        <f>IF(IF(SelectedScope="All India",TRUE,'RAW_AR_CONTENT'!$B449=SelectedScope),'RAW_AR_CONTENT'!H449,"")</f>
        <v>0</v>
      </c>
      <c r="I450" s="12">
        <f>IF(IF(SelectedScope="All India",TRUE,'RAW_AR_CONTENT'!$B449=SelectedScope),'RAW_AR_CONTENT'!I449,"")</f>
        <v>0</v>
      </c>
      <c r="J450" s="12">
        <f>IF(IF(SelectedScope="All India",TRUE,'RAW_AR_CONTENT'!$B449=SelectedScope),'RAW_AR_CONTENT'!J449,"")</f>
        <v>0</v>
      </c>
      <c r="K450" s="12">
        <f>IF(IF(SelectedScope="All India",TRUE,'RAW_AR_CONTENT'!$B449=SelectedScope),'RAW_AR_CONTENT'!K449,"")</f>
        <v>0</v>
      </c>
      <c r="L450" s="12">
        <f>IF(IF(SelectedScope="All India",TRUE,'RAW_AR_CONTENT'!$B449=SelectedScope),'RAW_AR_CONTENT'!L449,"")</f>
        <v>0</v>
      </c>
      <c r="M450" s="12">
        <f>IF(IF(SelectedScope="All India",TRUE,'RAW_AR_CONTENT'!$B449=SelectedScope),'RAW_AR_CONTENT'!M449,"")</f>
        <v>0</v>
      </c>
      <c r="N450" s="12">
        <f>IF(IF(SelectedScope="All India",TRUE,'RAW_AR_CONTENT'!$B449=SelectedScope),'RAW_AR_CONTENT'!N449,"")</f>
        <v>0</v>
      </c>
      <c r="O450" s="12">
        <f>IF(IF(SelectedScope="All India",TRUE,'RAW_AR_CONTENT'!$B449=SelectedScope),'RAW_AR_CONTENT'!O449,"")</f>
        <v>0</v>
      </c>
      <c r="P450" s="12">
        <f>IF(IF(SelectedScope="All India",TRUE,'RAW_AR_CONTENT'!$B449=SelectedScope),'RAW_AR_CONTENT'!P449,"")</f>
        <v>0</v>
      </c>
      <c r="Q450" s="12">
        <f>IF(IF(SelectedScope="All India",TRUE,'RAW_AR_CONTENT'!$B449=SelectedScope),'RAW_AR_CONTENT'!Q449,"")</f>
        <v>0</v>
      </c>
      <c r="R450" s="12">
        <f>IF(IF(SelectedScope="All India",TRUE,'RAW_AR_CONTENT'!$B449=SelectedScope),'RAW_AR_CONTENT'!R449,"")</f>
        <v>0</v>
      </c>
    </row>
    <row r="451" spans="1:18" ht="15" customHeight="1" x14ac:dyDescent="0.3">
      <c r="A451" s="9">
        <f>IF(IF(SelectedScope="All India",TRUE,'RAW_AR_CONTENT'!$B450=SelectedScope),'RAW_AR_CONTENT'!A450,"")</f>
        <v>447</v>
      </c>
      <c r="B451" s="9" t="str">
        <f>IF(IF(SelectedScope="All India",TRUE,'RAW_AR_CONTENT'!$B450=SelectedScope),'RAW_AR_CONTENT'!B450,"")</f>
        <v>Sikkim</v>
      </c>
      <c r="C451" s="9" t="str">
        <f>IF(IF(SelectedScope="All India",TRUE,'RAW_AR_CONTENT'!$B450=SelectedScope),'RAW_AR_CONTENT'!C450,"")</f>
        <v>Physics</v>
      </c>
      <c r="D451" s="9" t="str">
        <f>IF(IF(SelectedScope="All India",TRUE,'RAW_AR_CONTENT'!$B450=SelectedScope),'RAW_AR_CONTENT'!D450,"")</f>
        <v>Class 10</v>
      </c>
      <c r="E451" s="9" t="str">
        <f>IF(IF(SelectedScope="All India",TRUE,'RAW_AR_CONTENT'!$B450=SelectedScope),'RAW_AR_CONTENT'!E450,"")</f>
        <v>Electricity Circuits</v>
      </c>
      <c r="F451" s="9" t="str">
        <f>IF(IF(SelectedScope="All India",TRUE,'RAW_AR_CONTENT'!$B450=SelectedScope),'RAW_AR_CONTENT'!F450,"")</f>
        <v>Interactive</v>
      </c>
      <c r="G451" s="9" t="str">
        <f>IF(IF(SelectedScope="All India",TRUE,'RAW_AR_CONTENT'!$B450=SelectedScope),'RAW_AR_CONTENT'!G450,"")</f>
        <v>Active</v>
      </c>
      <c r="H451" s="9">
        <f>IF(IF(SelectedScope="All India",TRUE,'RAW_AR_CONTENT'!$B450=SelectedScope),'RAW_AR_CONTENT'!H450,"")</f>
        <v>0</v>
      </c>
      <c r="I451" s="9">
        <f>IF(IF(SelectedScope="All India",TRUE,'RAW_AR_CONTENT'!$B450=SelectedScope),'RAW_AR_CONTENT'!I450,"")</f>
        <v>0</v>
      </c>
      <c r="J451" s="9">
        <f>IF(IF(SelectedScope="All India",TRUE,'RAW_AR_CONTENT'!$B450=SelectedScope),'RAW_AR_CONTENT'!J450,"")</f>
        <v>0</v>
      </c>
      <c r="K451" s="9">
        <f>IF(IF(SelectedScope="All India",TRUE,'RAW_AR_CONTENT'!$B450=SelectedScope),'RAW_AR_CONTENT'!K450,"")</f>
        <v>0</v>
      </c>
      <c r="L451" s="9">
        <f>IF(IF(SelectedScope="All India",TRUE,'RAW_AR_CONTENT'!$B450=SelectedScope),'RAW_AR_CONTENT'!L450,"")</f>
        <v>0</v>
      </c>
      <c r="M451" s="9">
        <f>IF(IF(SelectedScope="All India",TRUE,'RAW_AR_CONTENT'!$B450=SelectedScope),'RAW_AR_CONTENT'!M450,"")</f>
        <v>0</v>
      </c>
      <c r="N451" s="9">
        <f>IF(IF(SelectedScope="All India",TRUE,'RAW_AR_CONTENT'!$B450=SelectedScope),'RAW_AR_CONTENT'!N450,"")</f>
        <v>0</v>
      </c>
      <c r="O451" s="9">
        <f>IF(IF(SelectedScope="All India",TRUE,'RAW_AR_CONTENT'!$B450=SelectedScope),'RAW_AR_CONTENT'!O450,"")</f>
        <v>0</v>
      </c>
      <c r="P451" s="9">
        <f>IF(IF(SelectedScope="All India",TRUE,'RAW_AR_CONTENT'!$B450=SelectedScope),'RAW_AR_CONTENT'!P450,"")</f>
        <v>0</v>
      </c>
      <c r="Q451" s="9">
        <f>IF(IF(SelectedScope="All India",TRUE,'RAW_AR_CONTENT'!$B450=SelectedScope),'RAW_AR_CONTENT'!Q450,"")</f>
        <v>0</v>
      </c>
      <c r="R451" s="9">
        <f>IF(IF(SelectedScope="All India",TRUE,'RAW_AR_CONTENT'!$B450=SelectedScope),'RAW_AR_CONTENT'!R450,"")</f>
        <v>0</v>
      </c>
    </row>
    <row r="452" spans="1:18" ht="15" customHeight="1" x14ac:dyDescent="0.3">
      <c r="A452" s="12">
        <f>IF(IF(SelectedScope="All India",TRUE,'RAW_AR_CONTENT'!$B451=SelectedScope),'RAW_AR_CONTENT'!A451,"")</f>
        <v>448</v>
      </c>
      <c r="B452" s="12" t="str">
        <f>IF(IF(SelectedScope="All India",TRUE,'RAW_AR_CONTENT'!$B451=SelectedScope),'RAW_AR_CONTENT'!B451,"")</f>
        <v>Sikkim</v>
      </c>
      <c r="C452" s="12" t="str">
        <f>IF(IF(SelectedScope="All India",TRUE,'RAW_AR_CONTENT'!$B451=SelectedScope),'RAW_AR_CONTENT'!C451,"")</f>
        <v>Civics</v>
      </c>
      <c r="D452" s="12" t="str">
        <f>IF(IF(SelectedScope="All India",TRUE,'RAW_AR_CONTENT'!$B451=SelectedScope),'RAW_AR_CONTENT'!D451,"")</f>
        <v>Class 9</v>
      </c>
      <c r="E452" s="12" t="str">
        <f>IF(IF(SelectedScope="All India",TRUE,'RAW_AR_CONTENT'!$B451=SelectedScope),'RAW_AR_CONTENT'!E451,"")</f>
        <v>Indian Constitution</v>
      </c>
      <c r="F452" s="12" t="str">
        <f>IF(IF(SelectedScope="All India",TRUE,'RAW_AR_CONTENT'!$B451=SelectedScope),'RAW_AR_CONTENT'!F451,"")</f>
        <v>Basic 3D</v>
      </c>
      <c r="G452" s="12" t="str">
        <f>IF(IF(SelectedScope="All India",TRUE,'RAW_AR_CONTENT'!$B451=SelectedScope),'RAW_AR_CONTENT'!G451,"")</f>
        <v>Active</v>
      </c>
      <c r="H452" s="12">
        <f>IF(IF(SelectedScope="All India",TRUE,'RAW_AR_CONTENT'!$B451=SelectedScope),'RAW_AR_CONTENT'!H451,"")</f>
        <v>0</v>
      </c>
      <c r="I452" s="12">
        <f>IF(IF(SelectedScope="All India",TRUE,'RAW_AR_CONTENT'!$B451=SelectedScope),'RAW_AR_CONTENT'!I451,"")</f>
        <v>0</v>
      </c>
      <c r="J452" s="12">
        <f>IF(IF(SelectedScope="All India",TRUE,'RAW_AR_CONTENT'!$B451=SelectedScope),'RAW_AR_CONTENT'!J451,"")</f>
        <v>0</v>
      </c>
      <c r="K452" s="12">
        <f>IF(IF(SelectedScope="All India",TRUE,'RAW_AR_CONTENT'!$B451=SelectedScope),'RAW_AR_CONTENT'!K451,"")</f>
        <v>0</v>
      </c>
      <c r="L452" s="12">
        <f>IF(IF(SelectedScope="All India",TRUE,'RAW_AR_CONTENT'!$B451=SelectedScope),'RAW_AR_CONTENT'!L451,"")</f>
        <v>0</v>
      </c>
      <c r="M452" s="12">
        <f>IF(IF(SelectedScope="All India",TRUE,'RAW_AR_CONTENT'!$B451=SelectedScope),'RAW_AR_CONTENT'!M451,"")</f>
        <v>0</v>
      </c>
      <c r="N452" s="12">
        <f>IF(IF(SelectedScope="All India",TRUE,'RAW_AR_CONTENT'!$B451=SelectedScope),'RAW_AR_CONTENT'!N451,"")</f>
        <v>0</v>
      </c>
      <c r="O452" s="12">
        <f>IF(IF(SelectedScope="All India",TRUE,'RAW_AR_CONTENT'!$B451=SelectedScope),'RAW_AR_CONTENT'!O451,"")</f>
        <v>0</v>
      </c>
      <c r="P452" s="12">
        <f>IF(IF(SelectedScope="All India",TRUE,'RAW_AR_CONTENT'!$B451=SelectedScope),'RAW_AR_CONTENT'!P451,"")</f>
        <v>0</v>
      </c>
      <c r="Q452" s="12">
        <f>IF(IF(SelectedScope="All India",TRUE,'RAW_AR_CONTENT'!$B451=SelectedScope),'RAW_AR_CONTENT'!Q451,"")</f>
        <v>0</v>
      </c>
      <c r="R452" s="12">
        <f>IF(IF(SelectedScope="All India",TRUE,'RAW_AR_CONTENT'!$B451=SelectedScope),'RAW_AR_CONTENT'!R451,"")</f>
        <v>0</v>
      </c>
    </row>
    <row r="453" spans="1:18" ht="15" customHeight="1" x14ac:dyDescent="0.3">
      <c r="A453" s="9">
        <f>IF(IF(SelectedScope="All India",TRUE,'RAW_AR_CONTENT'!$B452=SelectedScope),'RAW_AR_CONTENT'!A452,"")</f>
        <v>449</v>
      </c>
      <c r="B453" s="9" t="str">
        <f>IF(IF(SelectedScope="All India",TRUE,'RAW_AR_CONTENT'!$B452=SelectedScope),'RAW_AR_CONTENT'!B452,"")</f>
        <v>Sikkim</v>
      </c>
      <c r="C453" s="9" t="str">
        <f>IF(IF(SelectedScope="All India",TRUE,'RAW_AR_CONTENT'!$B452=SelectedScope),'RAW_AR_CONTENT'!C452,"")</f>
        <v>Environmental Science</v>
      </c>
      <c r="D453" s="9" t="str">
        <f>IF(IF(SelectedScope="All India",TRUE,'RAW_AR_CONTENT'!$B452=SelectedScope),'RAW_AR_CONTENT'!D452,"")</f>
        <v>Class 6</v>
      </c>
      <c r="E453" s="9" t="str">
        <f>IF(IF(SelectedScope="All India",TRUE,'RAW_AR_CONTENT'!$B452=SelectedScope),'RAW_AR_CONTENT'!E452,"")</f>
        <v>Food Chain</v>
      </c>
      <c r="F453" s="9" t="str">
        <f>IF(IF(SelectedScope="All India",TRUE,'RAW_AR_CONTENT'!$B452=SelectedScope),'RAW_AR_CONTENT'!F452,"")</f>
        <v>Animated</v>
      </c>
      <c r="G453" s="9" t="str">
        <f>IF(IF(SelectedScope="All India",TRUE,'RAW_AR_CONTENT'!$B452=SelectedScope),'RAW_AR_CONTENT'!G452,"")</f>
        <v>Active</v>
      </c>
      <c r="H453" s="9">
        <f>IF(IF(SelectedScope="All India",TRUE,'RAW_AR_CONTENT'!$B452=SelectedScope),'RAW_AR_CONTENT'!H452,"")</f>
        <v>0</v>
      </c>
      <c r="I453" s="9">
        <f>IF(IF(SelectedScope="All India",TRUE,'RAW_AR_CONTENT'!$B452=SelectedScope),'RAW_AR_CONTENT'!I452,"")</f>
        <v>0</v>
      </c>
      <c r="J453" s="9">
        <f>IF(IF(SelectedScope="All India",TRUE,'RAW_AR_CONTENT'!$B452=SelectedScope),'RAW_AR_CONTENT'!J452,"")</f>
        <v>0</v>
      </c>
      <c r="K453" s="9">
        <f>IF(IF(SelectedScope="All India",TRUE,'RAW_AR_CONTENT'!$B452=SelectedScope),'RAW_AR_CONTENT'!K452,"")</f>
        <v>0</v>
      </c>
      <c r="L453" s="9">
        <f>IF(IF(SelectedScope="All India",TRUE,'RAW_AR_CONTENT'!$B452=SelectedScope),'RAW_AR_CONTENT'!L452,"")</f>
        <v>0</v>
      </c>
      <c r="M453" s="9">
        <f>IF(IF(SelectedScope="All India",TRUE,'RAW_AR_CONTENT'!$B452=SelectedScope),'RAW_AR_CONTENT'!M452,"")</f>
        <v>0</v>
      </c>
      <c r="N453" s="9">
        <f>IF(IF(SelectedScope="All India",TRUE,'RAW_AR_CONTENT'!$B452=SelectedScope),'RAW_AR_CONTENT'!N452,"")</f>
        <v>0</v>
      </c>
      <c r="O453" s="9">
        <f>IF(IF(SelectedScope="All India",TRUE,'RAW_AR_CONTENT'!$B452=SelectedScope),'RAW_AR_CONTENT'!O452,"")</f>
        <v>0</v>
      </c>
      <c r="P453" s="9">
        <f>IF(IF(SelectedScope="All India",TRUE,'RAW_AR_CONTENT'!$B452=SelectedScope),'RAW_AR_CONTENT'!P452,"")</f>
        <v>0</v>
      </c>
      <c r="Q453" s="9">
        <f>IF(IF(SelectedScope="All India",TRUE,'RAW_AR_CONTENT'!$B452=SelectedScope),'RAW_AR_CONTENT'!Q452,"")</f>
        <v>0</v>
      </c>
      <c r="R453" s="9">
        <f>IF(IF(SelectedScope="All India",TRUE,'RAW_AR_CONTENT'!$B452=SelectedScope),'RAW_AR_CONTENT'!R452,"")</f>
        <v>0</v>
      </c>
    </row>
    <row r="454" spans="1:18" ht="15" customHeight="1" x14ac:dyDescent="0.3">
      <c r="A454" s="12">
        <f>IF(IF(SelectedScope="All India",TRUE,'RAW_AR_CONTENT'!$B453=SelectedScope),'RAW_AR_CONTENT'!A453,"")</f>
        <v>450</v>
      </c>
      <c r="B454" s="12" t="str">
        <f>IF(IF(SelectedScope="All India",TRUE,'RAW_AR_CONTENT'!$B453=SelectedScope),'RAW_AR_CONTENT'!B453,"")</f>
        <v>Sikkim</v>
      </c>
      <c r="C454" s="12" t="str">
        <f>IF(IF(SelectedScope="All India",TRUE,'RAW_AR_CONTENT'!$B453=SelectedScope),'RAW_AR_CONTENT'!C453,"")</f>
        <v>Mathematics</v>
      </c>
      <c r="D454" s="12" t="str">
        <f>IF(IF(SelectedScope="All India",TRUE,'RAW_AR_CONTENT'!$B453=SelectedScope),'RAW_AR_CONTENT'!D453,"")</f>
        <v>Class 10</v>
      </c>
      <c r="E454" s="12" t="str">
        <f>IF(IF(SelectedScope="All India",TRUE,'RAW_AR_CONTENT'!$B453=SelectedScope),'RAW_AR_CONTENT'!E453,"")</f>
        <v>Quadratic Equations</v>
      </c>
      <c r="F454" s="12" t="str">
        <f>IF(IF(SelectedScope="All India",TRUE,'RAW_AR_CONTENT'!$B453=SelectedScope),'RAW_AR_CONTENT'!F453,"")</f>
        <v>Animated</v>
      </c>
      <c r="G454" s="12" t="str">
        <f>IF(IF(SelectedScope="All India",TRUE,'RAW_AR_CONTENT'!$B453=SelectedScope),'RAW_AR_CONTENT'!G453,"")</f>
        <v>Active</v>
      </c>
      <c r="H454" s="12">
        <f>IF(IF(SelectedScope="All India",TRUE,'RAW_AR_CONTENT'!$B453=SelectedScope),'RAW_AR_CONTENT'!H453,"")</f>
        <v>0</v>
      </c>
      <c r="I454" s="12">
        <f>IF(IF(SelectedScope="All India",TRUE,'RAW_AR_CONTENT'!$B453=SelectedScope),'RAW_AR_CONTENT'!I453,"")</f>
        <v>0</v>
      </c>
      <c r="J454" s="12">
        <f>IF(IF(SelectedScope="All India",TRUE,'RAW_AR_CONTENT'!$B453=SelectedScope),'RAW_AR_CONTENT'!J453,"")</f>
        <v>0</v>
      </c>
      <c r="K454" s="12">
        <f>IF(IF(SelectedScope="All India",TRUE,'RAW_AR_CONTENT'!$B453=SelectedScope),'RAW_AR_CONTENT'!K453,"")</f>
        <v>0</v>
      </c>
      <c r="L454" s="12">
        <f>IF(IF(SelectedScope="All India",TRUE,'RAW_AR_CONTENT'!$B453=SelectedScope),'RAW_AR_CONTENT'!L453,"")</f>
        <v>0</v>
      </c>
      <c r="M454" s="12">
        <f>IF(IF(SelectedScope="All India",TRUE,'RAW_AR_CONTENT'!$B453=SelectedScope),'RAW_AR_CONTENT'!M453,"")</f>
        <v>0</v>
      </c>
      <c r="N454" s="12">
        <f>IF(IF(SelectedScope="All India",TRUE,'RAW_AR_CONTENT'!$B453=SelectedScope),'RAW_AR_CONTENT'!N453,"")</f>
        <v>0</v>
      </c>
      <c r="O454" s="12">
        <f>IF(IF(SelectedScope="All India",TRUE,'RAW_AR_CONTENT'!$B453=SelectedScope),'RAW_AR_CONTENT'!O453,"")</f>
        <v>0</v>
      </c>
      <c r="P454" s="12">
        <f>IF(IF(SelectedScope="All India",TRUE,'RAW_AR_CONTENT'!$B453=SelectedScope),'RAW_AR_CONTENT'!P453,"")</f>
        <v>0</v>
      </c>
      <c r="Q454" s="12">
        <f>IF(IF(SelectedScope="All India",TRUE,'RAW_AR_CONTENT'!$B453=SelectedScope),'RAW_AR_CONTENT'!Q453,"")</f>
        <v>0</v>
      </c>
      <c r="R454" s="12">
        <f>IF(IF(SelectedScope="All India",TRUE,'RAW_AR_CONTENT'!$B453=SelectedScope),'RAW_AR_CONTENT'!R453,"")</f>
        <v>0</v>
      </c>
    </row>
    <row r="455" spans="1:18" ht="15" customHeight="1" x14ac:dyDescent="0.3">
      <c r="A455" s="9">
        <f>IF(IF(SelectedScope="All India",TRUE,'RAW_AR_CONTENT'!$B454=SelectedScope),'RAW_AR_CONTENT'!A454,"")</f>
        <v>451</v>
      </c>
      <c r="B455" s="9" t="str">
        <f>IF(IF(SelectedScope="All India",TRUE,'RAW_AR_CONTENT'!$B454=SelectedScope),'RAW_AR_CONTENT'!B454,"")</f>
        <v>Tamil Nadu</v>
      </c>
      <c r="C455" s="9" t="str">
        <f>IF(IF(SelectedScope="All India",TRUE,'RAW_AR_CONTENT'!$B454=SelectedScope),'RAW_AR_CONTENT'!C454,"")</f>
        <v>Science</v>
      </c>
      <c r="D455" s="9" t="str">
        <f>IF(IF(SelectedScope="All India",TRUE,'RAW_AR_CONTENT'!$B454=SelectedScope),'RAW_AR_CONTENT'!D454,"")</f>
        <v>Class 8</v>
      </c>
      <c r="E455" s="9" t="str">
        <f>IF(IF(SelectedScope="All India",TRUE,'RAW_AR_CONTENT'!$B454=SelectedScope),'RAW_AR_CONTENT'!E454,"")</f>
        <v>Solar System 3D</v>
      </c>
      <c r="F455" s="9" t="str">
        <f>IF(IF(SelectedScope="All India",TRUE,'RAW_AR_CONTENT'!$B454=SelectedScope),'RAW_AR_CONTENT'!F454,"")</f>
        <v>Animated</v>
      </c>
      <c r="G455" s="9" t="str">
        <f>IF(IF(SelectedScope="All India",TRUE,'RAW_AR_CONTENT'!$B454=SelectedScope),'RAW_AR_CONTENT'!G454,"")</f>
        <v>Active</v>
      </c>
      <c r="H455" s="9">
        <f>IF(IF(SelectedScope="All India",TRUE,'RAW_AR_CONTENT'!$B454=SelectedScope),'RAW_AR_CONTENT'!H454,"")</f>
        <v>0</v>
      </c>
      <c r="I455" s="9">
        <f>IF(IF(SelectedScope="All India",TRUE,'RAW_AR_CONTENT'!$B454=SelectedScope),'RAW_AR_CONTENT'!I454,"")</f>
        <v>0</v>
      </c>
      <c r="J455" s="9">
        <f>IF(IF(SelectedScope="All India",TRUE,'RAW_AR_CONTENT'!$B454=SelectedScope),'RAW_AR_CONTENT'!J454,"")</f>
        <v>0</v>
      </c>
      <c r="K455" s="9">
        <f>IF(IF(SelectedScope="All India",TRUE,'RAW_AR_CONTENT'!$B454=SelectedScope),'RAW_AR_CONTENT'!K454,"")</f>
        <v>0</v>
      </c>
      <c r="L455" s="9">
        <f>IF(IF(SelectedScope="All India",TRUE,'RAW_AR_CONTENT'!$B454=SelectedScope),'RAW_AR_CONTENT'!L454,"")</f>
        <v>0</v>
      </c>
      <c r="M455" s="9">
        <f>IF(IF(SelectedScope="All India",TRUE,'RAW_AR_CONTENT'!$B454=SelectedScope),'RAW_AR_CONTENT'!M454,"")</f>
        <v>0</v>
      </c>
      <c r="N455" s="9">
        <f>IF(IF(SelectedScope="All India",TRUE,'RAW_AR_CONTENT'!$B454=SelectedScope),'RAW_AR_CONTENT'!N454,"")</f>
        <v>0</v>
      </c>
      <c r="O455" s="9">
        <f>IF(IF(SelectedScope="All India",TRUE,'RAW_AR_CONTENT'!$B454=SelectedScope),'RAW_AR_CONTENT'!O454,"")</f>
        <v>0</v>
      </c>
      <c r="P455" s="9">
        <f>IF(IF(SelectedScope="All India",TRUE,'RAW_AR_CONTENT'!$B454=SelectedScope),'RAW_AR_CONTENT'!P454,"")</f>
        <v>0</v>
      </c>
      <c r="Q455" s="9">
        <f>IF(IF(SelectedScope="All India",TRUE,'RAW_AR_CONTENT'!$B454=SelectedScope),'RAW_AR_CONTENT'!Q454,"")</f>
        <v>0</v>
      </c>
      <c r="R455" s="9">
        <f>IF(IF(SelectedScope="All India",TRUE,'RAW_AR_CONTENT'!$B454=SelectedScope),'RAW_AR_CONTENT'!R454,"")</f>
        <v>0</v>
      </c>
    </row>
    <row r="456" spans="1:18" ht="15" customHeight="1" x14ac:dyDescent="0.3">
      <c r="A456" s="12">
        <f>IF(IF(SelectedScope="All India",TRUE,'RAW_AR_CONTENT'!$B455=SelectedScope),'RAW_AR_CONTENT'!A455,"")</f>
        <v>452</v>
      </c>
      <c r="B456" s="12" t="str">
        <f>IF(IF(SelectedScope="All India",TRUE,'RAW_AR_CONTENT'!$B455=SelectedScope),'RAW_AR_CONTENT'!B455,"")</f>
        <v>Tamil Nadu</v>
      </c>
      <c r="C456" s="12" t="str">
        <f>IF(IF(SelectedScope="All India",TRUE,'RAW_AR_CONTENT'!$B455=SelectedScope),'RAW_AR_CONTENT'!C455,"")</f>
        <v>Biology</v>
      </c>
      <c r="D456" s="12" t="str">
        <f>IF(IF(SelectedScope="All India",TRUE,'RAW_AR_CONTENT'!$B455=SelectedScope),'RAW_AR_CONTENT'!D455,"")</f>
        <v>Class 9</v>
      </c>
      <c r="E456" s="12" t="str">
        <f>IF(IF(SelectedScope="All India",TRUE,'RAW_AR_CONTENT'!$B455=SelectedScope),'RAW_AR_CONTENT'!E455,"")</f>
        <v>Cell Division</v>
      </c>
      <c r="F456" s="12" t="str">
        <f>IF(IF(SelectedScope="All India",TRUE,'RAW_AR_CONTENT'!$B455=SelectedScope),'RAW_AR_CONTENT'!F455,"")</f>
        <v>Interactive</v>
      </c>
      <c r="G456" s="12" t="str">
        <f>IF(IF(SelectedScope="All India",TRUE,'RAW_AR_CONTENT'!$B455=SelectedScope),'RAW_AR_CONTENT'!G455,"")</f>
        <v>Active</v>
      </c>
      <c r="H456" s="12">
        <f>IF(IF(SelectedScope="All India",TRUE,'RAW_AR_CONTENT'!$B455=SelectedScope),'RAW_AR_CONTENT'!H455,"")</f>
        <v>0</v>
      </c>
      <c r="I456" s="12">
        <f>IF(IF(SelectedScope="All India",TRUE,'RAW_AR_CONTENT'!$B455=SelectedScope),'RAW_AR_CONTENT'!I455,"")</f>
        <v>0</v>
      </c>
      <c r="J456" s="12">
        <f>IF(IF(SelectedScope="All India",TRUE,'RAW_AR_CONTENT'!$B455=SelectedScope),'RAW_AR_CONTENT'!J455,"")</f>
        <v>0</v>
      </c>
      <c r="K456" s="12">
        <f>IF(IF(SelectedScope="All India",TRUE,'RAW_AR_CONTENT'!$B455=SelectedScope),'RAW_AR_CONTENT'!K455,"")</f>
        <v>0</v>
      </c>
      <c r="L456" s="12">
        <f>IF(IF(SelectedScope="All India",TRUE,'RAW_AR_CONTENT'!$B455=SelectedScope),'RAW_AR_CONTENT'!L455,"")</f>
        <v>0</v>
      </c>
      <c r="M456" s="12">
        <f>IF(IF(SelectedScope="All India",TRUE,'RAW_AR_CONTENT'!$B455=SelectedScope),'RAW_AR_CONTENT'!M455,"")</f>
        <v>0</v>
      </c>
      <c r="N456" s="12">
        <f>IF(IF(SelectedScope="All India",TRUE,'RAW_AR_CONTENT'!$B455=SelectedScope),'RAW_AR_CONTENT'!N455,"")</f>
        <v>0</v>
      </c>
      <c r="O456" s="12">
        <f>IF(IF(SelectedScope="All India",TRUE,'RAW_AR_CONTENT'!$B455=SelectedScope),'RAW_AR_CONTENT'!O455,"")</f>
        <v>0</v>
      </c>
      <c r="P456" s="12">
        <f>IF(IF(SelectedScope="All India",TRUE,'RAW_AR_CONTENT'!$B455=SelectedScope),'RAW_AR_CONTENT'!P455,"")</f>
        <v>0</v>
      </c>
      <c r="Q456" s="12">
        <f>IF(IF(SelectedScope="All India",TRUE,'RAW_AR_CONTENT'!$B455=SelectedScope),'RAW_AR_CONTENT'!Q455,"")</f>
        <v>0</v>
      </c>
      <c r="R456" s="12">
        <f>IF(IF(SelectedScope="All India",TRUE,'RAW_AR_CONTENT'!$B455=SelectedScope),'RAW_AR_CONTENT'!R455,"")</f>
        <v>0</v>
      </c>
    </row>
    <row r="457" spans="1:18" ht="15" customHeight="1" x14ac:dyDescent="0.3">
      <c r="A457" s="9">
        <f>IF(IF(SelectedScope="All India",TRUE,'RAW_AR_CONTENT'!$B456=SelectedScope),'RAW_AR_CONTENT'!A456,"")</f>
        <v>453</v>
      </c>
      <c r="B457" s="9" t="str">
        <f>IF(IF(SelectedScope="All India",TRUE,'RAW_AR_CONTENT'!$B456=SelectedScope),'RAW_AR_CONTENT'!B456,"")</f>
        <v>Tamil Nadu</v>
      </c>
      <c r="C457" s="9" t="str">
        <f>IF(IF(SelectedScope="All India",TRUE,'RAW_AR_CONTENT'!$B456=SelectedScope),'RAW_AR_CONTENT'!C456,"")</f>
        <v>Chemistry</v>
      </c>
      <c r="D457" s="9" t="str">
        <f>IF(IF(SelectedScope="All India",TRUE,'RAW_AR_CONTENT'!$B456=SelectedScope),'RAW_AR_CONTENT'!D456,"")</f>
        <v>Class 9</v>
      </c>
      <c r="E457" s="9" t="str">
        <f>IF(IF(SelectedScope="All India",TRUE,'RAW_AR_CONTENT'!$B456=SelectedScope),'RAW_AR_CONTENT'!E456,"")</f>
        <v>Atoms and Molecules</v>
      </c>
      <c r="F457" s="9" t="str">
        <f>IF(IF(SelectedScope="All India",TRUE,'RAW_AR_CONTENT'!$B456=SelectedScope),'RAW_AR_CONTENT'!F456,"")</f>
        <v>Animated</v>
      </c>
      <c r="G457" s="9" t="str">
        <f>IF(IF(SelectedScope="All India",TRUE,'RAW_AR_CONTENT'!$B456=SelectedScope),'RAW_AR_CONTENT'!G456,"")</f>
        <v>Active</v>
      </c>
      <c r="H457" s="9">
        <f>IF(IF(SelectedScope="All India",TRUE,'RAW_AR_CONTENT'!$B456=SelectedScope),'RAW_AR_CONTENT'!H456,"")</f>
        <v>0</v>
      </c>
      <c r="I457" s="9">
        <f>IF(IF(SelectedScope="All India",TRUE,'RAW_AR_CONTENT'!$B456=SelectedScope),'RAW_AR_CONTENT'!I456,"")</f>
        <v>0</v>
      </c>
      <c r="J457" s="9">
        <f>IF(IF(SelectedScope="All India",TRUE,'RAW_AR_CONTENT'!$B456=SelectedScope),'RAW_AR_CONTENT'!J456,"")</f>
        <v>0</v>
      </c>
      <c r="K457" s="9">
        <f>IF(IF(SelectedScope="All India",TRUE,'RAW_AR_CONTENT'!$B456=SelectedScope),'RAW_AR_CONTENT'!K456,"")</f>
        <v>0</v>
      </c>
      <c r="L457" s="9">
        <f>IF(IF(SelectedScope="All India",TRUE,'RAW_AR_CONTENT'!$B456=SelectedScope),'RAW_AR_CONTENT'!L456,"")</f>
        <v>0</v>
      </c>
      <c r="M457" s="9">
        <f>IF(IF(SelectedScope="All India",TRUE,'RAW_AR_CONTENT'!$B456=SelectedScope),'RAW_AR_CONTENT'!M456,"")</f>
        <v>0</v>
      </c>
      <c r="N457" s="9">
        <f>IF(IF(SelectedScope="All India",TRUE,'RAW_AR_CONTENT'!$B456=SelectedScope),'RAW_AR_CONTENT'!N456,"")</f>
        <v>0</v>
      </c>
      <c r="O457" s="9">
        <f>IF(IF(SelectedScope="All India",TRUE,'RAW_AR_CONTENT'!$B456=SelectedScope),'RAW_AR_CONTENT'!O456,"")</f>
        <v>0</v>
      </c>
      <c r="P457" s="9">
        <f>IF(IF(SelectedScope="All India",TRUE,'RAW_AR_CONTENT'!$B456=SelectedScope),'RAW_AR_CONTENT'!P456,"")</f>
        <v>0</v>
      </c>
      <c r="Q457" s="9">
        <f>IF(IF(SelectedScope="All India",TRUE,'RAW_AR_CONTENT'!$B456=SelectedScope),'RAW_AR_CONTENT'!Q456,"")</f>
        <v>0</v>
      </c>
      <c r="R457" s="9">
        <f>IF(IF(SelectedScope="All India",TRUE,'RAW_AR_CONTENT'!$B456=SelectedScope),'RAW_AR_CONTENT'!R456,"")</f>
        <v>0</v>
      </c>
    </row>
    <row r="458" spans="1:18" ht="15" customHeight="1" x14ac:dyDescent="0.3">
      <c r="A458" s="12">
        <f>IF(IF(SelectedScope="All India",TRUE,'RAW_AR_CONTENT'!$B457=SelectedScope),'RAW_AR_CONTENT'!A457,"")</f>
        <v>454</v>
      </c>
      <c r="B458" s="12" t="str">
        <f>IF(IF(SelectedScope="All India",TRUE,'RAW_AR_CONTENT'!$B457=SelectedScope),'RAW_AR_CONTENT'!B457,"")</f>
        <v>Tamil Nadu</v>
      </c>
      <c r="C458" s="12" t="str">
        <f>IF(IF(SelectedScope="All India",TRUE,'RAW_AR_CONTENT'!$B457=SelectedScope),'RAW_AR_CONTENT'!C457,"")</f>
        <v>Biology</v>
      </c>
      <c r="D458" s="12" t="str">
        <f>IF(IF(SelectedScope="All India",TRUE,'RAW_AR_CONTENT'!$B457=SelectedScope),'RAW_AR_CONTENT'!D457,"")</f>
        <v>Class 7</v>
      </c>
      <c r="E458" s="12" t="str">
        <f>IF(IF(SelectedScope="All India",TRUE,'RAW_AR_CONTENT'!$B457=SelectedScope),'RAW_AR_CONTENT'!E457,"")</f>
        <v>Photosynthesis</v>
      </c>
      <c r="F458" s="12" t="str">
        <f>IF(IF(SelectedScope="All India",TRUE,'RAW_AR_CONTENT'!$B457=SelectedScope),'RAW_AR_CONTENT'!F457,"")</f>
        <v>Basic 3D</v>
      </c>
      <c r="G458" s="12" t="str">
        <f>IF(IF(SelectedScope="All India",TRUE,'RAW_AR_CONTENT'!$B457=SelectedScope),'RAW_AR_CONTENT'!G457,"")</f>
        <v>Active</v>
      </c>
      <c r="H458" s="12">
        <f>IF(IF(SelectedScope="All India",TRUE,'RAW_AR_CONTENT'!$B457=SelectedScope),'RAW_AR_CONTENT'!H457,"")</f>
        <v>0</v>
      </c>
      <c r="I458" s="12">
        <f>IF(IF(SelectedScope="All India",TRUE,'RAW_AR_CONTENT'!$B457=SelectedScope),'RAW_AR_CONTENT'!I457,"")</f>
        <v>0</v>
      </c>
      <c r="J458" s="12">
        <f>IF(IF(SelectedScope="All India",TRUE,'RAW_AR_CONTENT'!$B457=SelectedScope),'RAW_AR_CONTENT'!J457,"")</f>
        <v>0</v>
      </c>
      <c r="K458" s="12">
        <f>IF(IF(SelectedScope="All India",TRUE,'RAW_AR_CONTENT'!$B457=SelectedScope),'RAW_AR_CONTENT'!K457,"")</f>
        <v>0</v>
      </c>
      <c r="L458" s="12">
        <f>IF(IF(SelectedScope="All India",TRUE,'RAW_AR_CONTENT'!$B457=SelectedScope),'RAW_AR_CONTENT'!L457,"")</f>
        <v>0</v>
      </c>
      <c r="M458" s="12">
        <f>IF(IF(SelectedScope="All India",TRUE,'RAW_AR_CONTENT'!$B457=SelectedScope),'RAW_AR_CONTENT'!M457,"")</f>
        <v>0</v>
      </c>
      <c r="N458" s="12">
        <f>IF(IF(SelectedScope="All India",TRUE,'RAW_AR_CONTENT'!$B457=SelectedScope),'RAW_AR_CONTENT'!N457,"")</f>
        <v>0</v>
      </c>
      <c r="O458" s="12">
        <f>IF(IF(SelectedScope="All India",TRUE,'RAW_AR_CONTENT'!$B457=SelectedScope),'RAW_AR_CONTENT'!O457,"")</f>
        <v>0</v>
      </c>
      <c r="P458" s="12">
        <f>IF(IF(SelectedScope="All India",TRUE,'RAW_AR_CONTENT'!$B457=SelectedScope),'RAW_AR_CONTENT'!P457,"")</f>
        <v>0</v>
      </c>
      <c r="Q458" s="12">
        <f>IF(IF(SelectedScope="All India",TRUE,'RAW_AR_CONTENT'!$B457=SelectedScope),'RAW_AR_CONTENT'!Q457,"")</f>
        <v>0</v>
      </c>
      <c r="R458" s="12">
        <f>IF(IF(SelectedScope="All India",TRUE,'RAW_AR_CONTENT'!$B457=SelectedScope),'RAW_AR_CONTENT'!R457,"")</f>
        <v>0</v>
      </c>
    </row>
    <row r="459" spans="1:18" ht="15" customHeight="1" x14ac:dyDescent="0.3">
      <c r="A459" s="9">
        <f>IF(IF(SelectedScope="All India",TRUE,'RAW_AR_CONTENT'!$B458=SelectedScope),'RAW_AR_CONTENT'!A458,"")</f>
        <v>455</v>
      </c>
      <c r="B459" s="9" t="str">
        <f>IF(IF(SelectedScope="All India",TRUE,'RAW_AR_CONTENT'!$B458=SelectedScope),'RAW_AR_CONTENT'!B458,"")</f>
        <v>Tamil Nadu</v>
      </c>
      <c r="C459" s="9" t="str">
        <f>IF(IF(SelectedScope="All India",TRUE,'RAW_AR_CONTENT'!$B458=SelectedScope),'RAW_AR_CONTENT'!C458,"")</f>
        <v>Mathematics</v>
      </c>
      <c r="D459" s="9" t="str">
        <f>IF(IF(SelectedScope="All India",TRUE,'RAW_AR_CONTENT'!$B458=SelectedScope),'RAW_AR_CONTENT'!D458,"")</f>
        <v>Class 7</v>
      </c>
      <c r="E459" s="9" t="str">
        <f>IF(IF(SelectedScope="All India",TRUE,'RAW_AR_CONTENT'!$B458=SelectedScope),'RAW_AR_CONTENT'!E458,"")</f>
        <v>Fractions 3D Model</v>
      </c>
      <c r="F459" s="9" t="str">
        <f>IF(IF(SelectedScope="All India",TRUE,'RAW_AR_CONTENT'!$B458=SelectedScope),'RAW_AR_CONTENT'!F458,"")</f>
        <v>Interactive</v>
      </c>
      <c r="G459" s="9" t="str">
        <f>IF(IF(SelectedScope="All India",TRUE,'RAW_AR_CONTENT'!$B458=SelectedScope),'RAW_AR_CONTENT'!G458,"")</f>
        <v>Active</v>
      </c>
      <c r="H459" s="9">
        <f>IF(IF(SelectedScope="All India",TRUE,'RAW_AR_CONTENT'!$B458=SelectedScope),'RAW_AR_CONTENT'!H458,"")</f>
        <v>0</v>
      </c>
      <c r="I459" s="9">
        <f>IF(IF(SelectedScope="All India",TRUE,'RAW_AR_CONTENT'!$B458=SelectedScope),'RAW_AR_CONTENT'!I458,"")</f>
        <v>0</v>
      </c>
      <c r="J459" s="9">
        <f>IF(IF(SelectedScope="All India",TRUE,'RAW_AR_CONTENT'!$B458=SelectedScope),'RAW_AR_CONTENT'!J458,"")</f>
        <v>0</v>
      </c>
      <c r="K459" s="9">
        <f>IF(IF(SelectedScope="All India",TRUE,'RAW_AR_CONTENT'!$B458=SelectedScope),'RAW_AR_CONTENT'!K458,"")</f>
        <v>0</v>
      </c>
      <c r="L459" s="9">
        <f>IF(IF(SelectedScope="All India",TRUE,'RAW_AR_CONTENT'!$B458=SelectedScope),'RAW_AR_CONTENT'!L458,"")</f>
        <v>0</v>
      </c>
      <c r="M459" s="9">
        <f>IF(IF(SelectedScope="All India",TRUE,'RAW_AR_CONTENT'!$B458=SelectedScope),'RAW_AR_CONTENT'!M458,"")</f>
        <v>0</v>
      </c>
      <c r="N459" s="9">
        <f>IF(IF(SelectedScope="All India",TRUE,'RAW_AR_CONTENT'!$B458=SelectedScope),'RAW_AR_CONTENT'!N458,"")</f>
        <v>0</v>
      </c>
      <c r="O459" s="9">
        <f>IF(IF(SelectedScope="All India",TRUE,'RAW_AR_CONTENT'!$B458=SelectedScope),'RAW_AR_CONTENT'!O458,"")</f>
        <v>0</v>
      </c>
      <c r="P459" s="9">
        <f>IF(IF(SelectedScope="All India",TRUE,'RAW_AR_CONTENT'!$B458=SelectedScope),'RAW_AR_CONTENT'!P458,"")</f>
        <v>0</v>
      </c>
      <c r="Q459" s="9">
        <f>IF(IF(SelectedScope="All India",TRUE,'RAW_AR_CONTENT'!$B458=SelectedScope),'RAW_AR_CONTENT'!Q458,"")</f>
        <v>0</v>
      </c>
      <c r="R459" s="9">
        <f>IF(IF(SelectedScope="All India",TRUE,'RAW_AR_CONTENT'!$B458=SelectedScope),'RAW_AR_CONTENT'!R458,"")</f>
        <v>0</v>
      </c>
    </row>
    <row r="460" spans="1:18" ht="15" customHeight="1" x14ac:dyDescent="0.3">
      <c r="A460" s="12">
        <f>IF(IF(SelectedScope="All India",TRUE,'RAW_AR_CONTENT'!$B459=SelectedScope),'RAW_AR_CONTENT'!A459,"")</f>
        <v>456</v>
      </c>
      <c r="B460" s="12" t="str">
        <f>IF(IF(SelectedScope="All India",TRUE,'RAW_AR_CONTENT'!$B459=SelectedScope),'RAW_AR_CONTENT'!B459,"")</f>
        <v>Tamil Nadu</v>
      </c>
      <c r="C460" s="12" t="str">
        <f>IF(IF(SelectedScope="All India",TRUE,'RAW_AR_CONTENT'!$B459=SelectedScope),'RAW_AR_CONTENT'!C459,"")</f>
        <v>Mathematics</v>
      </c>
      <c r="D460" s="12" t="str">
        <f>IF(IF(SelectedScope="All India",TRUE,'RAW_AR_CONTENT'!$B459=SelectedScope),'RAW_AR_CONTENT'!D459,"")</f>
        <v>Class 10</v>
      </c>
      <c r="E460" s="12" t="str">
        <f>IF(IF(SelectedScope="All India",TRUE,'RAW_AR_CONTENT'!$B459=SelectedScope),'RAW_AR_CONTENT'!E459,"")</f>
        <v>Trigonometry 3D</v>
      </c>
      <c r="F460" s="12" t="str">
        <f>IF(IF(SelectedScope="All India",TRUE,'RAW_AR_CONTENT'!$B459=SelectedScope),'RAW_AR_CONTENT'!F459,"")</f>
        <v>Animated</v>
      </c>
      <c r="G460" s="12" t="str">
        <f>IF(IF(SelectedScope="All India",TRUE,'RAW_AR_CONTENT'!$B459=SelectedScope),'RAW_AR_CONTENT'!G459,"")</f>
        <v>Active</v>
      </c>
      <c r="H460" s="12">
        <f>IF(IF(SelectedScope="All India",TRUE,'RAW_AR_CONTENT'!$B459=SelectedScope),'RAW_AR_CONTENT'!H459,"")</f>
        <v>0</v>
      </c>
      <c r="I460" s="12">
        <f>IF(IF(SelectedScope="All India",TRUE,'RAW_AR_CONTENT'!$B459=SelectedScope),'RAW_AR_CONTENT'!I459,"")</f>
        <v>0</v>
      </c>
      <c r="J460" s="12">
        <f>IF(IF(SelectedScope="All India",TRUE,'RAW_AR_CONTENT'!$B459=SelectedScope),'RAW_AR_CONTENT'!J459,"")</f>
        <v>0</v>
      </c>
      <c r="K460" s="12">
        <f>IF(IF(SelectedScope="All India",TRUE,'RAW_AR_CONTENT'!$B459=SelectedScope),'RAW_AR_CONTENT'!K459,"")</f>
        <v>0</v>
      </c>
      <c r="L460" s="12">
        <f>IF(IF(SelectedScope="All India",TRUE,'RAW_AR_CONTENT'!$B459=SelectedScope),'RAW_AR_CONTENT'!L459,"")</f>
        <v>0</v>
      </c>
      <c r="M460" s="12">
        <f>IF(IF(SelectedScope="All India",TRUE,'RAW_AR_CONTENT'!$B459=SelectedScope),'RAW_AR_CONTENT'!M459,"")</f>
        <v>0</v>
      </c>
      <c r="N460" s="12">
        <f>IF(IF(SelectedScope="All India",TRUE,'RAW_AR_CONTENT'!$B459=SelectedScope),'RAW_AR_CONTENT'!N459,"")</f>
        <v>0</v>
      </c>
      <c r="O460" s="12">
        <f>IF(IF(SelectedScope="All India",TRUE,'RAW_AR_CONTENT'!$B459=SelectedScope),'RAW_AR_CONTENT'!O459,"")</f>
        <v>0</v>
      </c>
      <c r="P460" s="12">
        <f>IF(IF(SelectedScope="All India",TRUE,'RAW_AR_CONTENT'!$B459=SelectedScope),'RAW_AR_CONTENT'!P459,"")</f>
        <v>0</v>
      </c>
      <c r="Q460" s="12">
        <f>IF(IF(SelectedScope="All India",TRUE,'RAW_AR_CONTENT'!$B459=SelectedScope),'RAW_AR_CONTENT'!Q459,"")</f>
        <v>0</v>
      </c>
      <c r="R460" s="12">
        <f>IF(IF(SelectedScope="All India",TRUE,'RAW_AR_CONTENT'!$B459=SelectedScope),'RAW_AR_CONTENT'!R459,"")</f>
        <v>0</v>
      </c>
    </row>
    <row r="461" spans="1:18" ht="15" customHeight="1" x14ac:dyDescent="0.3">
      <c r="A461" s="9">
        <f>IF(IF(SelectedScope="All India",TRUE,'RAW_AR_CONTENT'!$B460=SelectedScope),'RAW_AR_CONTENT'!A460,"")</f>
        <v>457</v>
      </c>
      <c r="B461" s="9" t="str">
        <f>IF(IF(SelectedScope="All India",TRUE,'RAW_AR_CONTENT'!$B460=SelectedScope),'RAW_AR_CONTENT'!B460,"")</f>
        <v>Tamil Nadu</v>
      </c>
      <c r="C461" s="9" t="str">
        <f>IF(IF(SelectedScope="All India",TRUE,'RAW_AR_CONTENT'!$B460=SelectedScope),'RAW_AR_CONTENT'!C460,"")</f>
        <v>History</v>
      </c>
      <c r="D461" s="9" t="str">
        <f>IF(IF(SelectedScope="All India",TRUE,'RAW_AR_CONTENT'!$B460=SelectedScope),'RAW_AR_CONTENT'!D460,"")</f>
        <v>Class 10</v>
      </c>
      <c r="E461" s="9" t="str">
        <f>IF(IF(SelectedScope="All India",TRUE,'RAW_AR_CONTENT'!$B460=SelectedScope),'RAW_AR_CONTENT'!E460,"")</f>
        <v>Mughal Empire AR</v>
      </c>
      <c r="F461" s="9" t="str">
        <f>IF(IF(SelectedScope="All India",TRUE,'RAW_AR_CONTENT'!$B460=SelectedScope),'RAW_AR_CONTENT'!F460,"")</f>
        <v>Basic 3D</v>
      </c>
      <c r="G461" s="9" t="str">
        <f>IF(IF(SelectedScope="All India",TRUE,'RAW_AR_CONTENT'!$B460=SelectedScope),'RAW_AR_CONTENT'!G460,"")</f>
        <v>Active</v>
      </c>
      <c r="H461" s="9">
        <f>IF(IF(SelectedScope="All India",TRUE,'RAW_AR_CONTENT'!$B460=SelectedScope),'RAW_AR_CONTENT'!H460,"")</f>
        <v>0</v>
      </c>
      <c r="I461" s="9">
        <f>IF(IF(SelectedScope="All India",TRUE,'RAW_AR_CONTENT'!$B460=SelectedScope),'RAW_AR_CONTENT'!I460,"")</f>
        <v>0</v>
      </c>
      <c r="J461" s="9">
        <f>IF(IF(SelectedScope="All India",TRUE,'RAW_AR_CONTENT'!$B460=SelectedScope),'RAW_AR_CONTENT'!J460,"")</f>
        <v>0</v>
      </c>
      <c r="K461" s="9">
        <f>IF(IF(SelectedScope="All India",TRUE,'RAW_AR_CONTENT'!$B460=SelectedScope),'RAW_AR_CONTENT'!K460,"")</f>
        <v>0</v>
      </c>
      <c r="L461" s="9">
        <f>IF(IF(SelectedScope="All India",TRUE,'RAW_AR_CONTENT'!$B460=SelectedScope),'RAW_AR_CONTENT'!L460,"")</f>
        <v>0</v>
      </c>
      <c r="M461" s="9">
        <f>IF(IF(SelectedScope="All India",TRUE,'RAW_AR_CONTENT'!$B460=SelectedScope),'RAW_AR_CONTENT'!M460,"")</f>
        <v>0</v>
      </c>
      <c r="N461" s="9">
        <f>IF(IF(SelectedScope="All India",TRUE,'RAW_AR_CONTENT'!$B460=SelectedScope),'RAW_AR_CONTENT'!N460,"")</f>
        <v>0</v>
      </c>
      <c r="O461" s="9">
        <f>IF(IF(SelectedScope="All India",TRUE,'RAW_AR_CONTENT'!$B460=SelectedScope),'RAW_AR_CONTENT'!O460,"")</f>
        <v>0</v>
      </c>
      <c r="P461" s="9">
        <f>IF(IF(SelectedScope="All India",TRUE,'RAW_AR_CONTENT'!$B460=SelectedScope),'RAW_AR_CONTENT'!P460,"")</f>
        <v>0</v>
      </c>
      <c r="Q461" s="9">
        <f>IF(IF(SelectedScope="All India",TRUE,'RAW_AR_CONTENT'!$B460=SelectedScope),'RAW_AR_CONTENT'!Q460,"")</f>
        <v>0</v>
      </c>
      <c r="R461" s="9">
        <f>IF(IF(SelectedScope="All India",TRUE,'RAW_AR_CONTENT'!$B460=SelectedScope),'RAW_AR_CONTENT'!R460,"")</f>
        <v>0</v>
      </c>
    </row>
    <row r="462" spans="1:18" ht="15" customHeight="1" x14ac:dyDescent="0.3">
      <c r="A462" s="12">
        <f>IF(IF(SelectedScope="All India",TRUE,'RAW_AR_CONTENT'!$B461=SelectedScope),'RAW_AR_CONTENT'!A461,"")</f>
        <v>458</v>
      </c>
      <c r="B462" s="12" t="str">
        <f>IF(IF(SelectedScope="All India",TRUE,'RAW_AR_CONTENT'!$B461=SelectedScope),'RAW_AR_CONTENT'!B461,"")</f>
        <v>Tamil Nadu</v>
      </c>
      <c r="C462" s="12" t="str">
        <f>IF(IF(SelectedScope="All India",TRUE,'RAW_AR_CONTENT'!$B461=SelectedScope),'RAW_AR_CONTENT'!C461,"")</f>
        <v>Geography</v>
      </c>
      <c r="D462" s="12" t="str">
        <f>IF(IF(SelectedScope="All India",TRUE,'RAW_AR_CONTENT'!$B461=SelectedScope),'RAW_AR_CONTENT'!D461,"")</f>
        <v>Class 6</v>
      </c>
      <c r="E462" s="12" t="str">
        <f>IF(IF(SelectedScope="All India",TRUE,'RAW_AR_CONTENT'!$B461=SelectedScope),'RAW_AR_CONTENT'!E461,"")</f>
        <v>Water Cycle Simulation</v>
      </c>
      <c r="F462" s="12" t="str">
        <f>IF(IF(SelectedScope="All India",TRUE,'RAW_AR_CONTENT'!$B461=SelectedScope),'RAW_AR_CONTENT'!F461,"")</f>
        <v>Animated</v>
      </c>
      <c r="G462" s="12" t="str">
        <f>IF(IF(SelectedScope="All India",TRUE,'RAW_AR_CONTENT'!$B461=SelectedScope),'RAW_AR_CONTENT'!G461,"")</f>
        <v>Active</v>
      </c>
      <c r="H462" s="12">
        <f>IF(IF(SelectedScope="All India",TRUE,'RAW_AR_CONTENT'!$B461=SelectedScope),'RAW_AR_CONTENT'!H461,"")</f>
        <v>0</v>
      </c>
      <c r="I462" s="12">
        <f>IF(IF(SelectedScope="All India",TRUE,'RAW_AR_CONTENT'!$B461=SelectedScope),'RAW_AR_CONTENT'!I461,"")</f>
        <v>0</v>
      </c>
      <c r="J462" s="12">
        <f>IF(IF(SelectedScope="All India",TRUE,'RAW_AR_CONTENT'!$B461=SelectedScope),'RAW_AR_CONTENT'!J461,"")</f>
        <v>0</v>
      </c>
      <c r="K462" s="12">
        <f>IF(IF(SelectedScope="All India",TRUE,'RAW_AR_CONTENT'!$B461=SelectedScope),'RAW_AR_CONTENT'!K461,"")</f>
        <v>0</v>
      </c>
      <c r="L462" s="12">
        <f>IF(IF(SelectedScope="All India",TRUE,'RAW_AR_CONTENT'!$B461=SelectedScope),'RAW_AR_CONTENT'!L461,"")</f>
        <v>0</v>
      </c>
      <c r="M462" s="12">
        <f>IF(IF(SelectedScope="All India",TRUE,'RAW_AR_CONTENT'!$B461=SelectedScope),'RAW_AR_CONTENT'!M461,"")</f>
        <v>0</v>
      </c>
      <c r="N462" s="12">
        <f>IF(IF(SelectedScope="All India",TRUE,'RAW_AR_CONTENT'!$B461=SelectedScope),'RAW_AR_CONTENT'!N461,"")</f>
        <v>0</v>
      </c>
      <c r="O462" s="12">
        <f>IF(IF(SelectedScope="All India",TRUE,'RAW_AR_CONTENT'!$B461=SelectedScope),'RAW_AR_CONTENT'!O461,"")</f>
        <v>0</v>
      </c>
      <c r="P462" s="12">
        <f>IF(IF(SelectedScope="All India",TRUE,'RAW_AR_CONTENT'!$B461=SelectedScope),'RAW_AR_CONTENT'!P461,"")</f>
        <v>0</v>
      </c>
      <c r="Q462" s="12">
        <f>IF(IF(SelectedScope="All India",TRUE,'RAW_AR_CONTENT'!$B461=SelectedScope),'RAW_AR_CONTENT'!Q461,"")</f>
        <v>0</v>
      </c>
      <c r="R462" s="12">
        <f>IF(IF(SelectedScope="All India",TRUE,'RAW_AR_CONTENT'!$B461=SelectedScope),'RAW_AR_CONTENT'!R461,"")</f>
        <v>0</v>
      </c>
    </row>
    <row r="463" spans="1:18" ht="15" customHeight="1" x14ac:dyDescent="0.3">
      <c r="A463" s="9">
        <f>IF(IF(SelectedScope="All India",TRUE,'RAW_AR_CONTENT'!$B462=SelectedScope),'RAW_AR_CONTENT'!A462,"")</f>
        <v>459</v>
      </c>
      <c r="B463" s="9" t="str">
        <f>IF(IF(SelectedScope="All India",TRUE,'RAW_AR_CONTENT'!$B462=SelectedScope),'RAW_AR_CONTENT'!B462,"")</f>
        <v>Tamil Nadu</v>
      </c>
      <c r="C463" s="9" t="str">
        <f>IF(IF(SelectedScope="All India",TRUE,'RAW_AR_CONTENT'!$B462=SelectedScope),'RAW_AR_CONTENT'!C462,"")</f>
        <v>Biology</v>
      </c>
      <c r="D463" s="9" t="str">
        <f>IF(IF(SelectedScope="All India",TRUE,'RAW_AR_CONTENT'!$B462=SelectedScope),'RAW_AR_CONTENT'!D462,"")</f>
        <v>Class 11</v>
      </c>
      <c r="E463" s="9" t="str">
        <f>IF(IF(SelectedScope="All India",TRUE,'RAW_AR_CONTENT'!$B462=SelectedScope),'RAW_AR_CONTENT'!E462,"")</f>
        <v>Human Anatomy AR</v>
      </c>
      <c r="F463" s="9" t="str">
        <f>IF(IF(SelectedScope="All India",TRUE,'RAW_AR_CONTENT'!$B462=SelectedScope),'RAW_AR_CONTENT'!F462,"")</f>
        <v>Fully Immersive</v>
      </c>
      <c r="G463" s="9" t="str">
        <f>IF(IF(SelectedScope="All India",TRUE,'RAW_AR_CONTENT'!$B462=SelectedScope),'RAW_AR_CONTENT'!G462,"")</f>
        <v>Active</v>
      </c>
      <c r="H463" s="9">
        <f>IF(IF(SelectedScope="All India",TRUE,'RAW_AR_CONTENT'!$B462=SelectedScope),'RAW_AR_CONTENT'!H462,"")</f>
        <v>0</v>
      </c>
      <c r="I463" s="9">
        <f>IF(IF(SelectedScope="All India",TRUE,'RAW_AR_CONTENT'!$B462=SelectedScope),'RAW_AR_CONTENT'!I462,"")</f>
        <v>0</v>
      </c>
      <c r="J463" s="9">
        <f>IF(IF(SelectedScope="All India",TRUE,'RAW_AR_CONTENT'!$B462=SelectedScope),'RAW_AR_CONTENT'!J462,"")</f>
        <v>0</v>
      </c>
      <c r="K463" s="9">
        <f>IF(IF(SelectedScope="All India",TRUE,'RAW_AR_CONTENT'!$B462=SelectedScope),'RAW_AR_CONTENT'!K462,"")</f>
        <v>0</v>
      </c>
      <c r="L463" s="9">
        <f>IF(IF(SelectedScope="All India",TRUE,'RAW_AR_CONTENT'!$B462=SelectedScope),'RAW_AR_CONTENT'!L462,"")</f>
        <v>0</v>
      </c>
      <c r="M463" s="9">
        <f>IF(IF(SelectedScope="All India",TRUE,'RAW_AR_CONTENT'!$B462=SelectedScope),'RAW_AR_CONTENT'!M462,"")</f>
        <v>0</v>
      </c>
      <c r="N463" s="9">
        <f>IF(IF(SelectedScope="All India",TRUE,'RAW_AR_CONTENT'!$B462=SelectedScope),'RAW_AR_CONTENT'!N462,"")</f>
        <v>0</v>
      </c>
      <c r="O463" s="9">
        <f>IF(IF(SelectedScope="All India",TRUE,'RAW_AR_CONTENT'!$B462=SelectedScope),'RAW_AR_CONTENT'!O462,"")</f>
        <v>0</v>
      </c>
      <c r="P463" s="9">
        <f>IF(IF(SelectedScope="All India",TRUE,'RAW_AR_CONTENT'!$B462=SelectedScope),'RAW_AR_CONTENT'!P462,"")</f>
        <v>0</v>
      </c>
      <c r="Q463" s="9">
        <f>IF(IF(SelectedScope="All India",TRUE,'RAW_AR_CONTENT'!$B462=SelectedScope),'RAW_AR_CONTENT'!Q462,"")</f>
        <v>0</v>
      </c>
      <c r="R463" s="9">
        <f>IF(IF(SelectedScope="All India",TRUE,'RAW_AR_CONTENT'!$B462=SelectedScope),'RAW_AR_CONTENT'!R462,"")</f>
        <v>0</v>
      </c>
    </row>
    <row r="464" spans="1:18" ht="15" customHeight="1" x14ac:dyDescent="0.3">
      <c r="A464" s="12">
        <f>IF(IF(SelectedScope="All India",TRUE,'RAW_AR_CONTENT'!$B463=SelectedScope),'RAW_AR_CONTENT'!A463,"")</f>
        <v>460</v>
      </c>
      <c r="B464" s="12" t="str">
        <f>IF(IF(SelectedScope="All India",TRUE,'RAW_AR_CONTENT'!$B463=SelectedScope),'RAW_AR_CONTENT'!B463,"")</f>
        <v>Tamil Nadu</v>
      </c>
      <c r="C464" s="12" t="str">
        <f>IF(IF(SelectedScope="All India",TRUE,'RAW_AR_CONTENT'!$B463=SelectedScope),'RAW_AR_CONTENT'!C463,"")</f>
        <v>Physics</v>
      </c>
      <c r="D464" s="12" t="str">
        <f>IF(IF(SelectedScope="All India",TRUE,'RAW_AR_CONTENT'!$B463=SelectedScope),'RAW_AR_CONTENT'!D463,"")</f>
        <v>Class 9</v>
      </c>
      <c r="E464" s="12" t="str">
        <f>IF(IF(SelectedScope="All India",TRUE,'RAW_AR_CONTENT'!$B463=SelectedScope),'RAW_AR_CONTENT'!E463,"")</f>
        <v>Laws of Motion</v>
      </c>
      <c r="F464" s="12" t="str">
        <f>IF(IF(SelectedScope="All India",TRUE,'RAW_AR_CONTENT'!$B463=SelectedScope),'RAW_AR_CONTENT'!F463,"")</f>
        <v>Interactive</v>
      </c>
      <c r="G464" s="12" t="str">
        <f>IF(IF(SelectedScope="All India",TRUE,'RAW_AR_CONTENT'!$B463=SelectedScope),'RAW_AR_CONTENT'!G463,"")</f>
        <v>Active</v>
      </c>
      <c r="H464" s="12">
        <f>IF(IF(SelectedScope="All India",TRUE,'RAW_AR_CONTENT'!$B463=SelectedScope),'RAW_AR_CONTENT'!H463,"")</f>
        <v>0</v>
      </c>
      <c r="I464" s="12">
        <f>IF(IF(SelectedScope="All India",TRUE,'RAW_AR_CONTENT'!$B463=SelectedScope),'RAW_AR_CONTENT'!I463,"")</f>
        <v>0</v>
      </c>
      <c r="J464" s="12">
        <f>IF(IF(SelectedScope="All India",TRUE,'RAW_AR_CONTENT'!$B463=SelectedScope),'RAW_AR_CONTENT'!J463,"")</f>
        <v>0</v>
      </c>
      <c r="K464" s="12">
        <f>IF(IF(SelectedScope="All India",TRUE,'RAW_AR_CONTENT'!$B463=SelectedScope),'RAW_AR_CONTENT'!K463,"")</f>
        <v>0</v>
      </c>
      <c r="L464" s="12">
        <f>IF(IF(SelectedScope="All India",TRUE,'RAW_AR_CONTENT'!$B463=SelectedScope),'RAW_AR_CONTENT'!L463,"")</f>
        <v>0</v>
      </c>
      <c r="M464" s="12">
        <f>IF(IF(SelectedScope="All India",TRUE,'RAW_AR_CONTENT'!$B463=SelectedScope),'RAW_AR_CONTENT'!M463,"")</f>
        <v>0</v>
      </c>
      <c r="N464" s="12">
        <f>IF(IF(SelectedScope="All India",TRUE,'RAW_AR_CONTENT'!$B463=SelectedScope),'RAW_AR_CONTENT'!N463,"")</f>
        <v>0</v>
      </c>
      <c r="O464" s="12">
        <f>IF(IF(SelectedScope="All India",TRUE,'RAW_AR_CONTENT'!$B463=SelectedScope),'RAW_AR_CONTENT'!O463,"")</f>
        <v>0</v>
      </c>
      <c r="P464" s="12">
        <f>IF(IF(SelectedScope="All India",TRUE,'RAW_AR_CONTENT'!$B463=SelectedScope),'RAW_AR_CONTENT'!P463,"")</f>
        <v>0</v>
      </c>
      <c r="Q464" s="12">
        <f>IF(IF(SelectedScope="All India",TRUE,'RAW_AR_CONTENT'!$B463=SelectedScope),'RAW_AR_CONTENT'!Q463,"")</f>
        <v>0</v>
      </c>
      <c r="R464" s="12">
        <f>IF(IF(SelectedScope="All India",TRUE,'RAW_AR_CONTENT'!$B463=SelectedScope),'RAW_AR_CONTENT'!R463,"")</f>
        <v>0</v>
      </c>
    </row>
    <row r="465" spans="1:18" ht="15" customHeight="1" x14ac:dyDescent="0.3">
      <c r="A465" s="9">
        <f>IF(IF(SelectedScope="All India",TRUE,'RAW_AR_CONTENT'!$B464=SelectedScope),'RAW_AR_CONTENT'!A464,"")</f>
        <v>461</v>
      </c>
      <c r="B465" s="9" t="str">
        <f>IF(IF(SelectedScope="All India",TRUE,'RAW_AR_CONTENT'!$B464=SelectedScope),'RAW_AR_CONTENT'!B464,"")</f>
        <v>Tamil Nadu</v>
      </c>
      <c r="C465" s="9" t="str">
        <f>IF(IF(SelectedScope="All India",TRUE,'RAW_AR_CONTENT'!$B464=SelectedScope),'RAW_AR_CONTENT'!C464,"")</f>
        <v>Chemistry</v>
      </c>
      <c r="D465" s="9" t="str">
        <f>IF(IF(SelectedScope="All India",TRUE,'RAW_AR_CONTENT'!$B464=SelectedScope),'RAW_AR_CONTENT'!D464,"")</f>
        <v>Class 11</v>
      </c>
      <c r="E465" s="9" t="str">
        <f>IF(IF(SelectedScope="All India",TRUE,'RAW_AR_CONTENT'!$B464=SelectedScope),'RAW_AR_CONTENT'!E464,"")</f>
        <v>Periodic Table 3D</v>
      </c>
      <c r="F465" s="9" t="str">
        <f>IF(IF(SelectedScope="All India",TRUE,'RAW_AR_CONTENT'!$B464=SelectedScope),'RAW_AR_CONTENT'!F464,"")</f>
        <v>Interactive</v>
      </c>
      <c r="G465" s="9" t="str">
        <f>IF(IF(SelectedScope="All India",TRUE,'RAW_AR_CONTENT'!$B464=SelectedScope),'RAW_AR_CONTENT'!G464,"")</f>
        <v>Active</v>
      </c>
      <c r="H465" s="9">
        <f>IF(IF(SelectedScope="All India",TRUE,'RAW_AR_CONTENT'!$B464=SelectedScope),'RAW_AR_CONTENT'!H464,"")</f>
        <v>0</v>
      </c>
      <c r="I465" s="9">
        <f>IF(IF(SelectedScope="All India",TRUE,'RAW_AR_CONTENT'!$B464=SelectedScope),'RAW_AR_CONTENT'!I464,"")</f>
        <v>0</v>
      </c>
      <c r="J465" s="9">
        <f>IF(IF(SelectedScope="All India",TRUE,'RAW_AR_CONTENT'!$B464=SelectedScope),'RAW_AR_CONTENT'!J464,"")</f>
        <v>0</v>
      </c>
      <c r="K465" s="9">
        <f>IF(IF(SelectedScope="All India",TRUE,'RAW_AR_CONTENT'!$B464=SelectedScope),'RAW_AR_CONTENT'!K464,"")</f>
        <v>0</v>
      </c>
      <c r="L465" s="9">
        <f>IF(IF(SelectedScope="All India",TRUE,'RAW_AR_CONTENT'!$B464=SelectedScope),'RAW_AR_CONTENT'!L464,"")</f>
        <v>0</v>
      </c>
      <c r="M465" s="9">
        <f>IF(IF(SelectedScope="All India",TRUE,'RAW_AR_CONTENT'!$B464=SelectedScope),'RAW_AR_CONTENT'!M464,"")</f>
        <v>0</v>
      </c>
      <c r="N465" s="9">
        <f>IF(IF(SelectedScope="All India",TRUE,'RAW_AR_CONTENT'!$B464=SelectedScope),'RAW_AR_CONTENT'!N464,"")</f>
        <v>0</v>
      </c>
      <c r="O465" s="9">
        <f>IF(IF(SelectedScope="All India",TRUE,'RAW_AR_CONTENT'!$B464=SelectedScope),'RAW_AR_CONTENT'!O464,"")</f>
        <v>0</v>
      </c>
      <c r="P465" s="9">
        <f>IF(IF(SelectedScope="All India",TRUE,'RAW_AR_CONTENT'!$B464=SelectedScope),'RAW_AR_CONTENT'!P464,"")</f>
        <v>0</v>
      </c>
      <c r="Q465" s="9">
        <f>IF(IF(SelectedScope="All India",TRUE,'RAW_AR_CONTENT'!$B464=SelectedScope),'RAW_AR_CONTENT'!Q464,"")</f>
        <v>0</v>
      </c>
      <c r="R465" s="9">
        <f>IF(IF(SelectedScope="All India",TRUE,'RAW_AR_CONTENT'!$B464=SelectedScope),'RAW_AR_CONTENT'!R464,"")</f>
        <v>0</v>
      </c>
    </row>
    <row r="466" spans="1:18" ht="15" customHeight="1" x14ac:dyDescent="0.3">
      <c r="A466" s="12">
        <f>IF(IF(SelectedScope="All India",TRUE,'RAW_AR_CONTENT'!$B465=SelectedScope),'RAW_AR_CONTENT'!A465,"")</f>
        <v>462</v>
      </c>
      <c r="B466" s="12" t="str">
        <f>IF(IF(SelectedScope="All India",TRUE,'RAW_AR_CONTENT'!$B465=SelectedScope),'RAW_AR_CONTENT'!B465,"")</f>
        <v>Tamil Nadu</v>
      </c>
      <c r="C466" s="12" t="str">
        <f>IF(IF(SelectedScope="All India",TRUE,'RAW_AR_CONTENT'!$B465=SelectedScope),'RAW_AR_CONTENT'!C465,"")</f>
        <v>Physics</v>
      </c>
      <c r="D466" s="12" t="str">
        <f>IF(IF(SelectedScope="All India",TRUE,'RAW_AR_CONTENT'!$B465=SelectedScope),'RAW_AR_CONTENT'!D465,"")</f>
        <v>Class 10</v>
      </c>
      <c r="E466" s="12" t="str">
        <f>IF(IF(SelectedScope="All India",TRUE,'RAW_AR_CONTENT'!$B465=SelectedScope),'RAW_AR_CONTENT'!E465,"")</f>
        <v>Electricity Circuits</v>
      </c>
      <c r="F466" s="12" t="str">
        <f>IF(IF(SelectedScope="All India",TRUE,'RAW_AR_CONTENT'!$B465=SelectedScope),'RAW_AR_CONTENT'!F465,"")</f>
        <v>Interactive</v>
      </c>
      <c r="G466" s="12" t="str">
        <f>IF(IF(SelectedScope="All India",TRUE,'RAW_AR_CONTENT'!$B465=SelectedScope),'RAW_AR_CONTENT'!G465,"")</f>
        <v>Active</v>
      </c>
      <c r="H466" s="12">
        <f>IF(IF(SelectedScope="All India",TRUE,'RAW_AR_CONTENT'!$B465=SelectedScope),'RAW_AR_CONTENT'!H465,"")</f>
        <v>0</v>
      </c>
      <c r="I466" s="12">
        <f>IF(IF(SelectedScope="All India",TRUE,'RAW_AR_CONTENT'!$B465=SelectedScope),'RAW_AR_CONTENT'!I465,"")</f>
        <v>0</v>
      </c>
      <c r="J466" s="12">
        <f>IF(IF(SelectedScope="All India",TRUE,'RAW_AR_CONTENT'!$B465=SelectedScope),'RAW_AR_CONTENT'!J465,"")</f>
        <v>0</v>
      </c>
      <c r="K466" s="12">
        <f>IF(IF(SelectedScope="All India",TRUE,'RAW_AR_CONTENT'!$B465=SelectedScope),'RAW_AR_CONTENT'!K465,"")</f>
        <v>0</v>
      </c>
      <c r="L466" s="12">
        <f>IF(IF(SelectedScope="All India",TRUE,'RAW_AR_CONTENT'!$B465=SelectedScope),'RAW_AR_CONTENT'!L465,"")</f>
        <v>0</v>
      </c>
      <c r="M466" s="12">
        <f>IF(IF(SelectedScope="All India",TRUE,'RAW_AR_CONTENT'!$B465=SelectedScope),'RAW_AR_CONTENT'!M465,"")</f>
        <v>0</v>
      </c>
      <c r="N466" s="12">
        <f>IF(IF(SelectedScope="All India",TRUE,'RAW_AR_CONTENT'!$B465=SelectedScope),'RAW_AR_CONTENT'!N465,"")</f>
        <v>0</v>
      </c>
      <c r="O466" s="12">
        <f>IF(IF(SelectedScope="All India",TRUE,'RAW_AR_CONTENT'!$B465=SelectedScope),'RAW_AR_CONTENT'!O465,"")</f>
        <v>0</v>
      </c>
      <c r="P466" s="12">
        <f>IF(IF(SelectedScope="All India",TRUE,'RAW_AR_CONTENT'!$B465=SelectedScope),'RAW_AR_CONTENT'!P465,"")</f>
        <v>0</v>
      </c>
      <c r="Q466" s="12">
        <f>IF(IF(SelectedScope="All India",TRUE,'RAW_AR_CONTENT'!$B465=SelectedScope),'RAW_AR_CONTENT'!Q465,"")</f>
        <v>0</v>
      </c>
      <c r="R466" s="12">
        <f>IF(IF(SelectedScope="All India",TRUE,'RAW_AR_CONTENT'!$B465=SelectedScope),'RAW_AR_CONTENT'!R465,"")</f>
        <v>0</v>
      </c>
    </row>
    <row r="467" spans="1:18" ht="15" customHeight="1" x14ac:dyDescent="0.3">
      <c r="A467" s="9">
        <f>IF(IF(SelectedScope="All India",TRUE,'RAW_AR_CONTENT'!$B466=SelectedScope),'RAW_AR_CONTENT'!A466,"")</f>
        <v>463</v>
      </c>
      <c r="B467" s="9" t="str">
        <f>IF(IF(SelectedScope="All India",TRUE,'RAW_AR_CONTENT'!$B466=SelectedScope),'RAW_AR_CONTENT'!B466,"")</f>
        <v>Tamil Nadu</v>
      </c>
      <c r="C467" s="9" t="str">
        <f>IF(IF(SelectedScope="All India",TRUE,'RAW_AR_CONTENT'!$B466=SelectedScope),'RAW_AR_CONTENT'!C466,"")</f>
        <v>Civics</v>
      </c>
      <c r="D467" s="9" t="str">
        <f>IF(IF(SelectedScope="All India",TRUE,'RAW_AR_CONTENT'!$B466=SelectedScope),'RAW_AR_CONTENT'!D466,"")</f>
        <v>Class 9</v>
      </c>
      <c r="E467" s="9" t="str">
        <f>IF(IF(SelectedScope="All India",TRUE,'RAW_AR_CONTENT'!$B466=SelectedScope),'RAW_AR_CONTENT'!E466,"")</f>
        <v>Indian Constitution</v>
      </c>
      <c r="F467" s="9" t="str">
        <f>IF(IF(SelectedScope="All India",TRUE,'RAW_AR_CONTENT'!$B466=SelectedScope),'RAW_AR_CONTENT'!F466,"")</f>
        <v>Basic 3D</v>
      </c>
      <c r="G467" s="9" t="str">
        <f>IF(IF(SelectedScope="All India",TRUE,'RAW_AR_CONTENT'!$B466=SelectedScope),'RAW_AR_CONTENT'!G466,"")</f>
        <v>Active</v>
      </c>
      <c r="H467" s="9">
        <f>IF(IF(SelectedScope="All India",TRUE,'RAW_AR_CONTENT'!$B466=SelectedScope),'RAW_AR_CONTENT'!H466,"")</f>
        <v>0</v>
      </c>
      <c r="I467" s="9">
        <f>IF(IF(SelectedScope="All India",TRUE,'RAW_AR_CONTENT'!$B466=SelectedScope),'RAW_AR_CONTENT'!I466,"")</f>
        <v>0</v>
      </c>
      <c r="J467" s="9">
        <f>IF(IF(SelectedScope="All India",TRUE,'RAW_AR_CONTENT'!$B466=SelectedScope),'RAW_AR_CONTENT'!J466,"")</f>
        <v>0</v>
      </c>
      <c r="K467" s="9">
        <f>IF(IF(SelectedScope="All India",TRUE,'RAW_AR_CONTENT'!$B466=SelectedScope),'RAW_AR_CONTENT'!K466,"")</f>
        <v>0</v>
      </c>
      <c r="L467" s="9">
        <f>IF(IF(SelectedScope="All India",TRUE,'RAW_AR_CONTENT'!$B466=SelectedScope),'RAW_AR_CONTENT'!L466,"")</f>
        <v>0</v>
      </c>
      <c r="M467" s="9">
        <f>IF(IF(SelectedScope="All India",TRUE,'RAW_AR_CONTENT'!$B466=SelectedScope),'RAW_AR_CONTENT'!M466,"")</f>
        <v>0</v>
      </c>
      <c r="N467" s="9">
        <f>IF(IF(SelectedScope="All India",TRUE,'RAW_AR_CONTENT'!$B466=SelectedScope),'RAW_AR_CONTENT'!N466,"")</f>
        <v>0</v>
      </c>
      <c r="O467" s="9">
        <f>IF(IF(SelectedScope="All India",TRUE,'RAW_AR_CONTENT'!$B466=SelectedScope),'RAW_AR_CONTENT'!O466,"")</f>
        <v>0</v>
      </c>
      <c r="P467" s="9">
        <f>IF(IF(SelectedScope="All India",TRUE,'RAW_AR_CONTENT'!$B466=SelectedScope),'RAW_AR_CONTENT'!P466,"")</f>
        <v>0</v>
      </c>
      <c r="Q467" s="9">
        <f>IF(IF(SelectedScope="All India",TRUE,'RAW_AR_CONTENT'!$B466=SelectedScope),'RAW_AR_CONTENT'!Q466,"")</f>
        <v>0</v>
      </c>
      <c r="R467" s="9">
        <f>IF(IF(SelectedScope="All India",TRUE,'RAW_AR_CONTENT'!$B466=SelectedScope),'RAW_AR_CONTENT'!R466,"")</f>
        <v>0</v>
      </c>
    </row>
    <row r="468" spans="1:18" ht="15" customHeight="1" x14ac:dyDescent="0.3">
      <c r="A468" s="12">
        <f>IF(IF(SelectedScope="All India",TRUE,'RAW_AR_CONTENT'!$B467=SelectedScope),'RAW_AR_CONTENT'!A467,"")</f>
        <v>464</v>
      </c>
      <c r="B468" s="12" t="str">
        <f>IF(IF(SelectedScope="All India",TRUE,'RAW_AR_CONTENT'!$B467=SelectedScope),'RAW_AR_CONTENT'!B467,"")</f>
        <v>Tamil Nadu</v>
      </c>
      <c r="C468" s="12" t="str">
        <f>IF(IF(SelectedScope="All India",TRUE,'RAW_AR_CONTENT'!$B467=SelectedScope),'RAW_AR_CONTENT'!C467,"")</f>
        <v>Environmental Science</v>
      </c>
      <c r="D468" s="12" t="str">
        <f>IF(IF(SelectedScope="All India",TRUE,'RAW_AR_CONTENT'!$B467=SelectedScope),'RAW_AR_CONTENT'!D467,"")</f>
        <v>Class 6</v>
      </c>
      <c r="E468" s="12" t="str">
        <f>IF(IF(SelectedScope="All India",TRUE,'RAW_AR_CONTENT'!$B467=SelectedScope),'RAW_AR_CONTENT'!E467,"")</f>
        <v>Food Chain</v>
      </c>
      <c r="F468" s="12" t="str">
        <f>IF(IF(SelectedScope="All India",TRUE,'RAW_AR_CONTENT'!$B467=SelectedScope),'RAW_AR_CONTENT'!F467,"")</f>
        <v>Animated</v>
      </c>
      <c r="G468" s="12" t="str">
        <f>IF(IF(SelectedScope="All India",TRUE,'RAW_AR_CONTENT'!$B467=SelectedScope),'RAW_AR_CONTENT'!G467,"")</f>
        <v>Active</v>
      </c>
      <c r="H468" s="12">
        <f>IF(IF(SelectedScope="All India",TRUE,'RAW_AR_CONTENT'!$B467=SelectedScope),'RAW_AR_CONTENT'!H467,"")</f>
        <v>0</v>
      </c>
      <c r="I468" s="12">
        <f>IF(IF(SelectedScope="All India",TRUE,'RAW_AR_CONTENT'!$B467=SelectedScope),'RAW_AR_CONTENT'!I467,"")</f>
        <v>0</v>
      </c>
      <c r="J468" s="12">
        <f>IF(IF(SelectedScope="All India",TRUE,'RAW_AR_CONTENT'!$B467=SelectedScope),'RAW_AR_CONTENT'!J467,"")</f>
        <v>0</v>
      </c>
      <c r="K468" s="12">
        <f>IF(IF(SelectedScope="All India",TRUE,'RAW_AR_CONTENT'!$B467=SelectedScope),'RAW_AR_CONTENT'!K467,"")</f>
        <v>0</v>
      </c>
      <c r="L468" s="12">
        <f>IF(IF(SelectedScope="All India",TRUE,'RAW_AR_CONTENT'!$B467=SelectedScope),'RAW_AR_CONTENT'!L467,"")</f>
        <v>0</v>
      </c>
      <c r="M468" s="12">
        <f>IF(IF(SelectedScope="All India",TRUE,'RAW_AR_CONTENT'!$B467=SelectedScope),'RAW_AR_CONTENT'!M467,"")</f>
        <v>0</v>
      </c>
      <c r="N468" s="12">
        <f>IF(IF(SelectedScope="All India",TRUE,'RAW_AR_CONTENT'!$B467=SelectedScope),'RAW_AR_CONTENT'!N467,"")</f>
        <v>0</v>
      </c>
      <c r="O468" s="12">
        <f>IF(IF(SelectedScope="All India",TRUE,'RAW_AR_CONTENT'!$B467=SelectedScope),'RAW_AR_CONTENT'!O467,"")</f>
        <v>0</v>
      </c>
      <c r="P468" s="12">
        <f>IF(IF(SelectedScope="All India",TRUE,'RAW_AR_CONTENT'!$B467=SelectedScope),'RAW_AR_CONTENT'!P467,"")</f>
        <v>0</v>
      </c>
      <c r="Q468" s="12">
        <f>IF(IF(SelectedScope="All India",TRUE,'RAW_AR_CONTENT'!$B467=SelectedScope),'RAW_AR_CONTENT'!Q467,"")</f>
        <v>0</v>
      </c>
      <c r="R468" s="12">
        <f>IF(IF(SelectedScope="All India",TRUE,'RAW_AR_CONTENT'!$B467=SelectedScope),'RAW_AR_CONTENT'!R467,"")</f>
        <v>0</v>
      </c>
    </row>
    <row r="469" spans="1:18" ht="15" customHeight="1" x14ac:dyDescent="0.3">
      <c r="A469" s="9">
        <f>IF(IF(SelectedScope="All India",TRUE,'RAW_AR_CONTENT'!$B468=SelectedScope),'RAW_AR_CONTENT'!A468,"")</f>
        <v>465</v>
      </c>
      <c r="B469" s="9" t="str">
        <f>IF(IF(SelectedScope="All India",TRUE,'RAW_AR_CONTENT'!$B468=SelectedScope),'RAW_AR_CONTENT'!B468,"")</f>
        <v>Tamil Nadu</v>
      </c>
      <c r="C469" s="9" t="str">
        <f>IF(IF(SelectedScope="All India",TRUE,'RAW_AR_CONTENT'!$B468=SelectedScope),'RAW_AR_CONTENT'!C468,"")</f>
        <v>Mathematics</v>
      </c>
      <c r="D469" s="9" t="str">
        <f>IF(IF(SelectedScope="All India",TRUE,'RAW_AR_CONTENT'!$B468=SelectedScope),'RAW_AR_CONTENT'!D468,"")</f>
        <v>Class 10</v>
      </c>
      <c r="E469" s="9" t="str">
        <f>IF(IF(SelectedScope="All India",TRUE,'RAW_AR_CONTENT'!$B468=SelectedScope),'RAW_AR_CONTENT'!E468,"")</f>
        <v>Quadratic Equations</v>
      </c>
      <c r="F469" s="9" t="str">
        <f>IF(IF(SelectedScope="All India",TRUE,'RAW_AR_CONTENT'!$B468=SelectedScope),'RAW_AR_CONTENT'!F468,"")</f>
        <v>Animated</v>
      </c>
      <c r="G469" s="9" t="str">
        <f>IF(IF(SelectedScope="All India",TRUE,'RAW_AR_CONTENT'!$B468=SelectedScope),'RAW_AR_CONTENT'!G468,"")</f>
        <v>Active</v>
      </c>
      <c r="H469" s="9">
        <f>IF(IF(SelectedScope="All India",TRUE,'RAW_AR_CONTENT'!$B468=SelectedScope),'RAW_AR_CONTENT'!H468,"")</f>
        <v>0</v>
      </c>
      <c r="I469" s="9">
        <f>IF(IF(SelectedScope="All India",TRUE,'RAW_AR_CONTENT'!$B468=SelectedScope),'RAW_AR_CONTENT'!I468,"")</f>
        <v>0</v>
      </c>
      <c r="J469" s="9">
        <f>IF(IF(SelectedScope="All India",TRUE,'RAW_AR_CONTENT'!$B468=SelectedScope),'RAW_AR_CONTENT'!J468,"")</f>
        <v>0</v>
      </c>
      <c r="K469" s="9">
        <f>IF(IF(SelectedScope="All India",TRUE,'RAW_AR_CONTENT'!$B468=SelectedScope),'RAW_AR_CONTENT'!K468,"")</f>
        <v>0</v>
      </c>
      <c r="L469" s="9">
        <f>IF(IF(SelectedScope="All India",TRUE,'RAW_AR_CONTENT'!$B468=SelectedScope),'RAW_AR_CONTENT'!L468,"")</f>
        <v>0</v>
      </c>
      <c r="M469" s="9">
        <f>IF(IF(SelectedScope="All India",TRUE,'RAW_AR_CONTENT'!$B468=SelectedScope),'RAW_AR_CONTENT'!M468,"")</f>
        <v>0</v>
      </c>
      <c r="N469" s="9">
        <f>IF(IF(SelectedScope="All India",TRUE,'RAW_AR_CONTENT'!$B468=SelectedScope),'RAW_AR_CONTENT'!N468,"")</f>
        <v>0</v>
      </c>
      <c r="O469" s="9">
        <f>IF(IF(SelectedScope="All India",TRUE,'RAW_AR_CONTENT'!$B468=SelectedScope),'RAW_AR_CONTENT'!O468,"")</f>
        <v>0</v>
      </c>
      <c r="P469" s="9">
        <f>IF(IF(SelectedScope="All India",TRUE,'RAW_AR_CONTENT'!$B468=SelectedScope),'RAW_AR_CONTENT'!P468,"")</f>
        <v>0</v>
      </c>
      <c r="Q469" s="9">
        <f>IF(IF(SelectedScope="All India",TRUE,'RAW_AR_CONTENT'!$B468=SelectedScope),'RAW_AR_CONTENT'!Q468,"")</f>
        <v>0</v>
      </c>
      <c r="R469" s="9">
        <f>IF(IF(SelectedScope="All India",TRUE,'RAW_AR_CONTENT'!$B468=SelectedScope),'RAW_AR_CONTENT'!R468,"")</f>
        <v>0</v>
      </c>
    </row>
    <row r="470" spans="1:18" ht="15" customHeight="1" x14ac:dyDescent="0.3">
      <c r="A470" s="12">
        <f>IF(IF(SelectedScope="All India",TRUE,'RAW_AR_CONTENT'!$B469=SelectedScope),'RAW_AR_CONTENT'!A469,"")</f>
        <v>466</v>
      </c>
      <c r="B470" s="12" t="str">
        <f>IF(IF(SelectedScope="All India",TRUE,'RAW_AR_CONTENT'!$B469=SelectedScope),'RAW_AR_CONTENT'!B469,"")</f>
        <v>Telangana</v>
      </c>
      <c r="C470" s="12" t="str">
        <f>IF(IF(SelectedScope="All India",TRUE,'RAW_AR_CONTENT'!$B469=SelectedScope),'RAW_AR_CONTENT'!C469,"")</f>
        <v>Science</v>
      </c>
      <c r="D470" s="12" t="str">
        <f>IF(IF(SelectedScope="All India",TRUE,'RAW_AR_CONTENT'!$B469=SelectedScope),'RAW_AR_CONTENT'!D469,"")</f>
        <v>Class 8</v>
      </c>
      <c r="E470" s="12" t="str">
        <f>IF(IF(SelectedScope="All India",TRUE,'RAW_AR_CONTENT'!$B469=SelectedScope),'RAW_AR_CONTENT'!E469,"")</f>
        <v>Solar System 3D</v>
      </c>
      <c r="F470" s="12" t="str">
        <f>IF(IF(SelectedScope="All India",TRUE,'RAW_AR_CONTENT'!$B469=SelectedScope),'RAW_AR_CONTENT'!F469,"")</f>
        <v>Animated</v>
      </c>
      <c r="G470" s="12" t="str">
        <f>IF(IF(SelectedScope="All India",TRUE,'RAW_AR_CONTENT'!$B469=SelectedScope),'RAW_AR_CONTENT'!G469,"")</f>
        <v>Active</v>
      </c>
      <c r="H470" s="12">
        <f>IF(IF(SelectedScope="All India",TRUE,'RAW_AR_CONTENT'!$B469=SelectedScope),'RAW_AR_CONTENT'!H469,"")</f>
        <v>0</v>
      </c>
      <c r="I470" s="12">
        <f>IF(IF(SelectedScope="All India",TRUE,'RAW_AR_CONTENT'!$B469=SelectedScope),'RAW_AR_CONTENT'!I469,"")</f>
        <v>0</v>
      </c>
      <c r="J470" s="12">
        <f>IF(IF(SelectedScope="All India",TRUE,'RAW_AR_CONTENT'!$B469=SelectedScope),'RAW_AR_CONTENT'!J469,"")</f>
        <v>0</v>
      </c>
      <c r="K470" s="12">
        <f>IF(IF(SelectedScope="All India",TRUE,'RAW_AR_CONTENT'!$B469=SelectedScope),'RAW_AR_CONTENT'!K469,"")</f>
        <v>0</v>
      </c>
      <c r="L470" s="12">
        <f>IF(IF(SelectedScope="All India",TRUE,'RAW_AR_CONTENT'!$B469=SelectedScope),'RAW_AR_CONTENT'!L469,"")</f>
        <v>0</v>
      </c>
      <c r="M470" s="12">
        <f>IF(IF(SelectedScope="All India",TRUE,'RAW_AR_CONTENT'!$B469=SelectedScope),'RAW_AR_CONTENT'!M469,"")</f>
        <v>0</v>
      </c>
      <c r="N470" s="12">
        <f>IF(IF(SelectedScope="All India",TRUE,'RAW_AR_CONTENT'!$B469=SelectedScope),'RAW_AR_CONTENT'!N469,"")</f>
        <v>0</v>
      </c>
      <c r="O470" s="12">
        <f>IF(IF(SelectedScope="All India",TRUE,'RAW_AR_CONTENT'!$B469=SelectedScope),'RAW_AR_CONTENT'!O469,"")</f>
        <v>0</v>
      </c>
      <c r="P470" s="12">
        <f>IF(IF(SelectedScope="All India",TRUE,'RAW_AR_CONTENT'!$B469=SelectedScope),'RAW_AR_CONTENT'!P469,"")</f>
        <v>0</v>
      </c>
      <c r="Q470" s="12">
        <f>IF(IF(SelectedScope="All India",TRUE,'RAW_AR_CONTENT'!$B469=SelectedScope),'RAW_AR_CONTENT'!Q469,"")</f>
        <v>0</v>
      </c>
      <c r="R470" s="12">
        <f>IF(IF(SelectedScope="All India",TRUE,'RAW_AR_CONTENT'!$B469=SelectedScope),'RAW_AR_CONTENT'!R469,"")</f>
        <v>0</v>
      </c>
    </row>
    <row r="471" spans="1:18" ht="15" customHeight="1" x14ac:dyDescent="0.3">
      <c r="A471" s="9">
        <f>IF(IF(SelectedScope="All India",TRUE,'RAW_AR_CONTENT'!$B470=SelectedScope),'RAW_AR_CONTENT'!A470,"")</f>
        <v>467</v>
      </c>
      <c r="B471" s="9" t="str">
        <f>IF(IF(SelectedScope="All India",TRUE,'RAW_AR_CONTENT'!$B470=SelectedScope),'RAW_AR_CONTENT'!B470,"")</f>
        <v>Telangana</v>
      </c>
      <c r="C471" s="9" t="str">
        <f>IF(IF(SelectedScope="All India",TRUE,'RAW_AR_CONTENT'!$B470=SelectedScope),'RAW_AR_CONTENT'!C470,"")</f>
        <v>Biology</v>
      </c>
      <c r="D471" s="9" t="str">
        <f>IF(IF(SelectedScope="All India",TRUE,'RAW_AR_CONTENT'!$B470=SelectedScope),'RAW_AR_CONTENT'!D470,"")</f>
        <v>Class 9</v>
      </c>
      <c r="E471" s="9" t="str">
        <f>IF(IF(SelectedScope="All India",TRUE,'RAW_AR_CONTENT'!$B470=SelectedScope),'RAW_AR_CONTENT'!E470,"")</f>
        <v>Cell Division</v>
      </c>
      <c r="F471" s="9" t="str">
        <f>IF(IF(SelectedScope="All India",TRUE,'RAW_AR_CONTENT'!$B470=SelectedScope),'RAW_AR_CONTENT'!F470,"")</f>
        <v>Interactive</v>
      </c>
      <c r="G471" s="9" t="str">
        <f>IF(IF(SelectedScope="All India",TRUE,'RAW_AR_CONTENT'!$B470=SelectedScope),'RAW_AR_CONTENT'!G470,"")</f>
        <v>Active</v>
      </c>
      <c r="H471" s="9">
        <f>IF(IF(SelectedScope="All India",TRUE,'RAW_AR_CONTENT'!$B470=SelectedScope),'RAW_AR_CONTENT'!H470,"")</f>
        <v>0</v>
      </c>
      <c r="I471" s="9">
        <f>IF(IF(SelectedScope="All India",TRUE,'RAW_AR_CONTENT'!$B470=SelectedScope),'RAW_AR_CONTENT'!I470,"")</f>
        <v>0</v>
      </c>
      <c r="J471" s="9">
        <f>IF(IF(SelectedScope="All India",TRUE,'RAW_AR_CONTENT'!$B470=SelectedScope),'RAW_AR_CONTENT'!J470,"")</f>
        <v>0</v>
      </c>
      <c r="K471" s="9">
        <f>IF(IF(SelectedScope="All India",TRUE,'RAW_AR_CONTENT'!$B470=SelectedScope),'RAW_AR_CONTENT'!K470,"")</f>
        <v>0</v>
      </c>
      <c r="L471" s="9">
        <f>IF(IF(SelectedScope="All India",TRUE,'RAW_AR_CONTENT'!$B470=SelectedScope),'RAW_AR_CONTENT'!L470,"")</f>
        <v>0</v>
      </c>
      <c r="M471" s="9">
        <f>IF(IF(SelectedScope="All India",TRUE,'RAW_AR_CONTENT'!$B470=SelectedScope),'RAW_AR_CONTENT'!M470,"")</f>
        <v>0</v>
      </c>
      <c r="N471" s="9">
        <f>IF(IF(SelectedScope="All India",TRUE,'RAW_AR_CONTENT'!$B470=SelectedScope),'RAW_AR_CONTENT'!N470,"")</f>
        <v>0</v>
      </c>
      <c r="O471" s="9">
        <f>IF(IF(SelectedScope="All India",TRUE,'RAW_AR_CONTENT'!$B470=SelectedScope),'RAW_AR_CONTENT'!O470,"")</f>
        <v>0</v>
      </c>
      <c r="P471" s="9">
        <f>IF(IF(SelectedScope="All India",TRUE,'RAW_AR_CONTENT'!$B470=SelectedScope),'RAW_AR_CONTENT'!P470,"")</f>
        <v>0</v>
      </c>
      <c r="Q471" s="9">
        <f>IF(IF(SelectedScope="All India",TRUE,'RAW_AR_CONTENT'!$B470=SelectedScope),'RAW_AR_CONTENT'!Q470,"")</f>
        <v>0</v>
      </c>
      <c r="R471" s="9">
        <f>IF(IF(SelectedScope="All India",TRUE,'RAW_AR_CONTENT'!$B470=SelectedScope),'RAW_AR_CONTENT'!R470,"")</f>
        <v>0</v>
      </c>
    </row>
    <row r="472" spans="1:18" ht="15" customHeight="1" x14ac:dyDescent="0.3">
      <c r="A472" s="12">
        <f>IF(IF(SelectedScope="All India",TRUE,'RAW_AR_CONTENT'!$B471=SelectedScope),'RAW_AR_CONTENT'!A471,"")</f>
        <v>468</v>
      </c>
      <c r="B472" s="12" t="str">
        <f>IF(IF(SelectedScope="All India",TRUE,'RAW_AR_CONTENT'!$B471=SelectedScope),'RAW_AR_CONTENT'!B471,"")</f>
        <v>Telangana</v>
      </c>
      <c r="C472" s="12" t="str">
        <f>IF(IF(SelectedScope="All India",TRUE,'RAW_AR_CONTENT'!$B471=SelectedScope),'RAW_AR_CONTENT'!C471,"")</f>
        <v>Chemistry</v>
      </c>
      <c r="D472" s="12" t="str">
        <f>IF(IF(SelectedScope="All India",TRUE,'RAW_AR_CONTENT'!$B471=SelectedScope),'RAW_AR_CONTENT'!D471,"")</f>
        <v>Class 9</v>
      </c>
      <c r="E472" s="12" t="str">
        <f>IF(IF(SelectedScope="All India",TRUE,'RAW_AR_CONTENT'!$B471=SelectedScope),'RAW_AR_CONTENT'!E471,"")</f>
        <v>Atoms and Molecules</v>
      </c>
      <c r="F472" s="12" t="str">
        <f>IF(IF(SelectedScope="All India",TRUE,'RAW_AR_CONTENT'!$B471=SelectedScope),'RAW_AR_CONTENT'!F471,"")</f>
        <v>Animated</v>
      </c>
      <c r="G472" s="12" t="str">
        <f>IF(IF(SelectedScope="All India",TRUE,'RAW_AR_CONTENT'!$B471=SelectedScope),'RAW_AR_CONTENT'!G471,"")</f>
        <v>Active</v>
      </c>
      <c r="H472" s="12">
        <f>IF(IF(SelectedScope="All India",TRUE,'RAW_AR_CONTENT'!$B471=SelectedScope),'RAW_AR_CONTENT'!H471,"")</f>
        <v>0</v>
      </c>
      <c r="I472" s="12">
        <f>IF(IF(SelectedScope="All India",TRUE,'RAW_AR_CONTENT'!$B471=SelectedScope),'RAW_AR_CONTENT'!I471,"")</f>
        <v>0</v>
      </c>
      <c r="J472" s="12">
        <f>IF(IF(SelectedScope="All India",TRUE,'RAW_AR_CONTENT'!$B471=SelectedScope),'RAW_AR_CONTENT'!J471,"")</f>
        <v>0</v>
      </c>
      <c r="K472" s="12">
        <f>IF(IF(SelectedScope="All India",TRUE,'RAW_AR_CONTENT'!$B471=SelectedScope),'RAW_AR_CONTENT'!K471,"")</f>
        <v>0</v>
      </c>
      <c r="L472" s="12">
        <f>IF(IF(SelectedScope="All India",TRUE,'RAW_AR_CONTENT'!$B471=SelectedScope),'RAW_AR_CONTENT'!L471,"")</f>
        <v>0</v>
      </c>
      <c r="M472" s="12">
        <f>IF(IF(SelectedScope="All India",TRUE,'RAW_AR_CONTENT'!$B471=SelectedScope),'RAW_AR_CONTENT'!M471,"")</f>
        <v>0</v>
      </c>
      <c r="N472" s="12">
        <f>IF(IF(SelectedScope="All India",TRUE,'RAW_AR_CONTENT'!$B471=SelectedScope),'RAW_AR_CONTENT'!N471,"")</f>
        <v>0</v>
      </c>
      <c r="O472" s="12">
        <f>IF(IF(SelectedScope="All India",TRUE,'RAW_AR_CONTENT'!$B471=SelectedScope),'RAW_AR_CONTENT'!O471,"")</f>
        <v>0</v>
      </c>
      <c r="P472" s="12">
        <f>IF(IF(SelectedScope="All India",TRUE,'RAW_AR_CONTENT'!$B471=SelectedScope),'RAW_AR_CONTENT'!P471,"")</f>
        <v>0</v>
      </c>
      <c r="Q472" s="12">
        <f>IF(IF(SelectedScope="All India",TRUE,'RAW_AR_CONTENT'!$B471=SelectedScope),'RAW_AR_CONTENT'!Q471,"")</f>
        <v>0</v>
      </c>
      <c r="R472" s="12">
        <f>IF(IF(SelectedScope="All India",TRUE,'RAW_AR_CONTENT'!$B471=SelectedScope),'RAW_AR_CONTENT'!R471,"")</f>
        <v>0</v>
      </c>
    </row>
    <row r="473" spans="1:18" ht="15" customHeight="1" x14ac:dyDescent="0.3">
      <c r="A473" s="9">
        <f>IF(IF(SelectedScope="All India",TRUE,'RAW_AR_CONTENT'!$B472=SelectedScope),'RAW_AR_CONTENT'!A472,"")</f>
        <v>469</v>
      </c>
      <c r="B473" s="9" t="str">
        <f>IF(IF(SelectedScope="All India",TRUE,'RAW_AR_CONTENT'!$B472=SelectedScope),'RAW_AR_CONTENT'!B472,"")</f>
        <v>Telangana</v>
      </c>
      <c r="C473" s="9" t="str">
        <f>IF(IF(SelectedScope="All India",TRUE,'RAW_AR_CONTENT'!$B472=SelectedScope),'RAW_AR_CONTENT'!C472,"")</f>
        <v>Biology</v>
      </c>
      <c r="D473" s="9" t="str">
        <f>IF(IF(SelectedScope="All India",TRUE,'RAW_AR_CONTENT'!$B472=SelectedScope),'RAW_AR_CONTENT'!D472,"")</f>
        <v>Class 7</v>
      </c>
      <c r="E473" s="9" t="str">
        <f>IF(IF(SelectedScope="All India",TRUE,'RAW_AR_CONTENT'!$B472=SelectedScope),'RAW_AR_CONTENT'!E472,"")</f>
        <v>Photosynthesis</v>
      </c>
      <c r="F473" s="9" t="str">
        <f>IF(IF(SelectedScope="All India",TRUE,'RAW_AR_CONTENT'!$B472=SelectedScope),'RAW_AR_CONTENT'!F472,"")</f>
        <v>Basic 3D</v>
      </c>
      <c r="G473" s="9" t="str">
        <f>IF(IF(SelectedScope="All India",TRUE,'RAW_AR_CONTENT'!$B472=SelectedScope),'RAW_AR_CONTENT'!G472,"")</f>
        <v>Active</v>
      </c>
      <c r="H473" s="9">
        <f>IF(IF(SelectedScope="All India",TRUE,'RAW_AR_CONTENT'!$B472=SelectedScope),'RAW_AR_CONTENT'!H472,"")</f>
        <v>0</v>
      </c>
      <c r="I473" s="9">
        <f>IF(IF(SelectedScope="All India",TRUE,'RAW_AR_CONTENT'!$B472=SelectedScope),'RAW_AR_CONTENT'!I472,"")</f>
        <v>0</v>
      </c>
      <c r="J473" s="9">
        <f>IF(IF(SelectedScope="All India",TRUE,'RAW_AR_CONTENT'!$B472=SelectedScope),'RAW_AR_CONTENT'!J472,"")</f>
        <v>0</v>
      </c>
      <c r="K473" s="9">
        <f>IF(IF(SelectedScope="All India",TRUE,'RAW_AR_CONTENT'!$B472=SelectedScope),'RAW_AR_CONTENT'!K472,"")</f>
        <v>0</v>
      </c>
      <c r="L473" s="9">
        <f>IF(IF(SelectedScope="All India",TRUE,'RAW_AR_CONTENT'!$B472=SelectedScope),'RAW_AR_CONTENT'!L472,"")</f>
        <v>0</v>
      </c>
      <c r="M473" s="9">
        <f>IF(IF(SelectedScope="All India",TRUE,'RAW_AR_CONTENT'!$B472=SelectedScope),'RAW_AR_CONTENT'!M472,"")</f>
        <v>0</v>
      </c>
      <c r="N473" s="9">
        <f>IF(IF(SelectedScope="All India",TRUE,'RAW_AR_CONTENT'!$B472=SelectedScope),'RAW_AR_CONTENT'!N472,"")</f>
        <v>0</v>
      </c>
      <c r="O473" s="9">
        <f>IF(IF(SelectedScope="All India",TRUE,'RAW_AR_CONTENT'!$B472=SelectedScope),'RAW_AR_CONTENT'!O472,"")</f>
        <v>0</v>
      </c>
      <c r="P473" s="9">
        <f>IF(IF(SelectedScope="All India",TRUE,'RAW_AR_CONTENT'!$B472=SelectedScope),'RAW_AR_CONTENT'!P472,"")</f>
        <v>0</v>
      </c>
      <c r="Q473" s="9">
        <f>IF(IF(SelectedScope="All India",TRUE,'RAW_AR_CONTENT'!$B472=SelectedScope),'RAW_AR_CONTENT'!Q472,"")</f>
        <v>0</v>
      </c>
      <c r="R473" s="9">
        <f>IF(IF(SelectedScope="All India",TRUE,'RAW_AR_CONTENT'!$B472=SelectedScope),'RAW_AR_CONTENT'!R472,"")</f>
        <v>0</v>
      </c>
    </row>
    <row r="474" spans="1:18" ht="15" customHeight="1" x14ac:dyDescent="0.3">
      <c r="A474" s="12">
        <f>IF(IF(SelectedScope="All India",TRUE,'RAW_AR_CONTENT'!$B473=SelectedScope),'RAW_AR_CONTENT'!A473,"")</f>
        <v>470</v>
      </c>
      <c r="B474" s="12" t="str">
        <f>IF(IF(SelectedScope="All India",TRUE,'RAW_AR_CONTENT'!$B473=SelectedScope),'RAW_AR_CONTENT'!B473,"")</f>
        <v>Telangana</v>
      </c>
      <c r="C474" s="12" t="str">
        <f>IF(IF(SelectedScope="All India",TRUE,'RAW_AR_CONTENT'!$B473=SelectedScope),'RAW_AR_CONTENT'!C473,"")</f>
        <v>Mathematics</v>
      </c>
      <c r="D474" s="12" t="str">
        <f>IF(IF(SelectedScope="All India",TRUE,'RAW_AR_CONTENT'!$B473=SelectedScope),'RAW_AR_CONTENT'!D473,"")</f>
        <v>Class 7</v>
      </c>
      <c r="E474" s="12" t="str">
        <f>IF(IF(SelectedScope="All India",TRUE,'RAW_AR_CONTENT'!$B473=SelectedScope),'RAW_AR_CONTENT'!E473,"")</f>
        <v>Fractions 3D Model</v>
      </c>
      <c r="F474" s="12" t="str">
        <f>IF(IF(SelectedScope="All India",TRUE,'RAW_AR_CONTENT'!$B473=SelectedScope),'RAW_AR_CONTENT'!F473,"")</f>
        <v>Interactive</v>
      </c>
      <c r="G474" s="12" t="str">
        <f>IF(IF(SelectedScope="All India",TRUE,'RAW_AR_CONTENT'!$B473=SelectedScope),'RAW_AR_CONTENT'!G473,"")</f>
        <v>Active</v>
      </c>
      <c r="H474" s="12">
        <f>IF(IF(SelectedScope="All India",TRUE,'RAW_AR_CONTENT'!$B473=SelectedScope),'RAW_AR_CONTENT'!H473,"")</f>
        <v>0</v>
      </c>
      <c r="I474" s="12">
        <f>IF(IF(SelectedScope="All India",TRUE,'RAW_AR_CONTENT'!$B473=SelectedScope),'RAW_AR_CONTENT'!I473,"")</f>
        <v>0</v>
      </c>
      <c r="J474" s="12">
        <f>IF(IF(SelectedScope="All India",TRUE,'RAW_AR_CONTENT'!$B473=SelectedScope),'RAW_AR_CONTENT'!J473,"")</f>
        <v>0</v>
      </c>
      <c r="K474" s="12">
        <f>IF(IF(SelectedScope="All India",TRUE,'RAW_AR_CONTENT'!$B473=SelectedScope),'RAW_AR_CONTENT'!K473,"")</f>
        <v>0</v>
      </c>
      <c r="L474" s="12">
        <f>IF(IF(SelectedScope="All India",TRUE,'RAW_AR_CONTENT'!$B473=SelectedScope),'RAW_AR_CONTENT'!L473,"")</f>
        <v>0</v>
      </c>
      <c r="M474" s="12">
        <f>IF(IF(SelectedScope="All India",TRUE,'RAW_AR_CONTENT'!$B473=SelectedScope),'RAW_AR_CONTENT'!M473,"")</f>
        <v>0</v>
      </c>
      <c r="N474" s="12">
        <f>IF(IF(SelectedScope="All India",TRUE,'RAW_AR_CONTENT'!$B473=SelectedScope),'RAW_AR_CONTENT'!N473,"")</f>
        <v>0</v>
      </c>
      <c r="O474" s="12">
        <f>IF(IF(SelectedScope="All India",TRUE,'RAW_AR_CONTENT'!$B473=SelectedScope),'RAW_AR_CONTENT'!O473,"")</f>
        <v>0</v>
      </c>
      <c r="P474" s="12">
        <f>IF(IF(SelectedScope="All India",TRUE,'RAW_AR_CONTENT'!$B473=SelectedScope),'RAW_AR_CONTENT'!P473,"")</f>
        <v>0</v>
      </c>
      <c r="Q474" s="12">
        <f>IF(IF(SelectedScope="All India",TRUE,'RAW_AR_CONTENT'!$B473=SelectedScope),'RAW_AR_CONTENT'!Q473,"")</f>
        <v>0</v>
      </c>
      <c r="R474" s="12">
        <f>IF(IF(SelectedScope="All India",TRUE,'RAW_AR_CONTENT'!$B473=SelectedScope),'RAW_AR_CONTENT'!R473,"")</f>
        <v>0</v>
      </c>
    </row>
    <row r="475" spans="1:18" ht="15" customHeight="1" x14ac:dyDescent="0.3">
      <c r="A475" s="9">
        <f>IF(IF(SelectedScope="All India",TRUE,'RAW_AR_CONTENT'!$B474=SelectedScope),'RAW_AR_CONTENT'!A474,"")</f>
        <v>471</v>
      </c>
      <c r="B475" s="9" t="str">
        <f>IF(IF(SelectedScope="All India",TRUE,'RAW_AR_CONTENT'!$B474=SelectedScope),'RAW_AR_CONTENT'!B474,"")</f>
        <v>Telangana</v>
      </c>
      <c r="C475" s="9" t="str">
        <f>IF(IF(SelectedScope="All India",TRUE,'RAW_AR_CONTENT'!$B474=SelectedScope),'RAW_AR_CONTENT'!C474,"")</f>
        <v>Mathematics</v>
      </c>
      <c r="D475" s="9" t="str">
        <f>IF(IF(SelectedScope="All India",TRUE,'RAW_AR_CONTENT'!$B474=SelectedScope),'RAW_AR_CONTENT'!D474,"")</f>
        <v>Class 10</v>
      </c>
      <c r="E475" s="9" t="str">
        <f>IF(IF(SelectedScope="All India",TRUE,'RAW_AR_CONTENT'!$B474=SelectedScope),'RAW_AR_CONTENT'!E474,"")</f>
        <v>Trigonometry 3D</v>
      </c>
      <c r="F475" s="9" t="str">
        <f>IF(IF(SelectedScope="All India",TRUE,'RAW_AR_CONTENT'!$B474=SelectedScope),'RAW_AR_CONTENT'!F474,"")</f>
        <v>Animated</v>
      </c>
      <c r="G475" s="9" t="str">
        <f>IF(IF(SelectedScope="All India",TRUE,'RAW_AR_CONTENT'!$B474=SelectedScope),'RAW_AR_CONTENT'!G474,"")</f>
        <v>Active</v>
      </c>
      <c r="H475" s="9">
        <f>IF(IF(SelectedScope="All India",TRUE,'RAW_AR_CONTENT'!$B474=SelectedScope),'RAW_AR_CONTENT'!H474,"")</f>
        <v>0</v>
      </c>
      <c r="I475" s="9">
        <f>IF(IF(SelectedScope="All India",TRUE,'RAW_AR_CONTENT'!$B474=SelectedScope),'RAW_AR_CONTENT'!I474,"")</f>
        <v>0</v>
      </c>
      <c r="J475" s="9">
        <f>IF(IF(SelectedScope="All India",TRUE,'RAW_AR_CONTENT'!$B474=SelectedScope),'RAW_AR_CONTENT'!J474,"")</f>
        <v>0</v>
      </c>
      <c r="K475" s="9">
        <f>IF(IF(SelectedScope="All India",TRUE,'RAW_AR_CONTENT'!$B474=SelectedScope),'RAW_AR_CONTENT'!K474,"")</f>
        <v>0</v>
      </c>
      <c r="L475" s="9">
        <f>IF(IF(SelectedScope="All India",TRUE,'RAW_AR_CONTENT'!$B474=SelectedScope),'RAW_AR_CONTENT'!L474,"")</f>
        <v>0</v>
      </c>
      <c r="M475" s="9">
        <f>IF(IF(SelectedScope="All India",TRUE,'RAW_AR_CONTENT'!$B474=SelectedScope),'RAW_AR_CONTENT'!M474,"")</f>
        <v>0</v>
      </c>
      <c r="N475" s="9">
        <f>IF(IF(SelectedScope="All India",TRUE,'RAW_AR_CONTENT'!$B474=SelectedScope),'RAW_AR_CONTENT'!N474,"")</f>
        <v>0</v>
      </c>
      <c r="O475" s="9">
        <f>IF(IF(SelectedScope="All India",TRUE,'RAW_AR_CONTENT'!$B474=SelectedScope),'RAW_AR_CONTENT'!O474,"")</f>
        <v>0</v>
      </c>
      <c r="P475" s="9">
        <f>IF(IF(SelectedScope="All India",TRUE,'RAW_AR_CONTENT'!$B474=SelectedScope),'RAW_AR_CONTENT'!P474,"")</f>
        <v>0</v>
      </c>
      <c r="Q475" s="9">
        <f>IF(IF(SelectedScope="All India",TRUE,'RAW_AR_CONTENT'!$B474=SelectedScope),'RAW_AR_CONTENT'!Q474,"")</f>
        <v>0</v>
      </c>
      <c r="R475" s="9">
        <f>IF(IF(SelectedScope="All India",TRUE,'RAW_AR_CONTENT'!$B474=SelectedScope),'RAW_AR_CONTENT'!R474,"")</f>
        <v>0</v>
      </c>
    </row>
    <row r="476" spans="1:18" ht="15" customHeight="1" x14ac:dyDescent="0.3">
      <c r="A476" s="12">
        <f>IF(IF(SelectedScope="All India",TRUE,'RAW_AR_CONTENT'!$B475=SelectedScope),'RAW_AR_CONTENT'!A475,"")</f>
        <v>472</v>
      </c>
      <c r="B476" s="12" t="str">
        <f>IF(IF(SelectedScope="All India",TRUE,'RAW_AR_CONTENT'!$B475=SelectedScope),'RAW_AR_CONTENT'!B475,"")</f>
        <v>Telangana</v>
      </c>
      <c r="C476" s="12" t="str">
        <f>IF(IF(SelectedScope="All India",TRUE,'RAW_AR_CONTENT'!$B475=SelectedScope),'RAW_AR_CONTENT'!C475,"")</f>
        <v>History</v>
      </c>
      <c r="D476" s="12" t="str">
        <f>IF(IF(SelectedScope="All India",TRUE,'RAW_AR_CONTENT'!$B475=SelectedScope),'RAW_AR_CONTENT'!D475,"")</f>
        <v>Class 10</v>
      </c>
      <c r="E476" s="12" t="str">
        <f>IF(IF(SelectedScope="All India",TRUE,'RAW_AR_CONTENT'!$B475=SelectedScope),'RAW_AR_CONTENT'!E475,"")</f>
        <v>Mughal Empire AR</v>
      </c>
      <c r="F476" s="12" t="str">
        <f>IF(IF(SelectedScope="All India",TRUE,'RAW_AR_CONTENT'!$B475=SelectedScope),'RAW_AR_CONTENT'!F475,"")</f>
        <v>Basic 3D</v>
      </c>
      <c r="G476" s="12" t="str">
        <f>IF(IF(SelectedScope="All India",TRUE,'RAW_AR_CONTENT'!$B475=SelectedScope),'RAW_AR_CONTENT'!G475,"")</f>
        <v>Active</v>
      </c>
      <c r="H476" s="12">
        <f>IF(IF(SelectedScope="All India",TRUE,'RAW_AR_CONTENT'!$B475=SelectedScope),'RAW_AR_CONTENT'!H475,"")</f>
        <v>0</v>
      </c>
      <c r="I476" s="12">
        <f>IF(IF(SelectedScope="All India",TRUE,'RAW_AR_CONTENT'!$B475=SelectedScope),'RAW_AR_CONTENT'!I475,"")</f>
        <v>0</v>
      </c>
      <c r="J476" s="12">
        <f>IF(IF(SelectedScope="All India",TRUE,'RAW_AR_CONTENT'!$B475=SelectedScope),'RAW_AR_CONTENT'!J475,"")</f>
        <v>0</v>
      </c>
      <c r="K476" s="12">
        <f>IF(IF(SelectedScope="All India",TRUE,'RAW_AR_CONTENT'!$B475=SelectedScope),'RAW_AR_CONTENT'!K475,"")</f>
        <v>0</v>
      </c>
      <c r="L476" s="12">
        <f>IF(IF(SelectedScope="All India",TRUE,'RAW_AR_CONTENT'!$B475=SelectedScope),'RAW_AR_CONTENT'!L475,"")</f>
        <v>0</v>
      </c>
      <c r="M476" s="12">
        <f>IF(IF(SelectedScope="All India",TRUE,'RAW_AR_CONTENT'!$B475=SelectedScope),'RAW_AR_CONTENT'!M475,"")</f>
        <v>0</v>
      </c>
      <c r="N476" s="12">
        <f>IF(IF(SelectedScope="All India",TRUE,'RAW_AR_CONTENT'!$B475=SelectedScope),'RAW_AR_CONTENT'!N475,"")</f>
        <v>0</v>
      </c>
      <c r="O476" s="12">
        <f>IF(IF(SelectedScope="All India",TRUE,'RAW_AR_CONTENT'!$B475=SelectedScope),'RAW_AR_CONTENT'!O475,"")</f>
        <v>0</v>
      </c>
      <c r="P476" s="12">
        <f>IF(IF(SelectedScope="All India",TRUE,'RAW_AR_CONTENT'!$B475=SelectedScope),'RAW_AR_CONTENT'!P475,"")</f>
        <v>0</v>
      </c>
      <c r="Q476" s="12">
        <f>IF(IF(SelectedScope="All India",TRUE,'RAW_AR_CONTENT'!$B475=SelectedScope),'RAW_AR_CONTENT'!Q475,"")</f>
        <v>0</v>
      </c>
      <c r="R476" s="12">
        <f>IF(IF(SelectedScope="All India",TRUE,'RAW_AR_CONTENT'!$B475=SelectedScope),'RAW_AR_CONTENT'!R475,"")</f>
        <v>0</v>
      </c>
    </row>
    <row r="477" spans="1:18" ht="15" customHeight="1" x14ac:dyDescent="0.3">
      <c r="A477" s="9">
        <f>IF(IF(SelectedScope="All India",TRUE,'RAW_AR_CONTENT'!$B476=SelectedScope),'RAW_AR_CONTENT'!A476,"")</f>
        <v>473</v>
      </c>
      <c r="B477" s="9" t="str">
        <f>IF(IF(SelectedScope="All India",TRUE,'RAW_AR_CONTENT'!$B476=SelectedScope),'RAW_AR_CONTENT'!B476,"")</f>
        <v>Telangana</v>
      </c>
      <c r="C477" s="9" t="str">
        <f>IF(IF(SelectedScope="All India",TRUE,'RAW_AR_CONTENT'!$B476=SelectedScope),'RAW_AR_CONTENT'!C476,"")</f>
        <v>Geography</v>
      </c>
      <c r="D477" s="9" t="str">
        <f>IF(IF(SelectedScope="All India",TRUE,'RAW_AR_CONTENT'!$B476=SelectedScope),'RAW_AR_CONTENT'!D476,"")</f>
        <v>Class 6</v>
      </c>
      <c r="E477" s="9" t="str">
        <f>IF(IF(SelectedScope="All India",TRUE,'RAW_AR_CONTENT'!$B476=SelectedScope),'RAW_AR_CONTENT'!E476,"")</f>
        <v>Water Cycle Simulation</v>
      </c>
      <c r="F477" s="9" t="str">
        <f>IF(IF(SelectedScope="All India",TRUE,'RAW_AR_CONTENT'!$B476=SelectedScope),'RAW_AR_CONTENT'!F476,"")</f>
        <v>Animated</v>
      </c>
      <c r="G477" s="9" t="str">
        <f>IF(IF(SelectedScope="All India",TRUE,'RAW_AR_CONTENT'!$B476=SelectedScope),'RAW_AR_CONTENT'!G476,"")</f>
        <v>Active</v>
      </c>
      <c r="H477" s="9">
        <f>IF(IF(SelectedScope="All India",TRUE,'RAW_AR_CONTENT'!$B476=SelectedScope),'RAW_AR_CONTENT'!H476,"")</f>
        <v>0</v>
      </c>
      <c r="I477" s="9">
        <f>IF(IF(SelectedScope="All India",TRUE,'RAW_AR_CONTENT'!$B476=SelectedScope),'RAW_AR_CONTENT'!I476,"")</f>
        <v>0</v>
      </c>
      <c r="J477" s="9">
        <f>IF(IF(SelectedScope="All India",TRUE,'RAW_AR_CONTENT'!$B476=SelectedScope),'RAW_AR_CONTENT'!J476,"")</f>
        <v>0</v>
      </c>
      <c r="K477" s="9">
        <f>IF(IF(SelectedScope="All India",TRUE,'RAW_AR_CONTENT'!$B476=SelectedScope),'RAW_AR_CONTENT'!K476,"")</f>
        <v>0</v>
      </c>
      <c r="L477" s="9">
        <f>IF(IF(SelectedScope="All India",TRUE,'RAW_AR_CONTENT'!$B476=SelectedScope),'RAW_AR_CONTENT'!L476,"")</f>
        <v>0</v>
      </c>
      <c r="M477" s="9">
        <f>IF(IF(SelectedScope="All India",TRUE,'RAW_AR_CONTENT'!$B476=SelectedScope),'RAW_AR_CONTENT'!M476,"")</f>
        <v>0</v>
      </c>
      <c r="N477" s="9">
        <f>IF(IF(SelectedScope="All India",TRUE,'RAW_AR_CONTENT'!$B476=SelectedScope),'RAW_AR_CONTENT'!N476,"")</f>
        <v>0</v>
      </c>
      <c r="O477" s="9">
        <f>IF(IF(SelectedScope="All India",TRUE,'RAW_AR_CONTENT'!$B476=SelectedScope),'RAW_AR_CONTENT'!O476,"")</f>
        <v>0</v>
      </c>
      <c r="P477" s="9">
        <f>IF(IF(SelectedScope="All India",TRUE,'RAW_AR_CONTENT'!$B476=SelectedScope),'RAW_AR_CONTENT'!P476,"")</f>
        <v>0</v>
      </c>
      <c r="Q477" s="9">
        <f>IF(IF(SelectedScope="All India",TRUE,'RAW_AR_CONTENT'!$B476=SelectedScope),'RAW_AR_CONTENT'!Q476,"")</f>
        <v>0</v>
      </c>
      <c r="R477" s="9">
        <f>IF(IF(SelectedScope="All India",TRUE,'RAW_AR_CONTENT'!$B476=SelectedScope),'RAW_AR_CONTENT'!R476,"")</f>
        <v>0</v>
      </c>
    </row>
    <row r="478" spans="1:18" ht="15" customHeight="1" x14ac:dyDescent="0.3">
      <c r="A478" s="12">
        <f>IF(IF(SelectedScope="All India",TRUE,'RAW_AR_CONTENT'!$B477=SelectedScope),'RAW_AR_CONTENT'!A477,"")</f>
        <v>474</v>
      </c>
      <c r="B478" s="12" t="str">
        <f>IF(IF(SelectedScope="All India",TRUE,'RAW_AR_CONTENT'!$B477=SelectedScope),'RAW_AR_CONTENT'!B477,"")</f>
        <v>Telangana</v>
      </c>
      <c r="C478" s="12" t="str">
        <f>IF(IF(SelectedScope="All India",TRUE,'RAW_AR_CONTENT'!$B477=SelectedScope),'RAW_AR_CONTENT'!C477,"")</f>
        <v>Biology</v>
      </c>
      <c r="D478" s="12" t="str">
        <f>IF(IF(SelectedScope="All India",TRUE,'RAW_AR_CONTENT'!$B477=SelectedScope),'RAW_AR_CONTENT'!D477,"")</f>
        <v>Class 11</v>
      </c>
      <c r="E478" s="12" t="str">
        <f>IF(IF(SelectedScope="All India",TRUE,'RAW_AR_CONTENT'!$B477=SelectedScope),'RAW_AR_CONTENT'!E477,"")</f>
        <v>Human Anatomy AR</v>
      </c>
      <c r="F478" s="12" t="str">
        <f>IF(IF(SelectedScope="All India",TRUE,'RAW_AR_CONTENT'!$B477=SelectedScope),'RAW_AR_CONTENT'!F477,"")</f>
        <v>Fully Immersive</v>
      </c>
      <c r="G478" s="12" t="str">
        <f>IF(IF(SelectedScope="All India",TRUE,'RAW_AR_CONTENT'!$B477=SelectedScope),'RAW_AR_CONTENT'!G477,"")</f>
        <v>Active</v>
      </c>
      <c r="H478" s="12">
        <f>IF(IF(SelectedScope="All India",TRUE,'RAW_AR_CONTENT'!$B477=SelectedScope),'RAW_AR_CONTENT'!H477,"")</f>
        <v>0</v>
      </c>
      <c r="I478" s="12">
        <f>IF(IF(SelectedScope="All India",TRUE,'RAW_AR_CONTENT'!$B477=SelectedScope),'RAW_AR_CONTENT'!I477,"")</f>
        <v>0</v>
      </c>
      <c r="J478" s="12">
        <f>IF(IF(SelectedScope="All India",TRUE,'RAW_AR_CONTENT'!$B477=SelectedScope),'RAW_AR_CONTENT'!J477,"")</f>
        <v>0</v>
      </c>
      <c r="K478" s="12">
        <f>IF(IF(SelectedScope="All India",TRUE,'RAW_AR_CONTENT'!$B477=SelectedScope),'RAW_AR_CONTENT'!K477,"")</f>
        <v>0</v>
      </c>
      <c r="L478" s="12">
        <f>IF(IF(SelectedScope="All India",TRUE,'RAW_AR_CONTENT'!$B477=SelectedScope),'RAW_AR_CONTENT'!L477,"")</f>
        <v>0</v>
      </c>
      <c r="M478" s="12">
        <f>IF(IF(SelectedScope="All India",TRUE,'RAW_AR_CONTENT'!$B477=SelectedScope),'RAW_AR_CONTENT'!M477,"")</f>
        <v>0</v>
      </c>
      <c r="N478" s="12">
        <f>IF(IF(SelectedScope="All India",TRUE,'RAW_AR_CONTENT'!$B477=SelectedScope),'RAW_AR_CONTENT'!N477,"")</f>
        <v>0</v>
      </c>
      <c r="O478" s="12">
        <f>IF(IF(SelectedScope="All India",TRUE,'RAW_AR_CONTENT'!$B477=SelectedScope),'RAW_AR_CONTENT'!O477,"")</f>
        <v>0</v>
      </c>
      <c r="P478" s="12">
        <f>IF(IF(SelectedScope="All India",TRUE,'RAW_AR_CONTENT'!$B477=SelectedScope),'RAW_AR_CONTENT'!P477,"")</f>
        <v>0</v>
      </c>
      <c r="Q478" s="12">
        <f>IF(IF(SelectedScope="All India",TRUE,'RAW_AR_CONTENT'!$B477=SelectedScope),'RAW_AR_CONTENT'!Q477,"")</f>
        <v>0</v>
      </c>
      <c r="R478" s="12">
        <f>IF(IF(SelectedScope="All India",TRUE,'RAW_AR_CONTENT'!$B477=SelectedScope),'RAW_AR_CONTENT'!R477,"")</f>
        <v>0</v>
      </c>
    </row>
    <row r="479" spans="1:18" ht="15" customHeight="1" x14ac:dyDescent="0.3">
      <c r="A479" s="9">
        <f>IF(IF(SelectedScope="All India",TRUE,'RAW_AR_CONTENT'!$B478=SelectedScope),'RAW_AR_CONTENT'!A478,"")</f>
        <v>475</v>
      </c>
      <c r="B479" s="9" t="str">
        <f>IF(IF(SelectedScope="All India",TRUE,'RAW_AR_CONTENT'!$B478=SelectedScope),'RAW_AR_CONTENT'!B478,"")</f>
        <v>Telangana</v>
      </c>
      <c r="C479" s="9" t="str">
        <f>IF(IF(SelectedScope="All India",TRUE,'RAW_AR_CONTENT'!$B478=SelectedScope),'RAW_AR_CONTENT'!C478,"")</f>
        <v>Physics</v>
      </c>
      <c r="D479" s="9" t="str">
        <f>IF(IF(SelectedScope="All India",TRUE,'RAW_AR_CONTENT'!$B478=SelectedScope),'RAW_AR_CONTENT'!D478,"")</f>
        <v>Class 9</v>
      </c>
      <c r="E479" s="9" t="str">
        <f>IF(IF(SelectedScope="All India",TRUE,'RAW_AR_CONTENT'!$B478=SelectedScope),'RAW_AR_CONTENT'!E478,"")</f>
        <v>Laws of Motion</v>
      </c>
      <c r="F479" s="9" t="str">
        <f>IF(IF(SelectedScope="All India",TRUE,'RAW_AR_CONTENT'!$B478=SelectedScope),'RAW_AR_CONTENT'!F478,"")</f>
        <v>Interactive</v>
      </c>
      <c r="G479" s="9" t="str">
        <f>IF(IF(SelectedScope="All India",TRUE,'RAW_AR_CONTENT'!$B478=SelectedScope),'RAW_AR_CONTENT'!G478,"")</f>
        <v>Active</v>
      </c>
      <c r="H479" s="9">
        <f>IF(IF(SelectedScope="All India",TRUE,'RAW_AR_CONTENT'!$B478=SelectedScope),'RAW_AR_CONTENT'!H478,"")</f>
        <v>0</v>
      </c>
      <c r="I479" s="9">
        <f>IF(IF(SelectedScope="All India",TRUE,'RAW_AR_CONTENT'!$B478=SelectedScope),'RAW_AR_CONTENT'!I478,"")</f>
        <v>0</v>
      </c>
      <c r="J479" s="9">
        <f>IF(IF(SelectedScope="All India",TRUE,'RAW_AR_CONTENT'!$B478=SelectedScope),'RAW_AR_CONTENT'!J478,"")</f>
        <v>0</v>
      </c>
      <c r="K479" s="9">
        <f>IF(IF(SelectedScope="All India",TRUE,'RAW_AR_CONTENT'!$B478=SelectedScope),'RAW_AR_CONTENT'!K478,"")</f>
        <v>0</v>
      </c>
      <c r="L479" s="9">
        <f>IF(IF(SelectedScope="All India",TRUE,'RAW_AR_CONTENT'!$B478=SelectedScope),'RAW_AR_CONTENT'!L478,"")</f>
        <v>0</v>
      </c>
      <c r="M479" s="9">
        <f>IF(IF(SelectedScope="All India",TRUE,'RAW_AR_CONTENT'!$B478=SelectedScope),'RAW_AR_CONTENT'!M478,"")</f>
        <v>0</v>
      </c>
      <c r="N479" s="9">
        <f>IF(IF(SelectedScope="All India",TRUE,'RAW_AR_CONTENT'!$B478=SelectedScope),'RAW_AR_CONTENT'!N478,"")</f>
        <v>0</v>
      </c>
      <c r="O479" s="9">
        <f>IF(IF(SelectedScope="All India",TRUE,'RAW_AR_CONTENT'!$B478=SelectedScope),'RAW_AR_CONTENT'!O478,"")</f>
        <v>0</v>
      </c>
      <c r="P479" s="9">
        <f>IF(IF(SelectedScope="All India",TRUE,'RAW_AR_CONTENT'!$B478=SelectedScope),'RAW_AR_CONTENT'!P478,"")</f>
        <v>0</v>
      </c>
      <c r="Q479" s="9">
        <f>IF(IF(SelectedScope="All India",TRUE,'RAW_AR_CONTENT'!$B478=SelectedScope),'RAW_AR_CONTENT'!Q478,"")</f>
        <v>0</v>
      </c>
      <c r="R479" s="9">
        <f>IF(IF(SelectedScope="All India",TRUE,'RAW_AR_CONTENT'!$B478=SelectedScope),'RAW_AR_CONTENT'!R478,"")</f>
        <v>0</v>
      </c>
    </row>
    <row r="480" spans="1:18" ht="15" customHeight="1" x14ac:dyDescent="0.3">
      <c r="A480" s="12">
        <f>IF(IF(SelectedScope="All India",TRUE,'RAW_AR_CONTENT'!$B479=SelectedScope),'RAW_AR_CONTENT'!A479,"")</f>
        <v>476</v>
      </c>
      <c r="B480" s="12" t="str">
        <f>IF(IF(SelectedScope="All India",TRUE,'RAW_AR_CONTENT'!$B479=SelectedScope),'RAW_AR_CONTENT'!B479,"")</f>
        <v>Telangana</v>
      </c>
      <c r="C480" s="12" t="str">
        <f>IF(IF(SelectedScope="All India",TRUE,'RAW_AR_CONTENT'!$B479=SelectedScope),'RAW_AR_CONTENT'!C479,"")</f>
        <v>Chemistry</v>
      </c>
      <c r="D480" s="12" t="str">
        <f>IF(IF(SelectedScope="All India",TRUE,'RAW_AR_CONTENT'!$B479=SelectedScope),'RAW_AR_CONTENT'!D479,"")</f>
        <v>Class 11</v>
      </c>
      <c r="E480" s="12" t="str">
        <f>IF(IF(SelectedScope="All India",TRUE,'RAW_AR_CONTENT'!$B479=SelectedScope),'RAW_AR_CONTENT'!E479,"")</f>
        <v>Periodic Table 3D</v>
      </c>
      <c r="F480" s="12" t="str">
        <f>IF(IF(SelectedScope="All India",TRUE,'RAW_AR_CONTENT'!$B479=SelectedScope),'RAW_AR_CONTENT'!F479,"")</f>
        <v>Interactive</v>
      </c>
      <c r="G480" s="12" t="str">
        <f>IF(IF(SelectedScope="All India",TRUE,'RAW_AR_CONTENT'!$B479=SelectedScope),'RAW_AR_CONTENT'!G479,"")</f>
        <v>Active</v>
      </c>
      <c r="H480" s="12">
        <f>IF(IF(SelectedScope="All India",TRUE,'RAW_AR_CONTENT'!$B479=SelectedScope),'RAW_AR_CONTENT'!H479,"")</f>
        <v>0</v>
      </c>
      <c r="I480" s="12">
        <f>IF(IF(SelectedScope="All India",TRUE,'RAW_AR_CONTENT'!$B479=SelectedScope),'RAW_AR_CONTENT'!I479,"")</f>
        <v>0</v>
      </c>
      <c r="J480" s="12">
        <f>IF(IF(SelectedScope="All India",TRUE,'RAW_AR_CONTENT'!$B479=SelectedScope),'RAW_AR_CONTENT'!J479,"")</f>
        <v>0</v>
      </c>
      <c r="K480" s="12">
        <f>IF(IF(SelectedScope="All India",TRUE,'RAW_AR_CONTENT'!$B479=SelectedScope),'RAW_AR_CONTENT'!K479,"")</f>
        <v>0</v>
      </c>
      <c r="L480" s="12">
        <f>IF(IF(SelectedScope="All India",TRUE,'RAW_AR_CONTENT'!$B479=SelectedScope),'RAW_AR_CONTENT'!L479,"")</f>
        <v>0</v>
      </c>
      <c r="M480" s="12">
        <f>IF(IF(SelectedScope="All India",TRUE,'RAW_AR_CONTENT'!$B479=SelectedScope),'RAW_AR_CONTENT'!M479,"")</f>
        <v>0</v>
      </c>
      <c r="N480" s="12">
        <f>IF(IF(SelectedScope="All India",TRUE,'RAW_AR_CONTENT'!$B479=SelectedScope),'RAW_AR_CONTENT'!N479,"")</f>
        <v>0</v>
      </c>
      <c r="O480" s="12">
        <f>IF(IF(SelectedScope="All India",TRUE,'RAW_AR_CONTENT'!$B479=SelectedScope),'RAW_AR_CONTENT'!O479,"")</f>
        <v>0</v>
      </c>
      <c r="P480" s="12">
        <f>IF(IF(SelectedScope="All India",TRUE,'RAW_AR_CONTENT'!$B479=SelectedScope),'RAW_AR_CONTENT'!P479,"")</f>
        <v>0</v>
      </c>
      <c r="Q480" s="12">
        <f>IF(IF(SelectedScope="All India",TRUE,'RAW_AR_CONTENT'!$B479=SelectedScope),'RAW_AR_CONTENT'!Q479,"")</f>
        <v>0</v>
      </c>
      <c r="R480" s="12">
        <f>IF(IF(SelectedScope="All India",TRUE,'RAW_AR_CONTENT'!$B479=SelectedScope),'RAW_AR_CONTENT'!R479,"")</f>
        <v>0</v>
      </c>
    </row>
    <row r="481" spans="1:18" ht="15" customHeight="1" x14ac:dyDescent="0.3">
      <c r="A481" s="9">
        <f>IF(IF(SelectedScope="All India",TRUE,'RAW_AR_CONTENT'!$B480=SelectedScope),'RAW_AR_CONTENT'!A480,"")</f>
        <v>477</v>
      </c>
      <c r="B481" s="9" t="str">
        <f>IF(IF(SelectedScope="All India",TRUE,'RAW_AR_CONTENT'!$B480=SelectedScope),'RAW_AR_CONTENT'!B480,"")</f>
        <v>Telangana</v>
      </c>
      <c r="C481" s="9" t="str">
        <f>IF(IF(SelectedScope="All India",TRUE,'RAW_AR_CONTENT'!$B480=SelectedScope),'RAW_AR_CONTENT'!C480,"")</f>
        <v>Physics</v>
      </c>
      <c r="D481" s="9" t="str">
        <f>IF(IF(SelectedScope="All India",TRUE,'RAW_AR_CONTENT'!$B480=SelectedScope),'RAW_AR_CONTENT'!D480,"")</f>
        <v>Class 10</v>
      </c>
      <c r="E481" s="9" t="str">
        <f>IF(IF(SelectedScope="All India",TRUE,'RAW_AR_CONTENT'!$B480=SelectedScope),'RAW_AR_CONTENT'!E480,"")</f>
        <v>Electricity Circuits</v>
      </c>
      <c r="F481" s="9" t="str">
        <f>IF(IF(SelectedScope="All India",TRUE,'RAW_AR_CONTENT'!$B480=SelectedScope),'RAW_AR_CONTENT'!F480,"")</f>
        <v>Interactive</v>
      </c>
      <c r="G481" s="9" t="str">
        <f>IF(IF(SelectedScope="All India",TRUE,'RAW_AR_CONTENT'!$B480=SelectedScope),'RAW_AR_CONTENT'!G480,"")</f>
        <v>Active</v>
      </c>
      <c r="H481" s="9">
        <f>IF(IF(SelectedScope="All India",TRUE,'RAW_AR_CONTENT'!$B480=SelectedScope),'RAW_AR_CONTENT'!H480,"")</f>
        <v>0</v>
      </c>
      <c r="I481" s="9">
        <f>IF(IF(SelectedScope="All India",TRUE,'RAW_AR_CONTENT'!$B480=SelectedScope),'RAW_AR_CONTENT'!I480,"")</f>
        <v>0</v>
      </c>
      <c r="J481" s="9">
        <f>IF(IF(SelectedScope="All India",TRUE,'RAW_AR_CONTENT'!$B480=SelectedScope),'RAW_AR_CONTENT'!J480,"")</f>
        <v>0</v>
      </c>
      <c r="K481" s="9">
        <f>IF(IF(SelectedScope="All India",TRUE,'RAW_AR_CONTENT'!$B480=SelectedScope),'RAW_AR_CONTENT'!K480,"")</f>
        <v>0</v>
      </c>
      <c r="L481" s="9">
        <f>IF(IF(SelectedScope="All India",TRUE,'RAW_AR_CONTENT'!$B480=SelectedScope),'RAW_AR_CONTENT'!L480,"")</f>
        <v>0</v>
      </c>
      <c r="M481" s="9">
        <f>IF(IF(SelectedScope="All India",TRUE,'RAW_AR_CONTENT'!$B480=SelectedScope),'RAW_AR_CONTENT'!M480,"")</f>
        <v>0</v>
      </c>
      <c r="N481" s="9">
        <f>IF(IF(SelectedScope="All India",TRUE,'RAW_AR_CONTENT'!$B480=SelectedScope),'RAW_AR_CONTENT'!N480,"")</f>
        <v>0</v>
      </c>
      <c r="O481" s="9">
        <f>IF(IF(SelectedScope="All India",TRUE,'RAW_AR_CONTENT'!$B480=SelectedScope),'RAW_AR_CONTENT'!O480,"")</f>
        <v>0</v>
      </c>
      <c r="P481" s="9">
        <f>IF(IF(SelectedScope="All India",TRUE,'RAW_AR_CONTENT'!$B480=SelectedScope),'RAW_AR_CONTENT'!P480,"")</f>
        <v>0</v>
      </c>
      <c r="Q481" s="9">
        <f>IF(IF(SelectedScope="All India",TRUE,'RAW_AR_CONTENT'!$B480=SelectedScope),'RAW_AR_CONTENT'!Q480,"")</f>
        <v>0</v>
      </c>
      <c r="R481" s="9">
        <f>IF(IF(SelectedScope="All India",TRUE,'RAW_AR_CONTENT'!$B480=SelectedScope),'RAW_AR_CONTENT'!R480,"")</f>
        <v>0</v>
      </c>
    </row>
    <row r="482" spans="1:18" ht="15" customHeight="1" x14ac:dyDescent="0.3">
      <c r="A482" s="12">
        <f>IF(IF(SelectedScope="All India",TRUE,'RAW_AR_CONTENT'!$B481=SelectedScope),'RAW_AR_CONTENT'!A481,"")</f>
        <v>478</v>
      </c>
      <c r="B482" s="12" t="str">
        <f>IF(IF(SelectedScope="All India",TRUE,'RAW_AR_CONTENT'!$B481=SelectedScope),'RAW_AR_CONTENT'!B481,"")</f>
        <v>Telangana</v>
      </c>
      <c r="C482" s="12" t="str">
        <f>IF(IF(SelectedScope="All India",TRUE,'RAW_AR_CONTENT'!$B481=SelectedScope),'RAW_AR_CONTENT'!C481,"")</f>
        <v>Civics</v>
      </c>
      <c r="D482" s="12" t="str">
        <f>IF(IF(SelectedScope="All India",TRUE,'RAW_AR_CONTENT'!$B481=SelectedScope),'RAW_AR_CONTENT'!D481,"")</f>
        <v>Class 9</v>
      </c>
      <c r="E482" s="12" t="str">
        <f>IF(IF(SelectedScope="All India",TRUE,'RAW_AR_CONTENT'!$B481=SelectedScope),'RAW_AR_CONTENT'!E481,"")</f>
        <v>Indian Constitution</v>
      </c>
      <c r="F482" s="12" t="str">
        <f>IF(IF(SelectedScope="All India",TRUE,'RAW_AR_CONTENT'!$B481=SelectedScope),'RAW_AR_CONTENT'!F481,"")</f>
        <v>Basic 3D</v>
      </c>
      <c r="G482" s="12" t="str">
        <f>IF(IF(SelectedScope="All India",TRUE,'RAW_AR_CONTENT'!$B481=SelectedScope),'RAW_AR_CONTENT'!G481,"")</f>
        <v>Active</v>
      </c>
      <c r="H482" s="12">
        <f>IF(IF(SelectedScope="All India",TRUE,'RAW_AR_CONTENT'!$B481=SelectedScope),'RAW_AR_CONTENT'!H481,"")</f>
        <v>0</v>
      </c>
      <c r="I482" s="12">
        <f>IF(IF(SelectedScope="All India",TRUE,'RAW_AR_CONTENT'!$B481=SelectedScope),'RAW_AR_CONTENT'!I481,"")</f>
        <v>0</v>
      </c>
      <c r="J482" s="12">
        <f>IF(IF(SelectedScope="All India",TRUE,'RAW_AR_CONTENT'!$B481=SelectedScope),'RAW_AR_CONTENT'!J481,"")</f>
        <v>0</v>
      </c>
      <c r="K482" s="12">
        <f>IF(IF(SelectedScope="All India",TRUE,'RAW_AR_CONTENT'!$B481=SelectedScope),'RAW_AR_CONTENT'!K481,"")</f>
        <v>0</v>
      </c>
      <c r="L482" s="12">
        <f>IF(IF(SelectedScope="All India",TRUE,'RAW_AR_CONTENT'!$B481=SelectedScope),'RAW_AR_CONTENT'!L481,"")</f>
        <v>0</v>
      </c>
      <c r="M482" s="12">
        <f>IF(IF(SelectedScope="All India",TRUE,'RAW_AR_CONTENT'!$B481=SelectedScope),'RAW_AR_CONTENT'!M481,"")</f>
        <v>0</v>
      </c>
      <c r="N482" s="12">
        <f>IF(IF(SelectedScope="All India",TRUE,'RAW_AR_CONTENT'!$B481=SelectedScope),'RAW_AR_CONTENT'!N481,"")</f>
        <v>0</v>
      </c>
      <c r="O482" s="12">
        <f>IF(IF(SelectedScope="All India",TRUE,'RAW_AR_CONTENT'!$B481=SelectedScope),'RAW_AR_CONTENT'!O481,"")</f>
        <v>0</v>
      </c>
      <c r="P482" s="12">
        <f>IF(IF(SelectedScope="All India",TRUE,'RAW_AR_CONTENT'!$B481=SelectedScope),'RAW_AR_CONTENT'!P481,"")</f>
        <v>0</v>
      </c>
      <c r="Q482" s="12">
        <f>IF(IF(SelectedScope="All India",TRUE,'RAW_AR_CONTENT'!$B481=SelectedScope),'RAW_AR_CONTENT'!Q481,"")</f>
        <v>0</v>
      </c>
      <c r="R482" s="12">
        <f>IF(IF(SelectedScope="All India",TRUE,'RAW_AR_CONTENT'!$B481=SelectedScope),'RAW_AR_CONTENT'!R481,"")</f>
        <v>0</v>
      </c>
    </row>
    <row r="483" spans="1:18" ht="15" customHeight="1" x14ac:dyDescent="0.3">
      <c r="A483" s="9">
        <f>IF(IF(SelectedScope="All India",TRUE,'RAW_AR_CONTENT'!$B482=SelectedScope),'RAW_AR_CONTENT'!A482,"")</f>
        <v>479</v>
      </c>
      <c r="B483" s="9" t="str">
        <f>IF(IF(SelectedScope="All India",TRUE,'RAW_AR_CONTENT'!$B482=SelectedScope),'RAW_AR_CONTENT'!B482,"")</f>
        <v>Telangana</v>
      </c>
      <c r="C483" s="9" t="str">
        <f>IF(IF(SelectedScope="All India",TRUE,'RAW_AR_CONTENT'!$B482=SelectedScope),'RAW_AR_CONTENT'!C482,"")</f>
        <v>Environmental Science</v>
      </c>
      <c r="D483" s="9" t="str">
        <f>IF(IF(SelectedScope="All India",TRUE,'RAW_AR_CONTENT'!$B482=SelectedScope),'RAW_AR_CONTENT'!D482,"")</f>
        <v>Class 6</v>
      </c>
      <c r="E483" s="9" t="str">
        <f>IF(IF(SelectedScope="All India",TRUE,'RAW_AR_CONTENT'!$B482=SelectedScope),'RAW_AR_CONTENT'!E482,"")</f>
        <v>Food Chain</v>
      </c>
      <c r="F483" s="9" t="str">
        <f>IF(IF(SelectedScope="All India",TRUE,'RAW_AR_CONTENT'!$B482=SelectedScope),'RAW_AR_CONTENT'!F482,"")</f>
        <v>Animated</v>
      </c>
      <c r="G483" s="9" t="str">
        <f>IF(IF(SelectedScope="All India",TRUE,'RAW_AR_CONTENT'!$B482=SelectedScope),'RAW_AR_CONTENT'!G482,"")</f>
        <v>Active</v>
      </c>
      <c r="H483" s="9">
        <f>IF(IF(SelectedScope="All India",TRUE,'RAW_AR_CONTENT'!$B482=SelectedScope),'RAW_AR_CONTENT'!H482,"")</f>
        <v>0</v>
      </c>
      <c r="I483" s="9">
        <f>IF(IF(SelectedScope="All India",TRUE,'RAW_AR_CONTENT'!$B482=SelectedScope),'RAW_AR_CONTENT'!I482,"")</f>
        <v>0</v>
      </c>
      <c r="J483" s="9">
        <f>IF(IF(SelectedScope="All India",TRUE,'RAW_AR_CONTENT'!$B482=SelectedScope),'RAW_AR_CONTENT'!J482,"")</f>
        <v>0</v>
      </c>
      <c r="K483" s="9">
        <f>IF(IF(SelectedScope="All India",TRUE,'RAW_AR_CONTENT'!$B482=SelectedScope),'RAW_AR_CONTENT'!K482,"")</f>
        <v>0</v>
      </c>
      <c r="L483" s="9">
        <f>IF(IF(SelectedScope="All India",TRUE,'RAW_AR_CONTENT'!$B482=SelectedScope),'RAW_AR_CONTENT'!L482,"")</f>
        <v>0</v>
      </c>
      <c r="M483" s="9">
        <f>IF(IF(SelectedScope="All India",TRUE,'RAW_AR_CONTENT'!$B482=SelectedScope),'RAW_AR_CONTENT'!M482,"")</f>
        <v>0</v>
      </c>
      <c r="N483" s="9">
        <f>IF(IF(SelectedScope="All India",TRUE,'RAW_AR_CONTENT'!$B482=SelectedScope),'RAW_AR_CONTENT'!N482,"")</f>
        <v>0</v>
      </c>
      <c r="O483" s="9">
        <f>IF(IF(SelectedScope="All India",TRUE,'RAW_AR_CONTENT'!$B482=SelectedScope),'RAW_AR_CONTENT'!O482,"")</f>
        <v>0</v>
      </c>
      <c r="P483" s="9">
        <f>IF(IF(SelectedScope="All India",TRUE,'RAW_AR_CONTENT'!$B482=SelectedScope),'RAW_AR_CONTENT'!P482,"")</f>
        <v>0</v>
      </c>
      <c r="Q483" s="9">
        <f>IF(IF(SelectedScope="All India",TRUE,'RAW_AR_CONTENT'!$B482=SelectedScope),'RAW_AR_CONTENT'!Q482,"")</f>
        <v>0</v>
      </c>
      <c r="R483" s="9">
        <f>IF(IF(SelectedScope="All India",TRUE,'RAW_AR_CONTENT'!$B482=SelectedScope),'RAW_AR_CONTENT'!R482,"")</f>
        <v>0</v>
      </c>
    </row>
    <row r="484" spans="1:18" ht="15" customHeight="1" x14ac:dyDescent="0.3">
      <c r="A484" s="12">
        <f>IF(IF(SelectedScope="All India",TRUE,'RAW_AR_CONTENT'!$B483=SelectedScope),'RAW_AR_CONTENT'!A483,"")</f>
        <v>480</v>
      </c>
      <c r="B484" s="12" t="str">
        <f>IF(IF(SelectedScope="All India",TRUE,'RAW_AR_CONTENT'!$B483=SelectedScope),'RAW_AR_CONTENT'!B483,"")</f>
        <v>Telangana</v>
      </c>
      <c r="C484" s="12" t="str">
        <f>IF(IF(SelectedScope="All India",TRUE,'RAW_AR_CONTENT'!$B483=SelectedScope),'RAW_AR_CONTENT'!C483,"")</f>
        <v>Mathematics</v>
      </c>
      <c r="D484" s="12" t="str">
        <f>IF(IF(SelectedScope="All India",TRUE,'RAW_AR_CONTENT'!$B483=SelectedScope),'RAW_AR_CONTENT'!D483,"")</f>
        <v>Class 10</v>
      </c>
      <c r="E484" s="12" t="str">
        <f>IF(IF(SelectedScope="All India",TRUE,'RAW_AR_CONTENT'!$B483=SelectedScope),'RAW_AR_CONTENT'!E483,"")</f>
        <v>Quadratic Equations</v>
      </c>
      <c r="F484" s="12" t="str">
        <f>IF(IF(SelectedScope="All India",TRUE,'RAW_AR_CONTENT'!$B483=SelectedScope),'RAW_AR_CONTENT'!F483,"")</f>
        <v>Animated</v>
      </c>
      <c r="G484" s="12" t="str">
        <f>IF(IF(SelectedScope="All India",TRUE,'RAW_AR_CONTENT'!$B483=SelectedScope),'RAW_AR_CONTENT'!G483,"")</f>
        <v>Active</v>
      </c>
      <c r="H484" s="12">
        <f>IF(IF(SelectedScope="All India",TRUE,'RAW_AR_CONTENT'!$B483=SelectedScope),'RAW_AR_CONTENT'!H483,"")</f>
        <v>0</v>
      </c>
      <c r="I484" s="12">
        <f>IF(IF(SelectedScope="All India",TRUE,'RAW_AR_CONTENT'!$B483=SelectedScope),'RAW_AR_CONTENT'!I483,"")</f>
        <v>0</v>
      </c>
      <c r="J484" s="12">
        <f>IF(IF(SelectedScope="All India",TRUE,'RAW_AR_CONTENT'!$B483=SelectedScope),'RAW_AR_CONTENT'!J483,"")</f>
        <v>0</v>
      </c>
      <c r="K484" s="12">
        <f>IF(IF(SelectedScope="All India",TRUE,'RAW_AR_CONTENT'!$B483=SelectedScope),'RAW_AR_CONTENT'!K483,"")</f>
        <v>0</v>
      </c>
      <c r="L484" s="12">
        <f>IF(IF(SelectedScope="All India",TRUE,'RAW_AR_CONTENT'!$B483=SelectedScope),'RAW_AR_CONTENT'!L483,"")</f>
        <v>0</v>
      </c>
      <c r="M484" s="12">
        <f>IF(IF(SelectedScope="All India",TRUE,'RAW_AR_CONTENT'!$B483=SelectedScope),'RAW_AR_CONTENT'!M483,"")</f>
        <v>0</v>
      </c>
      <c r="N484" s="12">
        <f>IF(IF(SelectedScope="All India",TRUE,'RAW_AR_CONTENT'!$B483=SelectedScope),'RAW_AR_CONTENT'!N483,"")</f>
        <v>0</v>
      </c>
      <c r="O484" s="12">
        <f>IF(IF(SelectedScope="All India",TRUE,'RAW_AR_CONTENT'!$B483=SelectedScope),'RAW_AR_CONTENT'!O483,"")</f>
        <v>0</v>
      </c>
      <c r="P484" s="12">
        <f>IF(IF(SelectedScope="All India",TRUE,'RAW_AR_CONTENT'!$B483=SelectedScope),'RAW_AR_CONTENT'!P483,"")</f>
        <v>0</v>
      </c>
      <c r="Q484" s="12">
        <f>IF(IF(SelectedScope="All India",TRUE,'RAW_AR_CONTENT'!$B483=SelectedScope),'RAW_AR_CONTENT'!Q483,"")</f>
        <v>0</v>
      </c>
      <c r="R484" s="12">
        <f>IF(IF(SelectedScope="All India",TRUE,'RAW_AR_CONTENT'!$B483=SelectedScope),'RAW_AR_CONTENT'!R483,"")</f>
        <v>0</v>
      </c>
    </row>
    <row r="485" spans="1:18" ht="15" customHeight="1" x14ac:dyDescent="0.3">
      <c r="A485" s="9">
        <f>IF(IF(SelectedScope="All India",TRUE,'RAW_AR_CONTENT'!$B484=SelectedScope),'RAW_AR_CONTENT'!A484,"")</f>
        <v>481</v>
      </c>
      <c r="B485" s="9" t="str">
        <f>IF(IF(SelectedScope="All India",TRUE,'RAW_AR_CONTENT'!$B484=SelectedScope),'RAW_AR_CONTENT'!B484,"")</f>
        <v>Tripura</v>
      </c>
      <c r="C485" s="9" t="str">
        <f>IF(IF(SelectedScope="All India",TRUE,'RAW_AR_CONTENT'!$B484=SelectedScope),'RAW_AR_CONTENT'!C484,"")</f>
        <v>Science</v>
      </c>
      <c r="D485" s="9" t="str">
        <f>IF(IF(SelectedScope="All India",TRUE,'RAW_AR_CONTENT'!$B484=SelectedScope),'RAW_AR_CONTENT'!D484,"")</f>
        <v>Class 8</v>
      </c>
      <c r="E485" s="9" t="str">
        <f>IF(IF(SelectedScope="All India",TRUE,'RAW_AR_CONTENT'!$B484=SelectedScope),'RAW_AR_CONTENT'!E484,"")</f>
        <v>Solar System 3D</v>
      </c>
      <c r="F485" s="9" t="str">
        <f>IF(IF(SelectedScope="All India",TRUE,'RAW_AR_CONTENT'!$B484=SelectedScope),'RAW_AR_CONTENT'!F484,"")</f>
        <v>Animated</v>
      </c>
      <c r="G485" s="9" t="str">
        <f>IF(IF(SelectedScope="All India",TRUE,'RAW_AR_CONTENT'!$B484=SelectedScope),'RAW_AR_CONTENT'!G484,"")</f>
        <v>Active</v>
      </c>
      <c r="H485" s="9">
        <f>IF(IF(SelectedScope="All India",TRUE,'RAW_AR_CONTENT'!$B484=SelectedScope),'RAW_AR_CONTENT'!H484,"")</f>
        <v>0</v>
      </c>
      <c r="I485" s="9">
        <f>IF(IF(SelectedScope="All India",TRUE,'RAW_AR_CONTENT'!$B484=SelectedScope),'RAW_AR_CONTENT'!I484,"")</f>
        <v>0</v>
      </c>
      <c r="J485" s="9">
        <f>IF(IF(SelectedScope="All India",TRUE,'RAW_AR_CONTENT'!$B484=SelectedScope),'RAW_AR_CONTENT'!J484,"")</f>
        <v>0</v>
      </c>
      <c r="K485" s="9">
        <f>IF(IF(SelectedScope="All India",TRUE,'RAW_AR_CONTENT'!$B484=SelectedScope),'RAW_AR_CONTENT'!K484,"")</f>
        <v>0</v>
      </c>
      <c r="L485" s="9">
        <f>IF(IF(SelectedScope="All India",TRUE,'RAW_AR_CONTENT'!$B484=SelectedScope),'RAW_AR_CONTENT'!L484,"")</f>
        <v>0</v>
      </c>
      <c r="M485" s="9">
        <f>IF(IF(SelectedScope="All India",TRUE,'RAW_AR_CONTENT'!$B484=SelectedScope),'RAW_AR_CONTENT'!M484,"")</f>
        <v>0</v>
      </c>
      <c r="N485" s="9">
        <f>IF(IF(SelectedScope="All India",TRUE,'RAW_AR_CONTENT'!$B484=SelectedScope),'RAW_AR_CONTENT'!N484,"")</f>
        <v>0</v>
      </c>
      <c r="O485" s="9">
        <f>IF(IF(SelectedScope="All India",TRUE,'RAW_AR_CONTENT'!$B484=SelectedScope),'RAW_AR_CONTENT'!O484,"")</f>
        <v>0</v>
      </c>
      <c r="P485" s="9">
        <f>IF(IF(SelectedScope="All India",TRUE,'RAW_AR_CONTENT'!$B484=SelectedScope),'RAW_AR_CONTENT'!P484,"")</f>
        <v>0</v>
      </c>
      <c r="Q485" s="9">
        <f>IF(IF(SelectedScope="All India",TRUE,'RAW_AR_CONTENT'!$B484=SelectedScope),'RAW_AR_CONTENT'!Q484,"")</f>
        <v>0</v>
      </c>
      <c r="R485" s="9">
        <f>IF(IF(SelectedScope="All India",TRUE,'RAW_AR_CONTENT'!$B484=SelectedScope),'RAW_AR_CONTENT'!R484,"")</f>
        <v>0</v>
      </c>
    </row>
    <row r="486" spans="1:18" ht="15" customHeight="1" x14ac:dyDescent="0.3">
      <c r="A486" s="12">
        <f>IF(IF(SelectedScope="All India",TRUE,'RAW_AR_CONTENT'!$B485=SelectedScope),'RAW_AR_CONTENT'!A485,"")</f>
        <v>482</v>
      </c>
      <c r="B486" s="12" t="str">
        <f>IF(IF(SelectedScope="All India",TRUE,'RAW_AR_CONTENT'!$B485=SelectedScope),'RAW_AR_CONTENT'!B485,"")</f>
        <v>Tripura</v>
      </c>
      <c r="C486" s="12" t="str">
        <f>IF(IF(SelectedScope="All India",TRUE,'RAW_AR_CONTENT'!$B485=SelectedScope),'RAW_AR_CONTENT'!C485,"")</f>
        <v>Biology</v>
      </c>
      <c r="D486" s="12" t="str">
        <f>IF(IF(SelectedScope="All India",TRUE,'RAW_AR_CONTENT'!$B485=SelectedScope),'RAW_AR_CONTENT'!D485,"")</f>
        <v>Class 9</v>
      </c>
      <c r="E486" s="12" t="str">
        <f>IF(IF(SelectedScope="All India",TRUE,'RAW_AR_CONTENT'!$B485=SelectedScope),'RAW_AR_CONTENT'!E485,"")</f>
        <v>Cell Division</v>
      </c>
      <c r="F486" s="12" t="str">
        <f>IF(IF(SelectedScope="All India",TRUE,'RAW_AR_CONTENT'!$B485=SelectedScope),'RAW_AR_CONTENT'!F485,"")</f>
        <v>Interactive</v>
      </c>
      <c r="G486" s="12" t="str">
        <f>IF(IF(SelectedScope="All India",TRUE,'RAW_AR_CONTENT'!$B485=SelectedScope),'RAW_AR_CONTENT'!G485,"")</f>
        <v>Active</v>
      </c>
      <c r="H486" s="12">
        <f>IF(IF(SelectedScope="All India",TRUE,'RAW_AR_CONTENT'!$B485=SelectedScope),'RAW_AR_CONTENT'!H485,"")</f>
        <v>0</v>
      </c>
      <c r="I486" s="12">
        <f>IF(IF(SelectedScope="All India",TRUE,'RAW_AR_CONTENT'!$B485=SelectedScope),'RAW_AR_CONTENT'!I485,"")</f>
        <v>0</v>
      </c>
      <c r="J486" s="12">
        <f>IF(IF(SelectedScope="All India",TRUE,'RAW_AR_CONTENT'!$B485=SelectedScope),'RAW_AR_CONTENT'!J485,"")</f>
        <v>0</v>
      </c>
      <c r="K486" s="12">
        <f>IF(IF(SelectedScope="All India",TRUE,'RAW_AR_CONTENT'!$B485=SelectedScope),'RAW_AR_CONTENT'!K485,"")</f>
        <v>0</v>
      </c>
      <c r="L486" s="12">
        <f>IF(IF(SelectedScope="All India",TRUE,'RAW_AR_CONTENT'!$B485=SelectedScope),'RAW_AR_CONTENT'!L485,"")</f>
        <v>0</v>
      </c>
      <c r="M486" s="12">
        <f>IF(IF(SelectedScope="All India",TRUE,'RAW_AR_CONTENT'!$B485=SelectedScope),'RAW_AR_CONTENT'!M485,"")</f>
        <v>0</v>
      </c>
      <c r="N486" s="12">
        <f>IF(IF(SelectedScope="All India",TRUE,'RAW_AR_CONTENT'!$B485=SelectedScope),'RAW_AR_CONTENT'!N485,"")</f>
        <v>0</v>
      </c>
      <c r="O486" s="12">
        <f>IF(IF(SelectedScope="All India",TRUE,'RAW_AR_CONTENT'!$B485=SelectedScope),'RAW_AR_CONTENT'!O485,"")</f>
        <v>0</v>
      </c>
      <c r="P486" s="12">
        <f>IF(IF(SelectedScope="All India",TRUE,'RAW_AR_CONTENT'!$B485=SelectedScope),'RAW_AR_CONTENT'!P485,"")</f>
        <v>0</v>
      </c>
      <c r="Q486" s="12">
        <f>IF(IF(SelectedScope="All India",TRUE,'RAW_AR_CONTENT'!$B485=SelectedScope),'RAW_AR_CONTENT'!Q485,"")</f>
        <v>0</v>
      </c>
      <c r="R486" s="12">
        <f>IF(IF(SelectedScope="All India",TRUE,'RAW_AR_CONTENT'!$B485=SelectedScope),'RAW_AR_CONTENT'!R485,"")</f>
        <v>0</v>
      </c>
    </row>
    <row r="487" spans="1:18" ht="15" customHeight="1" x14ac:dyDescent="0.3">
      <c r="A487" s="9">
        <f>IF(IF(SelectedScope="All India",TRUE,'RAW_AR_CONTENT'!$B486=SelectedScope),'RAW_AR_CONTENT'!A486,"")</f>
        <v>483</v>
      </c>
      <c r="B487" s="9" t="str">
        <f>IF(IF(SelectedScope="All India",TRUE,'RAW_AR_CONTENT'!$B486=SelectedScope),'RAW_AR_CONTENT'!B486,"")</f>
        <v>Tripura</v>
      </c>
      <c r="C487" s="9" t="str">
        <f>IF(IF(SelectedScope="All India",TRUE,'RAW_AR_CONTENT'!$B486=SelectedScope),'RAW_AR_CONTENT'!C486,"")</f>
        <v>Chemistry</v>
      </c>
      <c r="D487" s="9" t="str">
        <f>IF(IF(SelectedScope="All India",TRUE,'RAW_AR_CONTENT'!$B486=SelectedScope),'RAW_AR_CONTENT'!D486,"")</f>
        <v>Class 9</v>
      </c>
      <c r="E487" s="9" t="str">
        <f>IF(IF(SelectedScope="All India",TRUE,'RAW_AR_CONTENT'!$B486=SelectedScope),'RAW_AR_CONTENT'!E486,"")</f>
        <v>Atoms and Molecules</v>
      </c>
      <c r="F487" s="9" t="str">
        <f>IF(IF(SelectedScope="All India",TRUE,'RAW_AR_CONTENT'!$B486=SelectedScope),'RAW_AR_CONTENT'!F486,"")</f>
        <v>Animated</v>
      </c>
      <c r="G487" s="9" t="str">
        <f>IF(IF(SelectedScope="All India",TRUE,'RAW_AR_CONTENT'!$B486=SelectedScope),'RAW_AR_CONTENT'!G486,"")</f>
        <v>Active</v>
      </c>
      <c r="H487" s="9">
        <f>IF(IF(SelectedScope="All India",TRUE,'RAW_AR_CONTENT'!$B486=SelectedScope),'RAW_AR_CONTENT'!H486,"")</f>
        <v>0</v>
      </c>
      <c r="I487" s="9">
        <f>IF(IF(SelectedScope="All India",TRUE,'RAW_AR_CONTENT'!$B486=SelectedScope),'RAW_AR_CONTENT'!I486,"")</f>
        <v>0</v>
      </c>
      <c r="J487" s="9">
        <f>IF(IF(SelectedScope="All India",TRUE,'RAW_AR_CONTENT'!$B486=SelectedScope),'RAW_AR_CONTENT'!J486,"")</f>
        <v>0</v>
      </c>
      <c r="K487" s="9">
        <f>IF(IF(SelectedScope="All India",TRUE,'RAW_AR_CONTENT'!$B486=SelectedScope),'RAW_AR_CONTENT'!K486,"")</f>
        <v>0</v>
      </c>
      <c r="L487" s="9">
        <f>IF(IF(SelectedScope="All India",TRUE,'RAW_AR_CONTENT'!$B486=SelectedScope),'RAW_AR_CONTENT'!L486,"")</f>
        <v>0</v>
      </c>
      <c r="M487" s="9">
        <f>IF(IF(SelectedScope="All India",TRUE,'RAW_AR_CONTENT'!$B486=SelectedScope),'RAW_AR_CONTENT'!M486,"")</f>
        <v>0</v>
      </c>
      <c r="N487" s="9">
        <f>IF(IF(SelectedScope="All India",TRUE,'RAW_AR_CONTENT'!$B486=SelectedScope),'RAW_AR_CONTENT'!N486,"")</f>
        <v>0</v>
      </c>
      <c r="O487" s="9">
        <f>IF(IF(SelectedScope="All India",TRUE,'RAW_AR_CONTENT'!$B486=SelectedScope),'RAW_AR_CONTENT'!O486,"")</f>
        <v>0</v>
      </c>
      <c r="P487" s="9">
        <f>IF(IF(SelectedScope="All India",TRUE,'RAW_AR_CONTENT'!$B486=SelectedScope),'RAW_AR_CONTENT'!P486,"")</f>
        <v>0</v>
      </c>
      <c r="Q487" s="9">
        <f>IF(IF(SelectedScope="All India",TRUE,'RAW_AR_CONTENT'!$B486=SelectedScope),'RAW_AR_CONTENT'!Q486,"")</f>
        <v>0</v>
      </c>
      <c r="R487" s="9">
        <f>IF(IF(SelectedScope="All India",TRUE,'RAW_AR_CONTENT'!$B486=SelectedScope),'RAW_AR_CONTENT'!R486,"")</f>
        <v>0</v>
      </c>
    </row>
    <row r="488" spans="1:18" ht="15" customHeight="1" x14ac:dyDescent="0.3">
      <c r="A488" s="12">
        <f>IF(IF(SelectedScope="All India",TRUE,'RAW_AR_CONTENT'!$B487=SelectedScope),'RAW_AR_CONTENT'!A487,"")</f>
        <v>484</v>
      </c>
      <c r="B488" s="12" t="str">
        <f>IF(IF(SelectedScope="All India",TRUE,'RAW_AR_CONTENT'!$B487=SelectedScope),'RAW_AR_CONTENT'!B487,"")</f>
        <v>Tripura</v>
      </c>
      <c r="C488" s="12" t="str">
        <f>IF(IF(SelectedScope="All India",TRUE,'RAW_AR_CONTENT'!$B487=SelectedScope),'RAW_AR_CONTENT'!C487,"")</f>
        <v>Biology</v>
      </c>
      <c r="D488" s="12" t="str">
        <f>IF(IF(SelectedScope="All India",TRUE,'RAW_AR_CONTENT'!$B487=SelectedScope),'RAW_AR_CONTENT'!D487,"")</f>
        <v>Class 7</v>
      </c>
      <c r="E488" s="12" t="str">
        <f>IF(IF(SelectedScope="All India",TRUE,'RAW_AR_CONTENT'!$B487=SelectedScope),'RAW_AR_CONTENT'!E487,"")</f>
        <v>Photosynthesis</v>
      </c>
      <c r="F488" s="12" t="str">
        <f>IF(IF(SelectedScope="All India",TRUE,'RAW_AR_CONTENT'!$B487=SelectedScope),'RAW_AR_CONTENT'!F487,"")</f>
        <v>Basic 3D</v>
      </c>
      <c r="G488" s="12" t="str">
        <f>IF(IF(SelectedScope="All India",TRUE,'RAW_AR_CONTENT'!$B487=SelectedScope),'RAW_AR_CONTENT'!G487,"")</f>
        <v>Active</v>
      </c>
      <c r="H488" s="12">
        <f>IF(IF(SelectedScope="All India",TRUE,'RAW_AR_CONTENT'!$B487=SelectedScope),'RAW_AR_CONTENT'!H487,"")</f>
        <v>0</v>
      </c>
      <c r="I488" s="12">
        <f>IF(IF(SelectedScope="All India",TRUE,'RAW_AR_CONTENT'!$B487=SelectedScope),'RAW_AR_CONTENT'!I487,"")</f>
        <v>0</v>
      </c>
      <c r="J488" s="12">
        <f>IF(IF(SelectedScope="All India",TRUE,'RAW_AR_CONTENT'!$B487=SelectedScope),'RAW_AR_CONTENT'!J487,"")</f>
        <v>0</v>
      </c>
      <c r="K488" s="12">
        <f>IF(IF(SelectedScope="All India",TRUE,'RAW_AR_CONTENT'!$B487=SelectedScope),'RAW_AR_CONTENT'!K487,"")</f>
        <v>0</v>
      </c>
      <c r="L488" s="12">
        <f>IF(IF(SelectedScope="All India",TRUE,'RAW_AR_CONTENT'!$B487=SelectedScope),'RAW_AR_CONTENT'!L487,"")</f>
        <v>0</v>
      </c>
      <c r="M488" s="12">
        <f>IF(IF(SelectedScope="All India",TRUE,'RAW_AR_CONTENT'!$B487=SelectedScope),'RAW_AR_CONTENT'!M487,"")</f>
        <v>0</v>
      </c>
      <c r="N488" s="12">
        <f>IF(IF(SelectedScope="All India",TRUE,'RAW_AR_CONTENT'!$B487=SelectedScope),'RAW_AR_CONTENT'!N487,"")</f>
        <v>0</v>
      </c>
      <c r="O488" s="12">
        <f>IF(IF(SelectedScope="All India",TRUE,'RAW_AR_CONTENT'!$B487=SelectedScope),'RAW_AR_CONTENT'!O487,"")</f>
        <v>0</v>
      </c>
      <c r="P488" s="12">
        <f>IF(IF(SelectedScope="All India",TRUE,'RAW_AR_CONTENT'!$B487=SelectedScope),'RAW_AR_CONTENT'!P487,"")</f>
        <v>0</v>
      </c>
      <c r="Q488" s="12">
        <f>IF(IF(SelectedScope="All India",TRUE,'RAW_AR_CONTENT'!$B487=SelectedScope),'RAW_AR_CONTENT'!Q487,"")</f>
        <v>0</v>
      </c>
      <c r="R488" s="12">
        <f>IF(IF(SelectedScope="All India",TRUE,'RAW_AR_CONTENT'!$B487=SelectedScope),'RAW_AR_CONTENT'!R487,"")</f>
        <v>0</v>
      </c>
    </row>
    <row r="489" spans="1:18" ht="15" customHeight="1" x14ac:dyDescent="0.3">
      <c r="A489" s="9">
        <f>IF(IF(SelectedScope="All India",TRUE,'RAW_AR_CONTENT'!$B488=SelectedScope),'RAW_AR_CONTENT'!A488,"")</f>
        <v>485</v>
      </c>
      <c r="B489" s="9" t="str">
        <f>IF(IF(SelectedScope="All India",TRUE,'RAW_AR_CONTENT'!$B488=SelectedScope),'RAW_AR_CONTENT'!B488,"")</f>
        <v>Tripura</v>
      </c>
      <c r="C489" s="9" t="str">
        <f>IF(IF(SelectedScope="All India",TRUE,'RAW_AR_CONTENT'!$B488=SelectedScope),'RAW_AR_CONTENT'!C488,"")</f>
        <v>Mathematics</v>
      </c>
      <c r="D489" s="9" t="str">
        <f>IF(IF(SelectedScope="All India",TRUE,'RAW_AR_CONTENT'!$B488=SelectedScope),'RAW_AR_CONTENT'!D488,"")</f>
        <v>Class 7</v>
      </c>
      <c r="E489" s="9" t="str">
        <f>IF(IF(SelectedScope="All India",TRUE,'RAW_AR_CONTENT'!$B488=SelectedScope),'RAW_AR_CONTENT'!E488,"")</f>
        <v>Fractions 3D Model</v>
      </c>
      <c r="F489" s="9" t="str">
        <f>IF(IF(SelectedScope="All India",TRUE,'RAW_AR_CONTENT'!$B488=SelectedScope),'RAW_AR_CONTENT'!F488,"")</f>
        <v>Interactive</v>
      </c>
      <c r="G489" s="9" t="str">
        <f>IF(IF(SelectedScope="All India",TRUE,'RAW_AR_CONTENT'!$B488=SelectedScope),'RAW_AR_CONTENT'!G488,"")</f>
        <v>Active</v>
      </c>
      <c r="H489" s="9">
        <f>IF(IF(SelectedScope="All India",TRUE,'RAW_AR_CONTENT'!$B488=SelectedScope),'RAW_AR_CONTENT'!H488,"")</f>
        <v>0</v>
      </c>
      <c r="I489" s="9">
        <f>IF(IF(SelectedScope="All India",TRUE,'RAW_AR_CONTENT'!$B488=SelectedScope),'RAW_AR_CONTENT'!I488,"")</f>
        <v>0</v>
      </c>
      <c r="J489" s="9">
        <f>IF(IF(SelectedScope="All India",TRUE,'RAW_AR_CONTENT'!$B488=SelectedScope),'RAW_AR_CONTENT'!J488,"")</f>
        <v>0</v>
      </c>
      <c r="K489" s="9">
        <f>IF(IF(SelectedScope="All India",TRUE,'RAW_AR_CONTENT'!$B488=SelectedScope),'RAW_AR_CONTENT'!K488,"")</f>
        <v>0</v>
      </c>
      <c r="L489" s="9">
        <f>IF(IF(SelectedScope="All India",TRUE,'RAW_AR_CONTENT'!$B488=SelectedScope),'RAW_AR_CONTENT'!L488,"")</f>
        <v>0</v>
      </c>
      <c r="M489" s="9">
        <f>IF(IF(SelectedScope="All India",TRUE,'RAW_AR_CONTENT'!$B488=SelectedScope),'RAW_AR_CONTENT'!M488,"")</f>
        <v>0</v>
      </c>
      <c r="N489" s="9">
        <f>IF(IF(SelectedScope="All India",TRUE,'RAW_AR_CONTENT'!$B488=SelectedScope),'RAW_AR_CONTENT'!N488,"")</f>
        <v>0</v>
      </c>
      <c r="O489" s="9">
        <f>IF(IF(SelectedScope="All India",TRUE,'RAW_AR_CONTENT'!$B488=SelectedScope),'RAW_AR_CONTENT'!O488,"")</f>
        <v>0</v>
      </c>
      <c r="P489" s="9">
        <f>IF(IF(SelectedScope="All India",TRUE,'RAW_AR_CONTENT'!$B488=SelectedScope),'RAW_AR_CONTENT'!P488,"")</f>
        <v>0</v>
      </c>
      <c r="Q489" s="9">
        <f>IF(IF(SelectedScope="All India",TRUE,'RAW_AR_CONTENT'!$B488=SelectedScope),'RAW_AR_CONTENT'!Q488,"")</f>
        <v>0</v>
      </c>
      <c r="R489" s="9">
        <f>IF(IF(SelectedScope="All India",TRUE,'RAW_AR_CONTENT'!$B488=SelectedScope),'RAW_AR_CONTENT'!R488,"")</f>
        <v>0</v>
      </c>
    </row>
    <row r="490" spans="1:18" ht="15" customHeight="1" x14ac:dyDescent="0.3">
      <c r="A490" s="12">
        <f>IF(IF(SelectedScope="All India",TRUE,'RAW_AR_CONTENT'!$B489=SelectedScope),'RAW_AR_CONTENT'!A489,"")</f>
        <v>486</v>
      </c>
      <c r="B490" s="12" t="str">
        <f>IF(IF(SelectedScope="All India",TRUE,'RAW_AR_CONTENT'!$B489=SelectedScope),'RAW_AR_CONTENT'!B489,"")</f>
        <v>Tripura</v>
      </c>
      <c r="C490" s="12" t="str">
        <f>IF(IF(SelectedScope="All India",TRUE,'RAW_AR_CONTENT'!$B489=SelectedScope),'RAW_AR_CONTENT'!C489,"")</f>
        <v>Mathematics</v>
      </c>
      <c r="D490" s="12" t="str">
        <f>IF(IF(SelectedScope="All India",TRUE,'RAW_AR_CONTENT'!$B489=SelectedScope),'RAW_AR_CONTENT'!D489,"")</f>
        <v>Class 10</v>
      </c>
      <c r="E490" s="12" t="str">
        <f>IF(IF(SelectedScope="All India",TRUE,'RAW_AR_CONTENT'!$B489=SelectedScope),'RAW_AR_CONTENT'!E489,"")</f>
        <v>Trigonometry 3D</v>
      </c>
      <c r="F490" s="12" t="str">
        <f>IF(IF(SelectedScope="All India",TRUE,'RAW_AR_CONTENT'!$B489=SelectedScope),'RAW_AR_CONTENT'!F489,"")</f>
        <v>Animated</v>
      </c>
      <c r="G490" s="12" t="str">
        <f>IF(IF(SelectedScope="All India",TRUE,'RAW_AR_CONTENT'!$B489=SelectedScope),'RAW_AR_CONTENT'!G489,"")</f>
        <v>Active</v>
      </c>
      <c r="H490" s="12">
        <f>IF(IF(SelectedScope="All India",TRUE,'RAW_AR_CONTENT'!$B489=SelectedScope),'RAW_AR_CONTENT'!H489,"")</f>
        <v>0</v>
      </c>
      <c r="I490" s="12">
        <f>IF(IF(SelectedScope="All India",TRUE,'RAW_AR_CONTENT'!$B489=SelectedScope),'RAW_AR_CONTENT'!I489,"")</f>
        <v>0</v>
      </c>
      <c r="J490" s="12">
        <f>IF(IF(SelectedScope="All India",TRUE,'RAW_AR_CONTENT'!$B489=SelectedScope),'RAW_AR_CONTENT'!J489,"")</f>
        <v>0</v>
      </c>
      <c r="K490" s="12">
        <f>IF(IF(SelectedScope="All India",TRUE,'RAW_AR_CONTENT'!$B489=SelectedScope),'RAW_AR_CONTENT'!K489,"")</f>
        <v>0</v>
      </c>
      <c r="L490" s="12">
        <f>IF(IF(SelectedScope="All India",TRUE,'RAW_AR_CONTENT'!$B489=SelectedScope),'RAW_AR_CONTENT'!L489,"")</f>
        <v>0</v>
      </c>
      <c r="M490" s="12">
        <f>IF(IF(SelectedScope="All India",TRUE,'RAW_AR_CONTENT'!$B489=SelectedScope),'RAW_AR_CONTENT'!M489,"")</f>
        <v>0</v>
      </c>
      <c r="N490" s="12">
        <f>IF(IF(SelectedScope="All India",TRUE,'RAW_AR_CONTENT'!$B489=SelectedScope),'RAW_AR_CONTENT'!N489,"")</f>
        <v>0</v>
      </c>
      <c r="O490" s="12">
        <f>IF(IF(SelectedScope="All India",TRUE,'RAW_AR_CONTENT'!$B489=SelectedScope),'RAW_AR_CONTENT'!O489,"")</f>
        <v>0</v>
      </c>
      <c r="P490" s="12">
        <f>IF(IF(SelectedScope="All India",TRUE,'RAW_AR_CONTENT'!$B489=SelectedScope),'RAW_AR_CONTENT'!P489,"")</f>
        <v>0</v>
      </c>
      <c r="Q490" s="12">
        <f>IF(IF(SelectedScope="All India",TRUE,'RAW_AR_CONTENT'!$B489=SelectedScope),'RAW_AR_CONTENT'!Q489,"")</f>
        <v>0</v>
      </c>
      <c r="R490" s="12">
        <f>IF(IF(SelectedScope="All India",TRUE,'RAW_AR_CONTENT'!$B489=SelectedScope),'RAW_AR_CONTENT'!R489,"")</f>
        <v>0</v>
      </c>
    </row>
    <row r="491" spans="1:18" ht="15" customHeight="1" x14ac:dyDescent="0.3">
      <c r="A491" s="9">
        <f>IF(IF(SelectedScope="All India",TRUE,'RAW_AR_CONTENT'!$B490=SelectedScope),'RAW_AR_CONTENT'!A490,"")</f>
        <v>487</v>
      </c>
      <c r="B491" s="9" t="str">
        <f>IF(IF(SelectedScope="All India",TRUE,'RAW_AR_CONTENT'!$B490=SelectedScope),'RAW_AR_CONTENT'!B490,"")</f>
        <v>Tripura</v>
      </c>
      <c r="C491" s="9" t="str">
        <f>IF(IF(SelectedScope="All India",TRUE,'RAW_AR_CONTENT'!$B490=SelectedScope),'RAW_AR_CONTENT'!C490,"")</f>
        <v>History</v>
      </c>
      <c r="D491" s="9" t="str">
        <f>IF(IF(SelectedScope="All India",TRUE,'RAW_AR_CONTENT'!$B490=SelectedScope),'RAW_AR_CONTENT'!D490,"")</f>
        <v>Class 10</v>
      </c>
      <c r="E491" s="9" t="str">
        <f>IF(IF(SelectedScope="All India",TRUE,'RAW_AR_CONTENT'!$B490=SelectedScope),'RAW_AR_CONTENT'!E490,"")</f>
        <v>Mughal Empire AR</v>
      </c>
      <c r="F491" s="9" t="str">
        <f>IF(IF(SelectedScope="All India",TRUE,'RAW_AR_CONTENT'!$B490=SelectedScope),'RAW_AR_CONTENT'!F490,"")</f>
        <v>Basic 3D</v>
      </c>
      <c r="G491" s="9" t="str">
        <f>IF(IF(SelectedScope="All India",TRUE,'RAW_AR_CONTENT'!$B490=SelectedScope),'RAW_AR_CONTENT'!G490,"")</f>
        <v>Active</v>
      </c>
      <c r="H491" s="9">
        <f>IF(IF(SelectedScope="All India",TRUE,'RAW_AR_CONTENT'!$B490=SelectedScope),'RAW_AR_CONTENT'!H490,"")</f>
        <v>0</v>
      </c>
      <c r="I491" s="9">
        <f>IF(IF(SelectedScope="All India",TRUE,'RAW_AR_CONTENT'!$B490=SelectedScope),'RAW_AR_CONTENT'!I490,"")</f>
        <v>0</v>
      </c>
      <c r="J491" s="9">
        <f>IF(IF(SelectedScope="All India",TRUE,'RAW_AR_CONTENT'!$B490=SelectedScope),'RAW_AR_CONTENT'!J490,"")</f>
        <v>0</v>
      </c>
      <c r="K491" s="9">
        <f>IF(IF(SelectedScope="All India",TRUE,'RAW_AR_CONTENT'!$B490=SelectedScope),'RAW_AR_CONTENT'!K490,"")</f>
        <v>0</v>
      </c>
      <c r="L491" s="9">
        <f>IF(IF(SelectedScope="All India",TRUE,'RAW_AR_CONTENT'!$B490=SelectedScope),'RAW_AR_CONTENT'!L490,"")</f>
        <v>0</v>
      </c>
      <c r="M491" s="9">
        <f>IF(IF(SelectedScope="All India",TRUE,'RAW_AR_CONTENT'!$B490=SelectedScope),'RAW_AR_CONTENT'!M490,"")</f>
        <v>0</v>
      </c>
      <c r="N491" s="9">
        <f>IF(IF(SelectedScope="All India",TRUE,'RAW_AR_CONTENT'!$B490=SelectedScope),'RAW_AR_CONTENT'!N490,"")</f>
        <v>0</v>
      </c>
      <c r="O491" s="9">
        <f>IF(IF(SelectedScope="All India",TRUE,'RAW_AR_CONTENT'!$B490=SelectedScope),'RAW_AR_CONTENT'!O490,"")</f>
        <v>0</v>
      </c>
      <c r="P491" s="9">
        <f>IF(IF(SelectedScope="All India",TRUE,'RAW_AR_CONTENT'!$B490=SelectedScope),'RAW_AR_CONTENT'!P490,"")</f>
        <v>0</v>
      </c>
      <c r="Q491" s="9">
        <f>IF(IF(SelectedScope="All India",TRUE,'RAW_AR_CONTENT'!$B490=SelectedScope),'RAW_AR_CONTENT'!Q490,"")</f>
        <v>0</v>
      </c>
      <c r="R491" s="9">
        <f>IF(IF(SelectedScope="All India",TRUE,'RAW_AR_CONTENT'!$B490=SelectedScope),'RAW_AR_CONTENT'!R490,"")</f>
        <v>0</v>
      </c>
    </row>
    <row r="492" spans="1:18" ht="15" customHeight="1" x14ac:dyDescent="0.3">
      <c r="A492" s="12">
        <f>IF(IF(SelectedScope="All India",TRUE,'RAW_AR_CONTENT'!$B491=SelectedScope),'RAW_AR_CONTENT'!A491,"")</f>
        <v>488</v>
      </c>
      <c r="B492" s="12" t="str">
        <f>IF(IF(SelectedScope="All India",TRUE,'RAW_AR_CONTENT'!$B491=SelectedScope),'RAW_AR_CONTENT'!B491,"")</f>
        <v>Tripura</v>
      </c>
      <c r="C492" s="12" t="str">
        <f>IF(IF(SelectedScope="All India",TRUE,'RAW_AR_CONTENT'!$B491=SelectedScope),'RAW_AR_CONTENT'!C491,"")</f>
        <v>Geography</v>
      </c>
      <c r="D492" s="12" t="str">
        <f>IF(IF(SelectedScope="All India",TRUE,'RAW_AR_CONTENT'!$B491=SelectedScope),'RAW_AR_CONTENT'!D491,"")</f>
        <v>Class 6</v>
      </c>
      <c r="E492" s="12" t="str">
        <f>IF(IF(SelectedScope="All India",TRUE,'RAW_AR_CONTENT'!$B491=SelectedScope),'RAW_AR_CONTENT'!E491,"")</f>
        <v>Water Cycle Simulation</v>
      </c>
      <c r="F492" s="12" t="str">
        <f>IF(IF(SelectedScope="All India",TRUE,'RAW_AR_CONTENT'!$B491=SelectedScope),'RAW_AR_CONTENT'!F491,"")</f>
        <v>Animated</v>
      </c>
      <c r="G492" s="12" t="str">
        <f>IF(IF(SelectedScope="All India",TRUE,'RAW_AR_CONTENT'!$B491=SelectedScope),'RAW_AR_CONTENT'!G491,"")</f>
        <v>Active</v>
      </c>
      <c r="H492" s="12">
        <f>IF(IF(SelectedScope="All India",TRUE,'RAW_AR_CONTENT'!$B491=SelectedScope),'RAW_AR_CONTENT'!H491,"")</f>
        <v>0</v>
      </c>
      <c r="I492" s="12">
        <f>IF(IF(SelectedScope="All India",TRUE,'RAW_AR_CONTENT'!$B491=SelectedScope),'RAW_AR_CONTENT'!I491,"")</f>
        <v>0</v>
      </c>
      <c r="J492" s="12">
        <f>IF(IF(SelectedScope="All India",TRUE,'RAW_AR_CONTENT'!$B491=SelectedScope),'RAW_AR_CONTENT'!J491,"")</f>
        <v>0</v>
      </c>
      <c r="K492" s="12">
        <f>IF(IF(SelectedScope="All India",TRUE,'RAW_AR_CONTENT'!$B491=SelectedScope),'RAW_AR_CONTENT'!K491,"")</f>
        <v>0</v>
      </c>
      <c r="L492" s="12">
        <f>IF(IF(SelectedScope="All India",TRUE,'RAW_AR_CONTENT'!$B491=SelectedScope),'RAW_AR_CONTENT'!L491,"")</f>
        <v>0</v>
      </c>
      <c r="M492" s="12">
        <f>IF(IF(SelectedScope="All India",TRUE,'RAW_AR_CONTENT'!$B491=SelectedScope),'RAW_AR_CONTENT'!M491,"")</f>
        <v>0</v>
      </c>
      <c r="N492" s="12">
        <f>IF(IF(SelectedScope="All India",TRUE,'RAW_AR_CONTENT'!$B491=SelectedScope),'RAW_AR_CONTENT'!N491,"")</f>
        <v>0</v>
      </c>
      <c r="O492" s="12">
        <f>IF(IF(SelectedScope="All India",TRUE,'RAW_AR_CONTENT'!$B491=SelectedScope),'RAW_AR_CONTENT'!O491,"")</f>
        <v>0</v>
      </c>
      <c r="P492" s="12">
        <f>IF(IF(SelectedScope="All India",TRUE,'RAW_AR_CONTENT'!$B491=SelectedScope),'RAW_AR_CONTENT'!P491,"")</f>
        <v>0</v>
      </c>
      <c r="Q492" s="12">
        <f>IF(IF(SelectedScope="All India",TRUE,'RAW_AR_CONTENT'!$B491=SelectedScope),'RAW_AR_CONTENT'!Q491,"")</f>
        <v>0</v>
      </c>
      <c r="R492" s="12">
        <f>IF(IF(SelectedScope="All India",TRUE,'RAW_AR_CONTENT'!$B491=SelectedScope),'RAW_AR_CONTENT'!R491,"")</f>
        <v>0</v>
      </c>
    </row>
    <row r="493" spans="1:18" ht="15" customHeight="1" x14ac:dyDescent="0.3">
      <c r="A493" s="9">
        <f>IF(IF(SelectedScope="All India",TRUE,'RAW_AR_CONTENT'!$B492=SelectedScope),'RAW_AR_CONTENT'!A492,"")</f>
        <v>489</v>
      </c>
      <c r="B493" s="9" t="str">
        <f>IF(IF(SelectedScope="All India",TRUE,'RAW_AR_CONTENT'!$B492=SelectedScope),'RAW_AR_CONTENT'!B492,"")</f>
        <v>Tripura</v>
      </c>
      <c r="C493" s="9" t="str">
        <f>IF(IF(SelectedScope="All India",TRUE,'RAW_AR_CONTENT'!$B492=SelectedScope),'RAW_AR_CONTENT'!C492,"")</f>
        <v>Biology</v>
      </c>
      <c r="D493" s="9" t="str">
        <f>IF(IF(SelectedScope="All India",TRUE,'RAW_AR_CONTENT'!$B492=SelectedScope),'RAW_AR_CONTENT'!D492,"")</f>
        <v>Class 11</v>
      </c>
      <c r="E493" s="9" t="str">
        <f>IF(IF(SelectedScope="All India",TRUE,'RAW_AR_CONTENT'!$B492=SelectedScope),'RAW_AR_CONTENT'!E492,"")</f>
        <v>Human Anatomy AR</v>
      </c>
      <c r="F493" s="9" t="str">
        <f>IF(IF(SelectedScope="All India",TRUE,'RAW_AR_CONTENT'!$B492=SelectedScope),'RAW_AR_CONTENT'!F492,"")</f>
        <v>Fully Immersive</v>
      </c>
      <c r="G493" s="9" t="str">
        <f>IF(IF(SelectedScope="All India",TRUE,'RAW_AR_CONTENT'!$B492=SelectedScope),'RAW_AR_CONTENT'!G492,"")</f>
        <v>Active</v>
      </c>
      <c r="H493" s="9">
        <f>IF(IF(SelectedScope="All India",TRUE,'RAW_AR_CONTENT'!$B492=SelectedScope),'RAW_AR_CONTENT'!H492,"")</f>
        <v>0</v>
      </c>
      <c r="I493" s="9">
        <f>IF(IF(SelectedScope="All India",TRUE,'RAW_AR_CONTENT'!$B492=SelectedScope),'RAW_AR_CONTENT'!I492,"")</f>
        <v>0</v>
      </c>
      <c r="J493" s="9">
        <f>IF(IF(SelectedScope="All India",TRUE,'RAW_AR_CONTENT'!$B492=SelectedScope),'RAW_AR_CONTENT'!J492,"")</f>
        <v>0</v>
      </c>
      <c r="K493" s="9">
        <f>IF(IF(SelectedScope="All India",TRUE,'RAW_AR_CONTENT'!$B492=SelectedScope),'RAW_AR_CONTENT'!K492,"")</f>
        <v>0</v>
      </c>
      <c r="L493" s="9">
        <f>IF(IF(SelectedScope="All India",TRUE,'RAW_AR_CONTENT'!$B492=SelectedScope),'RAW_AR_CONTENT'!L492,"")</f>
        <v>0</v>
      </c>
      <c r="M493" s="9">
        <f>IF(IF(SelectedScope="All India",TRUE,'RAW_AR_CONTENT'!$B492=SelectedScope),'RAW_AR_CONTENT'!M492,"")</f>
        <v>0</v>
      </c>
      <c r="N493" s="9">
        <f>IF(IF(SelectedScope="All India",TRUE,'RAW_AR_CONTENT'!$B492=SelectedScope),'RAW_AR_CONTENT'!N492,"")</f>
        <v>0</v>
      </c>
      <c r="O493" s="9">
        <f>IF(IF(SelectedScope="All India",TRUE,'RAW_AR_CONTENT'!$B492=SelectedScope),'RAW_AR_CONTENT'!O492,"")</f>
        <v>0</v>
      </c>
      <c r="P493" s="9">
        <f>IF(IF(SelectedScope="All India",TRUE,'RAW_AR_CONTENT'!$B492=SelectedScope),'RAW_AR_CONTENT'!P492,"")</f>
        <v>0</v>
      </c>
      <c r="Q493" s="9">
        <f>IF(IF(SelectedScope="All India",TRUE,'RAW_AR_CONTENT'!$B492=SelectedScope),'RAW_AR_CONTENT'!Q492,"")</f>
        <v>0</v>
      </c>
      <c r="R493" s="9">
        <f>IF(IF(SelectedScope="All India",TRUE,'RAW_AR_CONTENT'!$B492=SelectedScope),'RAW_AR_CONTENT'!R492,"")</f>
        <v>0</v>
      </c>
    </row>
    <row r="494" spans="1:18" ht="15" customHeight="1" x14ac:dyDescent="0.3">
      <c r="A494" s="12">
        <f>IF(IF(SelectedScope="All India",TRUE,'RAW_AR_CONTENT'!$B493=SelectedScope),'RAW_AR_CONTENT'!A493,"")</f>
        <v>490</v>
      </c>
      <c r="B494" s="12" t="str">
        <f>IF(IF(SelectedScope="All India",TRUE,'RAW_AR_CONTENT'!$B493=SelectedScope),'RAW_AR_CONTENT'!B493,"")</f>
        <v>Tripura</v>
      </c>
      <c r="C494" s="12" t="str">
        <f>IF(IF(SelectedScope="All India",TRUE,'RAW_AR_CONTENT'!$B493=SelectedScope),'RAW_AR_CONTENT'!C493,"")</f>
        <v>Physics</v>
      </c>
      <c r="D494" s="12" t="str">
        <f>IF(IF(SelectedScope="All India",TRUE,'RAW_AR_CONTENT'!$B493=SelectedScope),'RAW_AR_CONTENT'!D493,"")</f>
        <v>Class 9</v>
      </c>
      <c r="E494" s="12" t="str">
        <f>IF(IF(SelectedScope="All India",TRUE,'RAW_AR_CONTENT'!$B493=SelectedScope),'RAW_AR_CONTENT'!E493,"")</f>
        <v>Laws of Motion</v>
      </c>
      <c r="F494" s="12" t="str">
        <f>IF(IF(SelectedScope="All India",TRUE,'RAW_AR_CONTENT'!$B493=SelectedScope),'RAW_AR_CONTENT'!F493,"")</f>
        <v>Interactive</v>
      </c>
      <c r="G494" s="12" t="str">
        <f>IF(IF(SelectedScope="All India",TRUE,'RAW_AR_CONTENT'!$B493=SelectedScope),'RAW_AR_CONTENT'!G493,"")</f>
        <v>Active</v>
      </c>
      <c r="H494" s="12">
        <f>IF(IF(SelectedScope="All India",TRUE,'RAW_AR_CONTENT'!$B493=SelectedScope),'RAW_AR_CONTENT'!H493,"")</f>
        <v>0</v>
      </c>
      <c r="I494" s="12">
        <f>IF(IF(SelectedScope="All India",TRUE,'RAW_AR_CONTENT'!$B493=SelectedScope),'RAW_AR_CONTENT'!I493,"")</f>
        <v>0</v>
      </c>
      <c r="J494" s="12">
        <f>IF(IF(SelectedScope="All India",TRUE,'RAW_AR_CONTENT'!$B493=SelectedScope),'RAW_AR_CONTENT'!J493,"")</f>
        <v>0</v>
      </c>
      <c r="K494" s="12">
        <f>IF(IF(SelectedScope="All India",TRUE,'RAW_AR_CONTENT'!$B493=SelectedScope),'RAW_AR_CONTENT'!K493,"")</f>
        <v>0</v>
      </c>
      <c r="L494" s="12">
        <f>IF(IF(SelectedScope="All India",TRUE,'RAW_AR_CONTENT'!$B493=SelectedScope),'RAW_AR_CONTENT'!L493,"")</f>
        <v>0</v>
      </c>
      <c r="M494" s="12">
        <f>IF(IF(SelectedScope="All India",TRUE,'RAW_AR_CONTENT'!$B493=SelectedScope),'RAW_AR_CONTENT'!M493,"")</f>
        <v>0</v>
      </c>
      <c r="N494" s="12">
        <f>IF(IF(SelectedScope="All India",TRUE,'RAW_AR_CONTENT'!$B493=SelectedScope),'RAW_AR_CONTENT'!N493,"")</f>
        <v>0</v>
      </c>
      <c r="O494" s="12">
        <f>IF(IF(SelectedScope="All India",TRUE,'RAW_AR_CONTENT'!$B493=SelectedScope),'RAW_AR_CONTENT'!O493,"")</f>
        <v>0</v>
      </c>
      <c r="P494" s="12">
        <f>IF(IF(SelectedScope="All India",TRUE,'RAW_AR_CONTENT'!$B493=SelectedScope),'RAW_AR_CONTENT'!P493,"")</f>
        <v>0</v>
      </c>
      <c r="Q494" s="12">
        <f>IF(IF(SelectedScope="All India",TRUE,'RAW_AR_CONTENT'!$B493=SelectedScope),'RAW_AR_CONTENT'!Q493,"")</f>
        <v>0</v>
      </c>
      <c r="R494" s="12">
        <f>IF(IF(SelectedScope="All India",TRUE,'RAW_AR_CONTENT'!$B493=SelectedScope),'RAW_AR_CONTENT'!R493,"")</f>
        <v>0</v>
      </c>
    </row>
    <row r="495" spans="1:18" ht="15" customHeight="1" x14ac:dyDescent="0.3">
      <c r="A495" s="9">
        <f>IF(IF(SelectedScope="All India",TRUE,'RAW_AR_CONTENT'!$B494=SelectedScope),'RAW_AR_CONTENT'!A494,"")</f>
        <v>491</v>
      </c>
      <c r="B495" s="9" t="str">
        <f>IF(IF(SelectedScope="All India",TRUE,'RAW_AR_CONTENT'!$B494=SelectedScope),'RAW_AR_CONTENT'!B494,"")</f>
        <v>Tripura</v>
      </c>
      <c r="C495" s="9" t="str">
        <f>IF(IF(SelectedScope="All India",TRUE,'RAW_AR_CONTENT'!$B494=SelectedScope),'RAW_AR_CONTENT'!C494,"")</f>
        <v>Chemistry</v>
      </c>
      <c r="D495" s="9" t="str">
        <f>IF(IF(SelectedScope="All India",TRUE,'RAW_AR_CONTENT'!$B494=SelectedScope),'RAW_AR_CONTENT'!D494,"")</f>
        <v>Class 11</v>
      </c>
      <c r="E495" s="9" t="str">
        <f>IF(IF(SelectedScope="All India",TRUE,'RAW_AR_CONTENT'!$B494=SelectedScope),'RAW_AR_CONTENT'!E494,"")</f>
        <v>Periodic Table 3D</v>
      </c>
      <c r="F495" s="9" t="str">
        <f>IF(IF(SelectedScope="All India",TRUE,'RAW_AR_CONTENT'!$B494=SelectedScope),'RAW_AR_CONTENT'!F494,"")</f>
        <v>Interactive</v>
      </c>
      <c r="G495" s="9" t="str">
        <f>IF(IF(SelectedScope="All India",TRUE,'RAW_AR_CONTENT'!$B494=SelectedScope),'RAW_AR_CONTENT'!G494,"")</f>
        <v>Active</v>
      </c>
      <c r="H495" s="9">
        <f>IF(IF(SelectedScope="All India",TRUE,'RAW_AR_CONTENT'!$B494=SelectedScope),'RAW_AR_CONTENT'!H494,"")</f>
        <v>0</v>
      </c>
      <c r="I495" s="9">
        <f>IF(IF(SelectedScope="All India",TRUE,'RAW_AR_CONTENT'!$B494=SelectedScope),'RAW_AR_CONTENT'!I494,"")</f>
        <v>0</v>
      </c>
      <c r="J495" s="9">
        <f>IF(IF(SelectedScope="All India",TRUE,'RAW_AR_CONTENT'!$B494=SelectedScope),'RAW_AR_CONTENT'!J494,"")</f>
        <v>0</v>
      </c>
      <c r="K495" s="9">
        <f>IF(IF(SelectedScope="All India",TRUE,'RAW_AR_CONTENT'!$B494=SelectedScope),'RAW_AR_CONTENT'!K494,"")</f>
        <v>0</v>
      </c>
      <c r="L495" s="9">
        <f>IF(IF(SelectedScope="All India",TRUE,'RAW_AR_CONTENT'!$B494=SelectedScope),'RAW_AR_CONTENT'!L494,"")</f>
        <v>0</v>
      </c>
      <c r="M495" s="9">
        <f>IF(IF(SelectedScope="All India",TRUE,'RAW_AR_CONTENT'!$B494=SelectedScope),'RAW_AR_CONTENT'!M494,"")</f>
        <v>0</v>
      </c>
      <c r="N495" s="9">
        <f>IF(IF(SelectedScope="All India",TRUE,'RAW_AR_CONTENT'!$B494=SelectedScope),'RAW_AR_CONTENT'!N494,"")</f>
        <v>0</v>
      </c>
      <c r="O495" s="9">
        <f>IF(IF(SelectedScope="All India",TRUE,'RAW_AR_CONTENT'!$B494=SelectedScope),'RAW_AR_CONTENT'!O494,"")</f>
        <v>0</v>
      </c>
      <c r="P495" s="9">
        <f>IF(IF(SelectedScope="All India",TRUE,'RAW_AR_CONTENT'!$B494=SelectedScope),'RAW_AR_CONTENT'!P494,"")</f>
        <v>0</v>
      </c>
      <c r="Q495" s="9">
        <f>IF(IF(SelectedScope="All India",TRUE,'RAW_AR_CONTENT'!$B494=SelectedScope),'RAW_AR_CONTENT'!Q494,"")</f>
        <v>0</v>
      </c>
      <c r="R495" s="9">
        <f>IF(IF(SelectedScope="All India",TRUE,'RAW_AR_CONTENT'!$B494=SelectedScope),'RAW_AR_CONTENT'!R494,"")</f>
        <v>0</v>
      </c>
    </row>
    <row r="496" spans="1:18" ht="15" customHeight="1" x14ac:dyDescent="0.3">
      <c r="A496" s="12">
        <f>IF(IF(SelectedScope="All India",TRUE,'RAW_AR_CONTENT'!$B495=SelectedScope),'RAW_AR_CONTENT'!A495,"")</f>
        <v>492</v>
      </c>
      <c r="B496" s="12" t="str">
        <f>IF(IF(SelectedScope="All India",TRUE,'RAW_AR_CONTENT'!$B495=SelectedScope),'RAW_AR_CONTENT'!B495,"")</f>
        <v>Tripura</v>
      </c>
      <c r="C496" s="12" t="str">
        <f>IF(IF(SelectedScope="All India",TRUE,'RAW_AR_CONTENT'!$B495=SelectedScope),'RAW_AR_CONTENT'!C495,"")</f>
        <v>Physics</v>
      </c>
      <c r="D496" s="12" t="str">
        <f>IF(IF(SelectedScope="All India",TRUE,'RAW_AR_CONTENT'!$B495=SelectedScope),'RAW_AR_CONTENT'!D495,"")</f>
        <v>Class 10</v>
      </c>
      <c r="E496" s="12" t="str">
        <f>IF(IF(SelectedScope="All India",TRUE,'RAW_AR_CONTENT'!$B495=SelectedScope),'RAW_AR_CONTENT'!E495,"")</f>
        <v>Electricity Circuits</v>
      </c>
      <c r="F496" s="12" t="str">
        <f>IF(IF(SelectedScope="All India",TRUE,'RAW_AR_CONTENT'!$B495=SelectedScope),'RAW_AR_CONTENT'!F495,"")</f>
        <v>Interactive</v>
      </c>
      <c r="G496" s="12" t="str">
        <f>IF(IF(SelectedScope="All India",TRUE,'RAW_AR_CONTENT'!$B495=SelectedScope),'RAW_AR_CONTENT'!G495,"")</f>
        <v>Active</v>
      </c>
      <c r="H496" s="12">
        <f>IF(IF(SelectedScope="All India",TRUE,'RAW_AR_CONTENT'!$B495=SelectedScope),'RAW_AR_CONTENT'!H495,"")</f>
        <v>0</v>
      </c>
      <c r="I496" s="12">
        <f>IF(IF(SelectedScope="All India",TRUE,'RAW_AR_CONTENT'!$B495=SelectedScope),'RAW_AR_CONTENT'!I495,"")</f>
        <v>0</v>
      </c>
      <c r="J496" s="12">
        <f>IF(IF(SelectedScope="All India",TRUE,'RAW_AR_CONTENT'!$B495=SelectedScope),'RAW_AR_CONTENT'!J495,"")</f>
        <v>0</v>
      </c>
      <c r="K496" s="12">
        <f>IF(IF(SelectedScope="All India",TRUE,'RAW_AR_CONTENT'!$B495=SelectedScope),'RAW_AR_CONTENT'!K495,"")</f>
        <v>0</v>
      </c>
      <c r="L496" s="12">
        <f>IF(IF(SelectedScope="All India",TRUE,'RAW_AR_CONTENT'!$B495=SelectedScope),'RAW_AR_CONTENT'!L495,"")</f>
        <v>0</v>
      </c>
      <c r="M496" s="12">
        <f>IF(IF(SelectedScope="All India",TRUE,'RAW_AR_CONTENT'!$B495=SelectedScope),'RAW_AR_CONTENT'!M495,"")</f>
        <v>0</v>
      </c>
      <c r="N496" s="12">
        <f>IF(IF(SelectedScope="All India",TRUE,'RAW_AR_CONTENT'!$B495=SelectedScope),'RAW_AR_CONTENT'!N495,"")</f>
        <v>0</v>
      </c>
      <c r="O496" s="12">
        <f>IF(IF(SelectedScope="All India",TRUE,'RAW_AR_CONTENT'!$B495=SelectedScope),'RAW_AR_CONTENT'!O495,"")</f>
        <v>0</v>
      </c>
      <c r="P496" s="12">
        <f>IF(IF(SelectedScope="All India",TRUE,'RAW_AR_CONTENT'!$B495=SelectedScope),'RAW_AR_CONTENT'!P495,"")</f>
        <v>0</v>
      </c>
      <c r="Q496" s="12">
        <f>IF(IF(SelectedScope="All India",TRUE,'RAW_AR_CONTENT'!$B495=SelectedScope),'RAW_AR_CONTENT'!Q495,"")</f>
        <v>0</v>
      </c>
      <c r="R496" s="12">
        <f>IF(IF(SelectedScope="All India",TRUE,'RAW_AR_CONTENT'!$B495=SelectedScope),'RAW_AR_CONTENT'!R495,"")</f>
        <v>0</v>
      </c>
    </row>
    <row r="497" spans="1:18" ht="15" customHeight="1" x14ac:dyDescent="0.3">
      <c r="A497" s="9">
        <f>IF(IF(SelectedScope="All India",TRUE,'RAW_AR_CONTENT'!$B496=SelectedScope),'RAW_AR_CONTENT'!A496,"")</f>
        <v>493</v>
      </c>
      <c r="B497" s="9" t="str">
        <f>IF(IF(SelectedScope="All India",TRUE,'RAW_AR_CONTENT'!$B496=SelectedScope),'RAW_AR_CONTENT'!B496,"")</f>
        <v>Tripura</v>
      </c>
      <c r="C497" s="9" t="str">
        <f>IF(IF(SelectedScope="All India",TRUE,'RAW_AR_CONTENT'!$B496=SelectedScope),'RAW_AR_CONTENT'!C496,"")</f>
        <v>Civics</v>
      </c>
      <c r="D497" s="9" t="str">
        <f>IF(IF(SelectedScope="All India",TRUE,'RAW_AR_CONTENT'!$B496=SelectedScope),'RAW_AR_CONTENT'!D496,"")</f>
        <v>Class 9</v>
      </c>
      <c r="E497" s="9" t="str">
        <f>IF(IF(SelectedScope="All India",TRUE,'RAW_AR_CONTENT'!$B496=SelectedScope),'RAW_AR_CONTENT'!E496,"")</f>
        <v>Indian Constitution</v>
      </c>
      <c r="F497" s="9" t="str">
        <f>IF(IF(SelectedScope="All India",TRUE,'RAW_AR_CONTENT'!$B496=SelectedScope),'RAW_AR_CONTENT'!F496,"")</f>
        <v>Basic 3D</v>
      </c>
      <c r="G497" s="9" t="str">
        <f>IF(IF(SelectedScope="All India",TRUE,'RAW_AR_CONTENT'!$B496=SelectedScope),'RAW_AR_CONTENT'!G496,"")</f>
        <v>Active</v>
      </c>
      <c r="H497" s="9">
        <f>IF(IF(SelectedScope="All India",TRUE,'RAW_AR_CONTENT'!$B496=SelectedScope),'RAW_AR_CONTENT'!H496,"")</f>
        <v>0</v>
      </c>
      <c r="I497" s="9">
        <f>IF(IF(SelectedScope="All India",TRUE,'RAW_AR_CONTENT'!$B496=SelectedScope),'RAW_AR_CONTENT'!I496,"")</f>
        <v>0</v>
      </c>
      <c r="J497" s="9">
        <f>IF(IF(SelectedScope="All India",TRUE,'RAW_AR_CONTENT'!$B496=SelectedScope),'RAW_AR_CONTENT'!J496,"")</f>
        <v>0</v>
      </c>
      <c r="K497" s="9">
        <f>IF(IF(SelectedScope="All India",TRUE,'RAW_AR_CONTENT'!$B496=SelectedScope),'RAW_AR_CONTENT'!K496,"")</f>
        <v>0</v>
      </c>
      <c r="L497" s="9">
        <f>IF(IF(SelectedScope="All India",TRUE,'RAW_AR_CONTENT'!$B496=SelectedScope),'RAW_AR_CONTENT'!L496,"")</f>
        <v>0</v>
      </c>
      <c r="M497" s="9">
        <f>IF(IF(SelectedScope="All India",TRUE,'RAW_AR_CONTENT'!$B496=SelectedScope),'RAW_AR_CONTENT'!M496,"")</f>
        <v>0</v>
      </c>
      <c r="N497" s="9">
        <f>IF(IF(SelectedScope="All India",TRUE,'RAW_AR_CONTENT'!$B496=SelectedScope),'RAW_AR_CONTENT'!N496,"")</f>
        <v>0</v>
      </c>
      <c r="O497" s="9">
        <f>IF(IF(SelectedScope="All India",TRUE,'RAW_AR_CONTENT'!$B496=SelectedScope),'RAW_AR_CONTENT'!O496,"")</f>
        <v>0</v>
      </c>
      <c r="P497" s="9">
        <f>IF(IF(SelectedScope="All India",TRUE,'RAW_AR_CONTENT'!$B496=SelectedScope),'RAW_AR_CONTENT'!P496,"")</f>
        <v>0</v>
      </c>
      <c r="Q497" s="9">
        <f>IF(IF(SelectedScope="All India",TRUE,'RAW_AR_CONTENT'!$B496=SelectedScope),'RAW_AR_CONTENT'!Q496,"")</f>
        <v>0</v>
      </c>
      <c r="R497" s="9">
        <f>IF(IF(SelectedScope="All India",TRUE,'RAW_AR_CONTENT'!$B496=SelectedScope),'RAW_AR_CONTENT'!R496,"")</f>
        <v>0</v>
      </c>
    </row>
    <row r="498" spans="1:18" ht="15" customHeight="1" x14ac:dyDescent="0.3">
      <c r="A498" s="12">
        <f>IF(IF(SelectedScope="All India",TRUE,'RAW_AR_CONTENT'!$B497=SelectedScope),'RAW_AR_CONTENT'!A497,"")</f>
        <v>494</v>
      </c>
      <c r="B498" s="12" t="str">
        <f>IF(IF(SelectedScope="All India",TRUE,'RAW_AR_CONTENT'!$B497=SelectedScope),'RAW_AR_CONTENT'!B497,"")</f>
        <v>Tripura</v>
      </c>
      <c r="C498" s="12" t="str">
        <f>IF(IF(SelectedScope="All India",TRUE,'RAW_AR_CONTENT'!$B497=SelectedScope),'RAW_AR_CONTENT'!C497,"")</f>
        <v>Environmental Science</v>
      </c>
      <c r="D498" s="12" t="str">
        <f>IF(IF(SelectedScope="All India",TRUE,'RAW_AR_CONTENT'!$B497=SelectedScope),'RAW_AR_CONTENT'!D497,"")</f>
        <v>Class 6</v>
      </c>
      <c r="E498" s="12" t="str">
        <f>IF(IF(SelectedScope="All India",TRUE,'RAW_AR_CONTENT'!$B497=SelectedScope),'RAW_AR_CONTENT'!E497,"")</f>
        <v>Food Chain</v>
      </c>
      <c r="F498" s="12" t="str">
        <f>IF(IF(SelectedScope="All India",TRUE,'RAW_AR_CONTENT'!$B497=SelectedScope),'RAW_AR_CONTENT'!F497,"")</f>
        <v>Animated</v>
      </c>
      <c r="G498" s="12" t="str">
        <f>IF(IF(SelectedScope="All India",TRUE,'RAW_AR_CONTENT'!$B497=SelectedScope),'RAW_AR_CONTENT'!G497,"")</f>
        <v>Active</v>
      </c>
      <c r="H498" s="12">
        <f>IF(IF(SelectedScope="All India",TRUE,'RAW_AR_CONTENT'!$B497=SelectedScope),'RAW_AR_CONTENT'!H497,"")</f>
        <v>0</v>
      </c>
      <c r="I498" s="12">
        <f>IF(IF(SelectedScope="All India",TRUE,'RAW_AR_CONTENT'!$B497=SelectedScope),'RAW_AR_CONTENT'!I497,"")</f>
        <v>0</v>
      </c>
      <c r="J498" s="12">
        <f>IF(IF(SelectedScope="All India",TRUE,'RAW_AR_CONTENT'!$B497=SelectedScope),'RAW_AR_CONTENT'!J497,"")</f>
        <v>0</v>
      </c>
      <c r="K498" s="12">
        <f>IF(IF(SelectedScope="All India",TRUE,'RAW_AR_CONTENT'!$B497=SelectedScope),'RAW_AR_CONTENT'!K497,"")</f>
        <v>0</v>
      </c>
      <c r="L498" s="12">
        <f>IF(IF(SelectedScope="All India",TRUE,'RAW_AR_CONTENT'!$B497=SelectedScope),'RAW_AR_CONTENT'!L497,"")</f>
        <v>0</v>
      </c>
      <c r="M498" s="12">
        <f>IF(IF(SelectedScope="All India",TRUE,'RAW_AR_CONTENT'!$B497=SelectedScope),'RAW_AR_CONTENT'!M497,"")</f>
        <v>0</v>
      </c>
      <c r="N498" s="12">
        <f>IF(IF(SelectedScope="All India",TRUE,'RAW_AR_CONTENT'!$B497=SelectedScope),'RAW_AR_CONTENT'!N497,"")</f>
        <v>0</v>
      </c>
      <c r="O498" s="12">
        <f>IF(IF(SelectedScope="All India",TRUE,'RAW_AR_CONTENT'!$B497=SelectedScope),'RAW_AR_CONTENT'!O497,"")</f>
        <v>0</v>
      </c>
      <c r="P498" s="12">
        <f>IF(IF(SelectedScope="All India",TRUE,'RAW_AR_CONTENT'!$B497=SelectedScope),'RAW_AR_CONTENT'!P497,"")</f>
        <v>0</v>
      </c>
      <c r="Q498" s="12">
        <f>IF(IF(SelectedScope="All India",TRUE,'RAW_AR_CONTENT'!$B497=SelectedScope),'RAW_AR_CONTENT'!Q497,"")</f>
        <v>0</v>
      </c>
      <c r="R498" s="12">
        <f>IF(IF(SelectedScope="All India",TRUE,'RAW_AR_CONTENT'!$B497=SelectedScope),'RAW_AR_CONTENT'!R497,"")</f>
        <v>0</v>
      </c>
    </row>
    <row r="499" spans="1:18" ht="15" customHeight="1" x14ac:dyDescent="0.3">
      <c r="A499" s="9">
        <f>IF(IF(SelectedScope="All India",TRUE,'RAW_AR_CONTENT'!$B498=SelectedScope),'RAW_AR_CONTENT'!A498,"")</f>
        <v>495</v>
      </c>
      <c r="B499" s="9" t="str">
        <f>IF(IF(SelectedScope="All India",TRUE,'RAW_AR_CONTENT'!$B498=SelectedScope),'RAW_AR_CONTENT'!B498,"")</f>
        <v>Tripura</v>
      </c>
      <c r="C499" s="9" t="str">
        <f>IF(IF(SelectedScope="All India",TRUE,'RAW_AR_CONTENT'!$B498=SelectedScope),'RAW_AR_CONTENT'!C498,"")</f>
        <v>Mathematics</v>
      </c>
      <c r="D499" s="9" t="str">
        <f>IF(IF(SelectedScope="All India",TRUE,'RAW_AR_CONTENT'!$B498=SelectedScope),'RAW_AR_CONTENT'!D498,"")</f>
        <v>Class 10</v>
      </c>
      <c r="E499" s="9" t="str">
        <f>IF(IF(SelectedScope="All India",TRUE,'RAW_AR_CONTENT'!$B498=SelectedScope),'RAW_AR_CONTENT'!E498,"")</f>
        <v>Quadratic Equations</v>
      </c>
      <c r="F499" s="9" t="str">
        <f>IF(IF(SelectedScope="All India",TRUE,'RAW_AR_CONTENT'!$B498=SelectedScope),'RAW_AR_CONTENT'!F498,"")</f>
        <v>Animated</v>
      </c>
      <c r="G499" s="9" t="str">
        <f>IF(IF(SelectedScope="All India",TRUE,'RAW_AR_CONTENT'!$B498=SelectedScope),'RAW_AR_CONTENT'!G498,"")</f>
        <v>Active</v>
      </c>
      <c r="H499" s="9">
        <f>IF(IF(SelectedScope="All India",TRUE,'RAW_AR_CONTENT'!$B498=SelectedScope),'RAW_AR_CONTENT'!H498,"")</f>
        <v>0</v>
      </c>
      <c r="I499" s="9">
        <f>IF(IF(SelectedScope="All India",TRUE,'RAW_AR_CONTENT'!$B498=SelectedScope),'RAW_AR_CONTENT'!I498,"")</f>
        <v>0</v>
      </c>
      <c r="J499" s="9">
        <f>IF(IF(SelectedScope="All India",TRUE,'RAW_AR_CONTENT'!$B498=SelectedScope),'RAW_AR_CONTENT'!J498,"")</f>
        <v>0</v>
      </c>
      <c r="K499" s="9">
        <f>IF(IF(SelectedScope="All India",TRUE,'RAW_AR_CONTENT'!$B498=SelectedScope),'RAW_AR_CONTENT'!K498,"")</f>
        <v>0</v>
      </c>
      <c r="L499" s="9">
        <f>IF(IF(SelectedScope="All India",TRUE,'RAW_AR_CONTENT'!$B498=SelectedScope),'RAW_AR_CONTENT'!L498,"")</f>
        <v>0</v>
      </c>
      <c r="M499" s="9">
        <f>IF(IF(SelectedScope="All India",TRUE,'RAW_AR_CONTENT'!$B498=SelectedScope),'RAW_AR_CONTENT'!M498,"")</f>
        <v>0</v>
      </c>
      <c r="N499" s="9">
        <f>IF(IF(SelectedScope="All India",TRUE,'RAW_AR_CONTENT'!$B498=SelectedScope),'RAW_AR_CONTENT'!N498,"")</f>
        <v>0</v>
      </c>
      <c r="O499" s="9">
        <f>IF(IF(SelectedScope="All India",TRUE,'RAW_AR_CONTENT'!$B498=SelectedScope),'RAW_AR_CONTENT'!O498,"")</f>
        <v>0</v>
      </c>
      <c r="P499" s="9">
        <f>IF(IF(SelectedScope="All India",TRUE,'RAW_AR_CONTENT'!$B498=SelectedScope),'RAW_AR_CONTENT'!P498,"")</f>
        <v>0</v>
      </c>
      <c r="Q499" s="9">
        <f>IF(IF(SelectedScope="All India",TRUE,'RAW_AR_CONTENT'!$B498=SelectedScope),'RAW_AR_CONTENT'!Q498,"")</f>
        <v>0</v>
      </c>
      <c r="R499" s="9">
        <f>IF(IF(SelectedScope="All India",TRUE,'RAW_AR_CONTENT'!$B498=SelectedScope),'RAW_AR_CONTENT'!R498,"")</f>
        <v>0</v>
      </c>
    </row>
    <row r="500" spans="1:18" ht="15" customHeight="1" x14ac:dyDescent="0.3">
      <c r="A500" s="12">
        <f>IF(IF(SelectedScope="All India",TRUE,'RAW_AR_CONTENT'!$B499=SelectedScope),'RAW_AR_CONTENT'!A499,"")</f>
        <v>496</v>
      </c>
      <c r="B500" s="12" t="str">
        <f>IF(IF(SelectedScope="All India",TRUE,'RAW_AR_CONTENT'!$B499=SelectedScope),'RAW_AR_CONTENT'!B499,"")</f>
        <v>Uttar Pradesh</v>
      </c>
      <c r="C500" s="12" t="str">
        <f>IF(IF(SelectedScope="All India",TRUE,'RAW_AR_CONTENT'!$B499=SelectedScope),'RAW_AR_CONTENT'!C499,"")</f>
        <v>Science</v>
      </c>
      <c r="D500" s="12" t="str">
        <f>IF(IF(SelectedScope="All India",TRUE,'RAW_AR_CONTENT'!$B499=SelectedScope),'RAW_AR_CONTENT'!D499,"")</f>
        <v>Class 8</v>
      </c>
      <c r="E500" s="12" t="str">
        <f>IF(IF(SelectedScope="All India",TRUE,'RAW_AR_CONTENT'!$B499=SelectedScope),'RAW_AR_CONTENT'!E499,"")</f>
        <v>Solar System 3D</v>
      </c>
      <c r="F500" s="12" t="str">
        <f>IF(IF(SelectedScope="All India",TRUE,'RAW_AR_CONTENT'!$B499=SelectedScope),'RAW_AR_CONTENT'!F499,"")</f>
        <v>Animated</v>
      </c>
      <c r="G500" s="12" t="str">
        <f>IF(IF(SelectedScope="All India",TRUE,'RAW_AR_CONTENT'!$B499=SelectedScope),'RAW_AR_CONTENT'!G499,"")</f>
        <v>Active</v>
      </c>
      <c r="H500" s="12">
        <f>IF(IF(SelectedScope="All India",TRUE,'RAW_AR_CONTENT'!$B499=SelectedScope),'RAW_AR_CONTENT'!H499,"")</f>
        <v>0</v>
      </c>
      <c r="I500" s="12">
        <f>IF(IF(SelectedScope="All India",TRUE,'RAW_AR_CONTENT'!$B499=SelectedScope),'RAW_AR_CONTENT'!I499,"")</f>
        <v>0</v>
      </c>
      <c r="J500" s="12">
        <f>IF(IF(SelectedScope="All India",TRUE,'RAW_AR_CONTENT'!$B499=SelectedScope),'RAW_AR_CONTENT'!J499,"")</f>
        <v>0</v>
      </c>
      <c r="K500" s="12">
        <f>IF(IF(SelectedScope="All India",TRUE,'RAW_AR_CONTENT'!$B499=SelectedScope),'RAW_AR_CONTENT'!K499,"")</f>
        <v>0</v>
      </c>
      <c r="L500" s="12">
        <f>IF(IF(SelectedScope="All India",TRUE,'RAW_AR_CONTENT'!$B499=SelectedScope),'RAW_AR_CONTENT'!L499,"")</f>
        <v>0</v>
      </c>
      <c r="M500" s="12">
        <f>IF(IF(SelectedScope="All India",TRUE,'RAW_AR_CONTENT'!$B499=SelectedScope),'RAW_AR_CONTENT'!M499,"")</f>
        <v>0</v>
      </c>
      <c r="N500" s="12">
        <f>IF(IF(SelectedScope="All India",TRUE,'RAW_AR_CONTENT'!$B499=SelectedScope),'RAW_AR_CONTENT'!N499,"")</f>
        <v>0</v>
      </c>
      <c r="O500" s="12">
        <f>IF(IF(SelectedScope="All India",TRUE,'RAW_AR_CONTENT'!$B499=SelectedScope),'RAW_AR_CONTENT'!O499,"")</f>
        <v>0</v>
      </c>
      <c r="P500" s="12">
        <f>IF(IF(SelectedScope="All India",TRUE,'RAW_AR_CONTENT'!$B499=SelectedScope),'RAW_AR_CONTENT'!P499,"")</f>
        <v>0</v>
      </c>
      <c r="Q500" s="12">
        <f>IF(IF(SelectedScope="All India",TRUE,'RAW_AR_CONTENT'!$B499=SelectedScope),'RAW_AR_CONTENT'!Q499,"")</f>
        <v>0</v>
      </c>
      <c r="R500" s="12">
        <f>IF(IF(SelectedScope="All India",TRUE,'RAW_AR_CONTENT'!$B499=SelectedScope),'RAW_AR_CONTENT'!R499,"")</f>
        <v>0</v>
      </c>
    </row>
    <row r="501" spans="1:18" ht="15" customHeight="1" x14ac:dyDescent="0.3">
      <c r="A501" s="9">
        <f>IF(IF(SelectedScope="All India",TRUE,'RAW_AR_CONTENT'!$B500=SelectedScope),'RAW_AR_CONTENT'!A500,"")</f>
        <v>497</v>
      </c>
      <c r="B501" s="9" t="str">
        <f>IF(IF(SelectedScope="All India",TRUE,'RAW_AR_CONTENT'!$B500=SelectedScope),'RAW_AR_CONTENT'!B500,"")</f>
        <v>Uttar Pradesh</v>
      </c>
      <c r="C501" s="9" t="str">
        <f>IF(IF(SelectedScope="All India",TRUE,'RAW_AR_CONTENT'!$B500=SelectedScope),'RAW_AR_CONTENT'!C500,"")</f>
        <v>Biology</v>
      </c>
      <c r="D501" s="9" t="str">
        <f>IF(IF(SelectedScope="All India",TRUE,'RAW_AR_CONTENT'!$B500=SelectedScope),'RAW_AR_CONTENT'!D500,"")</f>
        <v>Class 9</v>
      </c>
      <c r="E501" s="9" t="str">
        <f>IF(IF(SelectedScope="All India",TRUE,'RAW_AR_CONTENT'!$B500=SelectedScope),'RAW_AR_CONTENT'!E500,"")</f>
        <v>Cell Division</v>
      </c>
      <c r="F501" s="9" t="str">
        <f>IF(IF(SelectedScope="All India",TRUE,'RAW_AR_CONTENT'!$B500=SelectedScope),'RAW_AR_CONTENT'!F500,"")</f>
        <v>Interactive</v>
      </c>
      <c r="G501" s="9" t="str">
        <f>IF(IF(SelectedScope="All India",TRUE,'RAW_AR_CONTENT'!$B500=SelectedScope),'RAW_AR_CONTENT'!G500,"")</f>
        <v>Active</v>
      </c>
      <c r="H501" s="9">
        <f>IF(IF(SelectedScope="All India",TRUE,'RAW_AR_CONTENT'!$B500=SelectedScope),'RAW_AR_CONTENT'!H500,"")</f>
        <v>0</v>
      </c>
      <c r="I501" s="9">
        <f>IF(IF(SelectedScope="All India",TRUE,'RAW_AR_CONTENT'!$B500=SelectedScope),'RAW_AR_CONTENT'!I500,"")</f>
        <v>0</v>
      </c>
      <c r="J501" s="9">
        <f>IF(IF(SelectedScope="All India",TRUE,'RAW_AR_CONTENT'!$B500=SelectedScope),'RAW_AR_CONTENT'!J500,"")</f>
        <v>0</v>
      </c>
      <c r="K501" s="9">
        <f>IF(IF(SelectedScope="All India",TRUE,'RAW_AR_CONTENT'!$B500=SelectedScope),'RAW_AR_CONTENT'!K500,"")</f>
        <v>0</v>
      </c>
      <c r="L501" s="9">
        <f>IF(IF(SelectedScope="All India",TRUE,'RAW_AR_CONTENT'!$B500=SelectedScope),'RAW_AR_CONTENT'!L500,"")</f>
        <v>0</v>
      </c>
      <c r="M501" s="9">
        <f>IF(IF(SelectedScope="All India",TRUE,'RAW_AR_CONTENT'!$B500=SelectedScope),'RAW_AR_CONTENT'!M500,"")</f>
        <v>0</v>
      </c>
      <c r="N501" s="9">
        <f>IF(IF(SelectedScope="All India",TRUE,'RAW_AR_CONTENT'!$B500=SelectedScope),'RAW_AR_CONTENT'!N500,"")</f>
        <v>0</v>
      </c>
      <c r="O501" s="9">
        <f>IF(IF(SelectedScope="All India",TRUE,'RAW_AR_CONTENT'!$B500=SelectedScope),'RAW_AR_CONTENT'!O500,"")</f>
        <v>0</v>
      </c>
      <c r="P501" s="9">
        <f>IF(IF(SelectedScope="All India",TRUE,'RAW_AR_CONTENT'!$B500=SelectedScope),'RAW_AR_CONTENT'!P500,"")</f>
        <v>0</v>
      </c>
      <c r="Q501" s="9">
        <f>IF(IF(SelectedScope="All India",TRUE,'RAW_AR_CONTENT'!$B500=SelectedScope),'RAW_AR_CONTENT'!Q500,"")</f>
        <v>0</v>
      </c>
      <c r="R501" s="9">
        <f>IF(IF(SelectedScope="All India",TRUE,'RAW_AR_CONTENT'!$B500=SelectedScope),'RAW_AR_CONTENT'!R500,"")</f>
        <v>0</v>
      </c>
    </row>
    <row r="502" spans="1:18" ht="15" customHeight="1" x14ac:dyDescent="0.3">
      <c r="A502" s="12">
        <f>IF(IF(SelectedScope="All India",TRUE,'RAW_AR_CONTENT'!$B501=SelectedScope),'RAW_AR_CONTENT'!A501,"")</f>
        <v>498</v>
      </c>
      <c r="B502" s="12" t="str">
        <f>IF(IF(SelectedScope="All India",TRUE,'RAW_AR_CONTENT'!$B501=SelectedScope),'RAW_AR_CONTENT'!B501,"")</f>
        <v>Uttar Pradesh</v>
      </c>
      <c r="C502" s="12" t="str">
        <f>IF(IF(SelectedScope="All India",TRUE,'RAW_AR_CONTENT'!$B501=SelectedScope),'RAW_AR_CONTENT'!C501,"")</f>
        <v>Chemistry</v>
      </c>
      <c r="D502" s="12" t="str">
        <f>IF(IF(SelectedScope="All India",TRUE,'RAW_AR_CONTENT'!$B501=SelectedScope),'RAW_AR_CONTENT'!D501,"")</f>
        <v>Class 9</v>
      </c>
      <c r="E502" s="12" t="str">
        <f>IF(IF(SelectedScope="All India",TRUE,'RAW_AR_CONTENT'!$B501=SelectedScope),'RAW_AR_CONTENT'!E501,"")</f>
        <v>Atoms and Molecules</v>
      </c>
      <c r="F502" s="12" t="str">
        <f>IF(IF(SelectedScope="All India",TRUE,'RAW_AR_CONTENT'!$B501=SelectedScope),'RAW_AR_CONTENT'!F501,"")</f>
        <v>Animated</v>
      </c>
      <c r="G502" s="12" t="str">
        <f>IF(IF(SelectedScope="All India",TRUE,'RAW_AR_CONTENT'!$B501=SelectedScope),'RAW_AR_CONTENT'!G501,"")</f>
        <v>Active</v>
      </c>
      <c r="H502" s="12">
        <f>IF(IF(SelectedScope="All India",TRUE,'RAW_AR_CONTENT'!$B501=SelectedScope),'RAW_AR_CONTENT'!H501,"")</f>
        <v>0</v>
      </c>
      <c r="I502" s="12">
        <f>IF(IF(SelectedScope="All India",TRUE,'RAW_AR_CONTENT'!$B501=SelectedScope),'RAW_AR_CONTENT'!I501,"")</f>
        <v>0</v>
      </c>
      <c r="J502" s="12">
        <f>IF(IF(SelectedScope="All India",TRUE,'RAW_AR_CONTENT'!$B501=SelectedScope),'RAW_AR_CONTENT'!J501,"")</f>
        <v>0</v>
      </c>
      <c r="K502" s="12">
        <f>IF(IF(SelectedScope="All India",TRUE,'RAW_AR_CONTENT'!$B501=SelectedScope),'RAW_AR_CONTENT'!K501,"")</f>
        <v>0</v>
      </c>
      <c r="L502" s="12">
        <f>IF(IF(SelectedScope="All India",TRUE,'RAW_AR_CONTENT'!$B501=SelectedScope),'RAW_AR_CONTENT'!L501,"")</f>
        <v>0</v>
      </c>
      <c r="M502" s="12">
        <f>IF(IF(SelectedScope="All India",TRUE,'RAW_AR_CONTENT'!$B501=SelectedScope),'RAW_AR_CONTENT'!M501,"")</f>
        <v>0</v>
      </c>
      <c r="N502" s="12">
        <f>IF(IF(SelectedScope="All India",TRUE,'RAW_AR_CONTENT'!$B501=SelectedScope),'RAW_AR_CONTENT'!N501,"")</f>
        <v>0</v>
      </c>
      <c r="O502" s="12">
        <f>IF(IF(SelectedScope="All India",TRUE,'RAW_AR_CONTENT'!$B501=SelectedScope),'RAW_AR_CONTENT'!O501,"")</f>
        <v>0</v>
      </c>
      <c r="P502" s="12">
        <f>IF(IF(SelectedScope="All India",TRUE,'RAW_AR_CONTENT'!$B501=SelectedScope),'RAW_AR_CONTENT'!P501,"")</f>
        <v>0</v>
      </c>
      <c r="Q502" s="12">
        <f>IF(IF(SelectedScope="All India",TRUE,'RAW_AR_CONTENT'!$B501=SelectedScope),'RAW_AR_CONTENT'!Q501,"")</f>
        <v>0</v>
      </c>
      <c r="R502" s="12">
        <f>IF(IF(SelectedScope="All India",TRUE,'RAW_AR_CONTENT'!$B501=SelectedScope),'RAW_AR_CONTENT'!R501,"")</f>
        <v>0</v>
      </c>
    </row>
    <row r="503" spans="1:18" ht="15" customHeight="1" x14ac:dyDescent="0.3">
      <c r="A503" s="9">
        <f>IF(IF(SelectedScope="All India",TRUE,'RAW_AR_CONTENT'!$B502=SelectedScope),'RAW_AR_CONTENT'!A502,"")</f>
        <v>499</v>
      </c>
      <c r="B503" s="9" t="str">
        <f>IF(IF(SelectedScope="All India",TRUE,'RAW_AR_CONTENT'!$B502=SelectedScope),'RAW_AR_CONTENT'!B502,"")</f>
        <v>Uttar Pradesh</v>
      </c>
      <c r="C503" s="9" t="str">
        <f>IF(IF(SelectedScope="All India",TRUE,'RAW_AR_CONTENT'!$B502=SelectedScope),'RAW_AR_CONTENT'!C502,"")</f>
        <v>Biology</v>
      </c>
      <c r="D503" s="9" t="str">
        <f>IF(IF(SelectedScope="All India",TRUE,'RAW_AR_CONTENT'!$B502=SelectedScope),'RAW_AR_CONTENT'!D502,"")</f>
        <v>Class 7</v>
      </c>
      <c r="E503" s="9" t="str">
        <f>IF(IF(SelectedScope="All India",TRUE,'RAW_AR_CONTENT'!$B502=SelectedScope),'RAW_AR_CONTENT'!E502,"")</f>
        <v>Photosynthesis</v>
      </c>
      <c r="F503" s="9" t="str">
        <f>IF(IF(SelectedScope="All India",TRUE,'RAW_AR_CONTENT'!$B502=SelectedScope),'RAW_AR_CONTENT'!F502,"")</f>
        <v>Basic 3D</v>
      </c>
      <c r="G503" s="9" t="str">
        <f>IF(IF(SelectedScope="All India",TRUE,'RAW_AR_CONTENT'!$B502=SelectedScope),'RAW_AR_CONTENT'!G502,"")</f>
        <v>Active</v>
      </c>
      <c r="H503" s="9">
        <f>IF(IF(SelectedScope="All India",TRUE,'RAW_AR_CONTENT'!$B502=SelectedScope),'RAW_AR_CONTENT'!H502,"")</f>
        <v>0</v>
      </c>
      <c r="I503" s="9">
        <f>IF(IF(SelectedScope="All India",TRUE,'RAW_AR_CONTENT'!$B502=SelectedScope),'RAW_AR_CONTENT'!I502,"")</f>
        <v>0</v>
      </c>
      <c r="J503" s="9">
        <f>IF(IF(SelectedScope="All India",TRUE,'RAW_AR_CONTENT'!$B502=SelectedScope),'RAW_AR_CONTENT'!J502,"")</f>
        <v>0</v>
      </c>
      <c r="K503" s="9">
        <f>IF(IF(SelectedScope="All India",TRUE,'RAW_AR_CONTENT'!$B502=SelectedScope),'RAW_AR_CONTENT'!K502,"")</f>
        <v>0</v>
      </c>
      <c r="L503" s="9">
        <f>IF(IF(SelectedScope="All India",TRUE,'RAW_AR_CONTENT'!$B502=SelectedScope),'RAW_AR_CONTENT'!L502,"")</f>
        <v>0</v>
      </c>
      <c r="M503" s="9">
        <f>IF(IF(SelectedScope="All India",TRUE,'RAW_AR_CONTENT'!$B502=SelectedScope),'RAW_AR_CONTENT'!M502,"")</f>
        <v>0</v>
      </c>
      <c r="N503" s="9">
        <f>IF(IF(SelectedScope="All India",TRUE,'RAW_AR_CONTENT'!$B502=SelectedScope),'RAW_AR_CONTENT'!N502,"")</f>
        <v>0</v>
      </c>
      <c r="O503" s="9">
        <f>IF(IF(SelectedScope="All India",TRUE,'RAW_AR_CONTENT'!$B502=SelectedScope),'RAW_AR_CONTENT'!O502,"")</f>
        <v>0</v>
      </c>
      <c r="P503" s="9">
        <f>IF(IF(SelectedScope="All India",TRUE,'RAW_AR_CONTENT'!$B502=SelectedScope),'RAW_AR_CONTENT'!P502,"")</f>
        <v>0</v>
      </c>
      <c r="Q503" s="9">
        <f>IF(IF(SelectedScope="All India",TRUE,'RAW_AR_CONTENT'!$B502=SelectedScope),'RAW_AR_CONTENT'!Q502,"")</f>
        <v>0</v>
      </c>
      <c r="R503" s="9">
        <f>IF(IF(SelectedScope="All India",TRUE,'RAW_AR_CONTENT'!$B502=SelectedScope),'RAW_AR_CONTENT'!R502,"")</f>
        <v>0</v>
      </c>
    </row>
    <row r="504" spans="1:18" ht="15" customHeight="1" x14ac:dyDescent="0.3">
      <c r="A504" s="12">
        <f>IF(IF(SelectedScope="All India",TRUE,'RAW_AR_CONTENT'!$B503=SelectedScope),'RAW_AR_CONTENT'!A503,"")</f>
        <v>500</v>
      </c>
      <c r="B504" s="12" t="str">
        <f>IF(IF(SelectedScope="All India",TRUE,'RAW_AR_CONTENT'!$B503=SelectedScope),'RAW_AR_CONTENT'!B503,"")</f>
        <v>Uttar Pradesh</v>
      </c>
      <c r="C504" s="12" t="str">
        <f>IF(IF(SelectedScope="All India",TRUE,'RAW_AR_CONTENT'!$B503=SelectedScope),'RAW_AR_CONTENT'!C503,"")</f>
        <v>Mathematics</v>
      </c>
      <c r="D504" s="12" t="str">
        <f>IF(IF(SelectedScope="All India",TRUE,'RAW_AR_CONTENT'!$B503=SelectedScope),'RAW_AR_CONTENT'!D503,"")</f>
        <v>Class 7</v>
      </c>
      <c r="E504" s="12" t="str">
        <f>IF(IF(SelectedScope="All India",TRUE,'RAW_AR_CONTENT'!$B503=SelectedScope),'RAW_AR_CONTENT'!E503,"")</f>
        <v>Fractions 3D Model</v>
      </c>
      <c r="F504" s="12" t="str">
        <f>IF(IF(SelectedScope="All India",TRUE,'RAW_AR_CONTENT'!$B503=SelectedScope),'RAW_AR_CONTENT'!F503,"")</f>
        <v>Interactive</v>
      </c>
      <c r="G504" s="12" t="str">
        <f>IF(IF(SelectedScope="All India",TRUE,'RAW_AR_CONTENT'!$B503=SelectedScope),'RAW_AR_CONTENT'!G503,"")</f>
        <v>Active</v>
      </c>
      <c r="H504" s="12">
        <f>IF(IF(SelectedScope="All India",TRUE,'RAW_AR_CONTENT'!$B503=SelectedScope),'RAW_AR_CONTENT'!H503,"")</f>
        <v>0</v>
      </c>
      <c r="I504" s="12">
        <f>IF(IF(SelectedScope="All India",TRUE,'RAW_AR_CONTENT'!$B503=SelectedScope),'RAW_AR_CONTENT'!I503,"")</f>
        <v>0</v>
      </c>
      <c r="J504" s="12">
        <f>IF(IF(SelectedScope="All India",TRUE,'RAW_AR_CONTENT'!$B503=SelectedScope),'RAW_AR_CONTENT'!J503,"")</f>
        <v>0</v>
      </c>
      <c r="K504" s="12">
        <f>IF(IF(SelectedScope="All India",TRUE,'RAW_AR_CONTENT'!$B503=SelectedScope),'RAW_AR_CONTENT'!K503,"")</f>
        <v>0</v>
      </c>
      <c r="L504" s="12">
        <f>IF(IF(SelectedScope="All India",TRUE,'RAW_AR_CONTENT'!$B503=SelectedScope),'RAW_AR_CONTENT'!L503,"")</f>
        <v>0</v>
      </c>
      <c r="M504" s="12">
        <f>IF(IF(SelectedScope="All India",TRUE,'RAW_AR_CONTENT'!$B503=SelectedScope),'RAW_AR_CONTENT'!M503,"")</f>
        <v>0</v>
      </c>
      <c r="N504" s="12">
        <f>IF(IF(SelectedScope="All India",TRUE,'RAW_AR_CONTENT'!$B503=SelectedScope),'RAW_AR_CONTENT'!N503,"")</f>
        <v>0</v>
      </c>
      <c r="O504" s="12">
        <f>IF(IF(SelectedScope="All India",TRUE,'RAW_AR_CONTENT'!$B503=SelectedScope),'RAW_AR_CONTENT'!O503,"")</f>
        <v>0</v>
      </c>
      <c r="P504" s="12">
        <f>IF(IF(SelectedScope="All India",TRUE,'RAW_AR_CONTENT'!$B503=SelectedScope),'RAW_AR_CONTENT'!P503,"")</f>
        <v>0</v>
      </c>
      <c r="Q504" s="12">
        <f>IF(IF(SelectedScope="All India",TRUE,'RAW_AR_CONTENT'!$B503=SelectedScope),'RAW_AR_CONTENT'!Q503,"")</f>
        <v>0</v>
      </c>
      <c r="R504" s="12">
        <f>IF(IF(SelectedScope="All India",TRUE,'RAW_AR_CONTENT'!$B503=SelectedScope),'RAW_AR_CONTENT'!R503,"")</f>
        <v>0</v>
      </c>
    </row>
    <row r="505" spans="1:18" ht="15" customHeight="1" x14ac:dyDescent="0.3">
      <c r="A505" s="9">
        <f>IF(IF(SelectedScope="All India",TRUE,'RAW_AR_CONTENT'!$B504=SelectedScope),'RAW_AR_CONTENT'!A504,"")</f>
        <v>501</v>
      </c>
      <c r="B505" s="9" t="str">
        <f>IF(IF(SelectedScope="All India",TRUE,'RAW_AR_CONTENT'!$B504=SelectedScope),'RAW_AR_CONTENT'!B504,"")</f>
        <v>Uttar Pradesh</v>
      </c>
      <c r="C505" s="9" t="str">
        <f>IF(IF(SelectedScope="All India",TRUE,'RAW_AR_CONTENT'!$B504=SelectedScope),'RAW_AR_CONTENT'!C504,"")</f>
        <v>Mathematics</v>
      </c>
      <c r="D505" s="9" t="str">
        <f>IF(IF(SelectedScope="All India",TRUE,'RAW_AR_CONTENT'!$B504=SelectedScope),'RAW_AR_CONTENT'!D504,"")</f>
        <v>Class 10</v>
      </c>
      <c r="E505" s="9" t="str">
        <f>IF(IF(SelectedScope="All India",TRUE,'RAW_AR_CONTENT'!$B504=SelectedScope),'RAW_AR_CONTENT'!E504,"")</f>
        <v>Trigonometry 3D</v>
      </c>
      <c r="F505" s="9" t="str">
        <f>IF(IF(SelectedScope="All India",TRUE,'RAW_AR_CONTENT'!$B504=SelectedScope),'RAW_AR_CONTENT'!F504,"")</f>
        <v>Animated</v>
      </c>
      <c r="G505" s="9" t="str">
        <f>IF(IF(SelectedScope="All India",TRUE,'RAW_AR_CONTENT'!$B504=SelectedScope),'RAW_AR_CONTENT'!G504,"")</f>
        <v>Active</v>
      </c>
      <c r="H505" s="9">
        <f>IF(IF(SelectedScope="All India",TRUE,'RAW_AR_CONTENT'!$B504=SelectedScope),'RAW_AR_CONTENT'!H504,"")</f>
        <v>0</v>
      </c>
      <c r="I505" s="9">
        <f>IF(IF(SelectedScope="All India",TRUE,'RAW_AR_CONTENT'!$B504=SelectedScope),'RAW_AR_CONTENT'!I504,"")</f>
        <v>0</v>
      </c>
      <c r="J505" s="9">
        <f>IF(IF(SelectedScope="All India",TRUE,'RAW_AR_CONTENT'!$B504=SelectedScope),'RAW_AR_CONTENT'!J504,"")</f>
        <v>0</v>
      </c>
      <c r="K505" s="9">
        <f>IF(IF(SelectedScope="All India",TRUE,'RAW_AR_CONTENT'!$B504=SelectedScope),'RAW_AR_CONTENT'!K504,"")</f>
        <v>0</v>
      </c>
      <c r="L505" s="9">
        <f>IF(IF(SelectedScope="All India",TRUE,'RAW_AR_CONTENT'!$B504=SelectedScope),'RAW_AR_CONTENT'!L504,"")</f>
        <v>0</v>
      </c>
      <c r="M505" s="9">
        <f>IF(IF(SelectedScope="All India",TRUE,'RAW_AR_CONTENT'!$B504=SelectedScope),'RAW_AR_CONTENT'!M504,"")</f>
        <v>0</v>
      </c>
      <c r="N505" s="9">
        <f>IF(IF(SelectedScope="All India",TRUE,'RAW_AR_CONTENT'!$B504=SelectedScope),'RAW_AR_CONTENT'!N504,"")</f>
        <v>0</v>
      </c>
      <c r="O505" s="9">
        <f>IF(IF(SelectedScope="All India",TRUE,'RAW_AR_CONTENT'!$B504=SelectedScope),'RAW_AR_CONTENT'!O504,"")</f>
        <v>0</v>
      </c>
      <c r="P505" s="9">
        <f>IF(IF(SelectedScope="All India",TRUE,'RAW_AR_CONTENT'!$B504=SelectedScope),'RAW_AR_CONTENT'!P504,"")</f>
        <v>0</v>
      </c>
      <c r="Q505" s="9">
        <f>IF(IF(SelectedScope="All India",TRUE,'RAW_AR_CONTENT'!$B504=SelectedScope),'RAW_AR_CONTENT'!Q504,"")</f>
        <v>0</v>
      </c>
      <c r="R505" s="9">
        <f>IF(IF(SelectedScope="All India",TRUE,'RAW_AR_CONTENT'!$B504=SelectedScope),'RAW_AR_CONTENT'!R504,"")</f>
        <v>0</v>
      </c>
    </row>
    <row r="506" spans="1:18" ht="15" customHeight="1" x14ac:dyDescent="0.3">
      <c r="A506" s="12">
        <f>IF(IF(SelectedScope="All India",TRUE,'RAW_AR_CONTENT'!$B505=SelectedScope),'RAW_AR_CONTENT'!A505,"")</f>
        <v>502</v>
      </c>
      <c r="B506" s="12" t="str">
        <f>IF(IF(SelectedScope="All India",TRUE,'RAW_AR_CONTENT'!$B505=SelectedScope),'RAW_AR_CONTENT'!B505,"")</f>
        <v>Uttar Pradesh</v>
      </c>
      <c r="C506" s="12" t="str">
        <f>IF(IF(SelectedScope="All India",TRUE,'RAW_AR_CONTENT'!$B505=SelectedScope),'RAW_AR_CONTENT'!C505,"")</f>
        <v>History</v>
      </c>
      <c r="D506" s="12" t="str">
        <f>IF(IF(SelectedScope="All India",TRUE,'RAW_AR_CONTENT'!$B505=SelectedScope),'RAW_AR_CONTENT'!D505,"")</f>
        <v>Class 10</v>
      </c>
      <c r="E506" s="12" t="str">
        <f>IF(IF(SelectedScope="All India",TRUE,'RAW_AR_CONTENT'!$B505=SelectedScope),'RAW_AR_CONTENT'!E505,"")</f>
        <v>Mughal Empire AR</v>
      </c>
      <c r="F506" s="12" t="str">
        <f>IF(IF(SelectedScope="All India",TRUE,'RAW_AR_CONTENT'!$B505=SelectedScope),'RAW_AR_CONTENT'!F505,"")</f>
        <v>Basic 3D</v>
      </c>
      <c r="G506" s="12" t="str">
        <f>IF(IF(SelectedScope="All India",TRUE,'RAW_AR_CONTENT'!$B505=SelectedScope),'RAW_AR_CONTENT'!G505,"")</f>
        <v>Active</v>
      </c>
      <c r="H506" s="12">
        <f>IF(IF(SelectedScope="All India",TRUE,'RAW_AR_CONTENT'!$B505=SelectedScope),'RAW_AR_CONTENT'!H505,"")</f>
        <v>0</v>
      </c>
      <c r="I506" s="12">
        <f>IF(IF(SelectedScope="All India",TRUE,'RAW_AR_CONTENT'!$B505=SelectedScope),'RAW_AR_CONTENT'!I505,"")</f>
        <v>0</v>
      </c>
      <c r="J506" s="12">
        <f>IF(IF(SelectedScope="All India",TRUE,'RAW_AR_CONTENT'!$B505=SelectedScope),'RAW_AR_CONTENT'!J505,"")</f>
        <v>0</v>
      </c>
      <c r="K506" s="12">
        <f>IF(IF(SelectedScope="All India",TRUE,'RAW_AR_CONTENT'!$B505=SelectedScope),'RAW_AR_CONTENT'!K505,"")</f>
        <v>0</v>
      </c>
      <c r="L506" s="12">
        <f>IF(IF(SelectedScope="All India",TRUE,'RAW_AR_CONTENT'!$B505=SelectedScope),'RAW_AR_CONTENT'!L505,"")</f>
        <v>0</v>
      </c>
      <c r="M506" s="12">
        <f>IF(IF(SelectedScope="All India",TRUE,'RAW_AR_CONTENT'!$B505=SelectedScope),'RAW_AR_CONTENT'!M505,"")</f>
        <v>0</v>
      </c>
      <c r="N506" s="12">
        <f>IF(IF(SelectedScope="All India",TRUE,'RAW_AR_CONTENT'!$B505=SelectedScope),'RAW_AR_CONTENT'!N505,"")</f>
        <v>0</v>
      </c>
      <c r="O506" s="12">
        <f>IF(IF(SelectedScope="All India",TRUE,'RAW_AR_CONTENT'!$B505=SelectedScope),'RAW_AR_CONTENT'!O505,"")</f>
        <v>0</v>
      </c>
      <c r="P506" s="12">
        <f>IF(IF(SelectedScope="All India",TRUE,'RAW_AR_CONTENT'!$B505=SelectedScope),'RAW_AR_CONTENT'!P505,"")</f>
        <v>0</v>
      </c>
      <c r="Q506" s="12">
        <f>IF(IF(SelectedScope="All India",TRUE,'RAW_AR_CONTENT'!$B505=SelectedScope),'RAW_AR_CONTENT'!Q505,"")</f>
        <v>0</v>
      </c>
      <c r="R506" s="12">
        <f>IF(IF(SelectedScope="All India",TRUE,'RAW_AR_CONTENT'!$B505=SelectedScope),'RAW_AR_CONTENT'!R505,"")</f>
        <v>0</v>
      </c>
    </row>
    <row r="507" spans="1:18" ht="15" customHeight="1" x14ac:dyDescent="0.3">
      <c r="A507" s="9">
        <f>IF(IF(SelectedScope="All India",TRUE,'RAW_AR_CONTENT'!$B506=SelectedScope),'RAW_AR_CONTENT'!A506,"")</f>
        <v>503</v>
      </c>
      <c r="B507" s="9" t="str">
        <f>IF(IF(SelectedScope="All India",TRUE,'RAW_AR_CONTENT'!$B506=SelectedScope),'RAW_AR_CONTENT'!B506,"")</f>
        <v>Uttar Pradesh</v>
      </c>
      <c r="C507" s="9" t="str">
        <f>IF(IF(SelectedScope="All India",TRUE,'RAW_AR_CONTENT'!$B506=SelectedScope),'RAW_AR_CONTENT'!C506,"")</f>
        <v>Geography</v>
      </c>
      <c r="D507" s="9" t="str">
        <f>IF(IF(SelectedScope="All India",TRUE,'RAW_AR_CONTENT'!$B506=SelectedScope),'RAW_AR_CONTENT'!D506,"")</f>
        <v>Class 6</v>
      </c>
      <c r="E507" s="9" t="str">
        <f>IF(IF(SelectedScope="All India",TRUE,'RAW_AR_CONTENT'!$B506=SelectedScope),'RAW_AR_CONTENT'!E506,"")</f>
        <v>Water Cycle Simulation</v>
      </c>
      <c r="F507" s="9" t="str">
        <f>IF(IF(SelectedScope="All India",TRUE,'RAW_AR_CONTENT'!$B506=SelectedScope),'RAW_AR_CONTENT'!F506,"")</f>
        <v>Animated</v>
      </c>
      <c r="G507" s="9" t="str">
        <f>IF(IF(SelectedScope="All India",TRUE,'RAW_AR_CONTENT'!$B506=SelectedScope),'RAW_AR_CONTENT'!G506,"")</f>
        <v>Active</v>
      </c>
      <c r="H507" s="9">
        <f>IF(IF(SelectedScope="All India",TRUE,'RAW_AR_CONTENT'!$B506=SelectedScope),'RAW_AR_CONTENT'!H506,"")</f>
        <v>0</v>
      </c>
      <c r="I507" s="9">
        <f>IF(IF(SelectedScope="All India",TRUE,'RAW_AR_CONTENT'!$B506=SelectedScope),'RAW_AR_CONTENT'!I506,"")</f>
        <v>0</v>
      </c>
      <c r="J507" s="9">
        <f>IF(IF(SelectedScope="All India",TRUE,'RAW_AR_CONTENT'!$B506=SelectedScope),'RAW_AR_CONTENT'!J506,"")</f>
        <v>0</v>
      </c>
      <c r="K507" s="9">
        <f>IF(IF(SelectedScope="All India",TRUE,'RAW_AR_CONTENT'!$B506=SelectedScope),'RAW_AR_CONTENT'!K506,"")</f>
        <v>0</v>
      </c>
      <c r="L507" s="9">
        <f>IF(IF(SelectedScope="All India",TRUE,'RAW_AR_CONTENT'!$B506=SelectedScope),'RAW_AR_CONTENT'!L506,"")</f>
        <v>0</v>
      </c>
      <c r="M507" s="9">
        <f>IF(IF(SelectedScope="All India",TRUE,'RAW_AR_CONTENT'!$B506=SelectedScope),'RAW_AR_CONTENT'!M506,"")</f>
        <v>0</v>
      </c>
      <c r="N507" s="9">
        <f>IF(IF(SelectedScope="All India",TRUE,'RAW_AR_CONTENT'!$B506=SelectedScope),'RAW_AR_CONTENT'!N506,"")</f>
        <v>0</v>
      </c>
      <c r="O507" s="9">
        <f>IF(IF(SelectedScope="All India",TRUE,'RAW_AR_CONTENT'!$B506=SelectedScope),'RAW_AR_CONTENT'!O506,"")</f>
        <v>0</v>
      </c>
      <c r="P507" s="9">
        <f>IF(IF(SelectedScope="All India",TRUE,'RAW_AR_CONTENT'!$B506=SelectedScope),'RAW_AR_CONTENT'!P506,"")</f>
        <v>0</v>
      </c>
      <c r="Q507" s="9">
        <f>IF(IF(SelectedScope="All India",TRUE,'RAW_AR_CONTENT'!$B506=SelectedScope),'RAW_AR_CONTENT'!Q506,"")</f>
        <v>0</v>
      </c>
      <c r="R507" s="9">
        <f>IF(IF(SelectedScope="All India",TRUE,'RAW_AR_CONTENT'!$B506=SelectedScope),'RAW_AR_CONTENT'!R506,"")</f>
        <v>0</v>
      </c>
    </row>
    <row r="508" spans="1:18" ht="15" customHeight="1" x14ac:dyDescent="0.3">
      <c r="A508" s="12">
        <f>IF(IF(SelectedScope="All India",TRUE,'RAW_AR_CONTENT'!$B507=SelectedScope),'RAW_AR_CONTENT'!A507,"")</f>
        <v>504</v>
      </c>
      <c r="B508" s="12" t="str">
        <f>IF(IF(SelectedScope="All India",TRUE,'RAW_AR_CONTENT'!$B507=SelectedScope),'RAW_AR_CONTENT'!B507,"")</f>
        <v>Uttar Pradesh</v>
      </c>
      <c r="C508" s="12" t="str">
        <f>IF(IF(SelectedScope="All India",TRUE,'RAW_AR_CONTENT'!$B507=SelectedScope),'RAW_AR_CONTENT'!C507,"")</f>
        <v>Biology</v>
      </c>
      <c r="D508" s="12" t="str">
        <f>IF(IF(SelectedScope="All India",TRUE,'RAW_AR_CONTENT'!$B507=SelectedScope),'RAW_AR_CONTENT'!D507,"")</f>
        <v>Class 11</v>
      </c>
      <c r="E508" s="12" t="str">
        <f>IF(IF(SelectedScope="All India",TRUE,'RAW_AR_CONTENT'!$B507=SelectedScope),'RAW_AR_CONTENT'!E507,"")</f>
        <v>Human Anatomy AR</v>
      </c>
      <c r="F508" s="12" t="str">
        <f>IF(IF(SelectedScope="All India",TRUE,'RAW_AR_CONTENT'!$B507=SelectedScope),'RAW_AR_CONTENT'!F507,"")</f>
        <v>Fully Immersive</v>
      </c>
      <c r="G508" s="12" t="str">
        <f>IF(IF(SelectedScope="All India",TRUE,'RAW_AR_CONTENT'!$B507=SelectedScope),'RAW_AR_CONTENT'!G507,"")</f>
        <v>Active</v>
      </c>
      <c r="H508" s="12">
        <f>IF(IF(SelectedScope="All India",TRUE,'RAW_AR_CONTENT'!$B507=SelectedScope),'RAW_AR_CONTENT'!H507,"")</f>
        <v>0</v>
      </c>
      <c r="I508" s="12">
        <f>IF(IF(SelectedScope="All India",TRUE,'RAW_AR_CONTENT'!$B507=SelectedScope),'RAW_AR_CONTENT'!I507,"")</f>
        <v>0</v>
      </c>
      <c r="J508" s="12">
        <f>IF(IF(SelectedScope="All India",TRUE,'RAW_AR_CONTENT'!$B507=SelectedScope),'RAW_AR_CONTENT'!J507,"")</f>
        <v>0</v>
      </c>
      <c r="K508" s="12">
        <f>IF(IF(SelectedScope="All India",TRUE,'RAW_AR_CONTENT'!$B507=SelectedScope),'RAW_AR_CONTENT'!K507,"")</f>
        <v>0</v>
      </c>
      <c r="L508" s="12">
        <f>IF(IF(SelectedScope="All India",TRUE,'RAW_AR_CONTENT'!$B507=SelectedScope),'RAW_AR_CONTENT'!L507,"")</f>
        <v>0</v>
      </c>
      <c r="M508" s="12">
        <f>IF(IF(SelectedScope="All India",TRUE,'RAW_AR_CONTENT'!$B507=SelectedScope),'RAW_AR_CONTENT'!M507,"")</f>
        <v>0</v>
      </c>
      <c r="N508" s="12">
        <f>IF(IF(SelectedScope="All India",TRUE,'RAW_AR_CONTENT'!$B507=SelectedScope),'RAW_AR_CONTENT'!N507,"")</f>
        <v>0</v>
      </c>
      <c r="O508" s="12">
        <f>IF(IF(SelectedScope="All India",TRUE,'RAW_AR_CONTENT'!$B507=SelectedScope),'RAW_AR_CONTENT'!O507,"")</f>
        <v>0</v>
      </c>
      <c r="P508" s="12">
        <f>IF(IF(SelectedScope="All India",TRUE,'RAW_AR_CONTENT'!$B507=SelectedScope),'RAW_AR_CONTENT'!P507,"")</f>
        <v>0</v>
      </c>
      <c r="Q508" s="12">
        <f>IF(IF(SelectedScope="All India",TRUE,'RAW_AR_CONTENT'!$B507=SelectedScope),'RAW_AR_CONTENT'!Q507,"")</f>
        <v>0</v>
      </c>
      <c r="R508" s="12">
        <f>IF(IF(SelectedScope="All India",TRUE,'RAW_AR_CONTENT'!$B507=SelectedScope),'RAW_AR_CONTENT'!R507,"")</f>
        <v>0</v>
      </c>
    </row>
    <row r="509" spans="1:18" ht="15" customHeight="1" x14ac:dyDescent="0.3">
      <c r="A509" s="9">
        <f>IF(IF(SelectedScope="All India",TRUE,'RAW_AR_CONTENT'!$B508=SelectedScope),'RAW_AR_CONTENT'!A508,"")</f>
        <v>505</v>
      </c>
      <c r="B509" s="9" t="str">
        <f>IF(IF(SelectedScope="All India",TRUE,'RAW_AR_CONTENT'!$B508=SelectedScope),'RAW_AR_CONTENT'!B508,"")</f>
        <v>Uttar Pradesh</v>
      </c>
      <c r="C509" s="9" t="str">
        <f>IF(IF(SelectedScope="All India",TRUE,'RAW_AR_CONTENT'!$B508=SelectedScope),'RAW_AR_CONTENT'!C508,"")</f>
        <v>Physics</v>
      </c>
      <c r="D509" s="9" t="str">
        <f>IF(IF(SelectedScope="All India",TRUE,'RAW_AR_CONTENT'!$B508=SelectedScope),'RAW_AR_CONTENT'!D508,"")</f>
        <v>Class 9</v>
      </c>
      <c r="E509" s="9" t="str">
        <f>IF(IF(SelectedScope="All India",TRUE,'RAW_AR_CONTENT'!$B508=SelectedScope),'RAW_AR_CONTENT'!E508,"")</f>
        <v>Laws of Motion</v>
      </c>
      <c r="F509" s="9" t="str">
        <f>IF(IF(SelectedScope="All India",TRUE,'RAW_AR_CONTENT'!$B508=SelectedScope),'RAW_AR_CONTENT'!F508,"")</f>
        <v>Interactive</v>
      </c>
      <c r="G509" s="9" t="str">
        <f>IF(IF(SelectedScope="All India",TRUE,'RAW_AR_CONTENT'!$B508=SelectedScope),'RAW_AR_CONTENT'!G508,"")</f>
        <v>Active</v>
      </c>
      <c r="H509" s="9">
        <f>IF(IF(SelectedScope="All India",TRUE,'RAW_AR_CONTENT'!$B508=SelectedScope),'RAW_AR_CONTENT'!H508,"")</f>
        <v>0</v>
      </c>
      <c r="I509" s="9">
        <f>IF(IF(SelectedScope="All India",TRUE,'RAW_AR_CONTENT'!$B508=SelectedScope),'RAW_AR_CONTENT'!I508,"")</f>
        <v>0</v>
      </c>
      <c r="J509" s="9">
        <f>IF(IF(SelectedScope="All India",TRUE,'RAW_AR_CONTENT'!$B508=SelectedScope),'RAW_AR_CONTENT'!J508,"")</f>
        <v>0</v>
      </c>
      <c r="K509" s="9">
        <f>IF(IF(SelectedScope="All India",TRUE,'RAW_AR_CONTENT'!$B508=SelectedScope),'RAW_AR_CONTENT'!K508,"")</f>
        <v>0</v>
      </c>
      <c r="L509" s="9">
        <f>IF(IF(SelectedScope="All India",TRUE,'RAW_AR_CONTENT'!$B508=SelectedScope),'RAW_AR_CONTENT'!L508,"")</f>
        <v>0</v>
      </c>
      <c r="M509" s="9">
        <f>IF(IF(SelectedScope="All India",TRUE,'RAW_AR_CONTENT'!$B508=SelectedScope),'RAW_AR_CONTENT'!M508,"")</f>
        <v>0</v>
      </c>
      <c r="N509" s="9">
        <f>IF(IF(SelectedScope="All India",TRUE,'RAW_AR_CONTENT'!$B508=SelectedScope),'RAW_AR_CONTENT'!N508,"")</f>
        <v>0</v>
      </c>
      <c r="O509" s="9">
        <f>IF(IF(SelectedScope="All India",TRUE,'RAW_AR_CONTENT'!$B508=SelectedScope),'RAW_AR_CONTENT'!O508,"")</f>
        <v>0</v>
      </c>
      <c r="P509" s="9">
        <f>IF(IF(SelectedScope="All India",TRUE,'RAW_AR_CONTENT'!$B508=SelectedScope),'RAW_AR_CONTENT'!P508,"")</f>
        <v>0</v>
      </c>
      <c r="Q509" s="9">
        <f>IF(IF(SelectedScope="All India",TRUE,'RAW_AR_CONTENT'!$B508=SelectedScope),'RAW_AR_CONTENT'!Q508,"")</f>
        <v>0</v>
      </c>
      <c r="R509" s="9">
        <f>IF(IF(SelectedScope="All India",TRUE,'RAW_AR_CONTENT'!$B508=SelectedScope),'RAW_AR_CONTENT'!R508,"")</f>
        <v>0</v>
      </c>
    </row>
    <row r="510" spans="1:18" ht="15" customHeight="1" x14ac:dyDescent="0.3">
      <c r="A510" s="12">
        <f>IF(IF(SelectedScope="All India",TRUE,'RAW_AR_CONTENT'!$B509=SelectedScope),'RAW_AR_CONTENT'!A509,"")</f>
        <v>506</v>
      </c>
      <c r="B510" s="12" t="str">
        <f>IF(IF(SelectedScope="All India",TRUE,'RAW_AR_CONTENT'!$B509=SelectedScope),'RAW_AR_CONTENT'!B509,"")</f>
        <v>Uttar Pradesh</v>
      </c>
      <c r="C510" s="12" t="str">
        <f>IF(IF(SelectedScope="All India",TRUE,'RAW_AR_CONTENT'!$B509=SelectedScope),'RAW_AR_CONTENT'!C509,"")</f>
        <v>Chemistry</v>
      </c>
      <c r="D510" s="12" t="str">
        <f>IF(IF(SelectedScope="All India",TRUE,'RAW_AR_CONTENT'!$B509=SelectedScope),'RAW_AR_CONTENT'!D509,"")</f>
        <v>Class 11</v>
      </c>
      <c r="E510" s="12" t="str">
        <f>IF(IF(SelectedScope="All India",TRUE,'RAW_AR_CONTENT'!$B509=SelectedScope),'RAW_AR_CONTENT'!E509,"")</f>
        <v>Periodic Table 3D</v>
      </c>
      <c r="F510" s="12" t="str">
        <f>IF(IF(SelectedScope="All India",TRUE,'RAW_AR_CONTENT'!$B509=SelectedScope),'RAW_AR_CONTENT'!F509,"")</f>
        <v>Interactive</v>
      </c>
      <c r="G510" s="12" t="str">
        <f>IF(IF(SelectedScope="All India",TRUE,'RAW_AR_CONTENT'!$B509=SelectedScope),'RAW_AR_CONTENT'!G509,"")</f>
        <v>Active</v>
      </c>
      <c r="H510" s="12">
        <f>IF(IF(SelectedScope="All India",TRUE,'RAW_AR_CONTENT'!$B509=SelectedScope),'RAW_AR_CONTENT'!H509,"")</f>
        <v>0</v>
      </c>
      <c r="I510" s="12">
        <f>IF(IF(SelectedScope="All India",TRUE,'RAW_AR_CONTENT'!$B509=SelectedScope),'RAW_AR_CONTENT'!I509,"")</f>
        <v>0</v>
      </c>
      <c r="J510" s="12">
        <f>IF(IF(SelectedScope="All India",TRUE,'RAW_AR_CONTENT'!$B509=SelectedScope),'RAW_AR_CONTENT'!J509,"")</f>
        <v>0</v>
      </c>
      <c r="K510" s="12">
        <f>IF(IF(SelectedScope="All India",TRUE,'RAW_AR_CONTENT'!$B509=SelectedScope),'RAW_AR_CONTENT'!K509,"")</f>
        <v>0</v>
      </c>
      <c r="L510" s="12">
        <f>IF(IF(SelectedScope="All India",TRUE,'RAW_AR_CONTENT'!$B509=SelectedScope),'RAW_AR_CONTENT'!L509,"")</f>
        <v>0</v>
      </c>
      <c r="M510" s="12">
        <f>IF(IF(SelectedScope="All India",TRUE,'RAW_AR_CONTENT'!$B509=SelectedScope),'RAW_AR_CONTENT'!M509,"")</f>
        <v>0</v>
      </c>
      <c r="N510" s="12">
        <f>IF(IF(SelectedScope="All India",TRUE,'RAW_AR_CONTENT'!$B509=SelectedScope),'RAW_AR_CONTENT'!N509,"")</f>
        <v>0</v>
      </c>
      <c r="O510" s="12">
        <f>IF(IF(SelectedScope="All India",TRUE,'RAW_AR_CONTENT'!$B509=SelectedScope),'RAW_AR_CONTENT'!O509,"")</f>
        <v>0</v>
      </c>
      <c r="P510" s="12">
        <f>IF(IF(SelectedScope="All India",TRUE,'RAW_AR_CONTENT'!$B509=SelectedScope),'RAW_AR_CONTENT'!P509,"")</f>
        <v>0</v>
      </c>
      <c r="Q510" s="12">
        <f>IF(IF(SelectedScope="All India",TRUE,'RAW_AR_CONTENT'!$B509=SelectedScope),'RAW_AR_CONTENT'!Q509,"")</f>
        <v>0</v>
      </c>
      <c r="R510" s="12">
        <f>IF(IF(SelectedScope="All India",TRUE,'RAW_AR_CONTENT'!$B509=SelectedScope),'RAW_AR_CONTENT'!R509,"")</f>
        <v>0</v>
      </c>
    </row>
    <row r="511" spans="1:18" ht="15" customHeight="1" x14ac:dyDescent="0.3">
      <c r="A511" s="9">
        <f>IF(IF(SelectedScope="All India",TRUE,'RAW_AR_CONTENT'!$B510=SelectedScope),'RAW_AR_CONTENT'!A510,"")</f>
        <v>507</v>
      </c>
      <c r="B511" s="9" t="str">
        <f>IF(IF(SelectedScope="All India",TRUE,'RAW_AR_CONTENT'!$B510=SelectedScope),'RAW_AR_CONTENT'!B510,"")</f>
        <v>Uttar Pradesh</v>
      </c>
      <c r="C511" s="9" t="str">
        <f>IF(IF(SelectedScope="All India",TRUE,'RAW_AR_CONTENT'!$B510=SelectedScope),'RAW_AR_CONTENT'!C510,"")</f>
        <v>Physics</v>
      </c>
      <c r="D511" s="9" t="str">
        <f>IF(IF(SelectedScope="All India",TRUE,'RAW_AR_CONTENT'!$B510=SelectedScope),'RAW_AR_CONTENT'!D510,"")</f>
        <v>Class 10</v>
      </c>
      <c r="E511" s="9" t="str">
        <f>IF(IF(SelectedScope="All India",TRUE,'RAW_AR_CONTENT'!$B510=SelectedScope),'RAW_AR_CONTENT'!E510,"")</f>
        <v>Electricity Circuits</v>
      </c>
      <c r="F511" s="9" t="str">
        <f>IF(IF(SelectedScope="All India",TRUE,'RAW_AR_CONTENT'!$B510=SelectedScope),'RAW_AR_CONTENT'!F510,"")</f>
        <v>Interactive</v>
      </c>
      <c r="G511" s="9" t="str">
        <f>IF(IF(SelectedScope="All India",TRUE,'RAW_AR_CONTENT'!$B510=SelectedScope),'RAW_AR_CONTENT'!G510,"")</f>
        <v>Active</v>
      </c>
      <c r="H511" s="9">
        <f>IF(IF(SelectedScope="All India",TRUE,'RAW_AR_CONTENT'!$B510=SelectedScope),'RAW_AR_CONTENT'!H510,"")</f>
        <v>0</v>
      </c>
      <c r="I511" s="9">
        <f>IF(IF(SelectedScope="All India",TRUE,'RAW_AR_CONTENT'!$B510=SelectedScope),'RAW_AR_CONTENT'!I510,"")</f>
        <v>0</v>
      </c>
      <c r="J511" s="9">
        <f>IF(IF(SelectedScope="All India",TRUE,'RAW_AR_CONTENT'!$B510=SelectedScope),'RAW_AR_CONTENT'!J510,"")</f>
        <v>0</v>
      </c>
      <c r="K511" s="9">
        <f>IF(IF(SelectedScope="All India",TRUE,'RAW_AR_CONTENT'!$B510=SelectedScope),'RAW_AR_CONTENT'!K510,"")</f>
        <v>0</v>
      </c>
      <c r="L511" s="9">
        <f>IF(IF(SelectedScope="All India",TRUE,'RAW_AR_CONTENT'!$B510=SelectedScope),'RAW_AR_CONTENT'!L510,"")</f>
        <v>0</v>
      </c>
      <c r="M511" s="9">
        <f>IF(IF(SelectedScope="All India",TRUE,'RAW_AR_CONTENT'!$B510=SelectedScope),'RAW_AR_CONTENT'!M510,"")</f>
        <v>0</v>
      </c>
      <c r="N511" s="9">
        <f>IF(IF(SelectedScope="All India",TRUE,'RAW_AR_CONTENT'!$B510=SelectedScope),'RAW_AR_CONTENT'!N510,"")</f>
        <v>0</v>
      </c>
      <c r="O511" s="9">
        <f>IF(IF(SelectedScope="All India",TRUE,'RAW_AR_CONTENT'!$B510=SelectedScope),'RAW_AR_CONTENT'!O510,"")</f>
        <v>0</v>
      </c>
      <c r="P511" s="9">
        <f>IF(IF(SelectedScope="All India",TRUE,'RAW_AR_CONTENT'!$B510=SelectedScope),'RAW_AR_CONTENT'!P510,"")</f>
        <v>0</v>
      </c>
      <c r="Q511" s="9">
        <f>IF(IF(SelectedScope="All India",TRUE,'RAW_AR_CONTENT'!$B510=SelectedScope),'RAW_AR_CONTENT'!Q510,"")</f>
        <v>0</v>
      </c>
      <c r="R511" s="9">
        <f>IF(IF(SelectedScope="All India",TRUE,'RAW_AR_CONTENT'!$B510=SelectedScope),'RAW_AR_CONTENT'!R510,"")</f>
        <v>0</v>
      </c>
    </row>
    <row r="512" spans="1:18" ht="15" customHeight="1" x14ac:dyDescent="0.3">
      <c r="A512" s="12">
        <f>IF(IF(SelectedScope="All India",TRUE,'RAW_AR_CONTENT'!$B511=SelectedScope),'RAW_AR_CONTENT'!A511,"")</f>
        <v>508</v>
      </c>
      <c r="B512" s="12" t="str">
        <f>IF(IF(SelectedScope="All India",TRUE,'RAW_AR_CONTENT'!$B511=SelectedScope),'RAW_AR_CONTENT'!B511,"")</f>
        <v>Uttar Pradesh</v>
      </c>
      <c r="C512" s="12" t="str">
        <f>IF(IF(SelectedScope="All India",TRUE,'RAW_AR_CONTENT'!$B511=SelectedScope),'RAW_AR_CONTENT'!C511,"")</f>
        <v>Civics</v>
      </c>
      <c r="D512" s="12" t="str">
        <f>IF(IF(SelectedScope="All India",TRUE,'RAW_AR_CONTENT'!$B511=SelectedScope),'RAW_AR_CONTENT'!D511,"")</f>
        <v>Class 9</v>
      </c>
      <c r="E512" s="12" t="str">
        <f>IF(IF(SelectedScope="All India",TRUE,'RAW_AR_CONTENT'!$B511=SelectedScope),'RAW_AR_CONTENT'!E511,"")</f>
        <v>Indian Constitution</v>
      </c>
      <c r="F512" s="12" t="str">
        <f>IF(IF(SelectedScope="All India",TRUE,'RAW_AR_CONTENT'!$B511=SelectedScope),'RAW_AR_CONTENT'!F511,"")</f>
        <v>Basic 3D</v>
      </c>
      <c r="G512" s="12" t="str">
        <f>IF(IF(SelectedScope="All India",TRUE,'RAW_AR_CONTENT'!$B511=SelectedScope),'RAW_AR_CONTENT'!G511,"")</f>
        <v>Active</v>
      </c>
      <c r="H512" s="12">
        <f>IF(IF(SelectedScope="All India",TRUE,'RAW_AR_CONTENT'!$B511=SelectedScope),'RAW_AR_CONTENT'!H511,"")</f>
        <v>0</v>
      </c>
      <c r="I512" s="12">
        <f>IF(IF(SelectedScope="All India",TRUE,'RAW_AR_CONTENT'!$B511=SelectedScope),'RAW_AR_CONTENT'!I511,"")</f>
        <v>0</v>
      </c>
      <c r="J512" s="12">
        <f>IF(IF(SelectedScope="All India",TRUE,'RAW_AR_CONTENT'!$B511=SelectedScope),'RAW_AR_CONTENT'!J511,"")</f>
        <v>0</v>
      </c>
      <c r="K512" s="12">
        <f>IF(IF(SelectedScope="All India",TRUE,'RAW_AR_CONTENT'!$B511=SelectedScope),'RAW_AR_CONTENT'!K511,"")</f>
        <v>0</v>
      </c>
      <c r="L512" s="12">
        <f>IF(IF(SelectedScope="All India",TRUE,'RAW_AR_CONTENT'!$B511=SelectedScope),'RAW_AR_CONTENT'!L511,"")</f>
        <v>0</v>
      </c>
      <c r="M512" s="12">
        <f>IF(IF(SelectedScope="All India",TRUE,'RAW_AR_CONTENT'!$B511=SelectedScope),'RAW_AR_CONTENT'!M511,"")</f>
        <v>0</v>
      </c>
      <c r="N512" s="12">
        <f>IF(IF(SelectedScope="All India",TRUE,'RAW_AR_CONTENT'!$B511=SelectedScope),'RAW_AR_CONTENT'!N511,"")</f>
        <v>0</v>
      </c>
      <c r="O512" s="12">
        <f>IF(IF(SelectedScope="All India",TRUE,'RAW_AR_CONTENT'!$B511=SelectedScope),'RAW_AR_CONTENT'!O511,"")</f>
        <v>0</v>
      </c>
      <c r="P512" s="12">
        <f>IF(IF(SelectedScope="All India",TRUE,'RAW_AR_CONTENT'!$B511=SelectedScope),'RAW_AR_CONTENT'!P511,"")</f>
        <v>0</v>
      </c>
      <c r="Q512" s="12">
        <f>IF(IF(SelectedScope="All India",TRUE,'RAW_AR_CONTENT'!$B511=SelectedScope),'RAW_AR_CONTENT'!Q511,"")</f>
        <v>0</v>
      </c>
      <c r="R512" s="12">
        <f>IF(IF(SelectedScope="All India",TRUE,'RAW_AR_CONTENT'!$B511=SelectedScope),'RAW_AR_CONTENT'!R511,"")</f>
        <v>0</v>
      </c>
    </row>
    <row r="513" spans="1:18" ht="15" customHeight="1" x14ac:dyDescent="0.3">
      <c r="A513" s="9">
        <f>IF(IF(SelectedScope="All India",TRUE,'RAW_AR_CONTENT'!$B512=SelectedScope),'RAW_AR_CONTENT'!A512,"")</f>
        <v>509</v>
      </c>
      <c r="B513" s="9" t="str">
        <f>IF(IF(SelectedScope="All India",TRUE,'RAW_AR_CONTENT'!$B512=SelectedScope),'RAW_AR_CONTENT'!B512,"")</f>
        <v>Uttar Pradesh</v>
      </c>
      <c r="C513" s="9" t="str">
        <f>IF(IF(SelectedScope="All India",TRUE,'RAW_AR_CONTENT'!$B512=SelectedScope),'RAW_AR_CONTENT'!C512,"")</f>
        <v>Environmental Science</v>
      </c>
      <c r="D513" s="9" t="str">
        <f>IF(IF(SelectedScope="All India",TRUE,'RAW_AR_CONTENT'!$B512=SelectedScope),'RAW_AR_CONTENT'!D512,"")</f>
        <v>Class 6</v>
      </c>
      <c r="E513" s="9" t="str">
        <f>IF(IF(SelectedScope="All India",TRUE,'RAW_AR_CONTENT'!$B512=SelectedScope),'RAW_AR_CONTENT'!E512,"")</f>
        <v>Food Chain</v>
      </c>
      <c r="F513" s="9" t="str">
        <f>IF(IF(SelectedScope="All India",TRUE,'RAW_AR_CONTENT'!$B512=SelectedScope),'RAW_AR_CONTENT'!F512,"")</f>
        <v>Animated</v>
      </c>
      <c r="G513" s="9" t="str">
        <f>IF(IF(SelectedScope="All India",TRUE,'RAW_AR_CONTENT'!$B512=SelectedScope),'RAW_AR_CONTENT'!G512,"")</f>
        <v>Active</v>
      </c>
      <c r="H513" s="9">
        <f>IF(IF(SelectedScope="All India",TRUE,'RAW_AR_CONTENT'!$B512=SelectedScope),'RAW_AR_CONTENT'!H512,"")</f>
        <v>0</v>
      </c>
      <c r="I513" s="9">
        <f>IF(IF(SelectedScope="All India",TRUE,'RAW_AR_CONTENT'!$B512=SelectedScope),'RAW_AR_CONTENT'!I512,"")</f>
        <v>0</v>
      </c>
      <c r="J513" s="9">
        <f>IF(IF(SelectedScope="All India",TRUE,'RAW_AR_CONTENT'!$B512=SelectedScope),'RAW_AR_CONTENT'!J512,"")</f>
        <v>0</v>
      </c>
      <c r="K513" s="9">
        <f>IF(IF(SelectedScope="All India",TRUE,'RAW_AR_CONTENT'!$B512=SelectedScope),'RAW_AR_CONTENT'!K512,"")</f>
        <v>0</v>
      </c>
      <c r="L513" s="9">
        <f>IF(IF(SelectedScope="All India",TRUE,'RAW_AR_CONTENT'!$B512=SelectedScope),'RAW_AR_CONTENT'!L512,"")</f>
        <v>0</v>
      </c>
      <c r="M513" s="9">
        <f>IF(IF(SelectedScope="All India",TRUE,'RAW_AR_CONTENT'!$B512=SelectedScope),'RAW_AR_CONTENT'!M512,"")</f>
        <v>0</v>
      </c>
      <c r="N513" s="9">
        <f>IF(IF(SelectedScope="All India",TRUE,'RAW_AR_CONTENT'!$B512=SelectedScope),'RAW_AR_CONTENT'!N512,"")</f>
        <v>0</v>
      </c>
      <c r="O513" s="9">
        <f>IF(IF(SelectedScope="All India",TRUE,'RAW_AR_CONTENT'!$B512=SelectedScope),'RAW_AR_CONTENT'!O512,"")</f>
        <v>0</v>
      </c>
      <c r="P513" s="9">
        <f>IF(IF(SelectedScope="All India",TRUE,'RAW_AR_CONTENT'!$B512=SelectedScope),'RAW_AR_CONTENT'!P512,"")</f>
        <v>0</v>
      </c>
      <c r="Q513" s="9">
        <f>IF(IF(SelectedScope="All India",TRUE,'RAW_AR_CONTENT'!$B512=SelectedScope),'RAW_AR_CONTENT'!Q512,"")</f>
        <v>0</v>
      </c>
      <c r="R513" s="9">
        <f>IF(IF(SelectedScope="All India",TRUE,'RAW_AR_CONTENT'!$B512=SelectedScope),'RAW_AR_CONTENT'!R512,"")</f>
        <v>0</v>
      </c>
    </row>
    <row r="514" spans="1:18" ht="15" customHeight="1" x14ac:dyDescent="0.3">
      <c r="A514" s="12">
        <f>IF(IF(SelectedScope="All India",TRUE,'RAW_AR_CONTENT'!$B513=SelectedScope),'RAW_AR_CONTENT'!A513,"")</f>
        <v>510</v>
      </c>
      <c r="B514" s="12" t="str">
        <f>IF(IF(SelectedScope="All India",TRUE,'RAW_AR_CONTENT'!$B513=SelectedScope),'RAW_AR_CONTENT'!B513,"")</f>
        <v>Uttar Pradesh</v>
      </c>
      <c r="C514" s="12" t="str">
        <f>IF(IF(SelectedScope="All India",TRUE,'RAW_AR_CONTENT'!$B513=SelectedScope),'RAW_AR_CONTENT'!C513,"")</f>
        <v>Mathematics</v>
      </c>
      <c r="D514" s="12" t="str">
        <f>IF(IF(SelectedScope="All India",TRUE,'RAW_AR_CONTENT'!$B513=SelectedScope),'RAW_AR_CONTENT'!D513,"")</f>
        <v>Class 10</v>
      </c>
      <c r="E514" s="12" t="str">
        <f>IF(IF(SelectedScope="All India",TRUE,'RAW_AR_CONTENT'!$B513=SelectedScope),'RAW_AR_CONTENT'!E513,"")</f>
        <v>Quadratic Equations</v>
      </c>
      <c r="F514" s="12" t="str">
        <f>IF(IF(SelectedScope="All India",TRUE,'RAW_AR_CONTENT'!$B513=SelectedScope),'RAW_AR_CONTENT'!F513,"")</f>
        <v>Animated</v>
      </c>
      <c r="G514" s="12" t="str">
        <f>IF(IF(SelectedScope="All India",TRUE,'RAW_AR_CONTENT'!$B513=SelectedScope),'RAW_AR_CONTENT'!G513,"")</f>
        <v>Active</v>
      </c>
      <c r="H514" s="12">
        <f>IF(IF(SelectedScope="All India",TRUE,'RAW_AR_CONTENT'!$B513=SelectedScope),'RAW_AR_CONTENT'!H513,"")</f>
        <v>0</v>
      </c>
      <c r="I514" s="12">
        <f>IF(IF(SelectedScope="All India",TRUE,'RAW_AR_CONTENT'!$B513=SelectedScope),'RAW_AR_CONTENT'!I513,"")</f>
        <v>0</v>
      </c>
      <c r="J514" s="12">
        <f>IF(IF(SelectedScope="All India",TRUE,'RAW_AR_CONTENT'!$B513=SelectedScope),'RAW_AR_CONTENT'!J513,"")</f>
        <v>0</v>
      </c>
      <c r="K514" s="12">
        <f>IF(IF(SelectedScope="All India",TRUE,'RAW_AR_CONTENT'!$B513=SelectedScope),'RAW_AR_CONTENT'!K513,"")</f>
        <v>0</v>
      </c>
      <c r="L514" s="12">
        <f>IF(IF(SelectedScope="All India",TRUE,'RAW_AR_CONTENT'!$B513=SelectedScope),'RAW_AR_CONTENT'!L513,"")</f>
        <v>0</v>
      </c>
      <c r="M514" s="12">
        <f>IF(IF(SelectedScope="All India",TRUE,'RAW_AR_CONTENT'!$B513=SelectedScope),'RAW_AR_CONTENT'!M513,"")</f>
        <v>0</v>
      </c>
      <c r="N514" s="12">
        <f>IF(IF(SelectedScope="All India",TRUE,'RAW_AR_CONTENT'!$B513=SelectedScope),'RAW_AR_CONTENT'!N513,"")</f>
        <v>0</v>
      </c>
      <c r="O514" s="12">
        <f>IF(IF(SelectedScope="All India",TRUE,'RAW_AR_CONTENT'!$B513=SelectedScope),'RAW_AR_CONTENT'!O513,"")</f>
        <v>0</v>
      </c>
      <c r="P514" s="12">
        <f>IF(IF(SelectedScope="All India",TRUE,'RAW_AR_CONTENT'!$B513=SelectedScope),'RAW_AR_CONTENT'!P513,"")</f>
        <v>0</v>
      </c>
      <c r="Q514" s="12">
        <f>IF(IF(SelectedScope="All India",TRUE,'RAW_AR_CONTENT'!$B513=SelectedScope),'RAW_AR_CONTENT'!Q513,"")</f>
        <v>0</v>
      </c>
      <c r="R514" s="12">
        <f>IF(IF(SelectedScope="All India",TRUE,'RAW_AR_CONTENT'!$B513=SelectedScope),'RAW_AR_CONTENT'!R513,"")</f>
        <v>0</v>
      </c>
    </row>
    <row r="515" spans="1:18" ht="15" customHeight="1" x14ac:dyDescent="0.3">
      <c r="A515" s="9">
        <f>IF(IF(SelectedScope="All India",TRUE,'RAW_AR_CONTENT'!$B514=SelectedScope),'RAW_AR_CONTENT'!A514,"")</f>
        <v>511</v>
      </c>
      <c r="B515" s="9" t="str">
        <f>IF(IF(SelectedScope="All India",TRUE,'RAW_AR_CONTENT'!$B514=SelectedScope),'RAW_AR_CONTENT'!B514,"")</f>
        <v>Uttarakhand</v>
      </c>
      <c r="C515" s="9" t="str">
        <f>IF(IF(SelectedScope="All India",TRUE,'RAW_AR_CONTENT'!$B514=SelectedScope),'RAW_AR_CONTENT'!C514,"")</f>
        <v>Science</v>
      </c>
      <c r="D515" s="9" t="str">
        <f>IF(IF(SelectedScope="All India",TRUE,'RAW_AR_CONTENT'!$B514=SelectedScope),'RAW_AR_CONTENT'!D514,"")</f>
        <v>Class 8</v>
      </c>
      <c r="E515" s="9" t="str">
        <f>IF(IF(SelectedScope="All India",TRUE,'RAW_AR_CONTENT'!$B514=SelectedScope),'RAW_AR_CONTENT'!E514,"")</f>
        <v>Solar System 3D</v>
      </c>
      <c r="F515" s="9" t="str">
        <f>IF(IF(SelectedScope="All India",TRUE,'RAW_AR_CONTENT'!$B514=SelectedScope),'RAW_AR_CONTENT'!F514,"")</f>
        <v>Animated</v>
      </c>
      <c r="G515" s="9" t="str">
        <f>IF(IF(SelectedScope="All India",TRUE,'RAW_AR_CONTENT'!$B514=SelectedScope),'RAW_AR_CONTENT'!G514,"")</f>
        <v>Active</v>
      </c>
      <c r="H515" s="9">
        <f>IF(IF(SelectedScope="All India",TRUE,'RAW_AR_CONTENT'!$B514=SelectedScope),'RAW_AR_CONTENT'!H514,"")</f>
        <v>0</v>
      </c>
      <c r="I515" s="9">
        <f>IF(IF(SelectedScope="All India",TRUE,'RAW_AR_CONTENT'!$B514=SelectedScope),'RAW_AR_CONTENT'!I514,"")</f>
        <v>0</v>
      </c>
      <c r="J515" s="9">
        <f>IF(IF(SelectedScope="All India",TRUE,'RAW_AR_CONTENT'!$B514=SelectedScope),'RAW_AR_CONTENT'!J514,"")</f>
        <v>0</v>
      </c>
      <c r="K515" s="9">
        <f>IF(IF(SelectedScope="All India",TRUE,'RAW_AR_CONTENT'!$B514=SelectedScope),'RAW_AR_CONTENT'!K514,"")</f>
        <v>0</v>
      </c>
      <c r="L515" s="9">
        <f>IF(IF(SelectedScope="All India",TRUE,'RAW_AR_CONTENT'!$B514=SelectedScope),'RAW_AR_CONTENT'!L514,"")</f>
        <v>0</v>
      </c>
      <c r="M515" s="9">
        <f>IF(IF(SelectedScope="All India",TRUE,'RAW_AR_CONTENT'!$B514=SelectedScope),'RAW_AR_CONTENT'!M514,"")</f>
        <v>0</v>
      </c>
      <c r="N515" s="9">
        <f>IF(IF(SelectedScope="All India",TRUE,'RAW_AR_CONTENT'!$B514=SelectedScope),'RAW_AR_CONTENT'!N514,"")</f>
        <v>0</v>
      </c>
      <c r="O515" s="9">
        <f>IF(IF(SelectedScope="All India",TRUE,'RAW_AR_CONTENT'!$B514=SelectedScope),'RAW_AR_CONTENT'!O514,"")</f>
        <v>0</v>
      </c>
      <c r="P515" s="9">
        <f>IF(IF(SelectedScope="All India",TRUE,'RAW_AR_CONTENT'!$B514=SelectedScope),'RAW_AR_CONTENT'!P514,"")</f>
        <v>0</v>
      </c>
      <c r="Q515" s="9">
        <f>IF(IF(SelectedScope="All India",TRUE,'RAW_AR_CONTENT'!$B514=SelectedScope),'RAW_AR_CONTENT'!Q514,"")</f>
        <v>0</v>
      </c>
      <c r="R515" s="9">
        <f>IF(IF(SelectedScope="All India",TRUE,'RAW_AR_CONTENT'!$B514=SelectedScope),'RAW_AR_CONTENT'!R514,"")</f>
        <v>0</v>
      </c>
    </row>
    <row r="516" spans="1:18" ht="15" customHeight="1" x14ac:dyDescent="0.3">
      <c r="A516" s="12">
        <f>IF(IF(SelectedScope="All India",TRUE,'RAW_AR_CONTENT'!$B515=SelectedScope),'RAW_AR_CONTENT'!A515,"")</f>
        <v>512</v>
      </c>
      <c r="B516" s="12" t="str">
        <f>IF(IF(SelectedScope="All India",TRUE,'RAW_AR_CONTENT'!$B515=SelectedScope),'RAW_AR_CONTENT'!B515,"")</f>
        <v>Uttarakhand</v>
      </c>
      <c r="C516" s="12" t="str">
        <f>IF(IF(SelectedScope="All India",TRUE,'RAW_AR_CONTENT'!$B515=SelectedScope),'RAW_AR_CONTENT'!C515,"")</f>
        <v>Biology</v>
      </c>
      <c r="D516" s="12" t="str">
        <f>IF(IF(SelectedScope="All India",TRUE,'RAW_AR_CONTENT'!$B515=SelectedScope),'RAW_AR_CONTENT'!D515,"")</f>
        <v>Class 9</v>
      </c>
      <c r="E516" s="12" t="str">
        <f>IF(IF(SelectedScope="All India",TRUE,'RAW_AR_CONTENT'!$B515=SelectedScope),'RAW_AR_CONTENT'!E515,"")</f>
        <v>Cell Division</v>
      </c>
      <c r="F516" s="12" t="str">
        <f>IF(IF(SelectedScope="All India",TRUE,'RAW_AR_CONTENT'!$B515=SelectedScope),'RAW_AR_CONTENT'!F515,"")</f>
        <v>Interactive</v>
      </c>
      <c r="G516" s="12" t="str">
        <f>IF(IF(SelectedScope="All India",TRUE,'RAW_AR_CONTENT'!$B515=SelectedScope),'RAW_AR_CONTENT'!G515,"")</f>
        <v>Active</v>
      </c>
      <c r="H516" s="12">
        <f>IF(IF(SelectedScope="All India",TRUE,'RAW_AR_CONTENT'!$B515=SelectedScope),'RAW_AR_CONTENT'!H515,"")</f>
        <v>0</v>
      </c>
      <c r="I516" s="12">
        <f>IF(IF(SelectedScope="All India",TRUE,'RAW_AR_CONTENT'!$B515=SelectedScope),'RAW_AR_CONTENT'!I515,"")</f>
        <v>0</v>
      </c>
      <c r="J516" s="12">
        <f>IF(IF(SelectedScope="All India",TRUE,'RAW_AR_CONTENT'!$B515=SelectedScope),'RAW_AR_CONTENT'!J515,"")</f>
        <v>0</v>
      </c>
      <c r="K516" s="12">
        <f>IF(IF(SelectedScope="All India",TRUE,'RAW_AR_CONTENT'!$B515=SelectedScope),'RAW_AR_CONTENT'!K515,"")</f>
        <v>0</v>
      </c>
      <c r="L516" s="12">
        <f>IF(IF(SelectedScope="All India",TRUE,'RAW_AR_CONTENT'!$B515=SelectedScope),'RAW_AR_CONTENT'!L515,"")</f>
        <v>0</v>
      </c>
      <c r="M516" s="12">
        <f>IF(IF(SelectedScope="All India",TRUE,'RAW_AR_CONTENT'!$B515=SelectedScope),'RAW_AR_CONTENT'!M515,"")</f>
        <v>0</v>
      </c>
      <c r="N516" s="12">
        <f>IF(IF(SelectedScope="All India",TRUE,'RAW_AR_CONTENT'!$B515=SelectedScope),'RAW_AR_CONTENT'!N515,"")</f>
        <v>0</v>
      </c>
      <c r="O516" s="12">
        <f>IF(IF(SelectedScope="All India",TRUE,'RAW_AR_CONTENT'!$B515=SelectedScope),'RAW_AR_CONTENT'!O515,"")</f>
        <v>0</v>
      </c>
      <c r="P516" s="12">
        <f>IF(IF(SelectedScope="All India",TRUE,'RAW_AR_CONTENT'!$B515=SelectedScope),'RAW_AR_CONTENT'!P515,"")</f>
        <v>0</v>
      </c>
      <c r="Q516" s="12">
        <f>IF(IF(SelectedScope="All India",TRUE,'RAW_AR_CONTENT'!$B515=SelectedScope),'RAW_AR_CONTENT'!Q515,"")</f>
        <v>0</v>
      </c>
      <c r="R516" s="12">
        <f>IF(IF(SelectedScope="All India",TRUE,'RAW_AR_CONTENT'!$B515=SelectedScope),'RAW_AR_CONTENT'!R515,"")</f>
        <v>0</v>
      </c>
    </row>
    <row r="517" spans="1:18" ht="15" customHeight="1" x14ac:dyDescent="0.3">
      <c r="A517" s="9">
        <f>IF(IF(SelectedScope="All India",TRUE,'RAW_AR_CONTENT'!$B516=SelectedScope),'RAW_AR_CONTENT'!A516,"")</f>
        <v>513</v>
      </c>
      <c r="B517" s="9" t="str">
        <f>IF(IF(SelectedScope="All India",TRUE,'RAW_AR_CONTENT'!$B516=SelectedScope),'RAW_AR_CONTENT'!B516,"")</f>
        <v>Uttarakhand</v>
      </c>
      <c r="C517" s="9" t="str">
        <f>IF(IF(SelectedScope="All India",TRUE,'RAW_AR_CONTENT'!$B516=SelectedScope),'RAW_AR_CONTENT'!C516,"")</f>
        <v>Chemistry</v>
      </c>
      <c r="D517" s="9" t="str">
        <f>IF(IF(SelectedScope="All India",TRUE,'RAW_AR_CONTENT'!$B516=SelectedScope),'RAW_AR_CONTENT'!D516,"")</f>
        <v>Class 9</v>
      </c>
      <c r="E517" s="9" t="str">
        <f>IF(IF(SelectedScope="All India",TRUE,'RAW_AR_CONTENT'!$B516=SelectedScope),'RAW_AR_CONTENT'!E516,"")</f>
        <v>Atoms and Molecules</v>
      </c>
      <c r="F517" s="9" t="str">
        <f>IF(IF(SelectedScope="All India",TRUE,'RAW_AR_CONTENT'!$B516=SelectedScope),'RAW_AR_CONTENT'!F516,"")</f>
        <v>Animated</v>
      </c>
      <c r="G517" s="9" t="str">
        <f>IF(IF(SelectedScope="All India",TRUE,'RAW_AR_CONTENT'!$B516=SelectedScope),'RAW_AR_CONTENT'!G516,"")</f>
        <v>Active</v>
      </c>
      <c r="H517" s="9">
        <f>IF(IF(SelectedScope="All India",TRUE,'RAW_AR_CONTENT'!$B516=SelectedScope),'RAW_AR_CONTENT'!H516,"")</f>
        <v>0</v>
      </c>
      <c r="I517" s="9">
        <f>IF(IF(SelectedScope="All India",TRUE,'RAW_AR_CONTENT'!$B516=SelectedScope),'RAW_AR_CONTENT'!I516,"")</f>
        <v>0</v>
      </c>
      <c r="J517" s="9">
        <f>IF(IF(SelectedScope="All India",TRUE,'RAW_AR_CONTENT'!$B516=SelectedScope),'RAW_AR_CONTENT'!J516,"")</f>
        <v>0</v>
      </c>
      <c r="K517" s="9">
        <f>IF(IF(SelectedScope="All India",TRUE,'RAW_AR_CONTENT'!$B516=SelectedScope),'RAW_AR_CONTENT'!K516,"")</f>
        <v>0</v>
      </c>
      <c r="L517" s="9">
        <f>IF(IF(SelectedScope="All India",TRUE,'RAW_AR_CONTENT'!$B516=SelectedScope),'RAW_AR_CONTENT'!L516,"")</f>
        <v>0</v>
      </c>
      <c r="M517" s="9">
        <f>IF(IF(SelectedScope="All India",TRUE,'RAW_AR_CONTENT'!$B516=SelectedScope),'RAW_AR_CONTENT'!M516,"")</f>
        <v>0</v>
      </c>
      <c r="N517" s="9">
        <f>IF(IF(SelectedScope="All India",TRUE,'RAW_AR_CONTENT'!$B516=SelectedScope),'RAW_AR_CONTENT'!N516,"")</f>
        <v>0</v>
      </c>
      <c r="O517" s="9">
        <f>IF(IF(SelectedScope="All India",TRUE,'RAW_AR_CONTENT'!$B516=SelectedScope),'RAW_AR_CONTENT'!O516,"")</f>
        <v>0</v>
      </c>
      <c r="P517" s="9">
        <f>IF(IF(SelectedScope="All India",TRUE,'RAW_AR_CONTENT'!$B516=SelectedScope),'RAW_AR_CONTENT'!P516,"")</f>
        <v>0</v>
      </c>
      <c r="Q517" s="9">
        <f>IF(IF(SelectedScope="All India",TRUE,'RAW_AR_CONTENT'!$B516=SelectedScope),'RAW_AR_CONTENT'!Q516,"")</f>
        <v>0</v>
      </c>
      <c r="R517" s="9">
        <f>IF(IF(SelectedScope="All India",TRUE,'RAW_AR_CONTENT'!$B516=SelectedScope),'RAW_AR_CONTENT'!R516,"")</f>
        <v>0</v>
      </c>
    </row>
    <row r="518" spans="1:18" ht="15" customHeight="1" x14ac:dyDescent="0.3">
      <c r="A518" s="12">
        <f>IF(IF(SelectedScope="All India",TRUE,'RAW_AR_CONTENT'!$B517=SelectedScope),'RAW_AR_CONTENT'!A517,"")</f>
        <v>514</v>
      </c>
      <c r="B518" s="12" t="str">
        <f>IF(IF(SelectedScope="All India",TRUE,'RAW_AR_CONTENT'!$B517=SelectedScope),'RAW_AR_CONTENT'!B517,"")</f>
        <v>Uttarakhand</v>
      </c>
      <c r="C518" s="12" t="str">
        <f>IF(IF(SelectedScope="All India",TRUE,'RAW_AR_CONTENT'!$B517=SelectedScope),'RAW_AR_CONTENT'!C517,"")</f>
        <v>Biology</v>
      </c>
      <c r="D518" s="12" t="str">
        <f>IF(IF(SelectedScope="All India",TRUE,'RAW_AR_CONTENT'!$B517=SelectedScope),'RAW_AR_CONTENT'!D517,"")</f>
        <v>Class 7</v>
      </c>
      <c r="E518" s="12" t="str">
        <f>IF(IF(SelectedScope="All India",TRUE,'RAW_AR_CONTENT'!$B517=SelectedScope),'RAW_AR_CONTENT'!E517,"")</f>
        <v>Photosynthesis</v>
      </c>
      <c r="F518" s="12" t="str">
        <f>IF(IF(SelectedScope="All India",TRUE,'RAW_AR_CONTENT'!$B517=SelectedScope),'RAW_AR_CONTENT'!F517,"")</f>
        <v>Basic 3D</v>
      </c>
      <c r="G518" s="12" t="str">
        <f>IF(IF(SelectedScope="All India",TRUE,'RAW_AR_CONTENT'!$B517=SelectedScope),'RAW_AR_CONTENT'!G517,"")</f>
        <v>Active</v>
      </c>
      <c r="H518" s="12">
        <f>IF(IF(SelectedScope="All India",TRUE,'RAW_AR_CONTENT'!$B517=SelectedScope),'RAW_AR_CONTENT'!H517,"")</f>
        <v>0</v>
      </c>
      <c r="I518" s="12">
        <f>IF(IF(SelectedScope="All India",TRUE,'RAW_AR_CONTENT'!$B517=SelectedScope),'RAW_AR_CONTENT'!I517,"")</f>
        <v>0</v>
      </c>
      <c r="J518" s="12">
        <f>IF(IF(SelectedScope="All India",TRUE,'RAW_AR_CONTENT'!$B517=SelectedScope),'RAW_AR_CONTENT'!J517,"")</f>
        <v>0</v>
      </c>
      <c r="K518" s="12">
        <f>IF(IF(SelectedScope="All India",TRUE,'RAW_AR_CONTENT'!$B517=SelectedScope),'RAW_AR_CONTENT'!K517,"")</f>
        <v>0</v>
      </c>
      <c r="L518" s="12">
        <f>IF(IF(SelectedScope="All India",TRUE,'RAW_AR_CONTENT'!$B517=SelectedScope),'RAW_AR_CONTENT'!L517,"")</f>
        <v>0</v>
      </c>
      <c r="M518" s="12">
        <f>IF(IF(SelectedScope="All India",TRUE,'RAW_AR_CONTENT'!$B517=SelectedScope),'RAW_AR_CONTENT'!M517,"")</f>
        <v>0</v>
      </c>
      <c r="N518" s="12">
        <f>IF(IF(SelectedScope="All India",TRUE,'RAW_AR_CONTENT'!$B517=SelectedScope),'RAW_AR_CONTENT'!N517,"")</f>
        <v>0</v>
      </c>
      <c r="O518" s="12">
        <f>IF(IF(SelectedScope="All India",TRUE,'RAW_AR_CONTENT'!$B517=SelectedScope),'RAW_AR_CONTENT'!O517,"")</f>
        <v>0</v>
      </c>
      <c r="P518" s="12">
        <f>IF(IF(SelectedScope="All India",TRUE,'RAW_AR_CONTENT'!$B517=SelectedScope),'RAW_AR_CONTENT'!P517,"")</f>
        <v>0</v>
      </c>
      <c r="Q518" s="12">
        <f>IF(IF(SelectedScope="All India",TRUE,'RAW_AR_CONTENT'!$B517=SelectedScope),'RAW_AR_CONTENT'!Q517,"")</f>
        <v>0</v>
      </c>
      <c r="R518" s="12">
        <f>IF(IF(SelectedScope="All India",TRUE,'RAW_AR_CONTENT'!$B517=SelectedScope),'RAW_AR_CONTENT'!R517,"")</f>
        <v>0</v>
      </c>
    </row>
    <row r="519" spans="1:18" ht="15" customHeight="1" x14ac:dyDescent="0.3">
      <c r="A519" s="9">
        <f>IF(IF(SelectedScope="All India",TRUE,'RAW_AR_CONTENT'!$B518=SelectedScope),'RAW_AR_CONTENT'!A518,"")</f>
        <v>515</v>
      </c>
      <c r="B519" s="9" t="str">
        <f>IF(IF(SelectedScope="All India",TRUE,'RAW_AR_CONTENT'!$B518=SelectedScope),'RAW_AR_CONTENT'!B518,"")</f>
        <v>Uttarakhand</v>
      </c>
      <c r="C519" s="9" t="str">
        <f>IF(IF(SelectedScope="All India",TRUE,'RAW_AR_CONTENT'!$B518=SelectedScope),'RAW_AR_CONTENT'!C518,"")</f>
        <v>Mathematics</v>
      </c>
      <c r="D519" s="9" t="str">
        <f>IF(IF(SelectedScope="All India",TRUE,'RAW_AR_CONTENT'!$B518=SelectedScope),'RAW_AR_CONTENT'!D518,"")</f>
        <v>Class 7</v>
      </c>
      <c r="E519" s="9" t="str">
        <f>IF(IF(SelectedScope="All India",TRUE,'RAW_AR_CONTENT'!$B518=SelectedScope),'RAW_AR_CONTENT'!E518,"")</f>
        <v>Fractions 3D Model</v>
      </c>
      <c r="F519" s="9" t="str">
        <f>IF(IF(SelectedScope="All India",TRUE,'RAW_AR_CONTENT'!$B518=SelectedScope),'RAW_AR_CONTENT'!F518,"")</f>
        <v>Interactive</v>
      </c>
      <c r="G519" s="9" t="str">
        <f>IF(IF(SelectedScope="All India",TRUE,'RAW_AR_CONTENT'!$B518=SelectedScope),'RAW_AR_CONTENT'!G518,"")</f>
        <v>Active</v>
      </c>
      <c r="H519" s="9">
        <f>IF(IF(SelectedScope="All India",TRUE,'RAW_AR_CONTENT'!$B518=SelectedScope),'RAW_AR_CONTENT'!H518,"")</f>
        <v>0</v>
      </c>
      <c r="I519" s="9">
        <f>IF(IF(SelectedScope="All India",TRUE,'RAW_AR_CONTENT'!$B518=SelectedScope),'RAW_AR_CONTENT'!I518,"")</f>
        <v>0</v>
      </c>
      <c r="J519" s="9">
        <f>IF(IF(SelectedScope="All India",TRUE,'RAW_AR_CONTENT'!$B518=SelectedScope),'RAW_AR_CONTENT'!J518,"")</f>
        <v>0</v>
      </c>
      <c r="K519" s="9">
        <f>IF(IF(SelectedScope="All India",TRUE,'RAW_AR_CONTENT'!$B518=SelectedScope),'RAW_AR_CONTENT'!K518,"")</f>
        <v>0</v>
      </c>
      <c r="L519" s="9">
        <f>IF(IF(SelectedScope="All India",TRUE,'RAW_AR_CONTENT'!$B518=SelectedScope),'RAW_AR_CONTENT'!L518,"")</f>
        <v>0</v>
      </c>
      <c r="M519" s="9">
        <f>IF(IF(SelectedScope="All India",TRUE,'RAW_AR_CONTENT'!$B518=SelectedScope),'RAW_AR_CONTENT'!M518,"")</f>
        <v>0</v>
      </c>
      <c r="N519" s="9">
        <f>IF(IF(SelectedScope="All India",TRUE,'RAW_AR_CONTENT'!$B518=SelectedScope),'RAW_AR_CONTENT'!N518,"")</f>
        <v>0</v>
      </c>
      <c r="O519" s="9">
        <f>IF(IF(SelectedScope="All India",TRUE,'RAW_AR_CONTENT'!$B518=SelectedScope),'RAW_AR_CONTENT'!O518,"")</f>
        <v>0</v>
      </c>
      <c r="P519" s="9">
        <f>IF(IF(SelectedScope="All India",TRUE,'RAW_AR_CONTENT'!$B518=SelectedScope),'RAW_AR_CONTENT'!P518,"")</f>
        <v>0</v>
      </c>
      <c r="Q519" s="9">
        <f>IF(IF(SelectedScope="All India",TRUE,'RAW_AR_CONTENT'!$B518=SelectedScope),'RAW_AR_CONTENT'!Q518,"")</f>
        <v>0</v>
      </c>
      <c r="R519" s="9">
        <f>IF(IF(SelectedScope="All India",TRUE,'RAW_AR_CONTENT'!$B518=SelectedScope),'RAW_AR_CONTENT'!R518,"")</f>
        <v>0</v>
      </c>
    </row>
    <row r="520" spans="1:18" ht="15" customHeight="1" x14ac:dyDescent="0.3">
      <c r="A520" s="12">
        <f>IF(IF(SelectedScope="All India",TRUE,'RAW_AR_CONTENT'!$B519=SelectedScope),'RAW_AR_CONTENT'!A519,"")</f>
        <v>516</v>
      </c>
      <c r="B520" s="12" t="str">
        <f>IF(IF(SelectedScope="All India",TRUE,'RAW_AR_CONTENT'!$B519=SelectedScope),'RAW_AR_CONTENT'!B519,"")</f>
        <v>Uttarakhand</v>
      </c>
      <c r="C520" s="12" t="str">
        <f>IF(IF(SelectedScope="All India",TRUE,'RAW_AR_CONTENT'!$B519=SelectedScope),'RAW_AR_CONTENT'!C519,"")</f>
        <v>Mathematics</v>
      </c>
      <c r="D520" s="12" t="str">
        <f>IF(IF(SelectedScope="All India",TRUE,'RAW_AR_CONTENT'!$B519=SelectedScope),'RAW_AR_CONTENT'!D519,"")</f>
        <v>Class 10</v>
      </c>
      <c r="E520" s="12" t="str">
        <f>IF(IF(SelectedScope="All India",TRUE,'RAW_AR_CONTENT'!$B519=SelectedScope),'RAW_AR_CONTENT'!E519,"")</f>
        <v>Trigonometry 3D</v>
      </c>
      <c r="F520" s="12" t="str">
        <f>IF(IF(SelectedScope="All India",TRUE,'RAW_AR_CONTENT'!$B519=SelectedScope),'RAW_AR_CONTENT'!F519,"")</f>
        <v>Animated</v>
      </c>
      <c r="G520" s="12" t="str">
        <f>IF(IF(SelectedScope="All India",TRUE,'RAW_AR_CONTENT'!$B519=SelectedScope),'RAW_AR_CONTENT'!G519,"")</f>
        <v>Active</v>
      </c>
      <c r="H520" s="12">
        <f>IF(IF(SelectedScope="All India",TRUE,'RAW_AR_CONTENT'!$B519=SelectedScope),'RAW_AR_CONTENT'!H519,"")</f>
        <v>0</v>
      </c>
      <c r="I520" s="12">
        <f>IF(IF(SelectedScope="All India",TRUE,'RAW_AR_CONTENT'!$B519=SelectedScope),'RAW_AR_CONTENT'!I519,"")</f>
        <v>0</v>
      </c>
      <c r="J520" s="12">
        <f>IF(IF(SelectedScope="All India",TRUE,'RAW_AR_CONTENT'!$B519=SelectedScope),'RAW_AR_CONTENT'!J519,"")</f>
        <v>0</v>
      </c>
      <c r="K520" s="12">
        <f>IF(IF(SelectedScope="All India",TRUE,'RAW_AR_CONTENT'!$B519=SelectedScope),'RAW_AR_CONTENT'!K519,"")</f>
        <v>0</v>
      </c>
      <c r="L520" s="12">
        <f>IF(IF(SelectedScope="All India",TRUE,'RAW_AR_CONTENT'!$B519=SelectedScope),'RAW_AR_CONTENT'!L519,"")</f>
        <v>0</v>
      </c>
      <c r="M520" s="12">
        <f>IF(IF(SelectedScope="All India",TRUE,'RAW_AR_CONTENT'!$B519=SelectedScope),'RAW_AR_CONTENT'!M519,"")</f>
        <v>0</v>
      </c>
      <c r="N520" s="12">
        <f>IF(IF(SelectedScope="All India",TRUE,'RAW_AR_CONTENT'!$B519=SelectedScope),'RAW_AR_CONTENT'!N519,"")</f>
        <v>0</v>
      </c>
      <c r="O520" s="12">
        <f>IF(IF(SelectedScope="All India",TRUE,'RAW_AR_CONTENT'!$B519=SelectedScope),'RAW_AR_CONTENT'!O519,"")</f>
        <v>0</v>
      </c>
      <c r="P520" s="12">
        <f>IF(IF(SelectedScope="All India",TRUE,'RAW_AR_CONTENT'!$B519=SelectedScope),'RAW_AR_CONTENT'!P519,"")</f>
        <v>0</v>
      </c>
      <c r="Q520" s="12">
        <f>IF(IF(SelectedScope="All India",TRUE,'RAW_AR_CONTENT'!$B519=SelectedScope),'RAW_AR_CONTENT'!Q519,"")</f>
        <v>0</v>
      </c>
      <c r="R520" s="12">
        <f>IF(IF(SelectedScope="All India",TRUE,'RAW_AR_CONTENT'!$B519=SelectedScope),'RAW_AR_CONTENT'!R519,"")</f>
        <v>0</v>
      </c>
    </row>
    <row r="521" spans="1:18" ht="15" customHeight="1" x14ac:dyDescent="0.3">
      <c r="A521" s="9">
        <f>IF(IF(SelectedScope="All India",TRUE,'RAW_AR_CONTENT'!$B520=SelectedScope),'RAW_AR_CONTENT'!A520,"")</f>
        <v>517</v>
      </c>
      <c r="B521" s="9" t="str">
        <f>IF(IF(SelectedScope="All India",TRUE,'RAW_AR_CONTENT'!$B520=SelectedScope),'RAW_AR_CONTENT'!B520,"")</f>
        <v>Uttarakhand</v>
      </c>
      <c r="C521" s="9" t="str">
        <f>IF(IF(SelectedScope="All India",TRUE,'RAW_AR_CONTENT'!$B520=SelectedScope),'RAW_AR_CONTENT'!C520,"")</f>
        <v>History</v>
      </c>
      <c r="D521" s="9" t="str">
        <f>IF(IF(SelectedScope="All India",TRUE,'RAW_AR_CONTENT'!$B520=SelectedScope),'RAW_AR_CONTENT'!D520,"")</f>
        <v>Class 10</v>
      </c>
      <c r="E521" s="9" t="str">
        <f>IF(IF(SelectedScope="All India",TRUE,'RAW_AR_CONTENT'!$B520=SelectedScope),'RAW_AR_CONTENT'!E520,"")</f>
        <v>Mughal Empire AR</v>
      </c>
      <c r="F521" s="9" t="str">
        <f>IF(IF(SelectedScope="All India",TRUE,'RAW_AR_CONTENT'!$B520=SelectedScope),'RAW_AR_CONTENT'!F520,"")</f>
        <v>Basic 3D</v>
      </c>
      <c r="G521" s="9" t="str">
        <f>IF(IF(SelectedScope="All India",TRUE,'RAW_AR_CONTENT'!$B520=SelectedScope),'RAW_AR_CONTENT'!G520,"")</f>
        <v>Active</v>
      </c>
      <c r="H521" s="9">
        <f>IF(IF(SelectedScope="All India",TRUE,'RAW_AR_CONTENT'!$B520=SelectedScope),'RAW_AR_CONTENT'!H520,"")</f>
        <v>0</v>
      </c>
      <c r="I521" s="9">
        <f>IF(IF(SelectedScope="All India",TRUE,'RAW_AR_CONTENT'!$B520=SelectedScope),'RAW_AR_CONTENT'!I520,"")</f>
        <v>0</v>
      </c>
      <c r="J521" s="9">
        <f>IF(IF(SelectedScope="All India",TRUE,'RAW_AR_CONTENT'!$B520=SelectedScope),'RAW_AR_CONTENT'!J520,"")</f>
        <v>0</v>
      </c>
      <c r="K521" s="9">
        <f>IF(IF(SelectedScope="All India",TRUE,'RAW_AR_CONTENT'!$B520=SelectedScope),'RAW_AR_CONTENT'!K520,"")</f>
        <v>0</v>
      </c>
      <c r="L521" s="9">
        <f>IF(IF(SelectedScope="All India",TRUE,'RAW_AR_CONTENT'!$B520=SelectedScope),'RAW_AR_CONTENT'!L520,"")</f>
        <v>0</v>
      </c>
      <c r="M521" s="9">
        <f>IF(IF(SelectedScope="All India",TRUE,'RAW_AR_CONTENT'!$B520=SelectedScope),'RAW_AR_CONTENT'!M520,"")</f>
        <v>0</v>
      </c>
      <c r="N521" s="9">
        <f>IF(IF(SelectedScope="All India",TRUE,'RAW_AR_CONTENT'!$B520=SelectedScope),'RAW_AR_CONTENT'!N520,"")</f>
        <v>0</v>
      </c>
      <c r="O521" s="9">
        <f>IF(IF(SelectedScope="All India",TRUE,'RAW_AR_CONTENT'!$B520=SelectedScope),'RAW_AR_CONTENT'!O520,"")</f>
        <v>0</v>
      </c>
      <c r="P521" s="9">
        <f>IF(IF(SelectedScope="All India",TRUE,'RAW_AR_CONTENT'!$B520=SelectedScope),'RAW_AR_CONTENT'!P520,"")</f>
        <v>0</v>
      </c>
      <c r="Q521" s="9">
        <f>IF(IF(SelectedScope="All India",TRUE,'RAW_AR_CONTENT'!$B520=SelectedScope),'RAW_AR_CONTENT'!Q520,"")</f>
        <v>0</v>
      </c>
      <c r="R521" s="9">
        <f>IF(IF(SelectedScope="All India",TRUE,'RAW_AR_CONTENT'!$B520=SelectedScope),'RAW_AR_CONTENT'!R520,"")</f>
        <v>0</v>
      </c>
    </row>
    <row r="522" spans="1:18" ht="15" customHeight="1" x14ac:dyDescent="0.3">
      <c r="A522" s="12">
        <f>IF(IF(SelectedScope="All India",TRUE,'RAW_AR_CONTENT'!$B521=SelectedScope),'RAW_AR_CONTENT'!A521,"")</f>
        <v>518</v>
      </c>
      <c r="B522" s="12" t="str">
        <f>IF(IF(SelectedScope="All India",TRUE,'RAW_AR_CONTENT'!$B521=SelectedScope),'RAW_AR_CONTENT'!B521,"")</f>
        <v>Uttarakhand</v>
      </c>
      <c r="C522" s="12" t="str">
        <f>IF(IF(SelectedScope="All India",TRUE,'RAW_AR_CONTENT'!$B521=SelectedScope),'RAW_AR_CONTENT'!C521,"")</f>
        <v>Geography</v>
      </c>
      <c r="D522" s="12" t="str">
        <f>IF(IF(SelectedScope="All India",TRUE,'RAW_AR_CONTENT'!$B521=SelectedScope),'RAW_AR_CONTENT'!D521,"")</f>
        <v>Class 6</v>
      </c>
      <c r="E522" s="12" t="str">
        <f>IF(IF(SelectedScope="All India",TRUE,'RAW_AR_CONTENT'!$B521=SelectedScope),'RAW_AR_CONTENT'!E521,"")</f>
        <v>Water Cycle Simulation</v>
      </c>
      <c r="F522" s="12" t="str">
        <f>IF(IF(SelectedScope="All India",TRUE,'RAW_AR_CONTENT'!$B521=SelectedScope),'RAW_AR_CONTENT'!F521,"")</f>
        <v>Animated</v>
      </c>
      <c r="G522" s="12" t="str">
        <f>IF(IF(SelectedScope="All India",TRUE,'RAW_AR_CONTENT'!$B521=SelectedScope),'RAW_AR_CONTENT'!G521,"")</f>
        <v>Active</v>
      </c>
      <c r="H522" s="12">
        <f>IF(IF(SelectedScope="All India",TRUE,'RAW_AR_CONTENT'!$B521=SelectedScope),'RAW_AR_CONTENT'!H521,"")</f>
        <v>0</v>
      </c>
      <c r="I522" s="12">
        <f>IF(IF(SelectedScope="All India",TRUE,'RAW_AR_CONTENT'!$B521=SelectedScope),'RAW_AR_CONTENT'!I521,"")</f>
        <v>0</v>
      </c>
      <c r="J522" s="12">
        <f>IF(IF(SelectedScope="All India",TRUE,'RAW_AR_CONTENT'!$B521=SelectedScope),'RAW_AR_CONTENT'!J521,"")</f>
        <v>0</v>
      </c>
      <c r="K522" s="12">
        <f>IF(IF(SelectedScope="All India",TRUE,'RAW_AR_CONTENT'!$B521=SelectedScope),'RAW_AR_CONTENT'!K521,"")</f>
        <v>0</v>
      </c>
      <c r="L522" s="12">
        <f>IF(IF(SelectedScope="All India",TRUE,'RAW_AR_CONTENT'!$B521=SelectedScope),'RAW_AR_CONTENT'!L521,"")</f>
        <v>0</v>
      </c>
      <c r="M522" s="12">
        <f>IF(IF(SelectedScope="All India",TRUE,'RAW_AR_CONTENT'!$B521=SelectedScope),'RAW_AR_CONTENT'!M521,"")</f>
        <v>0</v>
      </c>
      <c r="N522" s="12">
        <f>IF(IF(SelectedScope="All India",TRUE,'RAW_AR_CONTENT'!$B521=SelectedScope),'RAW_AR_CONTENT'!N521,"")</f>
        <v>0</v>
      </c>
      <c r="O522" s="12">
        <f>IF(IF(SelectedScope="All India",TRUE,'RAW_AR_CONTENT'!$B521=SelectedScope),'RAW_AR_CONTENT'!O521,"")</f>
        <v>0</v>
      </c>
      <c r="P522" s="12">
        <f>IF(IF(SelectedScope="All India",TRUE,'RAW_AR_CONTENT'!$B521=SelectedScope),'RAW_AR_CONTENT'!P521,"")</f>
        <v>0</v>
      </c>
      <c r="Q522" s="12">
        <f>IF(IF(SelectedScope="All India",TRUE,'RAW_AR_CONTENT'!$B521=SelectedScope),'RAW_AR_CONTENT'!Q521,"")</f>
        <v>0</v>
      </c>
      <c r="R522" s="12">
        <f>IF(IF(SelectedScope="All India",TRUE,'RAW_AR_CONTENT'!$B521=SelectedScope),'RAW_AR_CONTENT'!R521,"")</f>
        <v>0</v>
      </c>
    </row>
    <row r="523" spans="1:18" ht="15" customHeight="1" x14ac:dyDescent="0.3">
      <c r="A523" s="9">
        <f>IF(IF(SelectedScope="All India",TRUE,'RAW_AR_CONTENT'!$B522=SelectedScope),'RAW_AR_CONTENT'!A522,"")</f>
        <v>519</v>
      </c>
      <c r="B523" s="9" t="str">
        <f>IF(IF(SelectedScope="All India",TRUE,'RAW_AR_CONTENT'!$B522=SelectedScope),'RAW_AR_CONTENT'!B522,"")</f>
        <v>Uttarakhand</v>
      </c>
      <c r="C523" s="9" t="str">
        <f>IF(IF(SelectedScope="All India",TRUE,'RAW_AR_CONTENT'!$B522=SelectedScope),'RAW_AR_CONTENT'!C522,"")</f>
        <v>Biology</v>
      </c>
      <c r="D523" s="9" t="str">
        <f>IF(IF(SelectedScope="All India",TRUE,'RAW_AR_CONTENT'!$B522=SelectedScope),'RAW_AR_CONTENT'!D522,"")</f>
        <v>Class 11</v>
      </c>
      <c r="E523" s="9" t="str">
        <f>IF(IF(SelectedScope="All India",TRUE,'RAW_AR_CONTENT'!$B522=SelectedScope),'RAW_AR_CONTENT'!E522,"")</f>
        <v>Human Anatomy AR</v>
      </c>
      <c r="F523" s="9" t="str">
        <f>IF(IF(SelectedScope="All India",TRUE,'RAW_AR_CONTENT'!$B522=SelectedScope),'RAW_AR_CONTENT'!F522,"")</f>
        <v>Fully Immersive</v>
      </c>
      <c r="G523" s="9" t="str">
        <f>IF(IF(SelectedScope="All India",TRUE,'RAW_AR_CONTENT'!$B522=SelectedScope),'RAW_AR_CONTENT'!G522,"")</f>
        <v>Active</v>
      </c>
      <c r="H523" s="9">
        <f>IF(IF(SelectedScope="All India",TRUE,'RAW_AR_CONTENT'!$B522=SelectedScope),'RAW_AR_CONTENT'!H522,"")</f>
        <v>0</v>
      </c>
      <c r="I523" s="9">
        <f>IF(IF(SelectedScope="All India",TRUE,'RAW_AR_CONTENT'!$B522=SelectedScope),'RAW_AR_CONTENT'!I522,"")</f>
        <v>0</v>
      </c>
      <c r="J523" s="9">
        <f>IF(IF(SelectedScope="All India",TRUE,'RAW_AR_CONTENT'!$B522=SelectedScope),'RAW_AR_CONTENT'!J522,"")</f>
        <v>0</v>
      </c>
      <c r="K523" s="9">
        <f>IF(IF(SelectedScope="All India",TRUE,'RAW_AR_CONTENT'!$B522=SelectedScope),'RAW_AR_CONTENT'!K522,"")</f>
        <v>0</v>
      </c>
      <c r="L523" s="9">
        <f>IF(IF(SelectedScope="All India",TRUE,'RAW_AR_CONTENT'!$B522=SelectedScope),'RAW_AR_CONTENT'!L522,"")</f>
        <v>0</v>
      </c>
      <c r="M523" s="9">
        <f>IF(IF(SelectedScope="All India",TRUE,'RAW_AR_CONTENT'!$B522=SelectedScope),'RAW_AR_CONTENT'!M522,"")</f>
        <v>0</v>
      </c>
      <c r="N523" s="9">
        <f>IF(IF(SelectedScope="All India",TRUE,'RAW_AR_CONTENT'!$B522=SelectedScope),'RAW_AR_CONTENT'!N522,"")</f>
        <v>0</v>
      </c>
      <c r="O523" s="9">
        <f>IF(IF(SelectedScope="All India",TRUE,'RAW_AR_CONTENT'!$B522=SelectedScope),'RAW_AR_CONTENT'!O522,"")</f>
        <v>0</v>
      </c>
      <c r="P523" s="9">
        <f>IF(IF(SelectedScope="All India",TRUE,'RAW_AR_CONTENT'!$B522=SelectedScope),'RAW_AR_CONTENT'!P522,"")</f>
        <v>0</v>
      </c>
      <c r="Q523" s="9">
        <f>IF(IF(SelectedScope="All India",TRUE,'RAW_AR_CONTENT'!$B522=SelectedScope),'RAW_AR_CONTENT'!Q522,"")</f>
        <v>0</v>
      </c>
      <c r="R523" s="9">
        <f>IF(IF(SelectedScope="All India",TRUE,'RAW_AR_CONTENT'!$B522=SelectedScope),'RAW_AR_CONTENT'!R522,"")</f>
        <v>0</v>
      </c>
    </row>
    <row r="524" spans="1:18" ht="15" customHeight="1" x14ac:dyDescent="0.3">
      <c r="A524" s="12">
        <f>IF(IF(SelectedScope="All India",TRUE,'RAW_AR_CONTENT'!$B523=SelectedScope),'RAW_AR_CONTENT'!A523,"")</f>
        <v>520</v>
      </c>
      <c r="B524" s="12" t="str">
        <f>IF(IF(SelectedScope="All India",TRUE,'RAW_AR_CONTENT'!$B523=SelectedScope),'RAW_AR_CONTENT'!B523,"")</f>
        <v>Uttarakhand</v>
      </c>
      <c r="C524" s="12" t="str">
        <f>IF(IF(SelectedScope="All India",TRUE,'RAW_AR_CONTENT'!$B523=SelectedScope),'RAW_AR_CONTENT'!C523,"")</f>
        <v>Physics</v>
      </c>
      <c r="D524" s="12" t="str">
        <f>IF(IF(SelectedScope="All India",TRUE,'RAW_AR_CONTENT'!$B523=SelectedScope),'RAW_AR_CONTENT'!D523,"")</f>
        <v>Class 9</v>
      </c>
      <c r="E524" s="12" t="str">
        <f>IF(IF(SelectedScope="All India",TRUE,'RAW_AR_CONTENT'!$B523=SelectedScope),'RAW_AR_CONTENT'!E523,"")</f>
        <v>Laws of Motion</v>
      </c>
      <c r="F524" s="12" t="str">
        <f>IF(IF(SelectedScope="All India",TRUE,'RAW_AR_CONTENT'!$B523=SelectedScope),'RAW_AR_CONTENT'!F523,"")</f>
        <v>Interactive</v>
      </c>
      <c r="G524" s="12" t="str">
        <f>IF(IF(SelectedScope="All India",TRUE,'RAW_AR_CONTENT'!$B523=SelectedScope),'RAW_AR_CONTENT'!G523,"")</f>
        <v>Active</v>
      </c>
      <c r="H524" s="12">
        <f>IF(IF(SelectedScope="All India",TRUE,'RAW_AR_CONTENT'!$B523=SelectedScope),'RAW_AR_CONTENT'!H523,"")</f>
        <v>0</v>
      </c>
      <c r="I524" s="12">
        <f>IF(IF(SelectedScope="All India",TRUE,'RAW_AR_CONTENT'!$B523=SelectedScope),'RAW_AR_CONTENT'!I523,"")</f>
        <v>0</v>
      </c>
      <c r="J524" s="12">
        <f>IF(IF(SelectedScope="All India",TRUE,'RAW_AR_CONTENT'!$B523=SelectedScope),'RAW_AR_CONTENT'!J523,"")</f>
        <v>0</v>
      </c>
      <c r="K524" s="12">
        <f>IF(IF(SelectedScope="All India",TRUE,'RAW_AR_CONTENT'!$B523=SelectedScope),'RAW_AR_CONTENT'!K523,"")</f>
        <v>0</v>
      </c>
      <c r="L524" s="12">
        <f>IF(IF(SelectedScope="All India",TRUE,'RAW_AR_CONTENT'!$B523=SelectedScope),'RAW_AR_CONTENT'!L523,"")</f>
        <v>0</v>
      </c>
      <c r="M524" s="12">
        <f>IF(IF(SelectedScope="All India",TRUE,'RAW_AR_CONTENT'!$B523=SelectedScope),'RAW_AR_CONTENT'!M523,"")</f>
        <v>0</v>
      </c>
      <c r="N524" s="12">
        <f>IF(IF(SelectedScope="All India",TRUE,'RAW_AR_CONTENT'!$B523=SelectedScope),'RAW_AR_CONTENT'!N523,"")</f>
        <v>0</v>
      </c>
      <c r="O524" s="12">
        <f>IF(IF(SelectedScope="All India",TRUE,'RAW_AR_CONTENT'!$B523=SelectedScope),'RAW_AR_CONTENT'!O523,"")</f>
        <v>0</v>
      </c>
      <c r="P524" s="12">
        <f>IF(IF(SelectedScope="All India",TRUE,'RAW_AR_CONTENT'!$B523=SelectedScope),'RAW_AR_CONTENT'!P523,"")</f>
        <v>0</v>
      </c>
      <c r="Q524" s="12">
        <f>IF(IF(SelectedScope="All India",TRUE,'RAW_AR_CONTENT'!$B523=SelectedScope),'RAW_AR_CONTENT'!Q523,"")</f>
        <v>0</v>
      </c>
      <c r="R524" s="12">
        <f>IF(IF(SelectedScope="All India",TRUE,'RAW_AR_CONTENT'!$B523=SelectedScope),'RAW_AR_CONTENT'!R523,"")</f>
        <v>0</v>
      </c>
    </row>
    <row r="525" spans="1:18" ht="15" customHeight="1" x14ac:dyDescent="0.3">
      <c r="A525" s="9">
        <f>IF(IF(SelectedScope="All India",TRUE,'RAW_AR_CONTENT'!$B524=SelectedScope),'RAW_AR_CONTENT'!A524,"")</f>
        <v>521</v>
      </c>
      <c r="B525" s="9" t="str">
        <f>IF(IF(SelectedScope="All India",TRUE,'RAW_AR_CONTENT'!$B524=SelectedScope),'RAW_AR_CONTENT'!B524,"")</f>
        <v>Uttarakhand</v>
      </c>
      <c r="C525" s="9" t="str">
        <f>IF(IF(SelectedScope="All India",TRUE,'RAW_AR_CONTENT'!$B524=SelectedScope),'RAW_AR_CONTENT'!C524,"")</f>
        <v>Chemistry</v>
      </c>
      <c r="D525" s="9" t="str">
        <f>IF(IF(SelectedScope="All India",TRUE,'RAW_AR_CONTENT'!$B524=SelectedScope),'RAW_AR_CONTENT'!D524,"")</f>
        <v>Class 11</v>
      </c>
      <c r="E525" s="9" t="str">
        <f>IF(IF(SelectedScope="All India",TRUE,'RAW_AR_CONTENT'!$B524=SelectedScope),'RAW_AR_CONTENT'!E524,"")</f>
        <v>Periodic Table 3D</v>
      </c>
      <c r="F525" s="9" t="str">
        <f>IF(IF(SelectedScope="All India",TRUE,'RAW_AR_CONTENT'!$B524=SelectedScope),'RAW_AR_CONTENT'!F524,"")</f>
        <v>Interactive</v>
      </c>
      <c r="G525" s="9" t="str">
        <f>IF(IF(SelectedScope="All India",TRUE,'RAW_AR_CONTENT'!$B524=SelectedScope),'RAW_AR_CONTENT'!G524,"")</f>
        <v>Active</v>
      </c>
      <c r="H525" s="9">
        <f>IF(IF(SelectedScope="All India",TRUE,'RAW_AR_CONTENT'!$B524=SelectedScope),'RAW_AR_CONTENT'!H524,"")</f>
        <v>0</v>
      </c>
      <c r="I525" s="9">
        <f>IF(IF(SelectedScope="All India",TRUE,'RAW_AR_CONTENT'!$B524=SelectedScope),'RAW_AR_CONTENT'!I524,"")</f>
        <v>0</v>
      </c>
      <c r="J525" s="9">
        <f>IF(IF(SelectedScope="All India",TRUE,'RAW_AR_CONTENT'!$B524=SelectedScope),'RAW_AR_CONTENT'!J524,"")</f>
        <v>0</v>
      </c>
      <c r="K525" s="9">
        <f>IF(IF(SelectedScope="All India",TRUE,'RAW_AR_CONTENT'!$B524=SelectedScope),'RAW_AR_CONTENT'!K524,"")</f>
        <v>0</v>
      </c>
      <c r="L525" s="9">
        <f>IF(IF(SelectedScope="All India",TRUE,'RAW_AR_CONTENT'!$B524=SelectedScope),'RAW_AR_CONTENT'!L524,"")</f>
        <v>0</v>
      </c>
      <c r="M525" s="9">
        <f>IF(IF(SelectedScope="All India",TRUE,'RAW_AR_CONTENT'!$B524=SelectedScope),'RAW_AR_CONTENT'!M524,"")</f>
        <v>0</v>
      </c>
      <c r="N525" s="9">
        <f>IF(IF(SelectedScope="All India",TRUE,'RAW_AR_CONTENT'!$B524=SelectedScope),'RAW_AR_CONTENT'!N524,"")</f>
        <v>0</v>
      </c>
      <c r="O525" s="9">
        <f>IF(IF(SelectedScope="All India",TRUE,'RAW_AR_CONTENT'!$B524=SelectedScope),'RAW_AR_CONTENT'!O524,"")</f>
        <v>0</v>
      </c>
      <c r="P525" s="9">
        <f>IF(IF(SelectedScope="All India",TRUE,'RAW_AR_CONTENT'!$B524=SelectedScope),'RAW_AR_CONTENT'!P524,"")</f>
        <v>0</v>
      </c>
      <c r="Q525" s="9">
        <f>IF(IF(SelectedScope="All India",TRUE,'RAW_AR_CONTENT'!$B524=SelectedScope),'RAW_AR_CONTENT'!Q524,"")</f>
        <v>0</v>
      </c>
      <c r="R525" s="9">
        <f>IF(IF(SelectedScope="All India",TRUE,'RAW_AR_CONTENT'!$B524=SelectedScope),'RAW_AR_CONTENT'!R524,"")</f>
        <v>0</v>
      </c>
    </row>
    <row r="526" spans="1:18" ht="15" customHeight="1" x14ac:dyDescent="0.3">
      <c r="A526" s="12">
        <f>IF(IF(SelectedScope="All India",TRUE,'RAW_AR_CONTENT'!$B525=SelectedScope),'RAW_AR_CONTENT'!A525,"")</f>
        <v>522</v>
      </c>
      <c r="B526" s="12" t="str">
        <f>IF(IF(SelectedScope="All India",TRUE,'RAW_AR_CONTENT'!$B525=SelectedScope),'RAW_AR_CONTENT'!B525,"")</f>
        <v>Uttarakhand</v>
      </c>
      <c r="C526" s="12" t="str">
        <f>IF(IF(SelectedScope="All India",TRUE,'RAW_AR_CONTENT'!$B525=SelectedScope),'RAW_AR_CONTENT'!C525,"")</f>
        <v>Physics</v>
      </c>
      <c r="D526" s="12" t="str">
        <f>IF(IF(SelectedScope="All India",TRUE,'RAW_AR_CONTENT'!$B525=SelectedScope),'RAW_AR_CONTENT'!D525,"")</f>
        <v>Class 10</v>
      </c>
      <c r="E526" s="12" t="str">
        <f>IF(IF(SelectedScope="All India",TRUE,'RAW_AR_CONTENT'!$B525=SelectedScope),'RAW_AR_CONTENT'!E525,"")</f>
        <v>Electricity Circuits</v>
      </c>
      <c r="F526" s="12" t="str">
        <f>IF(IF(SelectedScope="All India",TRUE,'RAW_AR_CONTENT'!$B525=SelectedScope),'RAW_AR_CONTENT'!F525,"")</f>
        <v>Interactive</v>
      </c>
      <c r="G526" s="12" t="str">
        <f>IF(IF(SelectedScope="All India",TRUE,'RAW_AR_CONTENT'!$B525=SelectedScope),'RAW_AR_CONTENT'!G525,"")</f>
        <v>Active</v>
      </c>
      <c r="H526" s="12">
        <f>IF(IF(SelectedScope="All India",TRUE,'RAW_AR_CONTENT'!$B525=SelectedScope),'RAW_AR_CONTENT'!H525,"")</f>
        <v>0</v>
      </c>
      <c r="I526" s="12">
        <f>IF(IF(SelectedScope="All India",TRUE,'RAW_AR_CONTENT'!$B525=SelectedScope),'RAW_AR_CONTENT'!I525,"")</f>
        <v>0</v>
      </c>
      <c r="J526" s="12">
        <f>IF(IF(SelectedScope="All India",TRUE,'RAW_AR_CONTENT'!$B525=SelectedScope),'RAW_AR_CONTENT'!J525,"")</f>
        <v>0</v>
      </c>
      <c r="K526" s="12">
        <f>IF(IF(SelectedScope="All India",TRUE,'RAW_AR_CONTENT'!$B525=SelectedScope),'RAW_AR_CONTENT'!K525,"")</f>
        <v>0</v>
      </c>
      <c r="L526" s="12">
        <f>IF(IF(SelectedScope="All India",TRUE,'RAW_AR_CONTENT'!$B525=SelectedScope),'RAW_AR_CONTENT'!L525,"")</f>
        <v>0</v>
      </c>
      <c r="M526" s="12">
        <f>IF(IF(SelectedScope="All India",TRUE,'RAW_AR_CONTENT'!$B525=SelectedScope),'RAW_AR_CONTENT'!M525,"")</f>
        <v>0</v>
      </c>
      <c r="N526" s="12">
        <f>IF(IF(SelectedScope="All India",TRUE,'RAW_AR_CONTENT'!$B525=SelectedScope),'RAW_AR_CONTENT'!N525,"")</f>
        <v>0</v>
      </c>
      <c r="O526" s="12">
        <f>IF(IF(SelectedScope="All India",TRUE,'RAW_AR_CONTENT'!$B525=SelectedScope),'RAW_AR_CONTENT'!O525,"")</f>
        <v>0</v>
      </c>
      <c r="P526" s="12">
        <f>IF(IF(SelectedScope="All India",TRUE,'RAW_AR_CONTENT'!$B525=SelectedScope),'RAW_AR_CONTENT'!P525,"")</f>
        <v>0</v>
      </c>
      <c r="Q526" s="12">
        <f>IF(IF(SelectedScope="All India",TRUE,'RAW_AR_CONTENT'!$B525=SelectedScope),'RAW_AR_CONTENT'!Q525,"")</f>
        <v>0</v>
      </c>
      <c r="R526" s="12">
        <f>IF(IF(SelectedScope="All India",TRUE,'RAW_AR_CONTENT'!$B525=SelectedScope),'RAW_AR_CONTENT'!R525,"")</f>
        <v>0</v>
      </c>
    </row>
    <row r="527" spans="1:18" ht="15" customHeight="1" x14ac:dyDescent="0.3">
      <c r="A527" s="9">
        <f>IF(IF(SelectedScope="All India",TRUE,'RAW_AR_CONTENT'!$B526=SelectedScope),'RAW_AR_CONTENT'!A526,"")</f>
        <v>523</v>
      </c>
      <c r="B527" s="9" t="str">
        <f>IF(IF(SelectedScope="All India",TRUE,'RAW_AR_CONTENT'!$B526=SelectedScope),'RAW_AR_CONTENT'!B526,"")</f>
        <v>Uttarakhand</v>
      </c>
      <c r="C527" s="9" t="str">
        <f>IF(IF(SelectedScope="All India",TRUE,'RAW_AR_CONTENT'!$B526=SelectedScope),'RAW_AR_CONTENT'!C526,"")</f>
        <v>Civics</v>
      </c>
      <c r="D527" s="9" t="str">
        <f>IF(IF(SelectedScope="All India",TRUE,'RAW_AR_CONTENT'!$B526=SelectedScope),'RAW_AR_CONTENT'!D526,"")</f>
        <v>Class 9</v>
      </c>
      <c r="E527" s="9" t="str">
        <f>IF(IF(SelectedScope="All India",TRUE,'RAW_AR_CONTENT'!$B526=SelectedScope),'RAW_AR_CONTENT'!E526,"")</f>
        <v>Indian Constitution</v>
      </c>
      <c r="F527" s="9" t="str">
        <f>IF(IF(SelectedScope="All India",TRUE,'RAW_AR_CONTENT'!$B526=SelectedScope),'RAW_AR_CONTENT'!F526,"")</f>
        <v>Basic 3D</v>
      </c>
      <c r="G527" s="9" t="str">
        <f>IF(IF(SelectedScope="All India",TRUE,'RAW_AR_CONTENT'!$B526=SelectedScope),'RAW_AR_CONTENT'!G526,"")</f>
        <v>Active</v>
      </c>
      <c r="H527" s="9">
        <f>IF(IF(SelectedScope="All India",TRUE,'RAW_AR_CONTENT'!$B526=SelectedScope),'RAW_AR_CONTENT'!H526,"")</f>
        <v>0</v>
      </c>
      <c r="I527" s="9">
        <f>IF(IF(SelectedScope="All India",TRUE,'RAW_AR_CONTENT'!$B526=SelectedScope),'RAW_AR_CONTENT'!I526,"")</f>
        <v>0</v>
      </c>
      <c r="J527" s="9">
        <f>IF(IF(SelectedScope="All India",TRUE,'RAW_AR_CONTENT'!$B526=SelectedScope),'RAW_AR_CONTENT'!J526,"")</f>
        <v>0</v>
      </c>
      <c r="K527" s="9">
        <f>IF(IF(SelectedScope="All India",TRUE,'RAW_AR_CONTENT'!$B526=SelectedScope),'RAW_AR_CONTENT'!K526,"")</f>
        <v>0</v>
      </c>
      <c r="L527" s="9">
        <f>IF(IF(SelectedScope="All India",TRUE,'RAW_AR_CONTENT'!$B526=SelectedScope),'RAW_AR_CONTENT'!L526,"")</f>
        <v>0</v>
      </c>
      <c r="M527" s="9">
        <f>IF(IF(SelectedScope="All India",TRUE,'RAW_AR_CONTENT'!$B526=SelectedScope),'RAW_AR_CONTENT'!M526,"")</f>
        <v>0</v>
      </c>
      <c r="N527" s="9">
        <f>IF(IF(SelectedScope="All India",TRUE,'RAW_AR_CONTENT'!$B526=SelectedScope),'RAW_AR_CONTENT'!N526,"")</f>
        <v>0</v>
      </c>
      <c r="O527" s="9">
        <f>IF(IF(SelectedScope="All India",TRUE,'RAW_AR_CONTENT'!$B526=SelectedScope),'RAW_AR_CONTENT'!O526,"")</f>
        <v>0</v>
      </c>
      <c r="P527" s="9">
        <f>IF(IF(SelectedScope="All India",TRUE,'RAW_AR_CONTENT'!$B526=SelectedScope),'RAW_AR_CONTENT'!P526,"")</f>
        <v>0</v>
      </c>
      <c r="Q527" s="9">
        <f>IF(IF(SelectedScope="All India",TRUE,'RAW_AR_CONTENT'!$B526=SelectedScope),'RAW_AR_CONTENT'!Q526,"")</f>
        <v>0</v>
      </c>
      <c r="R527" s="9">
        <f>IF(IF(SelectedScope="All India",TRUE,'RAW_AR_CONTENT'!$B526=SelectedScope),'RAW_AR_CONTENT'!R526,"")</f>
        <v>0</v>
      </c>
    </row>
    <row r="528" spans="1:18" ht="15" customHeight="1" x14ac:dyDescent="0.3">
      <c r="A528" s="12">
        <f>IF(IF(SelectedScope="All India",TRUE,'RAW_AR_CONTENT'!$B527=SelectedScope),'RAW_AR_CONTENT'!A527,"")</f>
        <v>524</v>
      </c>
      <c r="B528" s="12" t="str">
        <f>IF(IF(SelectedScope="All India",TRUE,'RAW_AR_CONTENT'!$B527=SelectedScope),'RAW_AR_CONTENT'!B527,"")</f>
        <v>Uttarakhand</v>
      </c>
      <c r="C528" s="12" t="str">
        <f>IF(IF(SelectedScope="All India",TRUE,'RAW_AR_CONTENT'!$B527=SelectedScope),'RAW_AR_CONTENT'!C527,"")</f>
        <v>Environmental Science</v>
      </c>
      <c r="D528" s="12" t="str">
        <f>IF(IF(SelectedScope="All India",TRUE,'RAW_AR_CONTENT'!$B527=SelectedScope),'RAW_AR_CONTENT'!D527,"")</f>
        <v>Class 6</v>
      </c>
      <c r="E528" s="12" t="str">
        <f>IF(IF(SelectedScope="All India",TRUE,'RAW_AR_CONTENT'!$B527=SelectedScope),'RAW_AR_CONTENT'!E527,"")</f>
        <v>Food Chain</v>
      </c>
      <c r="F528" s="12" t="str">
        <f>IF(IF(SelectedScope="All India",TRUE,'RAW_AR_CONTENT'!$B527=SelectedScope),'RAW_AR_CONTENT'!F527,"")</f>
        <v>Animated</v>
      </c>
      <c r="G528" s="12" t="str">
        <f>IF(IF(SelectedScope="All India",TRUE,'RAW_AR_CONTENT'!$B527=SelectedScope),'RAW_AR_CONTENT'!G527,"")</f>
        <v>Active</v>
      </c>
      <c r="H528" s="12">
        <f>IF(IF(SelectedScope="All India",TRUE,'RAW_AR_CONTENT'!$B527=SelectedScope),'RAW_AR_CONTENT'!H527,"")</f>
        <v>0</v>
      </c>
      <c r="I528" s="12">
        <f>IF(IF(SelectedScope="All India",TRUE,'RAW_AR_CONTENT'!$B527=SelectedScope),'RAW_AR_CONTENT'!I527,"")</f>
        <v>0</v>
      </c>
      <c r="J528" s="12">
        <f>IF(IF(SelectedScope="All India",TRUE,'RAW_AR_CONTENT'!$B527=SelectedScope),'RAW_AR_CONTENT'!J527,"")</f>
        <v>0</v>
      </c>
      <c r="K528" s="12">
        <f>IF(IF(SelectedScope="All India",TRUE,'RAW_AR_CONTENT'!$B527=SelectedScope),'RAW_AR_CONTENT'!K527,"")</f>
        <v>0</v>
      </c>
      <c r="L528" s="12">
        <f>IF(IF(SelectedScope="All India",TRUE,'RAW_AR_CONTENT'!$B527=SelectedScope),'RAW_AR_CONTENT'!L527,"")</f>
        <v>0</v>
      </c>
      <c r="M528" s="12">
        <f>IF(IF(SelectedScope="All India",TRUE,'RAW_AR_CONTENT'!$B527=SelectedScope),'RAW_AR_CONTENT'!M527,"")</f>
        <v>0</v>
      </c>
      <c r="N528" s="12">
        <f>IF(IF(SelectedScope="All India",TRUE,'RAW_AR_CONTENT'!$B527=SelectedScope),'RAW_AR_CONTENT'!N527,"")</f>
        <v>0</v>
      </c>
      <c r="O528" s="12">
        <f>IF(IF(SelectedScope="All India",TRUE,'RAW_AR_CONTENT'!$B527=SelectedScope),'RAW_AR_CONTENT'!O527,"")</f>
        <v>0</v>
      </c>
      <c r="P528" s="12">
        <f>IF(IF(SelectedScope="All India",TRUE,'RAW_AR_CONTENT'!$B527=SelectedScope),'RAW_AR_CONTENT'!P527,"")</f>
        <v>0</v>
      </c>
      <c r="Q528" s="12">
        <f>IF(IF(SelectedScope="All India",TRUE,'RAW_AR_CONTENT'!$B527=SelectedScope),'RAW_AR_CONTENT'!Q527,"")</f>
        <v>0</v>
      </c>
      <c r="R528" s="12">
        <f>IF(IF(SelectedScope="All India",TRUE,'RAW_AR_CONTENT'!$B527=SelectedScope),'RAW_AR_CONTENT'!R527,"")</f>
        <v>0</v>
      </c>
    </row>
    <row r="529" spans="1:18" ht="15" customHeight="1" x14ac:dyDescent="0.3">
      <c r="A529" s="9">
        <f>IF(IF(SelectedScope="All India",TRUE,'RAW_AR_CONTENT'!$B528=SelectedScope),'RAW_AR_CONTENT'!A528,"")</f>
        <v>525</v>
      </c>
      <c r="B529" s="9" t="str">
        <f>IF(IF(SelectedScope="All India",TRUE,'RAW_AR_CONTENT'!$B528=SelectedScope),'RAW_AR_CONTENT'!B528,"")</f>
        <v>Uttarakhand</v>
      </c>
      <c r="C529" s="9" t="str">
        <f>IF(IF(SelectedScope="All India",TRUE,'RAW_AR_CONTENT'!$B528=SelectedScope),'RAW_AR_CONTENT'!C528,"")</f>
        <v>Mathematics</v>
      </c>
      <c r="D529" s="9" t="str">
        <f>IF(IF(SelectedScope="All India",TRUE,'RAW_AR_CONTENT'!$B528=SelectedScope),'RAW_AR_CONTENT'!D528,"")</f>
        <v>Class 10</v>
      </c>
      <c r="E529" s="9" t="str">
        <f>IF(IF(SelectedScope="All India",TRUE,'RAW_AR_CONTENT'!$B528=SelectedScope),'RAW_AR_CONTENT'!E528,"")</f>
        <v>Quadratic Equations</v>
      </c>
      <c r="F529" s="9" t="str">
        <f>IF(IF(SelectedScope="All India",TRUE,'RAW_AR_CONTENT'!$B528=SelectedScope),'RAW_AR_CONTENT'!F528,"")</f>
        <v>Animated</v>
      </c>
      <c r="G529" s="9" t="str">
        <f>IF(IF(SelectedScope="All India",TRUE,'RAW_AR_CONTENT'!$B528=SelectedScope),'RAW_AR_CONTENT'!G528,"")</f>
        <v>Active</v>
      </c>
      <c r="H529" s="9">
        <f>IF(IF(SelectedScope="All India",TRUE,'RAW_AR_CONTENT'!$B528=SelectedScope),'RAW_AR_CONTENT'!H528,"")</f>
        <v>0</v>
      </c>
      <c r="I529" s="9">
        <f>IF(IF(SelectedScope="All India",TRUE,'RAW_AR_CONTENT'!$B528=SelectedScope),'RAW_AR_CONTENT'!I528,"")</f>
        <v>0</v>
      </c>
      <c r="J529" s="9">
        <f>IF(IF(SelectedScope="All India",TRUE,'RAW_AR_CONTENT'!$B528=SelectedScope),'RAW_AR_CONTENT'!J528,"")</f>
        <v>0</v>
      </c>
      <c r="K529" s="9">
        <f>IF(IF(SelectedScope="All India",TRUE,'RAW_AR_CONTENT'!$B528=SelectedScope),'RAW_AR_CONTENT'!K528,"")</f>
        <v>0</v>
      </c>
      <c r="L529" s="9">
        <f>IF(IF(SelectedScope="All India",TRUE,'RAW_AR_CONTENT'!$B528=SelectedScope),'RAW_AR_CONTENT'!L528,"")</f>
        <v>0</v>
      </c>
      <c r="M529" s="9">
        <f>IF(IF(SelectedScope="All India",TRUE,'RAW_AR_CONTENT'!$B528=SelectedScope),'RAW_AR_CONTENT'!M528,"")</f>
        <v>0</v>
      </c>
      <c r="N529" s="9">
        <f>IF(IF(SelectedScope="All India",TRUE,'RAW_AR_CONTENT'!$B528=SelectedScope),'RAW_AR_CONTENT'!N528,"")</f>
        <v>0</v>
      </c>
      <c r="O529" s="9">
        <f>IF(IF(SelectedScope="All India",TRUE,'RAW_AR_CONTENT'!$B528=SelectedScope),'RAW_AR_CONTENT'!O528,"")</f>
        <v>0</v>
      </c>
      <c r="P529" s="9">
        <f>IF(IF(SelectedScope="All India",TRUE,'RAW_AR_CONTENT'!$B528=SelectedScope),'RAW_AR_CONTENT'!P528,"")</f>
        <v>0</v>
      </c>
      <c r="Q529" s="9">
        <f>IF(IF(SelectedScope="All India",TRUE,'RAW_AR_CONTENT'!$B528=SelectedScope),'RAW_AR_CONTENT'!Q528,"")</f>
        <v>0</v>
      </c>
      <c r="R529" s="9">
        <f>IF(IF(SelectedScope="All India",TRUE,'RAW_AR_CONTENT'!$B528=SelectedScope),'RAW_AR_CONTENT'!R528,"")</f>
        <v>0</v>
      </c>
    </row>
    <row r="530" spans="1:18" ht="15" customHeight="1" x14ac:dyDescent="0.3">
      <c r="A530" s="12">
        <f>IF(IF(SelectedScope="All India",TRUE,'RAW_AR_CONTENT'!$B529=SelectedScope),'RAW_AR_CONTENT'!A529,"")</f>
        <v>526</v>
      </c>
      <c r="B530" s="12" t="str">
        <f>IF(IF(SelectedScope="All India",TRUE,'RAW_AR_CONTENT'!$B529=SelectedScope),'RAW_AR_CONTENT'!B529,"")</f>
        <v>West Bengal</v>
      </c>
      <c r="C530" s="12" t="str">
        <f>IF(IF(SelectedScope="All India",TRUE,'RAW_AR_CONTENT'!$B529=SelectedScope),'RAW_AR_CONTENT'!C529,"")</f>
        <v>Science</v>
      </c>
      <c r="D530" s="12" t="str">
        <f>IF(IF(SelectedScope="All India",TRUE,'RAW_AR_CONTENT'!$B529=SelectedScope),'RAW_AR_CONTENT'!D529,"")</f>
        <v>Class 8</v>
      </c>
      <c r="E530" s="12" t="str">
        <f>IF(IF(SelectedScope="All India",TRUE,'RAW_AR_CONTENT'!$B529=SelectedScope),'RAW_AR_CONTENT'!E529,"")</f>
        <v>Solar System 3D</v>
      </c>
      <c r="F530" s="12" t="str">
        <f>IF(IF(SelectedScope="All India",TRUE,'RAW_AR_CONTENT'!$B529=SelectedScope),'RAW_AR_CONTENT'!F529,"")</f>
        <v>Animated</v>
      </c>
      <c r="G530" s="12" t="str">
        <f>IF(IF(SelectedScope="All India",TRUE,'RAW_AR_CONTENT'!$B529=SelectedScope),'RAW_AR_CONTENT'!G529,"")</f>
        <v>Active</v>
      </c>
      <c r="H530" s="12">
        <f>IF(IF(SelectedScope="All India",TRUE,'RAW_AR_CONTENT'!$B529=SelectedScope),'RAW_AR_CONTENT'!H529,"")</f>
        <v>0</v>
      </c>
      <c r="I530" s="12">
        <f>IF(IF(SelectedScope="All India",TRUE,'RAW_AR_CONTENT'!$B529=SelectedScope),'RAW_AR_CONTENT'!I529,"")</f>
        <v>0</v>
      </c>
      <c r="J530" s="12">
        <f>IF(IF(SelectedScope="All India",TRUE,'RAW_AR_CONTENT'!$B529=SelectedScope),'RAW_AR_CONTENT'!J529,"")</f>
        <v>0</v>
      </c>
      <c r="K530" s="12">
        <f>IF(IF(SelectedScope="All India",TRUE,'RAW_AR_CONTENT'!$B529=SelectedScope),'RAW_AR_CONTENT'!K529,"")</f>
        <v>0</v>
      </c>
      <c r="L530" s="12">
        <f>IF(IF(SelectedScope="All India",TRUE,'RAW_AR_CONTENT'!$B529=SelectedScope),'RAW_AR_CONTENT'!L529,"")</f>
        <v>0</v>
      </c>
      <c r="M530" s="12">
        <f>IF(IF(SelectedScope="All India",TRUE,'RAW_AR_CONTENT'!$B529=SelectedScope),'RAW_AR_CONTENT'!M529,"")</f>
        <v>0</v>
      </c>
      <c r="N530" s="12">
        <f>IF(IF(SelectedScope="All India",TRUE,'RAW_AR_CONTENT'!$B529=SelectedScope),'RAW_AR_CONTENT'!N529,"")</f>
        <v>0</v>
      </c>
      <c r="O530" s="12">
        <f>IF(IF(SelectedScope="All India",TRUE,'RAW_AR_CONTENT'!$B529=SelectedScope),'RAW_AR_CONTENT'!O529,"")</f>
        <v>0</v>
      </c>
      <c r="P530" s="12">
        <f>IF(IF(SelectedScope="All India",TRUE,'RAW_AR_CONTENT'!$B529=SelectedScope),'RAW_AR_CONTENT'!P529,"")</f>
        <v>0</v>
      </c>
      <c r="Q530" s="12">
        <f>IF(IF(SelectedScope="All India",TRUE,'RAW_AR_CONTENT'!$B529=SelectedScope),'RAW_AR_CONTENT'!Q529,"")</f>
        <v>0</v>
      </c>
      <c r="R530" s="12">
        <f>IF(IF(SelectedScope="All India",TRUE,'RAW_AR_CONTENT'!$B529=SelectedScope),'RAW_AR_CONTENT'!R529,"")</f>
        <v>0</v>
      </c>
    </row>
    <row r="531" spans="1:18" ht="15" customHeight="1" x14ac:dyDescent="0.3">
      <c r="A531" s="9">
        <f>IF(IF(SelectedScope="All India",TRUE,'RAW_AR_CONTENT'!$B530=SelectedScope),'RAW_AR_CONTENT'!A530,"")</f>
        <v>527</v>
      </c>
      <c r="B531" s="9" t="str">
        <f>IF(IF(SelectedScope="All India",TRUE,'RAW_AR_CONTENT'!$B530=SelectedScope),'RAW_AR_CONTENT'!B530,"")</f>
        <v>West Bengal</v>
      </c>
      <c r="C531" s="9" t="str">
        <f>IF(IF(SelectedScope="All India",TRUE,'RAW_AR_CONTENT'!$B530=SelectedScope),'RAW_AR_CONTENT'!C530,"")</f>
        <v>Biology</v>
      </c>
      <c r="D531" s="9" t="str">
        <f>IF(IF(SelectedScope="All India",TRUE,'RAW_AR_CONTENT'!$B530=SelectedScope),'RAW_AR_CONTENT'!D530,"")</f>
        <v>Class 9</v>
      </c>
      <c r="E531" s="9" t="str">
        <f>IF(IF(SelectedScope="All India",TRUE,'RAW_AR_CONTENT'!$B530=SelectedScope),'RAW_AR_CONTENT'!E530,"")</f>
        <v>Cell Division</v>
      </c>
      <c r="F531" s="9" t="str">
        <f>IF(IF(SelectedScope="All India",TRUE,'RAW_AR_CONTENT'!$B530=SelectedScope),'RAW_AR_CONTENT'!F530,"")</f>
        <v>Interactive</v>
      </c>
      <c r="G531" s="9" t="str">
        <f>IF(IF(SelectedScope="All India",TRUE,'RAW_AR_CONTENT'!$B530=SelectedScope),'RAW_AR_CONTENT'!G530,"")</f>
        <v>Active</v>
      </c>
      <c r="H531" s="9">
        <f>IF(IF(SelectedScope="All India",TRUE,'RAW_AR_CONTENT'!$B530=SelectedScope),'RAW_AR_CONTENT'!H530,"")</f>
        <v>0</v>
      </c>
      <c r="I531" s="9">
        <f>IF(IF(SelectedScope="All India",TRUE,'RAW_AR_CONTENT'!$B530=SelectedScope),'RAW_AR_CONTENT'!I530,"")</f>
        <v>0</v>
      </c>
      <c r="J531" s="9">
        <f>IF(IF(SelectedScope="All India",TRUE,'RAW_AR_CONTENT'!$B530=SelectedScope),'RAW_AR_CONTENT'!J530,"")</f>
        <v>0</v>
      </c>
      <c r="K531" s="9">
        <f>IF(IF(SelectedScope="All India",TRUE,'RAW_AR_CONTENT'!$B530=SelectedScope),'RAW_AR_CONTENT'!K530,"")</f>
        <v>0</v>
      </c>
      <c r="L531" s="9">
        <f>IF(IF(SelectedScope="All India",TRUE,'RAW_AR_CONTENT'!$B530=SelectedScope),'RAW_AR_CONTENT'!L530,"")</f>
        <v>0</v>
      </c>
      <c r="M531" s="9">
        <f>IF(IF(SelectedScope="All India",TRUE,'RAW_AR_CONTENT'!$B530=SelectedScope),'RAW_AR_CONTENT'!M530,"")</f>
        <v>0</v>
      </c>
      <c r="N531" s="9">
        <f>IF(IF(SelectedScope="All India",TRUE,'RAW_AR_CONTENT'!$B530=SelectedScope),'RAW_AR_CONTENT'!N530,"")</f>
        <v>0</v>
      </c>
      <c r="O531" s="9">
        <f>IF(IF(SelectedScope="All India",TRUE,'RAW_AR_CONTENT'!$B530=SelectedScope),'RAW_AR_CONTENT'!O530,"")</f>
        <v>0</v>
      </c>
      <c r="P531" s="9">
        <f>IF(IF(SelectedScope="All India",TRUE,'RAW_AR_CONTENT'!$B530=SelectedScope),'RAW_AR_CONTENT'!P530,"")</f>
        <v>0</v>
      </c>
      <c r="Q531" s="9">
        <f>IF(IF(SelectedScope="All India",TRUE,'RAW_AR_CONTENT'!$B530=SelectedScope),'RAW_AR_CONTENT'!Q530,"")</f>
        <v>0</v>
      </c>
      <c r="R531" s="9">
        <f>IF(IF(SelectedScope="All India",TRUE,'RAW_AR_CONTENT'!$B530=SelectedScope),'RAW_AR_CONTENT'!R530,"")</f>
        <v>0</v>
      </c>
    </row>
    <row r="532" spans="1:18" ht="15" customHeight="1" x14ac:dyDescent="0.3">
      <c r="A532" s="12">
        <f>IF(IF(SelectedScope="All India",TRUE,'RAW_AR_CONTENT'!$B531=SelectedScope),'RAW_AR_CONTENT'!A531,"")</f>
        <v>528</v>
      </c>
      <c r="B532" s="12" t="str">
        <f>IF(IF(SelectedScope="All India",TRUE,'RAW_AR_CONTENT'!$B531=SelectedScope),'RAW_AR_CONTENT'!B531,"")</f>
        <v>West Bengal</v>
      </c>
      <c r="C532" s="12" t="str">
        <f>IF(IF(SelectedScope="All India",TRUE,'RAW_AR_CONTENT'!$B531=SelectedScope),'RAW_AR_CONTENT'!C531,"")</f>
        <v>Chemistry</v>
      </c>
      <c r="D532" s="12" t="str">
        <f>IF(IF(SelectedScope="All India",TRUE,'RAW_AR_CONTENT'!$B531=SelectedScope),'RAW_AR_CONTENT'!D531,"")</f>
        <v>Class 9</v>
      </c>
      <c r="E532" s="12" t="str">
        <f>IF(IF(SelectedScope="All India",TRUE,'RAW_AR_CONTENT'!$B531=SelectedScope),'RAW_AR_CONTENT'!E531,"")</f>
        <v>Atoms and Molecules</v>
      </c>
      <c r="F532" s="12" t="str">
        <f>IF(IF(SelectedScope="All India",TRUE,'RAW_AR_CONTENT'!$B531=SelectedScope),'RAW_AR_CONTENT'!F531,"")</f>
        <v>Animated</v>
      </c>
      <c r="G532" s="12" t="str">
        <f>IF(IF(SelectedScope="All India",TRUE,'RAW_AR_CONTENT'!$B531=SelectedScope),'RAW_AR_CONTENT'!G531,"")</f>
        <v>Active</v>
      </c>
      <c r="H532" s="12">
        <f>IF(IF(SelectedScope="All India",TRUE,'RAW_AR_CONTENT'!$B531=SelectedScope),'RAW_AR_CONTENT'!H531,"")</f>
        <v>0</v>
      </c>
      <c r="I532" s="12">
        <f>IF(IF(SelectedScope="All India",TRUE,'RAW_AR_CONTENT'!$B531=SelectedScope),'RAW_AR_CONTENT'!I531,"")</f>
        <v>0</v>
      </c>
      <c r="J532" s="12">
        <f>IF(IF(SelectedScope="All India",TRUE,'RAW_AR_CONTENT'!$B531=SelectedScope),'RAW_AR_CONTENT'!J531,"")</f>
        <v>0</v>
      </c>
      <c r="K532" s="12">
        <f>IF(IF(SelectedScope="All India",TRUE,'RAW_AR_CONTENT'!$B531=SelectedScope),'RAW_AR_CONTENT'!K531,"")</f>
        <v>0</v>
      </c>
      <c r="L532" s="12">
        <f>IF(IF(SelectedScope="All India",TRUE,'RAW_AR_CONTENT'!$B531=SelectedScope),'RAW_AR_CONTENT'!L531,"")</f>
        <v>0</v>
      </c>
      <c r="M532" s="12">
        <f>IF(IF(SelectedScope="All India",TRUE,'RAW_AR_CONTENT'!$B531=SelectedScope),'RAW_AR_CONTENT'!M531,"")</f>
        <v>0</v>
      </c>
      <c r="N532" s="12">
        <f>IF(IF(SelectedScope="All India",TRUE,'RAW_AR_CONTENT'!$B531=SelectedScope),'RAW_AR_CONTENT'!N531,"")</f>
        <v>0</v>
      </c>
      <c r="O532" s="12">
        <f>IF(IF(SelectedScope="All India",TRUE,'RAW_AR_CONTENT'!$B531=SelectedScope),'RAW_AR_CONTENT'!O531,"")</f>
        <v>0</v>
      </c>
      <c r="P532" s="12">
        <f>IF(IF(SelectedScope="All India",TRUE,'RAW_AR_CONTENT'!$B531=SelectedScope),'RAW_AR_CONTENT'!P531,"")</f>
        <v>0</v>
      </c>
      <c r="Q532" s="12">
        <f>IF(IF(SelectedScope="All India",TRUE,'RAW_AR_CONTENT'!$B531=SelectedScope),'RAW_AR_CONTENT'!Q531,"")</f>
        <v>0</v>
      </c>
      <c r="R532" s="12">
        <f>IF(IF(SelectedScope="All India",TRUE,'RAW_AR_CONTENT'!$B531=SelectedScope),'RAW_AR_CONTENT'!R531,"")</f>
        <v>0</v>
      </c>
    </row>
    <row r="533" spans="1:18" ht="15" customHeight="1" x14ac:dyDescent="0.3">
      <c r="A533" s="9">
        <f>IF(IF(SelectedScope="All India",TRUE,'RAW_AR_CONTENT'!$B532=SelectedScope),'RAW_AR_CONTENT'!A532,"")</f>
        <v>529</v>
      </c>
      <c r="B533" s="9" t="str">
        <f>IF(IF(SelectedScope="All India",TRUE,'RAW_AR_CONTENT'!$B532=SelectedScope),'RAW_AR_CONTENT'!B532,"")</f>
        <v>West Bengal</v>
      </c>
      <c r="C533" s="9" t="str">
        <f>IF(IF(SelectedScope="All India",TRUE,'RAW_AR_CONTENT'!$B532=SelectedScope),'RAW_AR_CONTENT'!C532,"")</f>
        <v>Biology</v>
      </c>
      <c r="D533" s="9" t="str">
        <f>IF(IF(SelectedScope="All India",TRUE,'RAW_AR_CONTENT'!$B532=SelectedScope),'RAW_AR_CONTENT'!D532,"")</f>
        <v>Class 7</v>
      </c>
      <c r="E533" s="9" t="str">
        <f>IF(IF(SelectedScope="All India",TRUE,'RAW_AR_CONTENT'!$B532=SelectedScope),'RAW_AR_CONTENT'!E532,"")</f>
        <v>Photosynthesis</v>
      </c>
      <c r="F533" s="9" t="str">
        <f>IF(IF(SelectedScope="All India",TRUE,'RAW_AR_CONTENT'!$B532=SelectedScope),'RAW_AR_CONTENT'!F532,"")</f>
        <v>Basic 3D</v>
      </c>
      <c r="G533" s="9" t="str">
        <f>IF(IF(SelectedScope="All India",TRUE,'RAW_AR_CONTENT'!$B532=SelectedScope),'RAW_AR_CONTENT'!G532,"")</f>
        <v>Active</v>
      </c>
      <c r="H533" s="9">
        <f>IF(IF(SelectedScope="All India",TRUE,'RAW_AR_CONTENT'!$B532=SelectedScope),'RAW_AR_CONTENT'!H532,"")</f>
        <v>0</v>
      </c>
      <c r="I533" s="9">
        <f>IF(IF(SelectedScope="All India",TRUE,'RAW_AR_CONTENT'!$B532=SelectedScope),'RAW_AR_CONTENT'!I532,"")</f>
        <v>0</v>
      </c>
      <c r="J533" s="9">
        <f>IF(IF(SelectedScope="All India",TRUE,'RAW_AR_CONTENT'!$B532=SelectedScope),'RAW_AR_CONTENT'!J532,"")</f>
        <v>0</v>
      </c>
      <c r="K533" s="9">
        <f>IF(IF(SelectedScope="All India",TRUE,'RAW_AR_CONTENT'!$B532=SelectedScope),'RAW_AR_CONTENT'!K532,"")</f>
        <v>0</v>
      </c>
      <c r="L533" s="9">
        <f>IF(IF(SelectedScope="All India",TRUE,'RAW_AR_CONTENT'!$B532=SelectedScope),'RAW_AR_CONTENT'!L532,"")</f>
        <v>0</v>
      </c>
      <c r="M533" s="9">
        <f>IF(IF(SelectedScope="All India",TRUE,'RAW_AR_CONTENT'!$B532=SelectedScope),'RAW_AR_CONTENT'!M532,"")</f>
        <v>0</v>
      </c>
      <c r="N533" s="9">
        <f>IF(IF(SelectedScope="All India",TRUE,'RAW_AR_CONTENT'!$B532=SelectedScope),'RAW_AR_CONTENT'!N532,"")</f>
        <v>0</v>
      </c>
      <c r="O533" s="9">
        <f>IF(IF(SelectedScope="All India",TRUE,'RAW_AR_CONTENT'!$B532=SelectedScope),'RAW_AR_CONTENT'!O532,"")</f>
        <v>0</v>
      </c>
      <c r="P533" s="9">
        <f>IF(IF(SelectedScope="All India",TRUE,'RAW_AR_CONTENT'!$B532=SelectedScope),'RAW_AR_CONTENT'!P532,"")</f>
        <v>0</v>
      </c>
      <c r="Q533" s="9">
        <f>IF(IF(SelectedScope="All India",TRUE,'RAW_AR_CONTENT'!$B532=SelectedScope),'RAW_AR_CONTENT'!Q532,"")</f>
        <v>0</v>
      </c>
      <c r="R533" s="9">
        <f>IF(IF(SelectedScope="All India",TRUE,'RAW_AR_CONTENT'!$B532=SelectedScope),'RAW_AR_CONTENT'!R532,"")</f>
        <v>0</v>
      </c>
    </row>
    <row r="534" spans="1:18" ht="15" customHeight="1" x14ac:dyDescent="0.3">
      <c r="A534" s="12">
        <f>IF(IF(SelectedScope="All India",TRUE,'RAW_AR_CONTENT'!$B533=SelectedScope),'RAW_AR_CONTENT'!A533,"")</f>
        <v>530</v>
      </c>
      <c r="B534" s="12" t="str">
        <f>IF(IF(SelectedScope="All India",TRUE,'RAW_AR_CONTENT'!$B533=SelectedScope),'RAW_AR_CONTENT'!B533,"")</f>
        <v>West Bengal</v>
      </c>
      <c r="C534" s="12" t="str">
        <f>IF(IF(SelectedScope="All India",TRUE,'RAW_AR_CONTENT'!$B533=SelectedScope),'RAW_AR_CONTENT'!C533,"")</f>
        <v>Mathematics</v>
      </c>
      <c r="D534" s="12" t="str">
        <f>IF(IF(SelectedScope="All India",TRUE,'RAW_AR_CONTENT'!$B533=SelectedScope),'RAW_AR_CONTENT'!D533,"")</f>
        <v>Class 7</v>
      </c>
      <c r="E534" s="12" t="str">
        <f>IF(IF(SelectedScope="All India",TRUE,'RAW_AR_CONTENT'!$B533=SelectedScope),'RAW_AR_CONTENT'!E533,"")</f>
        <v>Fractions 3D Model</v>
      </c>
      <c r="F534" s="12" t="str">
        <f>IF(IF(SelectedScope="All India",TRUE,'RAW_AR_CONTENT'!$B533=SelectedScope),'RAW_AR_CONTENT'!F533,"")</f>
        <v>Interactive</v>
      </c>
      <c r="G534" s="12" t="str">
        <f>IF(IF(SelectedScope="All India",TRUE,'RAW_AR_CONTENT'!$B533=SelectedScope),'RAW_AR_CONTENT'!G533,"")</f>
        <v>Active</v>
      </c>
      <c r="H534" s="12">
        <f>IF(IF(SelectedScope="All India",TRUE,'RAW_AR_CONTENT'!$B533=SelectedScope),'RAW_AR_CONTENT'!H533,"")</f>
        <v>0</v>
      </c>
      <c r="I534" s="12">
        <f>IF(IF(SelectedScope="All India",TRUE,'RAW_AR_CONTENT'!$B533=SelectedScope),'RAW_AR_CONTENT'!I533,"")</f>
        <v>0</v>
      </c>
      <c r="J534" s="12">
        <f>IF(IF(SelectedScope="All India",TRUE,'RAW_AR_CONTENT'!$B533=SelectedScope),'RAW_AR_CONTENT'!J533,"")</f>
        <v>0</v>
      </c>
      <c r="K534" s="12">
        <f>IF(IF(SelectedScope="All India",TRUE,'RAW_AR_CONTENT'!$B533=SelectedScope),'RAW_AR_CONTENT'!K533,"")</f>
        <v>0</v>
      </c>
      <c r="L534" s="12">
        <f>IF(IF(SelectedScope="All India",TRUE,'RAW_AR_CONTENT'!$B533=SelectedScope),'RAW_AR_CONTENT'!L533,"")</f>
        <v>0</v>
      </c>
      <c r="M534" s="12">
        <f>IF(IF(SelectedScope="All India",TRUE,'RAW_AR_CONTENT'!$B533=SelectedScope),'RAW_AR_CONTENT'!M533,"")</f>
        <v>0</v>
      </c>
      <c r="N534" s="12">
        <f>IF(IF(SelectedScope="All India",TRUE,'RAW_AR_CONTENT'!$B533=SelectedScope),'RAW_AR_CONTENT'!N533,"")</f>
        <v>0</v>
      </c>
      <c r="O534" s="12">
        <f>IF(IF(SelectedScope="All India",TRUE,'RAW_AR_CONTENT'!$B533=SelectedScope),'RAW_AR_CONTENT'!O533,"")</f>
        <v>0</v>
      </c>
      <c r="P534" s="12">
        <f>IF(IF(SelectedScope="All India",TRUE,'RAW_AR_CONTENT'!$B533=SelectedScope),'RAW_AR_CONTENT'!P533,"")</f>
        <v>0</v>
      </c>
      <c r="Q534" s="12">
        <f>IF(IF(SelectedScope="All India",TRUE,'RAW_AR_CONTENT'!$B533=SelectedScope),'RAW_AR_CONTENT'!Q533,"")</f>
        <v>0</v>
      </c>
      <c r="R534" s="12">
        <f>IF(IF(SelectedScope="All India",TRUE,'RAW_AR_CONTENT'!$B533=SelectedScope),'RAW_AR_CONTENT'!R533,"")</f>
        <v>0</v>
      </c>
    </row>
    <row r="535" spans="1:18" ht="15" customHeight="1" x14ac:dyDescent="0.3">
      <c r="A535" s="9">
        <f>IF(IF(SelectedScope="All India",TRUE,'RAW_AR_CONTENT'!$B534=SelectedScope),'RAW_AR_CONTENT'!A534,"")</f>
        <v>531</v>
      </c>
      <c r="B535" s="9" t="str">
        <f>IF(IF(SelectedScope="All India",TRUE,'RAW_AR_CONTENT'!$B534=SelectedScope),'RAW_AR_CONTENT'!B534,"")</f>
        <v>West Bengal</v>
      </c>
      <c r="C535" s="9" t="str">
        <f>IF(IF(SelectedScope="All India",TRUE,'RAW_AR_CONTENT'!$B534=SelectedScope),'RAW_AR_CONTENT'!C534,"")</f>
        <v>Mathematics</v>
      </c>
      <c r="D535" s="9" t="str">
        <f>IF(IF(SelectedScope="All India",TRUE,'RAW_AR_CONTENT'!$B534=SelectedScope),'RAW_AR_CONTENT'!D534,"")</f>
        <v>Class 10</v>
      </c>
      <c r="E535" s="9" t="str">
        <f>IF(IF(SelectedScope="All India",TRUE,'RAW_AR_CONTENT'!$B534=SelectedScope),'RAW_AR_CONTENT'!E534,"")</f>
        <v>Trigonometry 3D</v>
      </c>
      <c r="F535" s="9" t="str">
        <f>IF(IF(SelectedScope="All India",TRUE,'RAW_AR_CONTENT'!$B534=SelectedScope),'RAW_AR_CONTENT'!F534,"")</f>
        <v>Animated</v>
      </c>
      <c r="G535" s="9" t="str">
        <f>IF(IF(SelectedScope="All India",TRUE,'RAW_AR_CONTENT'!$B534=SelectedScope),'RAW_AR_CONTENT'!G534,"")</f>
        <v>Active</v>
      </c>
      <c r="H535" s="9">
        <f>IF(IF(SelectedScope="All India",TRUE,'RAW_AR_CONTENT'!$B534=SelectedScope),'RAW_AR_CONTENT'!H534,"")</f>
        <v>0</v>
      </c>
      <c r="I535" s="9">
        <f>IF(IF(SelectedScope="All India",TRUE,'RAW_AR_CONTENT'!$B534=SelectedScope),'RAW_AR_CONTENT'!I534,"")</f>
        <v>0</v>
      </c>
      <c r="J535" s="9">
        <f>IF(IF(SelectedScope="All India",TRUE,'RAW_AR_CONTENT'!$B534=SelectedScope),'RAW_AR_CONTENT'!J534,"")</f>
        <v>0</v>
      </c>
      <c r="K535" s="9">
        <f>IF(IF(SelectedScope="All India",TRUE,'RAW_AR_CONTENT'!$B534=SelectedScope),'RAW_AR_CONTENT'!K534,"")</f>
        <v>0</v>
      </c>
      <c r="L535" s="9">
        <f>IF(IF(SelectedScope="All India",TRUE,'RAW_AR_CONTENT'!$B534=SelectedScope),'RAW_AR_CONTENT'!L534,"")</f>
        <v>0</v>
      </c>
      <c r="M535" s="9">
        <f>IF(IF(SelectedScope="All India",TRUE,'RAW_AR_CONTENT'!$B534=SelectedScope),'RAW_AR_CONTENT'!M534,"")</f>
        <v>0</v>
      </c>
      <c r="N535" s="9">
        <f>IF(IF(SelectedScope="All India",TRUE,'RAW_AR_CONTENT'!$B534=SelectedScope),'RAW_AR_CONTENT'!N534,"")</f>
        <v>0</v>
      </c>
      <c r="O535" s="9">
        <f>IF(IF(SelectedScope="All India",TRUE,'RAW_AR_CONTENT'!$B534=SelectedScope),'RAW_AR_CONTENT'!O534,"")</f>
        <v>0</v>
      </c>
      <c r="P535" s="9">
        <f>IF(IF(SelectedScope="All India",TRUE,'RAW_AR_CONTENT'!$B534=SelectedScope),'RAW_AR_CONTENT'!P534,"")</f>
        <v>0</v>
      </c>
      <c r="Q535" s="9">
        <f>IF(IF(SelectedScope="All India",TRUE,'RAW_AR_CONTENT'!$B534=SelectedScope),'RAW_AR_CONTENT'!Q534,"")</f>
        <v>0</v>
      </c>
      <c r="R535" s="9">
        <f>IF(IF(SelectedScope="All India",TRUE,'RAW_AR_CONTENT'!$B534=SelectedScope),'RAW_AR_CONTENT'!R534,"")</f>
        <v>0</v>
      </c>
    </row>
    <row r="536" spans="1:18" ht="15" customHeight="1" x14ac:dyDescent="0.3">
      <c r="A536" s="12">
        <f>IF(IF(SelectedScope="All India",TRUE,'RAW_AR_CONTENT'!$B535=SelectedScope),'RAW_AR_CONTENT'!A535,"")</f>
        <v>532</v>
      </c>
      <c r="B536" s="12" t="str">
        <f>IF(IF(SelectedScope="All India",TRUE,'RAW_AR_CONTENT'!$B535=SelectedScope),'RAW_AR_CONTENT'!B535,"")</f>
        <v>West Bengal</v>
      </c>
      <c r="C536" s="12" t="str">
        <f>IF(IF(SelectedScope="All India",TRUE,'RAW_AR_CONTENT'!$B535=SelectedScope),'RAW_AR_CONTENT'!C535,"")</f>
        <v>History</v>
      </c>
      <c r="D536" s="12" t="str">
        <f>IF(IF(SelectedScope="All India",TRUE,'RAW_AR_CONTENT'!$B535=SelectedScope),'RAW_AR_CONTENT'!D535,"")</f>
        <v>Class 10</v>
      </c>
      <c r="E536" s="12" t="str">
        <f>IF(IF(SelectedScope="All India",TRUE,'RAW_AR_CONTENT'!$B535=SelectedScope),'RAW_AR_CONTENT'!E535,"")</f>
        <v>Mughal Empire AR</v>
      </c>
      <c r="F536" s="12" t="str">
        <f>IF(IF(SelectedScope="All India",TRUE,'RAW_AR_CONTENT'!$B535=SelectedScope),'RAW_AR_CONTENT'!F535,"")</f>
        <v>Basic 3D</v>
      </c>
      <c r="G536" s="12" t="str">
        <f>IF(IF(SelectedScope="All India",TRUE,'RAW_AR_CONTENT'!$B535=SelectedScope),'RAW_AR_CONTENT'!G535,"")</f>
        <v>Active</v>
      </c>
      <c r="H536" s="12">
        <f>IF(IF(SelectedScope="All India",TRUE,'RAW_AR_CONTENT'!$B535=SelectedScope),'RAW_AR_CONTENT'!H535,"")</f>
        <v>0</v>
      </c>
      <c r="I536" s="12">
        <f>IF(IF(SelectedScope="All India",TRUE,'RAW_AR_CONTENT'!$B535=SelectedScope),'RAW_AR_CONTENT'!I535,"")</f>
        <v>0</v>
      </c>
      <c r="J536" s="12">
        <f>IF(IF(SelectedScope="All India",TRUE,'RAW_AR_CONTENT'!$B535=SelectedScope),'RAW_AR_CONTENT'!J535,"")</f>
        <v>0</v>
      </c>
      <c r="K536" s="12">
        <f>IF(IF(SelectedScope="All India",TRUE,'RAW_AR_CONTENT'!$B535=SelectedScope),'RAW_AR_CONTENT'!K535,"")</f>
        <v>0</v>
      </c>
      <c r="L536" s="12">
        <f>IF(IF(SelectedScope="All India",TRUE,'RAW_AR_CONTENT'!$B535=SelectedScope),'RAW_AR_CONTENT'!L535,"")</f>
        <v>0</v>
      </c>
      <c r="M536" s="12">
        <f>IF(IF(SelectedScope="All India",TRUE,'RAW_AR_CONTENT'!$B535=SelectedScope),'RAW_AR_CONTENT'!M535,"")</f>
        <v>0</v>
      </c>
      <c r="N536" s="12">
        <f>IF(IF(SelectedScope="All India",TRUE,'RAW_AR_CONTENT'!$B535=SelectedScope),'RAW_AR_CONTENT'!N535,"")</f>
        <v>0</v>
      </c>
      <c r="O536" s="12">
        <f>IF(IF(SelectedScope="All India",TRUE,'RAW_AR_CONTENT'!$B535=SelectedScope),'RAW_AR_CONTENT'!O535,"")</f>
        <v>0</v>
      </c>
      <c r="P536" s="12">
        <f>IF(IF(SelectedScope="All India",TRUE,'RAW_AR_CONTENT'!$B535=SelectedScope),'RAW_AR_CONTENT'!P535,"")</f>
        <v>0</v>
      </c>
      <c r="Q536" s="12">
        <f>IF(IF(SelectedScope="All India",TRUE,'RAW_AR_CONTENT'!$B535=SelectedScope),'RAW_AR_CONTENT'!Q535,"")</f>
        <v>0</v>
      </c>
      <c r="R536" s="12">
        <f>IF(IF(SelectedScope="All India",TRUE,'RAW_AR_CONTENT'!$B535=SelectedScope),'RAW_AR_CONTENT'!R535,"")</f>
        <v>0</v>
      </c>
    </row>
    <row r="537" spans="1:18" ht="15" customHeight="1" x14ac:dyDescent="0.3">
      <c r="A537" s="9">
        <f>IF(IF(SelectedScope="All India",TRUE,'RAW_AR_CONTENT'!$B536=SelectedScope),'RAW_AR_CONTENT'!A536,"")</f>
        <v>533</v>
      </c>
      <c r="B537" s="9" t="str">
        <f>IF(IF(SelectedScope="All India",TRUE,'RAW_AR_CONTENT'!$B536=SelectedScope),'RAW_AR_CONTENT'!B536,"")</f>
        <v>West Bengal</v>
      </c>
      <c r="C537" s="9" t="str">
        <f>IF(IF(SelectedScope="All India",TRUE,'RAW_AR_CONTENT'!$B536=SelectedScope),'RAW_AR_CONTENT'!C536,"")</f>
        <v>Geography</v>
      </c>
      <c r="D537" s="9" t="str">
        <f>IF(IF(SelectedScope="All India",TRUE,'RAW_AR_CONTENT'!$B536=SelectedScope),'RAW_AR_CONTENT'!D536,"")</f>
        <v>Class 6</v>
      </c>
      <c r="E537" s="9" t="str">
        <f>IF(IF(SelectedScope="All India",TRUE,'RAW_AR_CONTENT'!$B536=SelectedScope),'RAW_AR_CONTENT'!E536,"")</f>
        <v>Water Cycle Simulation</v>
      </c>
      <c r="F537" s="9" t="str">
        <f>IF(IF(SelectedScope="All India",TRUE,'RAW_AR_CONTENT'!$B536=SelectedScope),'RAW_AR_CONTENT'!F536,"")</f>
        <v>Animated</v>
      </c>
      <c r="G537" s="9" t="str">
        <f>IF(IF(SelectedScope="All India",TRUE,'RAW_AR_CONTENT'!$B536=SelectedScope),'RAW_AR_CONTENT'!G536,"")</f>
        <v>Active</v>
      </c>
      <c r="H537" s="9">
        <f>IF(IF(SelectedScope="All India",TRUE,'RAW_AR_CONTENT'!$B536=SelectedScope),'RAW_AR_CONTENT'!H536,"")</f>
        <v>0</v>
      </c>
      <c r="I537" s="9">
        <f>IF(IF(SelectedScope="All India",TRUE,'RAW_AR_CONTENT'!$B536=SelectedScope),'RAW_AR_CONTENT'!I536,"")</f>
        <v>0</v>
      </c>
      <c r="J537" s="9">
        <f>IF(IF(SelectedScope="All India",TRUE,'RAW_AR_CONTENT'!$B536=SelectedScope),'RAW_AR_CONTENT'!J536,"")</f>
        <v>0</v>
      </c>
      <c r="K537" s="9">
        <f>IF(IF(SelectedScope="All India",TRUE,'RAW_AR_CONTENT'!$B536=SelectedScope),'RAW_AR_CONTENT'!K536,"")</f>
        <v>0</v>
      </c>
      <c r="L537" s="9">
        <f>IF(IF(SelectedScope="All India",TRUE,'RAW_AR_CONTENT'!$B536=SelectedScope),'RAW_AR_CONTENT'!L536,"")</f>
        <v>0</v>
      </c>
      <c r="M537" s="9">
        <f>IF(IF(SelectedScope="All India",TRUE,'RAW_AR_CONTENT'!$B536=SelectedScope),'RAW_AR_CONTENT'!M536,"")</f>
        <v>0</v>
      </c>
      <c r="N537" s="9">
        <f>IF(IF(SelectedScope="All India",TRUE,'RAW_AR_CONTENT'!$B536=SelectedScope),'RAW_AR_CONTENT'!N536,"")</f>
        <v>0</v>
      </c>
      <c r="O537" s="9">
        <f>IF(IF(SelectedScope="All India",TRUE,'RAW_AR_CONTENT'!$B536=SelectedScope),'RAW_AR_CONTENT'!O536,"")</f>
        <v>0</v>
      </c>
      <c r="P537" s="9">
        <f>IF(IF(SelectedScope="All India",TRUE,'RAW_AR_CONTENT'!$B536=SelectedScope),'RAW_AR_CONTENT'!P536,"")</f>
        <v>0</v>
      </c>
      <c r="Q537" s="9">
        <f>IF(IF(SelectedScope="All India",TRUE,'RAW_AR_CONTENT'!$B536=SelectedScope),'RAW_AR_CONTENT'!Q536,"")</f>
        <v>0</v>
      </c>
      <c r="R537" s="9">
        <f>IF(IF(SelectedScope="All India",TRUE,'RAW_AR_CONTENT'!$B536=SelectedScope),'RAW_AR_CONTENT'!R536,"")</f>
        <v>0</v>
      </c>
    </row>
    <row r="538" spans="1:18" ht="15" customHeight="1" x14ac:dyDescent="0.3">
      <c r="A538" s="12">
        <f>IF(IF(SelectedScope="All India",TRUE,'RAW_AR_CONTENT'!$B537=SelectedScope),'RAW_AR_CONTENT'!A537,"")</f>
        <v>534</v>
      </c>
      <c r="B538" s="12" t="str">
        <f>IF(IF(SelectedScope="All India",TRUE,'RAW_AR_CONTENT'!$B537=SelectedScope),'RAW_AR_CONTENT'!B537,"")</f>
        <v>West Bengal</v>
      </c>
      <c r="C538" s="12" t="str">
        <f>IF(IF(SelectedScope="All India",TRUE,'RAW_AR_CONTENT'!$B537=SelectedScope),'RAW_AR_CONTENT'!C537,"")</f>
        <v>Biology</v>
      </c>
      <c r="D538" s="12" t="str">
        <f>IF(IF(SelectedScope="All India",TRUE,'RAW_AR_CONTENT'!$B537=SelectedScope),'RAW_AR_CONTENT'!D537,"")</f>
        <v>Class 11</v>
      </c>
      <c r="E538" s="12" t="str">
        <f>IF(IF(SelectedScope="All India",TRUE,'RAW_AR_CONTENT'!$B537=SelectedScope),'RAW_AR_CONTENT'!E537,"")</f>
        <v>Human Anatomy AR</v>
      </c>
      <c r="F538" s="12" t="str">
        <f>IF(IF(SelectedScope="All India",TRUE,'RAW_AR_CONTENT'!$B537=SelectedScope),'RAW_AR_CONTENT'!F537,"")</f>
        <v>Fully Immersive</v>
      </c>
      <c r="G538" s="12" t="str">
        <f>IF(IF(SelectedScope="All India",TRUE,'RAW_AR_CONTENT'!$B537=SelectedScope),'RAW_AR_CONTENT'!G537,"")</f>
        <v>Active</v>
      </c>
      <c r="H538" s="12">
        <f>IF(IF(SelectedScope="All India",TRUE,'RAW_AR_CONTENT'!$B537=SelectedScope),'RAW_AR_CONTENT'!H537,"")</f>
        <v>0</v>
      </c>
      <c r="I538" s="12">
        <f>IF(IF(SelectedScope="All India",TRUE,'RAW_AR_CONTENT'!$B537=SelectedScope),'RAW_AR_CONTENT'!I537,"")</f>
        <v>0</v>
      </c>
      <c r="J538" s="12">
        <f>IF(IF(SelectedScope="All India",TRUE,'RAW_AR_CONTENT'!$B537=SelectedScope),'RAW_AR_CONTENT'!J537,"")</f>
        <v>0</v>
      </c>
      <c r="K538" s="12">
        <f>IF(IF(SelectedScope="All India",TRUE,'RAW_AR_CONTENT'!$B537=SelectedScope),'RAW_AR_CONTENT'!K537,"")</f>
        <v>0</v>
      </c>
      <c r="L538" s="12">
        <f>IF(IF(SelectedScope="All India",TRUE,'RAW_AR_CONTENT'!$B537=SelectedScope),'RAW_AR_CONTENT'!L537,"")</f>
        <v>0</v>
      </c>
      <c r="M538" s="12">
        <f>IF(IF(SelectedScope="All India",TRUE,'RAW_AR_CONTENT'!$B537=SelectedScope),'RAW_AR_CONTENT'!M537,"")</f>
        <v>0</v>
      </c>
      <c r="N538" s="12">
        <f>IF(IF(SelectedScope="All India",TRUE,'RAW_AR_CONTENT'!$B537=SelectedScope),'RAW_AR_CONTENT'!N537,"")</f>
        <v>0</v>
      </c>
      <c r="O538" s="12">
        <f>IF(IF(SelectedScope="All India",TRUE,'RAW_AR_CONTENT'!$B537=SelectedScope),'RAW_AR_CONTENT'!O537,"")</f>
        <v>0</v>
      </c>
      <c r="P538" s="12">
        <f>IF(IF(SelectedScope="All India",TRUE,'RAW_AR_CONTENT'!$B537=SelectedScope),'RAW_AR_CONTENT'!P537,"")</f>
        <v>0</v>
      </c>
      <c r="Q538" s="12">
        <f>IF(IF(SelectedScope="All India",TRUE,'RAW_AR_CONTENT'!$B537=SelectedScope),'RAW_AR_CONTENT'!Q537,"")</f>
        <v>0</v>
      </c>
      <c r="R538" s="12">
        <f>IF(IF(SelectedScope="All India",TRUE,'RAW_AR_CONTENT'!$B537=SelectedScope),'RAW_AR_CONTENT'!R537,"")</f>
        <v>0</v>
      </c>
    </row>
    <row r="539" spans="1:18" ht="15" customHeight="1" x14ac:dyDescent="0.3">
      <c r="A539" s="9">
        <f>IF(IF(SelectedScope="All India",TRUE,'RAW_AR_CONTENT'!$B538=SelectedScope),'RAW_AR_CONTENT'!A538,"")</f>
        <v>535</v>
      </c>
      <c r="B539" s="9" t="str">
        <f>IF(IF(SelectedScope="All India",TRUE,'RAW_AR_CONTENT'!$B538=SelectedScope),'RAW_AR_CONTENT'!B538,"")</f>
        <v>West Bengal</v>
      </c>
      <c r="C539" s="9" t="str">
        <f>IF(IF(SelectedScope="All India",TRUE,'RAW_AR_CONTENT'!$B538=SelectedScope),'RAW_AR_CONTENT'!C538,"")</f>
        <v>Physics</v>
      </c>
      <c r="D539" s="9" t="str">
        <f>IF(IF(SelectedScope="All India",TRUE,'RAW_AR_CONTENT'!$B538=SelectedScope),'RAW_AR_CONTENT'!D538,"")</f>
        <v>Class 9</v>
      </c>
      <c r="E539" s="9" t="str">
        <f>IF(IF(SelectedScope="All India",TRUE,'RAW_AR_CONTENT'!$B538=SelectedScope),'RAW_AR_CONTENT'!E538,"")</f>
        <v>Laws of Motion</v>
      </c>
      <c r="F539" s="9" t="str">
        <f>IF(IF(SelectedScope="All India",TRUE,'RAW_AR_CONTENT'!$B538=SelectedScope),'RAW_AR_CONTENT'!F538,"")</f>
        <v>Interactive</v>
      </c>
      <c r="G539" s="9" t="str">
        <f>IF(IF(SelectedScope="All India",TRUE,'RAW_AR_CONTENT'!$B538=SelectedScope),'RAW_AR_CONTENT'!G538,"")</f>
        <v>Active</v>
      </c>
      <c r="H539" s="9">
        <f>IF(IF(SelectedScope="All India",TRUE,'RAW_AR_CONTENT'!$B538=SelectedScope),'RAW_AR_CONTENT'!H538,"")</f>
        <v>0</v>
      </c>
      <c r="I539" s="9">
        <f>IF(IF(SelectedScope="All India",TRUE,'RAW_AR_CONTENT'!$B538=SelectedScope),'RAW_AR_CONTENT'!I538,"")</f>
        <v>0</v>
      </c>
      <c r="J539" s="9">
        <f>IF(IF(SelectedScope="All India",TRUE,'RAW_AR_CONTENT'!$B538=SelectedScope),'RAW_AR_CONTENT'!J538,"")</f>
        <v>0</v>
      </c>
      <c r="K539" s="9">
        <f>IF(IF(SelectedScope="All India",TRUE,'RAW_AR_CONTENT'!$B538=SelectedScope),'RAW_AR_CONTENT'!K538,"")</f>
        <v>0</v>
      </c>
      <c r="L539" s="9">
        <f>IF(IF(SelectedScope="All India",TRUE,'RAW_AR_CONTENT'!$B538=SelectedScope),'RAW_AR_CONTENT'!L538,"")</f>
        <v>0</v>
      </c>
      <c r="M539" s="9">
        <f>IF(IF(SelectedScope="All India",TRUE,'RAW_AR_CONTENT'!$B538=SelectedScope),'RAW_AR_CONTENT'!M538,"")</f>
        <v>0</v>
      </c>
      <c r="N539" s="9">
        <f>IF(IF(SelectedScope="All India",TRUE,'RAW_AR_CONTENT'!$B538=SelectedScope),'RAW_AR_CONTENT'!N538,"")</f>
        <v>0</v>
      </c>
      <c r="O539" s="9">
        <f>IF(IF(SelectedScope="All India",TRUE,'RAW_AR_CONTENT'!$B538=SelectedScope),'RAW_AR_CONTENT'!O538,"")</f>
        <v>0</v>
      </c>
      <c r="P539" s="9">
        <f>IF(IF(SelectedScope="All India",TRUE,'RAW_AR_CONTENT'!$B538=SelectedScope),'RAW_AR_CONTENT'!P538,"")</f>
        <v>0</v>
      </c>
      <c r="Q539" s="9">
        <f>IF(IF(SelectedScope="All India",TRUE,'RAW_AR_CONTENT'!$B538=SelectedScope),'RAW_AR_CONTENT'!Q538,"")</f>
        <v>0</v>
      </c>
      <c r="R539" s="9">
        <f>IF(IF(SelectedScope="All India",TRUE,'RAW_AR_CONTENT'!$B538=SelectedScope),'RAW_AR_CONTENT'!R538,"")</f>
        <v>0</v>
      </c>
    </row>
    <row r="540" spans="1:18" ht="15" customHeight="1" x14ac:dyDescent="0.3">
      <c r="A540" s="12">
        <f>IF(IF(SelectedScope="All India",TRUE,'RAW_AR_CONTENT'!$B539=SelectedScope),'RAW_AR_CONTENT'!A539,"")</f>
        <v>536</v>
      </c>
      <c r="B540" s="12" t="str">
        <f>IF(IF(SelectedScope="All India",TRUE,'RAW_AR_CONTENT'!$B539=SelectedScope),'RAW_AR_CONTENT'!B539,"")</f>
        <v>West Bengal</v>
      </c>
      <c r="C540" s="12" t="str">
        <f>IF(IF(SelectedScope="All India",TRUE,'RAW_AR_CONTENT'!$B539=SelectedScope),'RAW_AR_CONTENT'!C539,"")</f>
        <v>Chemistry</v>
      </c>
      <c r="D540" s="12" t="str">
        <f>IF(IF(SelectedScope="All India",TRUE,'RAW_AR_CONTENT'!$B539=SelectedScope),'RAW_AR_CONTENT'!D539,"")</f>
        <v>Class 11</v>
      </c>
      <c r="E540" s="12" t="str">
        <f>IF(IF(SelectedScope="All India",TRUE,'RAW_AR_CONTENT'!$B539=SelectedScope),'RAW_AR_CONTENT'!E539,"")</f>
        <v>Periodic Table 3D</v>
      </c>
      <c r="F540" s="12" t="str">
        <f>IF(IF(SelectedScope="All India",TRUE,'RAW_AR_CONTENT'!$B539=SelectedScope),'RAW_AR_CONTENT'!F539,"")</f>
        <v>Interactive</v>
      </c>
      <c r="G540" s="12" t="str">
        <f>IF(IF(SelectedScope="All India",TRUE,'RAW_AR_CONTENT'!$B539=SelectedScope),'RAW_AR_CONTENT'!G539,"")</f>
        <v>Active</v>
      </c>
      <c r="H540" s="12">
        <f>IF(IF(SelectedScope="All India",TRUE,'RAW_AR_CONTENT'!$B539=SelectedScope),'RAW_AR_CONTENT'!H539,"")</f>
        <v>0</v>
      </c>
      <c r="I540" s="12">
        <f>IF(IF(SelectedScope="All India",TRUE,'RAW_AR_CONTENT'!$B539=SelectedScope),'RAW_AR_CONTENT'!I539,"")</f>
        <v>0</v>
      </c>
      <c r="J540" s="12">
        <f>IF(IF(SelectedScope="All India",TRUE,'RAW_AR_CONTENT'!$B539=SelectedScope),'RAW_AR_CONTENT'!J539,"")</f>
        <v>0</v>
      </c>
      <c r="K540" s="12">
        <f>IF(IF(SelectedScope="All India",TRUE,'RAW_AR_CONTENT'!$B539=SelectedScope),'RAW_AR_CONTENT'!K539,"")</f>
        <v>0</v>
      </c>
      <c r="L540" s="12">
        <f>IF(IF(SelectedScope="All India",TRUE,'RAW_AR_CONTENT'!$B539=SelectedScope),'RAW_AR_CONTENT'!L539,"")</f>
        <v>0</v>
      </c>
      <c r="M540" s="12">
        <f>IF(IF(SelectedScope="All India",TRUE,'RAW_AR_CONTENT'!$B539=SelectedScope),'RAW_AR_CONTENT'!M539,"")</f>
        <v>0</v>
      </c>
      <c r="N540" s="12">
        <f>IF(IF(SelectedScope="All India",TRUE,'RAW_AR_CONTENT'!$B539=SelectedScope),'RAW_AR_CONTENT'!N539,"")</f>
        <v>0</v>
      </c>
      <c r="O540" s="12">
        <f>IF(IF(SelectedScope="All India",TRUE,'RAW_AR_CONTENT'!$B539=SelectedScope),'RAW_AR_CONTENT'!O539,"")</f>
        <v>0</v>
      </c>
      <c r="P540" s="12">
        <f>IF(IF(SelectedScope="All India",TRUE,'RAW_AR_CONTENT'!$B539=SelectedScope),'RAW_AR_CONTENT'!P539,"")</f>
        <v>0</v>
      </c>
      <c r="Q540" s="12">
        <f>IF(IF(SelectedScope="All India",TRUE,'RAW_AR_CONTENT'!$B539=SelectedScope),'RAW_AR_CONTENT'!Q539,"")</f>
        <v>0</v>
      </c>
      <c r="R540" s="12">
        <f>IF(IF(SelectedScope="All India",TRUE,'RAW_AR_CONTENT'!$B539=SelectedScope),'RAW_AR_CONTENT'!R539,"")</f>
        <v>0</v>
      </c>
    </row>
    <row r="541" spans="1:18" ht="15" customHeight="1" x14ac:dyDescent="0.3">
      <c r="A541" s="9">
        <f>IF(IF(SelectedScope="All India",TRUE,'RAW_AR_CONTENT'!$B540=SelectedScope),'RAW_AR_CONTENT'!A540,"")</f>
        <v>537</v>
      </c>
      <c r="B541" s="9" t="str">
        <f>IF(IF(SelectedScope="All India",TRUE,'RAW_AR_CONTENT'!$B540=SelectedScope),'RAW_AR_CONTENT'!B540,"")</f>
        <v>West Bengal</v>
      </c>
      <c r="C541" s="9" t="str">
        <f>IF(IF(SelectedScope="All India",TRUE,'RAW_AR_CONTENT'!$B540=SelectedScope),'RAW_AR_CONTENT'!C540,"")</f>
        <v>Physics</v>
      </c>
      <c r="D541" s="9" t="str">
        <f>IF(IF(SelectedScope="All India",TRUE,'RAW_AR_CONTENT'!$B540=SelectedScope),'RAW_AR_CONTENT'!D540,"")</f>
        <v>Class 10</v>
      </c>
      <c r="E541" s="9" t="str">
        <f>IF(IF(SelectedScope="All India",TRUE,'RAW_AR_CONTENT'!$B540=SelectedScope),'RAW_AR_CONTENT'!E540,"")</f>
        <v>Electricity Circuits</v>
      </c>
      <c r="F541" s="9" t="str">
        <f>IF(IF(SelectedScope="All India",TRUE,'RAW_AR_CONTENT'!$B540=SelectedScope),'RAW_AR_CONTENT'!F540,"")</f>
        <v>Interactive</v>
      </c>
      <c r="G541" s="9" t="str">
        <f>IF(IF(SelectedScope="All India",TRUE,'RAW_AR_CONTENT'!$B540=SelectedScope),'RAW_AR_CONTENT'!G540,"")</f>
        <v>Active</v>
      </c>
      <c r="H541" s="9">
        <f>IF(IF(SelectedScope="All India",TRUE,'RAW_AR_CONTENT'!$B540=SelectedScope),'RAW_AR_CONTENT'!H540,"")</f>
        <v>0</v>
      </c>
      <c r="I541" s="9">
        <f>IF(IF(SelectedScope="All India",TRUE,'RAW_AR_CONTENT'!$B540=SelectedScope),'RAW_AR_CONTENT'!I540,"")</f>
        <v>0</v>
      </c>
      <c r="J541" s="9">
        <f>IF(IF(SelectedScope="All India",TRUE,'RAW_AR_CONTENT'!$B540=SelectedScope),'RAW_AR_CONTENT'!J540,"")</f>
        <v>0</v>
      </c>
      <c r="K541" s="9">
        <f>IF(IF(SelectedScope="All India",TRUE,'RAW_AR_CONTENT'!$B540=SelectedScope),'RAW_AR_CONTENT'!K540,"")</f>
        <v>0</v>
      </c>
      <c r="L541" s="9">
        <f>IF(IF(SelectedScope="All India",TRUE,'RAW_AR_CONTENT'!$B540=SelectedScope),'RAW_AR_CONTENT'!L540,"")</f>
        <v>0</v>
      </c>
      <c r="M541" s="9">
        <f>IF(IF(SelectedScope="All India",TRUE,'RAW_AR_CONTENT'!$B540=SelectedScope),'RAW_AR_CONTENT'!M540,"")</f>
        <v>0</v>
      </c>
      <c r="N541" s="9">
        <f>IF(IF(SelectedScope="All India",TRUE,'RAW_AR_CONTENT'!$B540=SelectedScope),'RAW_AR_CONTENT'!N540,"")</f>
        <v>0</v>
      </c>
      <c r="O541" s="9">
        <f>IF(IF(SelectedScope="All India",TRUE,'RAW_AR_CONTENT'!$B540=SelectedScope),'RAW_AR_CONTENT'!O540,"")</f>
        <v>0</v>
      </c>
      <c r="P541" s="9">
        <f>IF(IF(SelectedScope="All India",TRUE,'RAW_AR_CONTENT'!$B540=SelectedScope),'RAW_AR_CONTENT'!P540,"")</f>
        <v>0</v>
      </c>
      <c r="Q541" s="9">
        <f>IF(IF(SelectedScope="All India",TRUE,'RAW_AR_CONTENT'!$B540=SelectedScope),'RAW_AR_CONTENT'!Q540,"")</f>
        <v>0</v>
      </c>
      <c r="R541" s="9">
        <f>IF(IF(SelectedScope="All India",TRUE,'RAW_AR_CONTENT'!$B540=SelectedScope),'RAW_AR_CONTENT'!R540,"")</f>
        <v>0</v>
      </c>
    </row>
    <row r="542" spans="1:18" ht="15" customHeight="1" x14ac:dyDescent="0.3">
      <c r="A542" s="12">
        <f>IF(IF(SelectedScope="All India",TRUE,'RAW_AR_CONTENT'!$B541=SelectedScope),'RAW_AR_CONTENT'!A541,"")</f>
        <v>538</v>
      </c>
      <c r="B542" s="12" t="str">
        <f>IF(IF(SelectedScope="All India",TRUE,'RAW_AR_CONTENT'!$B541=SelectedScope),'RAW_AR_CONTENT'!B541,"")</f>
        <v>West Bengal</v>
      </c>
      <c r="C542" s="12" t="str">
        <f>IF(IF(SelectedScope="All India",TRUE,'RAW_AR_CONTENT'!$B541=SelectedScope),'RAW_AR_CONTENT'!C541,"")</f>
        <v>Civics</v>
      </c>
      <c r="D542" s="12" t="str">
        <f>IF(IF(SelectedScope="All India",TRUE,'RAW_AR_CONTENT'!$B541=SelectedScope),'RAW_AR_CONTENT'!D541,"")</f>
        <v>Class 9</v>
      </c>
      <c r="E542" s="12" t="str">
        <f>IF(IF(SelectedScope="All India",TRUE,'RAW_AR_CONTENT'!$B541=SelectedScope),'RAW_AR_CONTENT'!E541,"")</f>
        <v>Indian Constitution</v>
      </c>
      <c r="F542" s="12" t="str">
        <f>IF(IF(SelectedScope="All India",TRUE,'RAW_AR_CONTENT'!$B541=SelectedScope),'RAW_AR_CONTENT'!F541,"")</f>
        <v>Basic 3D</v>
      </c>
      <c r="G542" s="12" t="str">
        <f>IF(IF(SelectedScope="All India",TRUE,'RAW_AR_CONTENT'!$B541=SelectedScope),'RAW_AR_CONTENT'!G541,"")</f>
        <v>Active</v>
      </c>
      <c r="H542" s="12">
        <f>IF(IF(SelectedScope="All India",TRUE,'RAW_AR_CONTENT'!$B541=SelectedScope),'RAW_AR_CONTENT'!H541,"")</f>
        <v>0</v>
      </c>
      <c r="I542" s="12">
        <f>IF(IF(SelectedScope="All India",TRUE,'RAW_AR_CONTENT'!$B541=SelectedScope),'RAW_AR_CONTENT'!I541,"")</f>
        <v>0</v>
      </c>
      <c r="J542" s="12">
        <f>IF(IF(SelectedScope="All India",TRUE,'RAW_AR_CONTENT'!$B541=SelectedScope),'RAW_AR_CONTENT'!J541,"")</f>
        <v>0</v>
      </c>
      <c r="K542" s="12">
        <f>IF(IF(SelectedScope="All India",TRUE,'RAW_AR_CONTENT'!$B541=SelectedScope),'RAW_AR_CONTENT'!K541,"")</f>
        <v>0</v>
      </c>
      <c r="L542" s="12">
        <f>IF(IF(SelectedScope="All India",TRUE,'RAW_AR_CONTENT'!$B541=SelectedScope),'RAW_AR_CONTENT'!L541,"")</f>
        <v>0</v>
      </c>
      <c r="M542" s="12">
        <f>IF(IF(SelectedScope="All India",TRUE,'RAW_AR_CONTENT'!$B541=SelectedScope),'RAW_AR_CONTENT'!M541,"")</f>
        <v>0</v>
      </c>
      <c r="N542" s="12">
        <f>IF(IF(SelectedScope="All India",TRUE,'RAW_AR_CONTENT'!$B541=SelectedScope),'RAW_AR_CONTENT'!N541,"")</f>
        <v>0</v>
      </c>
      <c r="O542" s="12">
        <f>IF(IF(SelectedScope="All India",TRUE,'RAW_AR_CONTENT'!$B541=SelectedScope),'RAW_AR_CONTENT'!O541,"")</f>
        <v>0</v>
      </c>
      <c r="P542" s="12">
        <f>IF(IF(SelectedScope="All India",TRUE,'RAW_AR_CONTENT'!$B541=SelectedScope),'RAW_AR_CONTENT'!P541,"")</f>
        <v>0</v>
      </c>
      <c r="Q542" s="12">
        <f>IF(IF(SelectedScope="All India",TRUE,'RAW_AR_CONTENT'!$B541=SelectedScope),'RAW_AR_CONTENT'!Q541,"")</f>
        <v>0</v>
      </c>
      <c r="R542" s="12">
        <f>IF(IF(SelectedScope="All India",TRUE,'RAW_AR_CONTENT'!$B541=SelectedScope),'RAW_AR_CONTENT'!R541,"")</f>
        <v>0</v>
      </c>
    </row>
    <row r="543" spans="1:18" ht="15" customHeight="1" x14ac:dyDescent="0.3">
      <c r="A543" s="9">
        <f>IF(IF(SelectedScope="All India",TRUE,'RAW_AR_CONTENT'!$B542=SelectedScope),'RAW_AR_CONTENT'!A542,"")</f>
        <v>539</v>
      </c>
      <c r="B543" s="9" t="str">
        <f>IF(IF(SelectedScope="All India",TRUE,'RAW_AR_CONTENT'!$B542=SelectedScope),'RAW_AR_CONTENT'!B542,"")</f>
        <v>West Bengal</v>
      </c>
      <c r="C543" s="9" t="str">
        <f>IF(IF(SelectedScope="All India",TRUE,'RAW_AR_CONTENT'!$B542=SelectedScope),'RAW_AR_CONTENT'!C542,"")</f>
        <v>Environmental Science</v>
      </c>
      <c r="D543" s="9" t="str">
        <f>IF(IF(SelectedScope="All India",TRUE,'RAW_AR_CONTENT'!$B542=SelectedScope),'RAW_AR_CONTENT'!D542,"")</f>
        <v>Class 6</v>
      </c>
      <c r="E543" s="9" t="str">
        <f>IF(IF(SelectedScope="All India",TRUE,'RAW_AR_CONTENT'!$B542=SelectedScope),'RAW_AR_CONTENT'!E542,"")</f>
        <v>Food Chain</v>
      </c>
      <c r="F543" s="9" t="str">
        <f>IF(IF(SelectedScope="All India",TRUE,'RAW_AR_CONTENT'!$B542=SelectedScope),'RAW_AR_CONTENT'!F542,"")</f>
        <v>Animated</v>
      </c>
      <c r="G543" s="9" t="str">
        <f>IF(IF(SelectedScope="All India",TRUE,'RAW_AR_CONTENT'!$B542=SelectedScope),'RAW_AR_CONTENT'!G542,"")</f>
        <v>Active</v>
      </c>
      <c r="H543" s="9">
        <f>IF(IF(SelectedScope="All India",TRUE,'RAW_AR_CONTENT'!$B542=SelectedScope),'RAW_AR_CONTENT'!H542,"")</f>
        <v>0</v>
      </c>
      <c r="I543" s="9">
        <f>IF(IF(SelectedScope="All India",TRUE,'RAW_AR_CONTENT'!$B542=SelectedScope),'RAW_AR_CONTENT'!I542,"")</f>
        <v>0</v>
      </c>
      <c r="J543" s="9">
        <f>IF(IF(SelectedScope="All India",TRUE,'RAW_AR_CONTENT'!$B542=SelectedScope),'RAW_AR_CONTENT'!J542,"")</f>
        <v>0</v>
      </c>
      <c r="K543" s="9">
        <f>IF(IF(SelectedScope="All India",TRUE,'RAW_AR_CONTENT'!$B542=SelectedScope),'RAW_AR_CONTENT'!K542,"")</f>
        <v>0</v>
      </c>
      <c r="L543" s="9">
        <f>IF(IF(SelectedScope="All India",TRUE,'RAW_AR_CONTENT'!$B542=SelectedScope),'RAW_AR_CONTENT'!L542,"")</f>
        <v>0</v>
      </c>
      <c r="M543" s="9">
        <f>IF(IF(SelectedScope="All India",TRUE,'RAW_AR_CONTENT'!$B542=SelectedScope),'RAW_AR_CONTENT'!M542,"")</f>
        <v>0</v>
      </c>
      <c r="N543" s="9">
        <f>IF(IF(SelectedScope="All India",TRUE,'RAW_AR_CONTENT'!$B542=SelectedScope),'RAW_AR_CONTENT'!N542,"")</f>
        <v>0</v>
      </c>
      <c r="O543" s="9">
        <f>IF(IF(SelectedScope="All India",TRUE,'RAW_AR_CONTENT'!$B542=SelectedScope),'RAW_AR_CONTENT'!O542,"")</f>
        <v>0</v>
      </c>
      <c r="P543" s="9">
        <f>IF(IF(SelectedScope="All India",TRUE,'RAW_AR_CONTENT'!$B542=SelectedScope),'RAW_AR_CONTENT'!P542,"")</f>
        <v>0</v>
      </c>
      <c r="Q543" s="9">
        <f>IF(IF(SelectedScope="All India",TRUE,'RAW_AR_CONTENT'!$B542=SelectedScope),'RAW_AR_CONTENT'!Q542,"")</f>
        <v>0</v>
      </c>
      <c r="R543" s="9">
        <f>IF(IF(SelectedScope="All India",TRUE,'RAW_AR_CONTENT'!$B542=SelectedScope),'RAW_AR_CONTENT'!R542,"")</f>
        <v>0</v>
      </c>
    </row>
    <row r="544" spans="1:18" ht="15" customHeight="1" x14ac:dyDescent="0.3">
      <c r="A544" s="12">
        <f>IF(IF(SelectedScope="All India",TRUE,'RAW_AR_CONTENT'!$B543=SelectedScope),'RAW_AR_CONTENT'!A543,"")</f>
        <v>540</v>
      </c>
      <c r="B544" s="12" t="str">
        <f>IF(IF(SelectedScope="All India",TRUE,'RAW_AR_CONTENT'!$B543=SelectedScope),'RAW_AR_CONTENT'!B543,"")</f>
        <v>West Bengal</v>
      </c>
      <c r="C544" s="12" t="str">
        <f>IF(IF(SelectedScope="All India",TRUE,'RAW_AR_CONTENT'!$B543=SelectedScope),'RAW_AR_CONTENT'!C543,"")</f>
        <v>Mathematics</v>
      </c>
      <c r="D544" s="12" t="str">
        <f>IF(IF(SelectedScope="All India",TRUE,'RAW_AR_CONTENT'!$B543=SelectedScope),'RAW_AR_CONTENT'!D543,"")</f>
        <v>Class 10</v>
      </c>
      <c r="E544" s="12" t="str">
        <f>IF(IF(SelectedScope="All India",TRUE,'RAW_AR_CONTENT'!$B543=SelectedScope),'RAW_AR_CONTENT'!E543,"")</f>
        <v>Quadratic Equations</v>
      </c>
      <c r="F544" s="12" t="str">
        <f>IF(IF(SelectedScope="All India",TRUE,'RAW_AR_CONTENT'!$B543=SelectedScope),'RAW_AR_CONTENT'!F543,"")</f>
        <v>Animated</v>
      </c>
      <c r="G544" s="12" t="str">
        <f>IF(IF(SelectedScope="All India",TRUE,'RAW_AR_CONTENT'!$B543=SelectedScope),'RAW_AR_CONTENT'!G543,"")</f>
        <v>Active</v>
      </c>
      <c r="H544" s="12">
        <f>IF(IF(SelectedScope="All India",TRUE,'RAW_AR_CONTENT'!$B543=SelectedScope),'RAW_AR_CONTENT'!H543,"")</f>
        <v>0</v>
      </c>
      <c r="I544" s="12">
        <f>IF(IF(SelectedScope="All India",TRUE,'RAW_AR_CONTENT'!$B543=SelectedScope),'RAW_AR_CONTENT'!I543,"")</f>
        <v>0</v>
      </c>
      <c r="J544" s="12">
        <f>IF(IF(SelectedScope="All India",TRUE,'RAW_AR_CONTENT'!$B543=SelectedScope),'RAW_AR_CONTENT'!J543,"")</f>
        <v>0</v>
      </c>
      <c r="K544" s="12">
        <f>IF(IF(SelectedScope="All India",TRUE,'RAW_AR_CONTENT'!$B543=SelectedScope),'RAW_AR_CONTENT'!K543,"")</f>
        <v>0</v>
      </c>
      <c r="L544" s="12">
        <f>IF(IF(SelectedScope="All India",TRUE,'RAW_AR_CONTENT'!$B543=SelectedScope),'RAW_AR_CONTENT'!L543,"")</f>
        <v>0</v>
      </c>
      <c r="M544" s="12">
        <f>IF(IF(SelectedScope="All India",TRUE,'RAW_AR_CONTENT'!$B543=SelectedScope),'RAW_AR_CONTENT'!M543,"")</f>
        <v>0</v>
      </c>
      <c r="N544" s="12">
        <f>IF(IF(SelectedScope="All India",TRUE,'RAW_AR_CONTENT'!$B543=SelectedScope),'RAW_AR_CONTENT'!N543,"")</f>
        <v>0</v>
      </c>
      <c r="O544" s="12">
        <f>IF(IF(SelectedScope="All India",TRUE,'RAW_AR_CONTENT'!$B543=SelectedScope),'RAW_AR_CONTENT'!O543,"")</f>
        <v>0</v>
      </c>
      <c r="P544" s="12">
        <f>IF(IF(SelectedScope="All India",TRUE,'RAW_AR_CONTENT'!$B543=SelectedScope),'RAW_AR_CONTENT'!P543,"")</f>
        <v>0</v>
      </c>
      <c r="Q544" s="12">
        <f>IF(IF(SelectedScope="All India",TRUE,'RAW_AR_CONTENT'!$B543=SelectedScope),'RAW_AR_CONTENT'!Q543,"")</f>
        <v>0</v>
      </c>
      <c r="R544" s="12">
        <f>IF(IF(SelectedScope="All India",TRUE,'RAW_AR_CONTENT'!$B543=SelectedScope),'RAW_AR_CONTENT'!R543,"")</f>
        <v>0</v>
      </c>
    </row>
  </sheetData>
  <autoFilter ref="A4:R544" xr:uid="{00000000-0009-0000-0000-000006000000}"/>
  <mergeCells count="3">
    <mergeCell ref="A3:R3"/>
    <mergeCell ref="A2:R2"/>
    <mergeCell ref="A1:R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364"/>
  <sheetViews>
    <sheetView showGridLines="0" workbookViewId="0">
      <pane xSplit="4" ySplit="4" topLeftCell="E5" activePane="bottomRight" state="frozen"/>
      <selection pane="topRight"/>
      <selection pane="bottomLeft"/>
      <selection pane="bottomRight" sqref="A1:Q1"/>
    </sheetView>
  </sheetViews>
  <sheetFormatPr defaultRowHeight="14.4" x14ac:dyDescent="0.3"/>
  <cols>
    <col min="1" max="1" width="4" customWidth="1"/>
    <col min="2" max="2" width="22" customWidth="1"/>
    <col min="3" max="3" width="16" customWidth="1"/>
    <col min="4" max="4" width="11" customWidth="1"/>
    <col min="5" max="5" width="24" customWidth="1"/>
    <col min="6" max="6" width="13" customWidth="1"/>
    <col min="7" max="7" width="10" customWidth="1"/>
    <col min="8" max="8" width="15" customWidth="1"/>
    <col min="9" max="9" width="11" customWidth="1"/>
    <col min="10" max="10" width="13" customWidth="1"/>
    <col min="11" max="11" width="15" customWidth="1"/>
    <col min="12" max="13" width="11" customWidth="1"/>
    <col min="14" max="16" width="12" customWidth="1"/>
    <col min="17" max="17" width="14" customWidth="1"/>
  </cols>
  <sheetData>
    <row r="1" spans="1:17" ht="28.05" customHeight="1" x14ac:dyDescent="0.3">
      <c r="A1" s="32" t="s">
        <v>256</v>
      </c>
      <c r="B1" s="33"/>
      <c r="C1" s="33"/>
      <c r="D1" s="33"/>
      <c r="E1" s="33"/>
      <c r="F1" s="33"/>
      <c r="G1" s="33"/>
      <c r="H1" s="33"/>
      <c r="I1" s="33"/>
      <c r="J1" s="33"/>
      <c r="K1" s="33"/>
      <c r="L1" s="33"/>
      <c r="M1" s="33"/>
      <c r="N1" s="33"/>
      <c r="O1" s="33"/>
      <c r="P1" s="33"/>
      <c r="Q1" s="33"/>
    </row>
    <row r="2" spans="1:17" ht="18" customHeight="1" x14ac:dyDescent="0.3">
      <c r="A2" s="38" t="str">
        <f>IF(SelectedScope="All India","NATIONAL VIEW — ALL INDIA","STATE VIEW — "&amp;SelectedScope)</f>
        <v>NATIONAL VIEW — ALL INDIA</v>
      </c>
      <c r="B2" s="33"/>
      <c r="C2" s="33"/>
      <c r="D2" s="33"/>
      <c r="E2" s="33"/>
      <c r="F2" s="33"/>
      <c r="G2" s="33"/>
      <c r="H2" s="33"/>
      <c r="I2" s="33"/>
      <c r="J2" s="33"/>
      <c r="K2" s="33"/>
      <c r="L2" s="33"/>
      <c r="M2" s="33"/>
      <c r="N2" s="33"/>
      <c r="O2" s="33"/>
      <c r="P2" s="33"/>
      <c r="Q2" s="33"/>
    </row>
    <row r="3" spans="1:17" ht="16.05" customHeight="1" x14ac:dyDescent="0.3">
      <c r="A3" s="39" t="s">
        <v>257</v>
      </c>
      <c r="B3" s="33"/>
      <c r="C3" s="33"/>
      <c r="D3" s="33"/>
      <c r="E3" s="33"/>
      <c r="F3" s="33"/>
      <c r="G3" s="33"/>
      <c r="H3" s="33"/>
      <c r="I3" s="33"/>
      <c r="J3" s="33"/>
      <c r="K3" s="33"/>
      <c r="L3" s="33"/>
      <c r="M3" s="33"/>
      <c r="N3" s="33"/>
      <c r="O3" s="33"/>
      <c r="P3" s="33"/>
      <c r="Q3" s="33"/>
    </row>
    <row r="4" spans="1:17" ht="31.95" customHeight="1" x14ac:dyDescent="0.3">
      <c r="A4" s="25" t="s">
        <v>78</v>
      </c>
      <c r="B4" s="25" t="s">
        <v>192</v>
      </c>
      <c r="C4" s="25" t="s">
        <v>135</v>
      </c>
      <c r="D4" s="25" t="s">
        <v>157</v>
      </c>
      <c r="E4" s="25" t="s">
        <v>258</v>
      </c>
      <c r="F4" s="25" t="s">
        <v>249</v>
      </c>
      <c r="G4" s="25" t="s">
        <v>247</v>
      </c>
      <c r="H4" s="25" t="s">
        <v>259</v>
      </c>
      <c r="I4" s="25" t="s">
        <v>221</v>
      </c>
      <c r="J4" s="25" t="s">
        <v>260</v>
      </c>
      <c r="K4" s="25" t="s">
        <v>261</v>
      </c>
      <c r="L4" s="25" t="s">
        <v>262</v>
      </c>
      <c r="M4" s="25" t="s">
        <v>201</v>
      </c>
      <c r="N4" s="25" t="s">
        <v>263</v>
      </c>
      <c r="O4" s="25" t="s">
        <v>264</v>
      </c>
      <c r="P4" s="25" t="s">
        <v>255</v>
      </c>
      <c r="Q4" s="25" t="s">
        <v>86</v>
      </c>
    </row>
    <row r="5" spans="1:17" ht="15" customHeight="1" x14ac:dyDescent="0.3">
      <c r="A5" s="9">
        <f>IF(IF(SelectedScope="All India",TRUE,'RAW_QUIZ'!$B4=SelectedScope),'RAW_QUIZ'!A4,"")</f>
        <v>1</v>
      </c>
      <c r="B5" s="9" t="str">
        <f>IF(IF(SelectedScope="All India",TRUE,'RAW_QUIZ'!$B4=SelectedScope),'RAW_QUIZ'!B4,"")</f>
        <v>Andaman and Nicobar Islands</v>
      </c>
      <c r="C5" s="9" t="str">
        <f>IF(IF(SelectedScope="All India",TRUE,'RAW_QUIZ'!$B4=SelectedScope),'RAW_QUIZ'!C4,"")</f>
        <v>Science</v>
      </c>
      <c r="D5" s="9" t="str">
        <f>IF(IF(SelectedScope="All India",TRUE,'RAW_QUIZ'!$B4=SelectedScope),'RAW_QUIZ'!D4,"")</f>
        <v>Class 8</v>
      </c>
      <c r="E5" s="9" t="str">
        <f>IF(IF(SelectedScope="All India",TRUE,'RAW_QUIZ'!$B4=SelectedScope),'RAW_QUIZ'!E4,"")</f>
        <v>Solar System — Unit Quiz</v>
      </c>
      <c r="F5" s="9">
        <f>IF(IF(SelectedScope="All India",TRUE,'RAW_QUIZ'!$B4=SelectedScope),'RAW_QUIZ'!F4,"")</f>
        <v>0</v>
      </c>
      <c r="G5" s="9" t="str">
        <f>IF(IF(SelectedScope="All India",TRUE,'RAW_QUIZ'!$B4=SelectedScope),'RAW_QUIZ'!G4,"")</f>
        <v>Active</v>
      </c>
      <c r="H5" s="9">
        <f>IF(IF(SelectedScope="All India",TRUE,'RAW_QUIZ'!$B4=SelectedScope),'RAW_QUIZ'!H4,"")</f>
        <v>0</v>
      </c>
      <c r="I5" s="9">
        <f>IF(IF(SelectedScope="All India",TRUE,'RAW_QUIZ'!$B4=SelectedScope),'RAW_QUIZ'!I4,"")</f>
        <v>0</v>
      </c>
      <c r="J5" s="9">
        <f>IF(IF(SelectedScope="All India",TRUE,'RAW_QUIZ'!$B4=SelectedScope),'RAW_QUIZ'!J4,"")</f>
        <v>0</v>
      </c>
      <c r="K5" s="9">
        <f>IF(IF(SelectedScope="All India",TRUE,'RAW_QUIZ'!$B4=SelectedScope),'RAW_QUIZ'!K4,"")</f>
        <v>0</v>
      </c>
      <c r="L5" s="9">
        <f>IF(IF(SelectedScope="All India",TRUE,'RAW_QUIZ'!$B4=SelectedScope),'RAW_QUIZ'!L4,"")</f>
        <v>0</v>
      </c>
      <c r="M5" s="9">
        <f>IF(IF(SelectedScope="All India",TRUE,'RAW_QUIZ'!$B4=SelectedScope),'RAW_QUIZ'!M4,"")</f>
        <v>0</v>
      </c>
      <c r="N5" s="9">
        <f>IF(IF(SelectedScope="All India",TRUE,'RAW_QUIZ'!$B4=SelectedScope),'RAW_QUIZ'!N4,"")</f>
        <v>0</v>
      </c>
      <c r="O5" s="9">
        <f>IF(IF(SelectedScope="All India",TRUE,'RAW_QUIZ'!$B4=SelectedScope),'RAW_QUIZ'!O4,"")</f>
        <v>0</v>
      </c>
      <c r="P5" s="9">
        <f>IF(IF(SelectedScope="All India",TRUE,'RAW_QUIZ'!$B4=SelectedScope),'RAW_QUIZ'!P4,"")</f>
        <v>0</v>
      </c>
      <c r="Q5" s="9">
        <f>IF(IF(SelectedScope="All India",TRUE,'RAW_QUIZ'!$B4=SelectedScope),'RAW_QUIZ'!Q4,"")</f>
        <v>0</v>
      </c>
    </row>
    <row r="6" spans="1:17" ht="15" customHeight="1" x14ac:dyDescent="0.3">
      <c r="A6" s="12">
        <f>IF(IF(SelectedScope="All India",TRUE,'RAW_QUIZ'!$B5=SelectedScope),'RAW_QUIZ'!A5,"")</f>
        <v>2</v>
      </c>
      <c r="B6" s="12" t="str">
        <f>IF(IF(SelectedScope="All India",TRUE,'RAW_QUIZ'!$B5=SelectedScope),'RAW_QUIZ'!B5,"")</f>
        <v>Andaman and Nicobar Islands</v>
      </c>
      <c r="C6" s="12" t="str">
        <f>IF(IF(SelectedScope="All India",TRUE,'RAW_QUIZ'!$B5=SelectedScope),'RAW_QUIZ'!C5,"")</f>
        <v>Biology</v>
      </c>
      <c r="D6" s="12" t="str">
        <f>IF(IF(SelectedScope="All India",TRUE,'RAW_QUIZ'!$B5=SelectedScope),'RAW_QUIZ'!D5,"")</f>
        <v>Class 9</v>
      </c>
      <c r="E6" s="12" t="str">
        <f>IF(IF(SelectedScope="All India",TRUE,'RAW_QUIZ'!$B5=SelectedScope),'RAW_QUIZ'!E5,"")</f>
        <v>Cell Division — Unit Quiz</v>
      </c>
      <c r="F6" s="12">
        <f>IF(IF(SelectedScope="All India",TRUE,'RAW_QUIZ'!$B5=SelectedScope),'RAW_QUIZ'!F5,"")</f>
        <v>0</v>
      </c>
      <c r="G6" s="12" t="str">
        <f>IF(IF(SelectedScope="All India",TRUE,'RAW_QUIZ'!$B5=SelectedScope),'RAW_QUIZ'!G5,"")</f>
        <v>Active</v>
      </c>
      <c r="H6" s="12">
        <f>IF(IF(SelectedScope="All India",TRUE,'RAW_QUIZ'!$B5=SelectedScope),'RAW_QUIZ'!H5,"")</f>
        <v>0</v>
      </c>
      <c r="I6" s="12">
        <f>IF(IF(SelectedScope="All India",TRUE,'RAW_QUIZ'!$B5=SelectedScope),'RAW_QUIZ'!I5,"")</f>
        <v>0</v>
      </c>
      <c r="J6" s="12">
        <f>IF(IF(SelectedScope="All India",TRUE,'RAW_QUIZ'!$B5=SelectedScope),'RAW_QUIZ'!J5,"")</f>
        <v>0</v>
      </c>
      <c r="K6" s="12">
        <f>IF(IF(SelectedScope="All India",TRUE,'RAW_QUIZ'!$B5=SelectedScope),'RAW_QUIZ'!K5,"")</f>
        <v>0</v>
      </c>
      <c r="L6" s="12">
        <f>IF(IF(SelectedScope="All India",TRUE,'RAW_QUIZ'!$B5=SelectedScope),'RAW_QUIZ'!L5,"")</f>
        <v>0</v>
      </c>
      <c r="M6" s="12">
        <f>IF(IF(SelectedScope="All India",TRUE,'RAW_QUIZ'!$B5=SelectedScope),'RAW_QUIZ'!M5,"")</f>
        <v>0</v>
      </c>
      <c r="N6" s="12">
        <f>IF(IF(SelectedScope="All India",TRUE,'RAW_QUIZ'!$B5=SelectedScope),'RAW_QUIZ'!N5,"")</f>
        <v>0</v>
      </c>
      <c r="O6" s="12">
        <f>IF(IF(SelectedScope="All India",TRUE,'RAW_QUIZ'!$B5=SelectedScope),'RAW_QUIZ'!O5,"")</f>
        <v>0</v>
      </c>
      <c r="P6" s="12">
        <f>IF(IF(SelectedScope="All India",TRUE,'RAW_QUIZ'!$B5=SelectedScope),'RAW_QUIZ'!P5,"")</f>
        <v>0</v>
      </c>
      <c r="Q6" s="12">
        <f>IF(IF(SelectedScope="All India",TRUE,'RAW_QUIZ'!$B5=SelectedScope),'RAW_QUIZ'!Q5,"")</f>
        <v>0</v>
      </c>
    </row>
    <row r="7" spans="1:17" ht="15" customHeight="1" x14ac:dyDescent="0.3">
      <c r="A7" s="9">
        <f>IF(IF(SelectedScope="All India",TRUE,'RAW_QUIZ'!$B6=SelectedScope),'RAW_QUIZ'!A6,"")</f>
        <v>3</v>
      </c>
      <c r="B7" s="9" t="str">
        <f>IF(IF(SelectedScope="All India",TRUE,'RAW_QUIZ'!$B6=SelectedScope),'RAW_QUIZ'!B6,"")</f>
        <v>Andaman and Nicobar Islands</v>
      </c>
      <c r="C7" s="9" t="str">
        <f>IF(IF(SelectedScope="All India",TRUE,'RAW_QUIZ'!$B6=SelectedScope),'RAW_QUIZ'!C6,"")</f>
        <v>Chemistry</v>
      </c>
      <c r="D7" s="9" t="str">
        <f>IF(IF(SelectedScope="All India",TRUE,'RAW_QUIZ'!$B6=SelectedScope),'RAW_QUIZ'!D6,"")</f>
        <v>Class 9</v>
      </c>
      <c r="E7" s="9" t="str">
        <f>IF(IF(SelectedScope="All India",TRUE,'RAW_QUIZ'!$B6=SelectedScope),'RAW_QUIZ'!E6,"")</f>
        <v>Atoms and Molecules — Unit Quiz</v>
      </c>
      <c r="F7" s="9">
        <f>IF(IF(SelectedScope="All India",TRUE,'RAW_QUIZ'!$B6=SelectedScope),'RAW_QUIZ'!F6,"")</f>
        <v>0</v>
      </c>
      <c r="G7" s="9" t="str">
        <f>IF(IF(SelectedScope="All India",TRUE,'RAW_QUIZ'!$B6=SelectedScope),'RAW_QUIZ'!G6,"")</f>
        <v>Active</v>
      </c>
      <c r="H7" s="9">
        <f>IF(IF(SelectedScope="All India",TRUE,'RAW_QUIZ'!$B6=SelectedScope),'RAW_QUIZ'!H6,"")</f>
        <v>0</v>
      </c>
      <c r="I7" s="9">
        <f>IF(IF(SelectedScope="All India",TRUE,'RAW_QUIZ'!$B6=SelectedScope),'RAW_QUIZ'!I6,"")</f>
        <v>0</v>
      </c>
      <c r="J7" s="9">
        <f>IF(IF(SelectedScope="All India",TRUE,'RAW_QUIZ'!$B6=SelectedScope),'RAW_QUIZ'!J6,"")</f>
        <v>0</v>
      </c>
      <c r="K7" s="9">
        <f>IF(IF(SelectedScope="All India",TRUE,'RAW_QUIZ'!$B6=SelectedScope),'RAW_QUIZ'!K6,"")</f>
        <v>0</v>
      </c>
      <c r="L7" s="9">
        <f>IF(IF(SelectedScope="All India",TRUE,'RAW_QUIZ'!$B6=SelectedScope),'RAW_QUIZ'!L6,"")</f>
        <v>0</v>
      </c>
      <c r="M7" s="9">
        <f>IF(IF(SelectedScope="All India",TRUE,'RAW_QUIZ'!$B6=SelectedScope),'RAW_QUIZ'!M6,"")</f>
        <v>0</v>
      </c>
      <c r="N7" s="9">
        <f>IF(IF(SelectedScope="All India",TRUE,'RAW_QUIZ'!$B6=SelectedScope),'RAW_QUIZ'!N6,"")</f>
        <v>0</v>
      </c>
      <c r="O7" s="9">
        <f>IF(IF(SelectedScope="All India",TRUE,'RAW_QUIZ'!$B6=SelectedScope),'RAW_QUIZ'!O6,"")</f>
        <v>0</v>
      </c>
      <c r="P7" s="9">
        <f>IF(IF(SelectedScope="All India",TRUE,'RAW_QUIZ'!$B6=SelectedScope),'RAW_QUIZ'!P6,"")</f>
        <v>0</v>
      </c>
      <c r="Q7" s="9">
        <f>IF(IF(SelectedScope="All India",TRUE,'RAW_QUIZ'!$B6=SelectedScope),'RAW_QUIZ'!Q6,"")</f>
        <v>0</v>
      </c>
    </row>
    <row r="8" spans="1:17" ht="15" customHeight="1" x14ac:dyDescent="0.3">
      <c r="A8" s="12">
        <f>IF(IF(SelectedScope="All India",TRUE,'RAW_QUIZ'!$B7=SelectedScope),'RAW_QUIZ'!A7,"")</f>
        <v>4</v>
      </c>
      <c r="B8" s="12" t="str">
        <f>IF(IF(SelectedScope="All India",TRUE,'RAW_QUIZ'!$B7=SelectedScope),'RAW_QUIZ'!B7,"")</f>
        <v>Andaman and Nicobar Islands</v>
      </c>
      <c r="C8" s="12" t="str">
        <f>IF(IF(SelectedScope="All India",TRUE,'RAW_QUIZ'!$B7=SelectedScope),'RAW_QUIZ'!C7,"")</f>
        <v>Mathematics</v>
      </c>
      <c r="D8" s="12" t="str">
        <f>IF(IF(SelectedScope="All India",TRUE,'RAW_QUIZ'!$B7=SelectedScope),'RAW_QUIZ'!D7,"")</f>
        <v>Class 7</v>
      </c>
      <c r="E8" s="12" t="str">
        <f>IF(IF(SelectedScope="All India",TRUE,'RAW_QUIZ'!$B7=SelectedScope),'RAW_QUIZ'!E7,"")</f>
        <v>Fractions — Unit Quiz</v>
      </c>
      <c r="F8" s="12">
        <f>IF(IF(SelectedScope="All India",TRUE,'RAW_QUIZ'!$B7=SelectedScope),'RAW_QUIZ'!F7,"")</f>
        <v>0</v>
      </c>
      <c r="G8" s="12" t="str">
        <f>IF(IF(SelectedScope="All India",TRUE,'RAW_QUIZ'!$B7=SelectedScope),'RAW_QUIZ'!G7,"")</f>
        <v>Active</v>
      </c>
      <c r="H8" s="12">
        <f>IF(IF(SelectedScope="All India",TRUE,'RAW_QUIZ'!$B7=SelectedScope),'RAW_QUIZ'!H7,"")</f>
        <v>0</v>
      </c>
      <c r="I8" s="12">
        <f>IF(IF(SelectedScope="All India",TRUE,'RAW_QUIZ'!$B7=SelectedScope),'RAW_QUIZ'!I7,"")</f>
        <v>0</v>
      </c>
      <c r="J8" s="12">
        <f>IF(IF(SelectedScope="All India",TRUE,'RAW_QUIZ'!$B7=SelectedScope),'RAW_QUIZ'!J7,"")</f>
        <v>0</v>
      </c>
      <c r="K8" s="12">
        <f>IF(IF(SelectedScope="All India",TRUE,'RAW_QUIZ'!$B7=SelectedScope),'RAW_QUIZ'!K7,"")</f>
        <v>0</v>
      </c>
      <c r="L8" s="12">
        <f>IF(IF(SelectedScope="All India",TRUE,'RAW_QUIZ'!$B7=SelectedScope),'RAW_QUIZ'!L7,"")</f>
        <v>0</v>
      </c>
      <c r="M8" s="12">
        <f>IF(IF(SelectedScope="All India",TRUE,'RAW_QUIZ'!$B7=SelectedScope),'RAW_QUIZ'!M7,"")</f>
        <v>0</v>
      </c>
      <c r="N8" s="12">
        <f>IF(IF(SelectedScope="All India",TRUE,'RAW_QUIZ'!$B7=SelectedScope),'RAW_QUIZ'!N7,"")</f>
        <v>0</v>
      </c>
      <c r="O8" s="12">
        <f>IF(IF(SelectedScope="All India",TRUE,'RAW_QUIZ'!$B7=SelectedScope),'RAW_QUIZ'!O7,"")</f>
        <v>0</v>
      </c>
      <c r="P8" s="12">
        <f>IF(IF(SelectedScope="All India",TRUE,'RAW_QUIZ'!$B7=SelectedScope),'RAW_QUIZ'!P7,"")</f>
        <v>0</v>
      </c>
      <c r="Q8" s="12">
        <f>IF(IF(SelectedScope="All India",TRUE,'RAW_QUIZ'!$B7=SelectedScope),'RAW_QUIZ'!Q7,"")</f>
        <v>0</v>
      </c>
    </row>
    <row r="9" spans="1:17" ht="15" customHeight="1" x14ac:dyDescent="0.3">
      <c r="A9" s="9">
        <f>IF(IF(SelectedScope="All India",TRUE,'RAW_QUIZ'!$B8=SelectedScope),'RAW_QUIZ'!A8,"")</f>
        <v>5</v>
      </c>
      <c r="B9" s="9" t="str">
        <f>IF(IF(SelectedScope="All India",TRUE,'RAW_QUIZ'!$B8=SelectedScope),'RAW_QUIZ'!B8,"")</f>
        <v>Andaman and Nicobar Islands</v>
      </c>
      <c r="C9" s="9" t="str">
        <f>IF(IF(SelectedScope="All India",TRUE,'RAW_QUIZ'!$B8=SelectedScope),'RAW_QUIZ'!C8,"")</f>
        <v>Mathematics</v>
      </c>
      <c r="D9" s="9" t="str">
        <f>IF(IF(SelectedScope="All India",TRUE,'RAW_QUIZ'!$B8=SelectedScope),'RAW_QUIZ'!D8,"")</f>
        <v>Class 10</v>
      </c>
      <c r="E9" s="9" t="str">
        <f>IF(IF(SelectedScope="All India",TRUE,'RAW_QUIZ'!$B8=SelectedScope),'RAW_QUIZ'!E8,"")</f>
        <v>Trigonometry — Unit Quiz</v>
      </c>
      <c r="F9" s="9">
        <f>IF(IF(SelectedScope="All India",TRUE,'RAW_QUIZ'!$B8=SelectedScope),'RAW_QUIZ'!F8,"")</f>
        <v>0</v>
      </c>
      <c r="G9" s="9" t="str">
        <f>IF(IF(SelectedScope="All India",TRUE,'RAW_QUIZ'!$B8=SelectedScope),'RAW_QUIZ'!G8,"")</f>
        <v>Active</v>
      </c>
      <c r="H9" s="9">
        <f>IF(IF(SelectedScope="All India",TRUE,'RAW_QUIZ'!$B8=SelectedScope),'RAW_QUIZ'!H8,"")</f>
        <v>0</v>
      </c>
      <c r="I9" s="9">
        <f>IF(IF(SelectedScope="All India",TRUE,'RAW_QUIZ'!$B8=SelectedScope),'RAW_QUIZ'!I8,"")</f>
        <v>0</v>
      </c>
      <c r="J9" s="9">
        <f>IF(IF(SelectedScope="All India",TRUE,'RAW_QUIZ'!$B8=SelectedScope),'RAW_QUIZ'!J8,"")</f>
        <v>0</v>
      </c>
      <c r="K9" s="9">
        <f>IF(IF(SelectedScope="All India",TRUE,'RAW_QUIZ'!$B8=SelectedScope),'RAW_QUIZ'!K8,"")</f>
        <v>0</v>
      </c>
      <c r="L9" s="9">
        <f>IF(IF(SelectedScope="All India",TRUE,'RAW_QUIZ'!$B8=SelectedScope),'RAW_QUIZ'!L8,"")</f>
        <v>0</v>
      </c>
      <c r="M9" s="9">
        <f>IF(IF(SelectedScope="All India",TRUE,'RAW_QUIZ'!$B8=SelectedScope),'RAW_QUIZ'!M8,"")</f>
        <v>0</v>
      </c>
      <c r="N9" s="9">
        <f>IF(IF(SelectedScope="All India",TRUE,'RAW_QUIZ'!$B8=SelectedScope),'RAW_QUIZ'!N8,"")</f>
        <v>0</v>
      </c>
      <c r="O9" s="9">
        <f>IF(IF(SelectedScope="All India",TRUE,'RAW_QUIZ'!$B8=SelectedScope),'RAW_QUIZ'!O8,"")</f>
        <v>0</v>
      </c>
      <c r="P9" s="9">
        <f>IF(IF(SelectedScope="All India",TRUE,'RAW_QUIZ'!$B8=SelectedScope),'RAW_QUIZ'!P8,"")</f>
        <v>0</v>
      </c>
      <c r="Q9" s="9">
        <f>IF(IF(SelectedScope="All India",TRUE,'RAW_QUIZ'!$B8=SelectedScope),'RAW_QUIZ'!Q8,"")</f>
        <v>0</v>
      </c>
    </row>
    <row r="10" spans="1:17" ht="15" customHeight="1" x14ac:dyDescent="0.3">
      <c r="A10" s="12">
        <f>IF(IF(SelectedScope="All India",TRUE,'RAW_QUIZ'!$B9=SelectedScope),'RAW_QUIZ'!A9,"")</f>
        <v>6</v>
      </c>
      <c r="B10" s="12" t="str">
        <f>IF(IF(SelectedScope="All India",TRUE,'RAW_QUIZ'!$B9=SelectedScope),'RAW_QUIZ'!B9,"")</f>
        <v>Andaman and Nicobar Islands</v>
      </c>
      <c r="C10" s="12" t="str">
        <f>IF(IF(SelectedScope="All India",TRUE,'RAW_QUIZ'!$B9=SelectedScope),'RAW_QUIZ'!C9,"")</f>
        <v>History</v>
      </c>
      <c r="D10" s="12" t="str">
        <f>IF(IF(SelectedScope="All India",TRUE,'RAW_QUIZ'!$B9=SelectedScope),'RAW_QUIZ'!D9,"")</f>
        <v>Class 10</v>
      </c>
      <c r="E10" s="12" t="str">
        <f>IF(IF(SelectedScope="All India",TRUE,'RAW_QUIZ'!$B9=SelectedScope),'RAW_QUIZ'!E9,"")</f>
        <v>Mughal Empire — Unit Quiz</v>
      </c>
      <c r="F10" s="12">
        <f>IF(IF(SelectedScope="All India",TRUE,'RAW_QUIZ'!$B9=SelectedScope),'RAW_QUIZ'!F9,"")</f>
        <v>0</v>
      </c>
      <c r="G10" s="12" t="str">
        <f>IF(IF(SelectedScope="All India",TRUE,'RAW_QUIZ'!$B9=SelectedScope),'RAW_QUIZ'!G9,"")</f>
        <v>Active</v>
      </c>
      <c r="H10" s="12">
        <f>IF(IF(SelectedScope="All India",TRUE,'RAW_QUIZ'!$B9=SelectedScope),'RAW_QUIZ'!H9,"")</f>
        <v>0</v>
      </c>
      <c r="I10" s="12">
        <f>IF(IF(SelectedScope="All India",TRUE,'RAW_QUIZ'!$B9=SelectedScope),'RAW_QUIZ'!I9,"")</f>
        <v>0</v>
      </c>
      <c r="J10" s="12">
        <f>IF(IF(SelectedScope="All India",TRUE,'RAW_QUIZ'!$B9=SelectedScope),'RAW_QUIZ'!J9,"")</f>
        <v>0</v>
      </c>
      <c r="K10" s="12">
        <f>IF(IF(SelectedScope="All India",TRUE,'RAW_QUIZ'!$B9=SelectedScope),'RAW_QUIZ'!K9,"")</f>
        <v>0</v>
      </c>
      <c r="L10" s="12">
        <f>IF(IF(SelectedScope="All India",TRUE,'RAW_QUIZ'!$B9=SelectedScope),'RAW_QUIZ'!L9,"")</f>
        <v>0</v>
      </c>
      <c r="M10" s="12">
        <f>IF(IF(SelectedScope="All India",TRUE,'RAW_QUIZ'!$B9=SelectedScope),'RAW_QUIZ'!M9,"")</f>
        <v>0</v>
      </c>
      <c r="N10" s="12">
        <f>IF(IF(SelectedScope="All India",TRUE,'RAW_QUIZ'!$B9=SelectedScope),'RAW_QUIZ'!N9,"")</f>
        <v>0</v>
      </c>
      <c r="O10" s="12">
        <f>IF(IF(SelectedScope="All India",TRUE,'RAW_QUIZ'!$B9=SelectedScope),'RAW_QUIZ'!O9,"")</f>
        <v>0</v>
      </c>
      <c r="P10" s="12">
        <f>IF(IF(SelectedScope="All India",TRUE,'RAW_QUIZ'!$B9=SelectedScope),'RAW_QUIZ'!P9,"")</f>
        <v>0</v>
      </c>
      <c r="Q10" s="12">
        <f>IF(IF(SelectedScope="All India",TRUE,'RAW_QUIZ'!$B9=SelectedScope),'RAW_QUIZ'!Q9,"")</f>
        <v>0</v>
      </c>
    </row>
    <row r="11" spans="1:17" ht="15" customHeight="1" x14ac:dyDescent="0.3">
      <c r="A11" s="9">
        <f>IF(IF(SelectedScope="All India",TRUE,'RAW_QUIZ'!$B10=SelectedScope),'RAW_QUIZ'!A10,"")</f>
        <v>7</v>
      </c>
      <c r="B11" s="9" t="str">
        <f>IF(IF(SelectedScope="All India",TRUE,'RAW_QUIZ'!$B10=SelectedScope),'RAW_QUIZ'!B10,"")</f>
        <v>Andaman and Nicobar Islands</v>
      </c>
      <c r="C11" s="9" t="str">
        <f>IF(IF(SelectedScope="All India",TRUE,'RAW_QUIZ'!$B10=SelectedScope),'RAW_QUIZ'!C10,"")</f>
        <v>Physics</v>
      </c>
      <c r="D11" s="9" t="str">
        <f>IF(IF(SelectedScope="All India",TRUE,'RAW_QUIZ'!$B10=SelectedScope),'RAW_QUIZ'!D10,"")</f>
        <v>Class 9</v>
      </c>
      <c r="E11" s="9" t="str">
        <f>IF(IF(SelectedScope="All India",TRUE,'RAW_QUIZ'!$B10=SelectedScope),'RAW_QUIZ'!E10,"")</f>
        <v>Laws of Motion — Unit Quiz</v>
      </c>
      <c r="F11" s="9">
        <f>IF(IF(SelectedScope="All India",TRUE,'RAW_QUIZ'!$B10=SelectedScope),'RAW_QUIZ'!F10,"")</f>
        <v>0</v>
      </c>
      <c r="G11" s="9" t="str">
        <f>IF(IF(SelectedScope="All India",TRUE,'RAW_QUIZ'!$B10=SelectedScope),'RAW_QUIZ'!G10,"")</f>
        <v>Active</v>
      </c>
      <c r="H11" s="9">
        <f>IF(IF(SelectedScope="All India",TRUE,'RAW_QUIZ'!$B10=SelectedScope),'RAW_QUIZ'!H10,"")</f>
        <v>0</v>
      </c>
      <c r="I11" s="9">
        <f>IF(IF(SelectedScope="All India",TRUE,'RAW_QUIZ'!$B10=SelectedScope),'RAW_QUIZ'!I10,"")</f>
        <v>0</v>
      </c>
      <c r="J11" s="9">
        <f>IF(IF(SelectedScope="All India",TRUE,'RAW_QUIZ'!$B10=SelectedScope),'RAW_QUIZ'!J10,"")</f>
        <v>0</v>
      </c>
      <c r="K11" s="9">
        <f>IF(IF(SelectedScope="All India",TRUE,'RAW_QUIZ'!$B10=SelectedScope),'RAW_QUIZ'!K10,"")</f>
        <v>0</v>
      </c>
      <c r="L11" s="9">
        <f>IF(IF(SelectedScope="All India",TRUE,'RAW_QUIZ'!$B10=SelectedScope),'RAW_QUIZ'!L10,"")</f>
        <v>0</v>
      </c>
      <c r="M11" s="9">
        <f>IF(IF(SelectedScope="All India",TRUE,'RAW_QUIZ'!$B10=SelectedScope),'RAW_QUIZ'!M10,"")</f>
        <v>0</v>
      </c>
      <c r="N11" s="9">
        <f>IF(IF(SelectedScope="All India",TRUE,'RAW_QUIZ'!$B10=SelectedScope),'RAW_QUIZ'!N10,"")</f>
        <v>0</v>
      </c>
      <c r="O11" s="9">
        <f>IF(IF(SelectedScope="All India",TRUE,'RAW_QUIZ'!$B10=SelectedScope),'RAW_QUIZ'!O10,"")</f>
        <v>0</v>
      </c>
      <c r="P11" s="9">
        <f>IF(IF(SelectedScope="All India",TRUE,'RAW_QUIZ'!$B10=SelectedScope),'RAW_QUIZ'!P10,"")</f>
        <v>0</v>
      </c>
      <c r="Q11" s="9">
        <f>IF(IF(SelectedScope="All India",TRUE,'RAW_QUIZ'!$B10=SelectedScope),'RAW_QUIZ'!Q10,"")</f>
        <v>0</v>
      </c>
    </row>
    <row r="12" spans="1:17" ht="15" customHeight="1" x14ac:dyDescent="0.3">
      <c r="A12" s="12">
        <f>IF(IF(SelectedScope="All India",TRUE,'RAW_QUIZ'!$B11=SelectedScope),'RAW_QUIZ'!A11,"")</f>
        <v>8</v>
      </c>
      <c r="B12" s="12" t="str">
        <f>IF(IF(SelectedScope="All India",TRUE,'RAW_QUIZ'!$B11=SelectedScope),'RAW_QUIZ'!B11,"")</f>
        <v>Andaman and Nicobar Islands</v>
      </c>
      <c r="C12" s="12" t="str">
        <f>IF(IF(SelectedScope="All India",TRUE,'RAW_QUIZ'!$B11=SelectedScope),'RAW_QUIZ'!C11,"")</f>
        <v>Physics</v>
      </c>
      <c r="D12" s="12" t="str">
        <f>IF(IF(SelectedScope="All India",TRUE,'RAW_QUIZ'!$B11=SelectedScope),'RAW_QUIZ'!D11,"")</f>
        <v>Class 10</v>
      </c>
      <c r="E12" s="12" t="str">
        <f>IF(IF(SelectedScope="All India",TRUE,'RAW_QUIZ'!$B11=SelectedScope),'RAW_QUIZ'!E11,"")</f>
        <v>Electricity — Unit Quiz</v>
      </c>
      <c r="F12" s="12">
        <f>IF(IF(SelectedScope="All India",TRUE,'RAW_QUIZ'!$B11=SelectedScope),'RAW_QUIZ'!F11,"")</f>
        <v>0</v>
      </c>
      <c r="G12" s="12" t="str">
        <f>IF(IF(SelectedScope="All India",TRUE,'RAW_QUIZ'!$B11=SelectedScope),'RAW_QUIZ'!G11,"")</f>
        <v>Active</v>
      </c>
      <c r="H12" s="12">
        <f>IF(IF(SelectedScope="All India",TRUE,'RAW_QUIZ'!$B11=SelectedScope),'RAW_QUIZ'!H11,"")</f>
        <v>0</v>
      </c>
      <c r="I12" s="12">
        <f>IF(IF(SelectedScope="All India",TRUE,'RAW_QUIZ'!$B11=SelectedScope),'RAW_QUIZ'!I11,"")</f>
        <v>0</v>
      </c>
      <c r="J12" s="12">
        <f>IF(IF(SelectedScope="All India",TRUE,'RAW_QUIZ'!$B11=SelectedScope),'RAW_QUIZ'!J11,"")</f>
        <v>0</v>
      </c>
      <c r="K12" s="12">
        <f>IF(IF(SelectedScope="All India",TRUE,'RAW_QUIZ'!$B11=SelectedScope),'RAW_QUIZ'!K11,"")</f>
        <v>0</v>
      </c>
      <c r="L12" s="12">
        <f>IF(IF(SelectedScope="All India",TRUE,'RAW_QUIZ'!$B11=SelectedScope),'RAW_QUIZ'!L11,"")</f>
        <v>0</v>
      </c>
      <c r="M12" s="12">
        <f>IF(IF(SelectedScope="All India",TRUE,'RAW_QUIZ'!$B11=SelectedScope),'RAW_QUIZ'!M11,"")</f>
        <v>0</v>
      </c>
      <c r="N12" s="12">
        <f>IF(IF(SelectedScope="All India",TRUE,'RAW_QUIZ'!$B11=SelectedScope),'RAW_QUIZ'!N11,"")</f>
        <v>0</v>
      </c>
      <c r="O12" s="12">
        <f>IF(IF(SelectedScope="All India",TRUE,'RAW_QUIZ'!$B11=SelectedScope),'RAW_QUIZ'!O11,"")</f>
        <v>0</v>
      </c>
      <c r="P12" s="12">
        <f>IF(IF(SelectedScope="All India",TRUE,'RAW_QUIZ'!$B11=SelectedScope),'RAW_QUIZ'!P11,"")</f>
        <v>0</v>
      </c>
      <c r="Q12" s="12">
        <f>IF(IF(SelectedScope="All India",TRUE,'RAW_QUIZ'!$B11=SelectedScope),'RAW_QUIZ'!Q11,"")</f>
        <v>0</v>
      </c>
    </row>
    <row r="13" spans="1:17" ht="15" customHeight="1" x14ac:dyDescent="0.3">
      <c r="A13" s="9">
        <f>IF(IF(SelectedScope="All India",TRUE,'RAW_QUIZ'!$B12=SelectedScope),'RAW_QUIZ'!A12,"")</f>
        <v>9</v>
      </c>
      <c r="B13" s="9" t="str">
        <f>IF(IF(SelectedScope="All India",TRUE,'RAW_QUIZ'!$B12=SelectedScope),'RAW_QUIZ'!B12,"")</f>
        <v>Andaman and Nicobar Islands</v>
      </c>
      <c r="C13" s="9" t="str">
        <f>IF(IF(SelectedScope="All India",TRUE,'RAW_QUIZ'!$B12=SelectedScope),'RAW_QUIZ'!C12,"")</f>
        <v>Civics</v>
      </c>
      <c r="D13" s="9" t="str">
        <f>IF(IF(SelectedScope="All India",TRUE,'RAW_QUIZ'!$B12=SelectedScope),'RAW_QUIZ'!D12,"")</f>
        <v>Class 9</v>
      </c>
      <c r="E13" s="9" t="str">
        <f>IF(IF(SelectedScope="All India",TRUE,'RAW_QUIZ'!$B12=SelectedScope),'RAW_QUIZ'!E12,"")</f>
        <v>Indian Constitution — Unit Quiz</v>
      </c>
      <c r="F13" s="9">
        <f>IF(IF(SelectedScope="All India",TRUE,'RAW_QUIZ'!$B12=SelectedScope),'RAW_QUIZ'!F12,"")</f>
        <v>0</v>
      </c>
      <c r="G13" s="9" t="str">
        <f>IF(IF(SelectedScope="All India",TRUE,'RAW_QUIZ'!$B12=SelectedScope),'RAW_QUIZ'!G12,"")</f>
        <v>Active</v>
      </c>
      <c r="H13" s="9">
        <f>IF(IF(SelectedScope="All India",TRUE,'RAW_QUIZ'!$B12=SelectedScope),'RAW_QUIZ'!H12,"")</f>
        <v>0</v>
      </c>
      <c r="I13" s="9">
        <f>IF(IF(SelectedScope="All India",TRUE,'RAW_QUIZ'!$B12=SelectedScope),'RAW_QUIZ'!I12,"")</f>
        <v>0</v>
      </c>
      <c r="J13" s="9">
        <f>IF(IF(SelectedScope="All India",TRUE,'RAW_QUIZ'!$B12=SelectedScope),'RAW_QUIZ'!J12,"")</f>
        <v>0</v>
      </c>
      <c r="K13" s="9">
        <f>IF(IF(SelectedScope="All India",TRUE,'RAW_QUIZ'!$B12=SelectedScope),'RAW_QUIZ'!K12,"")</f>
        <v>0</v>
      </c>
      <c r="L13" s="9">
        <f>IF(IF(SelectedScope="All India",TRUE,'RAW_QUIZ'!$B12=SelectedScope),'RAW_QUIZ'!L12,"")</f>
        <v>0</v>
      </c>
      <c r="M13" s="9">
        <f>IF(IF(SelectedScope="All India",TRUE,'RAW_QUIZ'!$B12=SelectedScope),'RAW_QUIZ'!M12,"")</f>
        <v>0</v>
      </c>
      <c r="N13" s="9">
        <f>IF(IF(SelectedScope="All India",TRUE,'RAW_QUIZ'!$B12=SelectedScope),'RAW_QUIZ'!N12,"")</f>
        <v>0</v>
      </c>
      <c r="O13" s="9">
        <f>IF(IF(SelectedScope="All India",TRUE,'RAW_QUIZ'!$B12=SelectedScope),'RAW_QUIZ'!O12,"")</f>
        <v>0</v>
      </c>
      <c r="P13" s="9">
        <f>IF(IF(SelectedScope="All India",TRUE,'RAW_QUIZ'!$B12=SelectedScope),'RAW_QUIZ'!P12,"")</f>
        <v>0</v>
      </c>
      <c r="Q13" s="9">
        <f>IF(IF(SelectedScope="All India",TRUE,'RAW_QUIZ'!$B12=SelectedScope),'RAW_QUIZ'!Q12,"")</f>
        <v>0</v>
      </c>
    </row>
    <row r="14" spans="1:17" ht="15" customHeight="1" x14ac:dyDescent="0.3">
      <c r="A14" s="12">
        <f>IF(IF(SelectedScope="All India",TRUE,'RAW_QUIZ'!$B13=SelectedScope),'RAW_QUIZ'!A13,"")</f>
        <v>10</v>
      </c>
      <c r="B14" s="12" t="str">
        <f>IF(IF(SelectedScope="All India",TRUE,'RAW_QUIZ'!$B13=SelectedScope),'RAW_QUIZ'!B13,"")</f>
        <v>Andaman and Nicobar Islands</v>
      </c>
      <c r="C14" s="12" t="str">
        <f>IF(IF(SelectedScope="All India",TRUE,'RAW_QUIZ'!$B13=SelectedScope),'RAW_QUIZ'!C13,"")</f>
        <v>Mathematics</v>
      </c>
      <c r="D14" s="12" t="str">
        <f>IF(IF(SelectedScope="All India",TRUE,'RAW_QUIZ'!$B13=SelectedScope),'RAW_QUIZ'!D13,"")</f>
        <v>Class 10</v>
      </c>
      <c r="E14" s="12" t="str">
        <f>IF(IF(SelectedScope="All India",TRUE,'RAW_QUIZ'!$B13=SelectedScope),'RAW_QUIZ'!E13,"")</f>
        <v>Quadratic Equations — Unit Quiz</v>
      </c>
      <c r="F14" s="12">
        <f>IF(IF(SelectedScope="All India",TRUE,'RAW_QUIZ'!$B13=SelectedScope),'RAW_QUIZ'!F13,"")</f>
        <v>0</v>
      </c>
      <c r="G14" s="12" t="str">
        <f>IF(IF(SelectedScope="All India",TRUE,'RAW_QUIZ'!$B13=SelectedScope),'RAW_QUIZ'!G13,"")</f>
        <v>Active</v>
      </c>
      <c r="H14" s="12">
        <f>IF(IF(SelectedScope="All India",TRUE,'RAW_QUIZ'!$B13=SelectedScope),'RAW_QUIZ'!H13,"")</f>
        <v>0</v>
      </c>
      <c r="I14" s="12">
        <f>IF(IF(SelectedScope="All India",TRUE,'RAW_QUIZ'!$B13=SelectedScope),'RAW_QUIZ'!I13,"")</f>
        <v>0</v>
      </c>
      <c r="J14" s="12">
        <f>IF(IF(SelectedScope="All India",TRUE,'RAW_QUIZ'!$B13=SelectedScope),'RAW_QUIZ'!J13,"")</f>
        <v>0</v>
      </c>
      <c r="K14" s="12">
        <f>IF(IF(SelectedScope="All India",TRUE,'RAW_QUIZ'!$B13=SelectedScope),'RAW_QUIZ'!K13,"")</f>
        <v>0</v>
      </c>
      <c r="L14" s="12">
        <f>IF(IF(SelectedScope="All India",TRUE,'RAW_QUIZ'!$B13=SelectedScope),'RAW_QUIZ'!L13,"")</f>
        <v>0</v>
      </c>
      <c r="M14" s="12">
        <f>IF(IF(SelectedScope="All India",TRUE,'RAW_QUIZ'!$B13=SelectedScope),'RAW_QUIZ'!M13,"")</f>
        <v>0</v>
      </c>
      <c r="N14" s="12">
        <f>IF(IF(SelectedScope="All India",TRUE,'RAW_QUIZ'!$B13=SelectedScope),'RAW_QUIZ'!N13,"")</f>
        <v>0</v>
      </c>
      <c r="O14" s="12">
        <f>IF(IF(SelectedScope="All India",TRUE,'RAW_QUIZ'!$B13=SelectedScope),'RAW_QUIZ'!O13,"")</f>
        <v>0</v>
      </c>
      <c r="P14" s="12">
        <f>IF(IF(SelectedScope="All India",TRUE,'RAW_QUIZ'!$B13=SelectedScope),'RAW_QUIZ'!P13,"")</f>
        <v>0</v>
      </c>
      <c r="Q14" s="12">
        <f>IF(IF(SelectedScope="All India",TRUE,'RAW_QUIZ'!$B13=SelectedScope),'RAW_QUIZ'!Q13,"")</f>
        <v>0</v>
      </c>
    </row>
    <row r="15" spans="1:17" ht="15" customHeight="1" x14ac:dyDescent="0.3">
      <c r="A15" s="9">
        <f>IF(IF(SelectedScope="All India",TRUE,'RAW_QUIZ'!$B14=SelectedScope),'RAW_QUIZ'!A14,"")</f>
        <v>11</v>
      </c>
      <c r="B15" s="9" t="str">
        <f>IF(IF(SelectedScope="All India",TRUE,'RAW_QUIZ'!$B14=SelectedScope),'RAW_QUIZ'!B14,"")</f>
        <v>Andhra Pradesh</v>
      </c>
      <c r="C15" s="9" t="str">
        <f>IF(IF(SelectedScope="All India",TRUE,'RAW_QUIZ'!$B14=SelectedScope),'RAW_QUIZ'!C14,"")</f>
        <v>Science</v>
      </c>
      <c r="D15" s="9" t="str">
        <f>IF(IF(SelectedScope="All India",TRUE,'RAW_QUIZ'!$B14=SelectedScope),'RAW_QUIZ'!D14,"")</f>
        <v>Class 8</v>
      </c>
      <c r="E15" s="9" t="str">
        <f>IF(IF(SelectedScope="All India",TRUE,'RAW_QUIZ'!$B14=SelectedScope),'RAW_QUIZ'!E14,"")</f>
        <v>Solar System — Unit Quiz</v>
      </c>
      <c r="F15" s="9">
        <f>IF(IF(SelectedScope="All India",TRUE,'RAW_QUIZ'!$B14=SelectedScope),'RAW_QUIZ'!F14,"")</f>
        <v>0</v>
      </c>
      <c r="G15" s="9" t="str">
        <f>IF(IF(SelectedScope="All India",TRUE,'RAW_QUIZ'!$B14=SelectedScope),'RAW_QUIZ'!G14,"")</f>
        <v>Active</v>
      </c>
      <c r="H15" s="9">
        <f>IF(IF(SelectedScope="All India",TRUE,'RAW_QUIZ'!$B14=SelectedScope),'RAW_QUIZ'!H14,"")</f>
        <v>0</v>
      </c>
      <c r="I15" s="9">
        <f>IF(IF(SelectedScope="All India",TRUE,'RAW_QUIZ'!$B14=SelectedScope),'RAW_QUIZ'!I14,"")</f>
        <v>0</v>
      </c>
      <c r="J15" s="9">
        <f>IF(IF(SelectedScope="All India",TRUE,'RAW_QUIZ'!$B14=SelectedScope),'RAW_QUIZ'!J14,"")</f>
        <v>0</v>
      </c>
      <c r="K15" s="9">
        <f>IF(IF(SelectedScope="All India",TRUE,'RAW_QUIZ'!$B14=SelectedScope),'RAW_QUIZ'!K14,"")</f>
        <v>0</v>
      </c>
      <c r="L15" s="9">
        <f>IF(IF(SelectedScope="All India",TRUE,'RAW_QUIZ'!$B14=SelectedScope),'RAW_QUIZ'!L14,"")</f>
        <v>0</v>
      </c>
      <c r="M15" s="9">
        <f>IF(IF(SelectedScope="All India",TRUE,'RAW_QUIZ'!$B14=SelectedScope),'RAW_QUIZ'!M14,"")</f>
        <v>0</v>
      </c>
      <c r="N15" s="9">
        <f>IF(IF(SelectedScope="All India",TRUE,'RAW_QUIZ'!$B14=SelectedScope),'RAW_QUIZ'!N14,"")</f>
        <v>0</v>
      </c>
      <c r="O15" s="9">
        <f>IF(IF(SelectedScope="All India",TRUE,'RAW_QUIZ'!$B14=SelectedScope),'RAW_QUIZ'!O14,"")</f>
        <v>0</v>
      </c>
      <c r="P15" s="9">
        <f>IF(IF(SelectedScope="All India",TRUE,'RAW_QUIZ'!$B14=SelectedScope),'RAW_QUIZ'!P14,"")</f>
        <v>0</v>
      </c>
      <c r="Q15" s="9">
        <f>IF(IF(SelectedScope="All India",TRUE,'RAW_QUIZ'!$B14=SelectedScope),'RAW_QUIZ'!Q14,"")</f>
        <v>0</v>
      </c>
    </row>
    <row r="16" spans="1:17" ht="15" customHeight="1" x14ac:dyDescent="0.3">
      <c r="A16" s="12">
        <f>IF(IF(SelectedScope="All India",TRUE,'RAW_QUIZ'!$B15=SelectedScope),'RAW_QUIZ'!A15,"")</f>
        <v>12</v>
      </c>
      <c r="B16" s="12" t="str">
        <f>IF(IF(SelectedScope="All India",TRUE,'RAW_QUIZ'!$B15=SelectedScope),'RAW_QUIZ'!B15,"")</f>
        <v>Andhra Pradesh</v>
      </c>
      <c r="C16" s="12" t="str">
        <f>IF(IF(SelectedScope="All India",TRUE,'RAW_QUIZ'!$B15=SelectedScope),'RAW_QUIZ'!C15,"")</f>
        <v>Biology</v>
      </c>
      <c r="D16" s="12" t="str">
        <f>IF(IF(SelectedScope="All India",TRUE,'RAW_QUIZ'!$B15=SelectedScope),'RAW_QUIZ'!D15,"")</f>
        <v>Class 9</v>
      </c>
      <c r="E16" s="12" t="str">
        <f>IF(IF(SelectedScope="All India",TRUE,'RAW_QUIZ'!$B15=SelectedScope),'RAW_QUIZ'!E15,"")</f>
        <v>Cell Division — Unit Quiz</v>
      </c>
      <c r="F16" s="12">
        <f>IF(IF(SelectedScope="All India",TRUE,'RAW_QUIZ'!$B15=SelectedScope),'RAW_QUIZ'!F15,"")</f>
        <v>0</v>
      </c>
      <c r="G16" s="12" t="str">
        <f>IF(IF(SelectedScope="All India",TRUE,'RAW_QUIZ'!$B15=SelectedScope),'RAW_QUIZ'!G15,"")</f>
        <v>Active</v>
      </c>
      <c r="H16" s="12">
        <f>IF(IF(SelectedScope="All India",TRUE,'RAW_QUIZ'!$B15=SelectedScope),'RAW_QUIZ'!H15,"")</f>
        <v>0</v>
      </c>
      <c r="I16" s="12">
        <f>IF(IF(SelectedScope="All India",TRUE,'RAW_QUIZ'!$B15=SelectedScope),'RAW_QUIZ'!I15,"")</f>
        <v>0</v>
      </c>
      <c r="J16" s="12">
        <f>IF(IF(SelectedScope="All India",TRUE,'RAW_QUIZ'!$B15=SelectedScope),'RAW_QUIZ'!J15,"")</f>
        <v>0</v>
      </c>
      <c r="K16" s="12">
        <f>IF(IF(SelectedScope="All India",TRUE,'RAW_QUIZ'!$B15=SelectedScope),'RAW_QUIZ'!K15,"")</f>
        <v>0</v>
      </c>
      <c r="L16" s="12">
        <f>IF(IF(SelectedScope="All India",TRUE,'RAW_QUIZ'!$B15=SelectedScope),'RAW_QUIZ'!L15,"")</f>
        <v>0</v>
      </c>
      <c r="M16" s="12">
        <f>IF(IF(SelectedScope="All India",TRUE,'RAW_QUIZ'!$B15=SelectedScope),'RAW_QUIZ'!M15,"")</f>
        <v>0</v>
      </c>
      <c r="N16" s="12">
        <f>IF(IF(SelectedScope="All India",TRUE,'RAW_QUIZ'!$B15=SelectedScope),'RAW_QUIZ'!N15,"")</f>
        <v>0</v>
      </c>
      <c r="O16" s="12">
        <f>IF(IF(SelectedScope="All India",TRUE,'RAW_QUIZ'!$B15=SelectedScope),'RAW_QUIZ'!O15,"")</f>
        <v>0</v>
      </c>
      <c r="P16" s="12">
        <f>IF(IF(SelectedScope="All India",TRUE,'RAW_QUIZ'!$B15=SelectedScope),'RAW_QUIZ'!P15,"")</f>
        <v>0</v>
      </c>
      <c r="Q16" s="12">
        <f>IF(IF(SelectedScope="All India",TRUE,'RAW_QUIZ'!$B15=SelectedScope),'RAW_QUIZ'!Q15,"")</f>
        <v>0</v>
      </c>
    </row>
    <row r="17" spans="1:17" ht="15" customHeight="1" x14ac:dyDescent="0.3">
      <c r="A17" s="9">
        <f>IF(IF(SelectedScope="All India",TRUE,'RAW_QUIZ'!$B16=SelectedScope),'RAW_QUIZ'!A16,"")</f>
        <v>13</v>
      </c>
      <c r="B17" s="9" t="str">
        <f>IF(IF(SelectedScope="All India",TRUE,'RAW_QUIZ'!$B16=SelectedScope),'RAW_QUIZ'!B16,"")</f>
        <v>Andhra Pradesh</v>
      </c>
      <c r="C17" s="9" t="str">
        <f>IF(IF(SelectedScope="All India",TRUE,'RAW_QUIZ'!$B16=SelectedScope),'RAW_QUIZ'!C16,"")</f>
        <v>Chemistry</v>
      </c>
      <c r="D17" s="9" t="str">
        <f>IF(IF(SelectedScope="All India",TRUE,'RAW_QUIZ'!$B16=SelectedScope),'RAW_QUIZ'!D16,"")</f>
        <v>Class 9</v>
      </c>
      <c r="E17" s="9" t="str">
        <f>IF(IF(SelectedScope="All India",TRUE,'RAW_QUIZ'!$B16=SelectedScope),'RAW_QUIZ'!E16,"")</f>
        <v>Atoms and Molecules — Unit Quiz</v>
      </c>
      <c r="F17" s="9">
        <f>IF(IF(SelectedScope="All India",TRUE,'RAW_QUIZ'!$B16=SelectedScope),'RAW_QUIZ'!F16,"")</f>
        <v>0</v>
      </c>
      <c r="G17" s="9" t="str">
        <f>IF(IF(SelectedScope="All India",TRUE,'RAW_QUIZ'!$B16=SelectedScope),'RAW_QUIZ'!G16,"")</f>
        <v>Active</v>
      </c>
      <c r="H17" s="9">
        <f>IF(IF(SelectedScope="All India",TRUE,'RAW_QUIZ'!$B16=SelectedScope),'RAW_QUIZ'!H16,"")</f>
        <v>0</v>
      </c>
      <c r="I17" s="9">
        <f>IF(IF(SelectedScope="All India",TRUE,'RAW_QUIZ'!$B16=SelectedScope),'RAW_QUIZ'!I16,"")</f>
        <v>0</v>
      </c>
      <c r="J17" s="9">
        <f>IF(IF(SelectedScope="All India",TRUE,'RAW_QUIZ'!$B16=SelectedScope),'RAW_QUIZ'!J16,"")</f>
        <v>0</v>
      </c>
      <c r="K17" s="9">
        <f>IF(IF(SelectedScope="All India",TRUE,'RAW_QUIZ'!$B16=SelectedScope),'RAW_QUIZ'!K16,"")</f>
        <v>0</v>
      </c>
      <c r="L17" s="9">
        <f>IF(IF(SelectedScope="All India",TRUE,'RAW_QUIZ'!$B16=SelectedScope),'RAW_QUIZ'!L16,"")</f>
        <v>0</v>
      </c>
      <c r="M17" s="9">
        <f>IF(IF(SelectedScope="All India",TRUE,'RAW_QUIZ'!$B16=SelectedScope),'RAW_QUIZ'!M16,"")</f>
        <v>0</v>
      </c>
      <c r="N17" s="9">
        <f>IF(IF(SelectedScope="All India",TRUE,'RAW_QUIZ'!$B16=SelectedScope),'RAW_QUIZ'!N16,"")</f>
        <v>0</v>
      </c>
      <c r="O17" s="9">
        <f>IF(IF(SelectedScope="All India",TRUE,'RAW_QUIZ'!$B16=SelectedScope),'RAW_QUIZ'!O16,"")</f>
        <v>0</v>
      </c>
      <c r="P17" s="9">
        <f>IF(IF(SelectedScope="All India",TRUE,'RAW_QUIZ'!$B16=SelectedScope),'RAW_QUIZ'!P16,"")</f>
        <v>0</v>
      </c>
      <c r="Q17" s="9">
        <f>IF(IF(SelectedScope="All India",TRUE,'RAW_QUIZ'!$B16=SelectedScope),'RAW_QUIZ'!Q16,"")</f>
        <v>0</v>
      </c>
    </row>
    <row r="18" spans="1:17" ht="15" customHeight="1" x14ac:dyDescent="0.3">
      <c r="A18" s="12">
        <f>IF(IF(SelectedScope="All India",TRUE,'RAW_QUIZ'!$B17=SelectedScope),'RAW_QUIZ'!A17,"")</f>
        <v>14</v>
      </c>
      <c r="B18" s="12" t="str">
        <f>IF(IF(SelectedScope="All India",TRUE,'RAW_QUIZ'!$B17=SelectedScope),'RAW_QUIZ'!B17,"")</f>
        <v>Andhra Pradesh</v>
      </c>
      <c r="C18" s="12" t="str">
        <f>IF(IF(SelectedScope="All India",TRUE,'RAW_QUIZ'!$B17=SelectedScope),'RAW_QUIZ'!C17,"")</f>
        <v>Mathematics</v>
      </c>
      <c r="D18" s="12" t="str">
        <f>IF(IF(SelectedScope="All India",TRUE,'RAW_QUIZ'!$B17=SelectedScope),'RAW_QUIZ'!D17,"")</f>
        <v>Class 7</v>
      </c>
      <c r="E18" s="12" t="str">
        <f>IF(IF(SelectedScope="All India",TRUE,'RAW_QUIZ'!$B17=SelectedScope),'RAW_QUIZ'!E17,"")</f>
        <v>Fractions — Unit Quiz</v>
      </c>
      <c r="F18" s="12">
        <f>IF(IF(SelectedScope="All India",TRUE,'RAW_QUIZ'!$B17=SelectedScope),'RAW_QUIZ'!F17,"")</f>
        <v>0</v>
      </c>
      <c r="G18" s="12" t="str">
        <f>IF(IF(SelectedScope="All India",TRUE,'RAW_QUIZ'!$B17=SelectedScope),'RAW_QUIZ'!G17,"")</f>
        <v>Active</v>
      </c>
      <c r="H18" s="12">
        <f>IF(IF(SelectedScope="All India",TRUE,'RAW_QUIZ'!$B17=SelectedScope),'RAW_QUIZ'!H17,"")</f>
        <v>0</v>
      </c>
      <c r="I18" s="12">
        <f>IF(IF(SelectedScope="All India",TRUE,'RAW_QUIZ'!$B17=SelectedScope),'RAW_QUIZ'!I17,"")</f>
        <v>0</v>
      </c>
      <c r="J18" s="12">
        <f>IF(IF(SelectedScope="All India",TRUE,'RAW_QUIZ'!$B17=SelectedScope),'RAW_QUIZ'!J17,"")</f>
        <v>0</v>
      </c>
      <c r="K18" s="12">
        <f>IF(IF(SelectedScope="All India",TRUE,'RAW_QUIZ'!$B17=SelectedScope),'RAW_QUIZ'!K17,"")</f>
        <v>0</v>
      </c>
      <c r="L18" s="12">
        <f>IF(IF(SelectedScope="All India",TRUE,'RAW_QUIZ'!$B17=SelectedScope),'RAW_QUIZ'!L17,"")</f>
        <v>0</v>
      </c>
      <c r="M18" s="12">
        <f>IF(IF(SelectedScope="All India",TRUE,'RAW_QUIZ'!$B17=SelectedScope),'RAW_QUIZ'!M17,"")</f>
        <v>0</v>
      </c>
      <c r="N18" s="12">
        <f>IF(IF(SelectedScope="All India",TRUE,'RAW_QUIZ'!$B17=SelectedScope),'RAW_QUIZ'!N17,"")</f>
        <v>0</v>
      </c>
      <c r="O18" s="12">
        <f>IF(IF(SelectedScope="All India",TRUE,'RAW_QUIZ'!$B17=SelectedScope),'RAW_QUIZ'!O17,"")</f>
        <v>0</v>
      </c>
      <c r="P18" s="12">
        <f>IF(IF(SelectedScope="All India",TRUE,'RAW_QUIZ'!$B17=SelectedScope),'RAW_QUIZ'!P17,"")</f>
        <v>0</v>
      </c>
      <c r="Q18" s="12">
        <f>IF(IF(SelectedScope="All India",TRUE,'RAW_QUIZ'!$B17=SelectedScope),'RAW_QUIZ'!Q17,"")</f>
        <v>0</v>
      </c>
    </row>
    <row r="19" spans="1:17" ht="15" customHeight="1" x14ac:dyDescent="0.3">
      <c r="A19" s="9">
        <f>IF(IF(SelectedScope="All India",TRUE,'RAW_QUIZ'!$B18=SelectedScope),'RAW_QUIZ'!A18,"")</f>
        <v>15</v>
      </c>
      <c r="B19" s="9" t="str">
        <f>IF(IF(SelectedScope="All India",TRUE,'RAW_QUIZ'!$B18=SelectedScope),'RAW_QUIZ'!B18,"")</f>
        <v>Andhra Pradesh</v>
      </c>
      <c r="C19" s="9" t="str">
        <f>IF(IF(SelectedScope="All India",TRUE,'RAW_QUIZ'!$B18=SelectedScope),'RAW_QUIZ'!C18,"")</f>
        <v>Mathematics</v>
      </c>
      <c r="D19" s="9" t="str">
        <f>IF(IF(SelectedScope="All India",TRUE,'RAW_QUIZ'!$B18=SelectedScope),'RAW_QUIZ'!D18,"")</f>
        <v>Class 10</v>
      </c>
      <c r="E19" s="9" t="str">
        <f>IF(IF(SelectedScope="All India",TRUE,'RAW_QUIZ'!$B18=SelectedScope),'RAW_QUIZ'!E18,"")</f>
        <v>Trigonometry — Unit Quiz</v>
      </c>
      <c r="F19" s="9">
        <f>IF(IF(SelectedScope="All India",TRUE,'RAW_QUIZ'!$B18=SelectedScope),'RAW_QUIZ'!F18,"")</f>
        <v>0</v>
      </c>
      <c r="G19" s="9" t="str">
        <f>IF(IF(SelectedScope="All India",TRUE,'RAW_QUIZ'!$B18=SelectedScope),'RAW_QUIZ'!G18,"")</f>
        <v>Active</v>
      </c>
      <c r="H19" s="9">
        <f>IF(IF(SelectedScope="All India",TRUE,'RAW_QUIZ'!$B18=SelectedScope),'RAW_QUIZ'!H18,"")</f>
        <v>0</v>
      </c>
      <c r="I19" s="9">
        <f>IF(IF(SelectedScope="All India",TRUE,'RAW_QUIZ'!$B18=SelectedScope),'RAW_QUIZ'!I18,"")</f>
        <v>0</v>
      </c>
      <c r="J19" s="9">
        <f>IF(IF(SelectedScope="All India",TRUE,'RAW_QUIZ'!$B18=SelectedScope),'RAW_QUIZ'!J18,"")</f>
        <v>0</v>
      </c>
      <c r="K19" s="9">
        <f>IF(IF(SelectedScope="All India",TRUE,'RAW_QUIZ'!$B18=SelectedScope),'RAW_QUIZ'!K18,"")</f>
        <v>0</v>
      </c>
      <c r="L19" s="9">
        <f>IF(IF(SelectedScope="All India",TRUE,'RAW_QUIZ'!$B18=SelectedScope),'RAW_QUIZ'!L18,"")</f>
        <v>0</v>
      </c>
      <c r="M19" s="9">
        <f>IF(IF(SelectedScope="All India",TRUE,'RAW_QUIZ'!$B18=SelectedScope),'RAW_QUIZ'!M18,"")</f>
        <v>0</v>
      </c>
      <c r="N19" s="9">
        <f>IF(IF(SelectedScope="All India",TRUE,'RAW_QUIZ'!$B18=SelectedScope),'RAW_QUIZ'!N18,"")</f>
        <v>0</v>
      </c>
      <c r="O19" s="9">
        <f>IF(IF(SelectedScope="All India",TRUE,'RAW_QUIZ'!$B18=SelectedScope),'RAW_QUIZ'!O18,"")</f>
        <v>0</v>
      </c>
      <c r="P19" s="9">
        <f>IF(IF(SelectedScope="All India",TRUE,'RAW_QUIZ'!$B18=SelectedScope),'RAW_QUIZ'!P18,"")</f>
        <v>0</v>
      </c>
      <c r="Q19" s="9">
        <f>IF(IF(SelectedScope="All India",TRUE,'RAW_QUIZ'!$B18=SelectedScope),'RAW_QUIZ'!Q18,"")</f>
        <v>0</v>
      </c>
    </row>
    <row r="20" spans="1:17" ht="15" customHeight="1" x14ac:dyDescent="0.3">
      <c r="A20" s="12">
        <f>IF(IF(SelectedScope="All India",TRUE,'RAW_QUIZ'!$B19=SelectedScope),'RAW_QUIZ'!A19,"")</f>
        <v>16</v>
      </c>
      <c r="B20" s="12" t="str">
        <f>IF(IF(SelectedScope="All India",TRUE,'RAW_QUIZ'!$B19=SelectedScope),'RAW_QUIZ'!B19,"")</f>
        <v>Andhra Pradesh</v>
      </c>
      <c r="C20" s="12" t="str">
        <f>IF(IF(SelectedScope="All India",TRUE,'RAW_QUIZ'!$B19=SelectedScope),'RAW_QUIZ'!C19,"")</f>
        <v>History</v>
      </c>
      <c r="D20" s="12" t="str">
        <f>IF(IF(SelectedScope="All India",TRUE,'RAW_QUIZ'!$B19=SelectedScope),'RAW_QUIZ'!D19,"")</f>
        <v>Class 10</v>
      </c>
      <c r="E20" s="12" t="str">
        <f>IF(IF(SelectedScope="All India",TRUE,'RAW_QUIZ'!$B19=SelectedScope),'RAW_QUIZ'!E19,"")</f>
        <v>Mughal Empire — Unit Quiz</v>
      </c>
      <c r="F20" s="12">
        <f>IF(IF(SelectedScope="All India",TRUE,'RAW_QUIZ'!$B19=SelectedScope),'RAW_QUIZ'!F19,"")</f>
        <v>0</v>
      </c>
      <c r="G20" s="12" t="str">
        <f>IF(IF(SelectedScope="All India",TRUE,'RAW_QUIZ'!$B19=SelectedScope),'RAW_QUIZ'!G19,"")</f>
        <v>Active</v>
      </c>
      <c r="H20" s="12">
        <f>IF(IF(SelectedScope="All India",TRUE,'RAW_QUIZ'!$B19=SelectedScope),'RAW_QUIZ'!H19,"")</f>
        <v>0</v>
      </c>
      <c r="I20" s="12">
        <f>IF(IF(SelectedScope="All India",TRUE,'RAW_QUIZ'!$B19=SelectedScope),'RAW_QUIZ'!I19,"")</f>
        <v>0</v>
      </c>
      <c r="J20" s="12">
        <f>IF(IF(SelectedScope="All India",TRUE,'RAW_QUIZ'!$B19=SelectedScope),'RAW_QUIZ'!J19,"")</f>
        <v>0</v>
      </c>
      <c r="K20" s="12">
        <f>IF(IF(SelectedScope="All India",TRUE,'RAW_QUIZ'!$B19=SelectedScope),'RAW_QUIZ'!K19,"")</f>
        <v>0</v>
      </c>
      <c r="L20" s="12">
        <f>IF(IF(SelectedScope="All India",TRUE,'RAW_QUIZ'!$B19=SelectedScope),'RAW_QUIZ'!L19,"")</f>
        <v>0</v>
      </c>
      <c r="M20" s="12">
        <f>IF(IF(SelectedScope="All India",TRUE,'RAW_QUIZ'!$B19=SelectedScope),'RAW_QUIZ'!M19,"")</f>
        <v>0</v>
      </c>
      <c r="N20" s="12">
        <f>IF(IF(SelectedScope="All India",TRUE,'RAW_QUIZ'!$B19=SelectedScope),'RAW_QUIZ'!N19,"")</f>
        <v>0</v>
      </c>
      <c r="O20" s="12">
        <f>IF(IF(SelectedScope="All India",TRUE,'RAW_QUIZ'!$B19=SelectedScope),'RAW_QUIZ'!O19,"")</f>
        <v>0</v>
      </c>
      <c r="P20" s="12">
        <f>IF(IF(SelectedScope="All India",TRUE,'RAW_QUIZ'!$B19=SelectedScope),'RAW_QUIZ'!P19,"")</f>
        <v>0</v>
      </c>
      <c r="Q20" s="12">
        <f>IF(IF(SelectedScope="All India",TRUE,'RAW_QUIZ'!$B19=SelectedScope),'RAW_QUIZ'!Q19,"")</f>
        <v>0</v>
      </c>
    </row>
    <row r="21" spans="1:17" ht="15" customHeight="1" x14ac:dyDescent="0.3">
      <c r="A21" s="9">
        <f>IF(IF(SelectedScope="All India",TRUE,'RAW_QUIZ'!$B20=SelectedScope),'RAW_QUIZ'!A20,"")</f>
        <v>17</v>
      </c>
      <c r="B21" s="9" t="str">
        <f>IF(IF(SelectedScope="All India",TRUE,'RAW_QUIZ'!$B20=SelectedScope),'RAW_QUIZ'!B20,"")</f>
        <v>Andhra Pradesh</v>
      </c>
      <c r="C21" s="9" t="str">
        <f>IF(IF(SelectedScope="All India",TRUE,'RAW_QUIZ'!$B20=SelectedScope),'RAW_QUIZ'!C20,"")</f>
        <v>Physics</v>
      </c>
      <c r="D21" s="9" t="str">
        <f>IF(IF(SelectedScope="All India",TRUE,'RAW_QUIZ'!$B20=SelectedScope),'RAW_QUIZ'!D20,"")</f>
        <v>Class 9</v>
      </c>
      <c r="E21" s="9" t="str">
        <f>IF(IF(SelectedScope="All India",TRUE,'RAW_QUIZ'!$B20=SelectedScope),'RAW_QUIZ'!E20,"")</f>
        <v>Laws of Motion — Unit Quiz</v>
      </c>
      <c r="F21" s="9">
        <f>IF(IF(SelectedScope="All India",TRUE,'RAW_QUIZ'!$B20=SelectedScope),'RAW_QUIZ'!F20,"")</f>
        <v>0</v>
      </c>
      <c r="G21" s="9" t="str">
        <f>IF(IF(SelectedScope="All India",TRUE,'RAW_QUIZ'!$B20=SelectedScope),'RAW_QUIZ'!G20,"")</f>
        <v>Active</v>
      </c>
      <c r="H21" s="9">
        <f>IF(IF(SelectedScope="All India",TRUE,'RAW_QUIZ'!$B20=SelectedScope),'RAW_QUIZ'!H20,"")</f>
        <v>0</v>
      </c>
      <c r="I21" s="9">
        <f>IF(IF(SelectedScope="All India",TRUE,'RAW_QUIZ'!$B20=SelectedScope),'RAW_QUIZ'!I20,"")</f>
        <v>0</v>
      </c>
      <c r="J21" s="9">
        <f>IF(IF(SelectedScope="All India",TRUE,'RAW_QUIZ'!$B20=SelectedScope),'RAW_QUIZ'!J20,"")</f>
        <v>0</v>
      </c>
      <c r="K21" s="9">
        <f>IF(IF(SelectedScope="All India",TRUE,'RAW_QUIZ'!$B20=SelectedScope),'RAW_QUIZ'!K20,"")</f>
        <v>0</v>
      </c>
      <c r="L21" s="9">
        <f>IF(IF(SelectedScope="All India",TRUE,'RAW_QUIZ'!$B20=SelectedScope),'RAW_QUIZ'!L20,"")</f>
        <v>0</v>
      </c>
      <c r="M21" s="9">
        <f>IF(IF(SelectedScope="All India",TRUE,'RAW_QUIZ'!$B20=SelectedScope),'RAW_QUIZ'!M20,"")</f>
        <v>0</v>
      </c>
      <c r="N21" s="9">
        <f>IF(IF(SelectedScope="All India",TRUE,'RAW_QUIZ'!$B20=SelectedScope),'RAW_QUIZ'!N20,"")</f>
        <v>0</v>
      </c>
      <c r="O21" s="9">
        <f>IF(IF(SelectedScope="All India",TRUE,'RAW_QUIZ'!$B20=SelectedScope),'RAW_QUIZ'!O20,"")</f>
        <v>0</v>
      </c>
      <c r="P21" s="9">
        <f>IF(IF(SelectedScope="All India",TRUE,'RAW_QUIZ'!$B20=SelectedScope),'RAW_QUIZ'!P20,"")</f>
        <v>0</v>
      </c>
      <c r="Q21" s="9">
        <f>IF(IF(SelectedScope="All India",TRUE,'RAW_QUIZ'!$B20=SelectedScope),'RAW_QUIZ'!Q20,"")</f>
        <v>0</v>
      </c>
    </row>
    <row r="22" spans="1:17" ht="15" customHeight="1" x14ac:dyDescent="0.3">
      <c r="A22" s="12">
        <f>IF(IF(SelectedScope="All India",TRUE,'RAW_QUIZ'!$B21=SelectedScope),'RAW_QUIZ'!A21,"")</f>
        <v>18</v>
      </c>
      <c r="B22" s="12" t="str">
        <f>IF(IF(SelectedScope="All India",TRUE,'RAW_QUIZ'!$B21=SelectedScope),'RAW_QUIZ'!B21,"")</f>
        <v>Andhra Pradesh</v>
      </c>
      <c r="C22" s="12" t="str">
        <f>IF(IF(SelectedScope="All India",TRUE,'RAW_QUIZ'!$B21=SelectedScope),'RAW_QUIZ'!C21,"")</f>
        <v>Physics</v>
      </c>
      <c r="D22" s="12" t="str">
        <f>IF(IF(SelectedScope="All India",TRUE,'RAW_QUIZ'!$B21=SelectedScope),'RAW_QUIZ'!D21,"")</f>
        <v>Class 10</v>
      </c>
      <c r="E22" s="12" t="str">
        <f>IF(IF(SelectedScope="All India",TRUE,'RAW_QUIZ'!$B21=SelectedScope),'RAW_QUIZ'!E21,"")</f>
        <v>Electricity — Unit Quiz</v>
      </c>
      <c r="F22" s="12">
        <f>IF(IF(SelectedScope="All India",TRUE,'RAW_QUIZ'!$B21=SelectedScope),'RAW_QUIZ'!F21,"")</f>
        <v>0</v>
      </c>
      <c r="G22" s="12" t="str">
        <f>IF(IF(SelectedScope="All India",TRUE,'RAW_QUIZ'!$B21=SelectedScope),'RAW_QUIZ'!G21,"")</f>
        <v>Active</v>
      </c>
      <c r="H22" s="12">
        <f>IF(IF(SelectedScope="All India",TRUE,'RAW_QUIZ'!$B21=SelectedScope),'RAW_QUIZ'!H21,"")</f>
        <v>0</v>
      </c>
      <c r="I22" s="12">
        <f>IF(IF(SelectedScope="All India",TRUE,'RAW_QUIZ'!$B21=SelectedScope),'RAW_QUIZ'!I21,"")</f>
        <v>0</v>
      </c>
      <c r="J22" s="12">
        <f>IF(IF(SelectedScope="All India",TRUE,'RAW_QUIZ'!$B21=SelectedScope),'RAW_QUIZ'!J21,"")</f>
        <v>0</v>
      </c>
      <c r="K22" s="12">
        <f>IF(IF(SelectedScope="All India",TRUE,'RAW_QUIZ'!$B21=SelectedScope),'RAW_QUIZ'!K21,"")</f>
        <v>0</v>
      </c>
      <c r="L22" s="12">
        <f>IF(IF(SelectedScope="All India",TRUE,'RAW_QUIZ'!$B21=SelectedScope),'RAW_QUIZ'!L21,"")</f>
        <v>0</v>
      </c>
      <c r="M22" s="12">
        <f>IF(IF(SelectedScope="All India",TRUE,'RAW_QUIZ'!$B21=SelectedScope),'RAW_QUIZ'!M21,"")</f>
        <v>0</v>
      </c>
      <c r="N22" s="12">
        <f>IF(IF(SelectedScope="All India",TRUE,'RAW_QUIZ'!$B21=SelectedScope),'RAW_QUIZ'!N21,"")</f>
        <v>0</v>
      </c>
      <c r="O22" s="12">
        <f>IF(IF(SelectedScope="All India",TRUE,'RAW_QUIZ'!$B21=SelectedScope),'RAW_QUIZ'!O21,"")</f>
        <v>0</v>
      </c>
      <c r="P22" s="12">
        <f>IF(IF(SelectedScope="All India",TRUE,'RAW_QUIZ'!$B21=SelectedScope),'RAW_QUIZ'!P21,"")</f>
        <v>0</v>
      </c>
      <c r="Q22" s="12">
        <f>IF(IF(SelectedScope="All India",TRUE,'RAW_QUIZ'!$B21=SelectedScope),'RAW_QUIZ'!Q21,"")</f>
        <v>0</v>
      </c>
    </row>
    <row r="23" spans="1:17" ht="15" customHeight="1" x14ac:dyDescent="0.3">
      <c r="A23" s="9">
        <f>IF(IF(SelectedScope="All India",TRUE,'RAW_QUIZ'!$B22=SelectedScope),'RAW_QUIZ'!A22,"")</f>
        <v>19</v>
      </c>
      <c r="B23" s="9" t="str">
        <f>IF(IF(SelectedScope="All India",TRUE,'RAW_QUIZ'!$B22=SelectedScope),'RAW_QUIZ'!B22,"")</f>
        <v>Andhra Pradesh</v>
      </c>
      <c r="C23" s="9" t="str">
        <f>IF(IF(SelectedScope="All India",TRUE,'RAW_QUIZ'!$B22=SelectedScope),'RAW_QUIZ'!C22,"")</f>
        <v>Civics</v>
      </c>
      <c r="D23" s="9" t="str">
        <f>IF(IF(SelectedScope="All India",TRUE,'RAW_QUIZ'!$B22=SelectedScope),'RAW_QUIZ'!D22,"")</f>
        <v>Class 9</v>
      </c>
      <c r="E23" s="9" t="str">
        <f>IF(IF(SelectedScope="All India",TRUE,'RAW_QUIZ'!$B22=SelectedScope),'RAW_QUIZ'!E22,"")</f>
        <v>Indian Constitution — Unit Quiz</v>
      </c>
      <c r="F23" s="9">
        <f>IF(IF(SelectedScope="All India",TRUE,'RAW_QUIZ'!$B22=SelectedScope),'RAW_QUIZ'!F22,"")</f>
        <v>0</v>
      </c>
      <c r="G23" s="9" t="str">
        <f>IF(IF(SelectedScope="All India",TRUE,'RAW_QUIZ'!$B22=SelectedScope),'RAW_QUIZ'!G22,"")</f>
        <v>Active</v>
      </c>
      <c r="H23" s="9">
        <f>IF(IF(SelectedScope="All India",TRUE,'RAW_QUIZ'!$B22=SelectedScope),'RAW_QUIZ'!H22,"")</f>
        <v>0</v>
      </c>
      <c r="I23" s="9">
        <f>IF(IF(SelectedScope="All India",TRUE,'RAW_QUIZ'!$B22=SelectedScope),'RAW_QUIZ'!I22,"")</f>
        <v>0</v>
      </c>
      <c r="J23" s="9">
        <f>IF(IF(SelectedScope="All India",TRUE,'RAW_QUIZ'!$B22=SelectedScope),'RAW_QUIZ'!J22,"")</f>
        <v>0</v>
      </c>
      <c r="K23" s="9">
        <f>IF(IF(SelectedScope="All India",TRUE,'RAW_QUIZ'!$B22=SelectedScope),'RAW_QUIZ'!K22,"")</f>
        <v>0</v>
      </c>
      <c r="L23" s="9">
        <f>IF(IF(SelectedScope="All India",TRUE,'RAW_QUIZ'!$B22=SelectedScope),'RAW_QUIZ'!L22,"")</f>
        <v>0</v>
      </c>
      <c r="M23" s="9">
        <f>IF(IF(SelectedScope="All India",TRUE,'RAW_QUIZ'!$B22=SelectedScope),'RAW_QUIZ'!M22,"")</f>
        <v>0</v>
      </c>
      <c r="N23" s="9">
        <f>IF(IF(SelectedScope="All India",TRUE,'RAW_QUIZ'!$B22=SelectedScope),'RAW_QUIZ'!N22,"")</f>
        <v>0</v>
      </c>
      <c r="O23" s="9">
        <f>IF(IF(SelectedScope="All India",TRUE,'RAW_QUIZ'!$B22=SelectedScope),'RAW_QUIZ'!O22,"")</f>
        <v>0</v>
      </c>
      <c r="P23" s="9">
        <f>IF(IF(SelectedScope="All India",TRUE,'RAW_QUIZ'!$B22=SelectedScope),'RAW_QUIZ'!P22,"")</f>
        <v>0</v>
      </c>
      <c r="Q23" s="9">
        <f>IF(IF(SelectedScope="All India",TRUE,'RAW_QUIZ'!$B22=SelectedScope),'RAW_QUIZ'!Q22,"")</f>
        <v>0</v>
      </c>
    </row>
    <row r="24" spans="1:17" ht="15" customHeight="1" x14ac:dyDescent="0.3">
      <c r="A24" s="12">
        <f>IF(IF(SelectedScope="All India",TRUE,'RAW_QUIZ'!$B23=SelectedScope),'RAW_QUIZ'!A23,"")</f>
        <v>20</v>
      </c>
      <c r="B24" s="12" t="str">
        <f>IF(IF(SelectedScope="All India",TRUE,'RAW_QUIZ'!$B23=SelectedScope),'RAW_QUIZ'!B23,"")</f>
        <v>Andhra Pradesh</v>
      </c>
      <c r="C24" s="12" t="str">
        <f>IF(IF(SelectedScope="All India",TRUE,'RAW_QUIZ'!$B23=SelectedScope),'RAW_QUIZ'!C23,"")</f>
        <v>Mathematics</v>
      </c>
      <c r="D24" s="12" t="str">
        <f>IF(IF(SelectedScope="All India",TRUE,'RAW_QUIZ'!$B23=SelectedScope),'RAW_QUIZ'!D23,"")</f>
        <v>Class 10</v>
      </c>
      <c r="E24" s="12" t="str">
        <f>IF(IF(SelectedScope="All India",TRUE,'RAW_QUIZ'!$B23=SelectedScope),'RAW_QUIZ'!E23,"")</f>
        <v>Quadratic Equations — Unit Quiz</v>
      </c>
      <c r="F24" s="12">
        <f>IF(IF(SelectedScope="All India",TRUE,'RAW_QUIZ'!$B23=SelectedScope),'RAW_QUIZ'!F23,"")</f>
        <v>0</v>
      </c>
      <c r="G24" s="12" t="str">
        <f>IF(IF(SelectedScope="All India",TRUE,'RAW_QUIZ'!$B23=SelectedScope),'RAW_QUIZ'!G23,"")</f>
        <v>Active</v>
      </c>
      <c r="H24" s="12">
        <f>IF(IF(SelectedScope="All India",TRUE,'RAW_QUIZ'!$B23=SelectedScope),'RAW_QUIZ'!H23,"")</f>
        <v>0</v>
      </c>
      <c r="I24" s="12">
        <f>IF(IF(SelectedScope="All India",TRUE,'RAW_QUIZ'!$B23=SelectedScope),'RAW_QUIZ'!I23,"")</f>
        <v>0</v>
      </c>
      <c r="J24" s="12">
        <f>IF(IF(SelectedScope="All India",TRUE,'RAW_QUIZ'!$B23=SelectedScope),'RAW_QUIZ'!J23,"")</f>
        <v>0</v>
      </c>
      <c r="K24" s="12">
        <f>IF(IF(SelectedScope="All India",TRUE,'RAW_QUIZ'!$B23=SelectedScope),'RAW_QUIZ'!K23,"")</f>
        <v>0</v>
      </c>
      <c r="L24" s="12">
        <f>IF(IF(SelectedScope="All India",TRUE,'RAW_QUIZ'!$B23=SelectedScope),'RAW_QUIZ'!L23,"")</f>
        <v>0</v>
      </c>
      <c r="M24" s="12">
        <f>IF(IF(SelectedScope="All India",TRUE,'RAW_QUIZ'!$B23=SelectedScope),'RAW_QUIZ'!M23,"")</f>
        <v>0</v>
      </c>
      <c r="N24" s="12">
        <f>IF(IF(SelectedScope="All India",TRUE,'RAW_QUIZ'!$B23=SelectedScope),'RAW_QUIZ'!N23,"")</f>
        <v>0</v>
      </c>
      <c r="O24" s="12">
        <f>IF(IF(SelectedScope="All India",TRUE,'RAW_QUIZ'!$B23=SelectedScope),'RAW_QUIZ'!O23,"")</f>
        <v>0</v>
      </c>
      <c r="P24" s="12">
        <f>IF(IF(SelectedScope="All India",TRUE,'RAW_QUIZ'!$B23=SelectedScope),'RAW_QUIZ'!P23,"")</f>
        <v>0</v>
      </c>
      <c r="Q24" s="12">
        <f>IF(IF(SelectedScope="All India",TRUE,'RAW_QUIZ'!$B23=SelectedScope),'RAW_QUIZ'!Q23,"")</f>
        <v>0</v>
      </c>
    </row>
    <row r="25" spans="1:17" ht="15" customHeight="1" x14ac:dyDescent="0.3">
      <c r="A25" s="9">
        <f>IF(IF(SelectedScope="All India",TRUE,'RAW_QUIZ'!$B24=SelectedScope),'RAW_QUIZ'!A24,"")</f>
        <v>21</v>
      </c>
      <c r="B25" s="9" t="str">
        <f>IF(IF(SelectedScope="All India",TRUE,'RAW_QUIZ'!$B24=SelectedScope),'RAW_QUIZ'!B24,"")</f>
        <v>Arunachal Pradesh</v>
      </c>
      <c r="C25" s="9" t="str">
        <f>IF(IF(SelectedScope="All India",TRUE,'RAW_QUIZ'!$B24=SelectedScope),'RAW_QUIZ'!C24,"")</f>
        <v>Science</v>
      </c>
      <c r="D25" s="9" t="str">
        <f>IF(IF(SelectedScope="All India",TRUE,'RAW_QUIZ'!$B24=SelectedScope),'RAW_QUIZ'!D24,"")</f>
        <v>Class 8</v>
      </c>
      <c r="E25" s="9" t="str">
        <f>IF(IF(SelectedScope="All India",TRUE,'RAW_QUIZ'!$B24=SelectedScope),'RAW_QUIZ'!E24,"")</f>
        <v>Solar System — Unit Quiz</v>
      </c>
      <c r="F25" s="9">
        <f>IF(IF(SelectedScope="All India",TRUE,'RAW_QUIZ'!$B24=SelectedScope),'RAW_QUIZ'!F24,"")</f>
        <v>0</v>
      </c>
      <c r="G25" s="9" t="str">
        <f>IF(IF(SelectedScope="All India",TRUE,'RAW_QUIZ'!$B24=SelectedScope),'RAW_QUIZ'!G24,"")</f>
        <v>Active</v>
      </c>
      <c r="H25" s="9">
        <f>IF(IF(SelectedScope="All India",TRUE,'RAW_QUIZ'!$B24=SelectedScope),'RAW_QUIZ'!H24,"")</f>
        <v>0</v>
      </c>
      <c r="I25" s="9">
        <f>IF(IF(SelectedScope="All India",TRUE,'RAW_QUIZ'!$B24=SelectedScope),'RAW_QUIZ'!I24,"")</f>
        <v>0</v>
      </c>
      <c r="J25" s="9">
        <f>IF(IF(SelectedScope="All India",TRUE,'RAW_QUIZ'!$B24=SelectedScope),'RAW_QUIZ'!J24,"")</f>
        <v>0</v>
      </c>
      <c r="K25" s="9">
        <f>IF(IF(SelectedScope="All India",TRUE,'RAW_QUIZ'!$B24=SelectedScope),'RAW_QUIZ'!K24,"")</f>
        <v>0</v>
      </c>
      <c r="L25" s="9">
        <f>IF(IF(SelectedScope="All India",TRUE,'RAW_QUIZ'!$B24=SelectedScope),'RAW_QUIZ'!L24,"")</f>
        <v>0</v>
      </c>
      <c r="M25" s="9">
        <f>IF(IF(SelectedScope="All India",TRUE,'RAW_QUIZ'!$B24=SelectedScope),'RAW_QUIZ'!M24,"")</f>
        <v>0</v>
      </c>
      <c r="N25" s="9">
        <f>IF(IF(SelectedScope="All India",TRUE,'RAW_QUIZ'!$B24=SelectedScope),'RAW_QUIZ'!N24,"")</f>
        <v>0</v>
      </c>
      <c r="O25" s="9">
        <f>IF(IF(SelectedScope="All India",TRUE,'RAW_QUIZ'!$B24=SelectedScope),'RAW_QUIZ'!O24,"")</f>
        <v>0</v>
      </c>
      <c r="P25" s="9">
        <f>IF(IF(SelectedScope="All India",TRUE,'RAW_QUIZ'!$B24=SelectedScope),'RAW_QUIZ'!P24,"")</f>
        <v>0</v>
      </c>
      <c r="Q25" s="9">
        <f>IF(IF(SelectedScope="All India",TRUE,'RAW_QUIZ'!$B24=SelectedScope),'RAW_QUIZ'!Q24,"")</f>
        <v>0</v>
      </c>
    </row>
    <row r="26" spans="1:17" ht="15" customHeight="1" x14ac:dyDescent="0.3">
      <c r="A26" s="12">
        <f>IF(IF(SelectedScope="All India",TRUE,'RAW_QUIZ'!$B25=SelectedScope),'RAW_QUIZ'!A25,"")</f>
        <v>22</v>
      </c>
      <c r="B26" s="12" t="str">
        <f>IF(IF(SelectedScope="All India",TRUE,'RAW_QUIZ'!$B25=SelectedScope),'RAW_QUIZ'!B25,"")</f>
        <v>Arunachal Pradesh</v>
      </c>
      <c r="C26" s="12" t="str">
        <f>IF(IF(SelectedScope="All India",TRUE,'RAW_QUIZ'!$B25=SelectedScope),'RAW_QUIZ'!C25,"")</f>
        <v>Biology</v>
      </c>
      <c r="D26" s="12" t="str">
        <f>IF(IF(SelectedScope="All India",TRUE,'RAW_QUIZ'!$B25=SelectedScope),'RAW_QUIZ'!D25,"")</f>
        <v>Class 9</v>
      </c>
      <c r="E26" s="12" t="str">
        <f>IF(IF(SelectedScope="All India",TRUE,'RAW_QUIZ'!$B25=SelectedScope),'RAW_QUIZ'!E25,"")</f>
        <v>Cell Division — Unit Quiz</v>
      </c>
      <c r="F26" s="12">
        <f>IF(IF(SelectedScope="All India",TRUE,'RAW_QUIZ'!$B25=SelectedScope),'RAW_QUIZ'!F25,"")</f>
        <v>0</v>
      </c>
      <c r="G26" s="12" t="str">
        <f>IF(IF(SelectedScope="All India",TRUE,'RAW_QUIZ'!$B25=SelectedScope),'RAW_QUIZ'!G25,"")</f>
        <v>Active</v>
      </c>
      <c r="H26" s="12">
        <f>IF(IF(SelectedScope="All India",TRUE,'RAW_QUIZ'!$B25=SelectedScope),'RAW_QUIZ'!H25,"")</f>
        <v>0</v>
      </c>
      <c r="I26" s="12">
        <f>IF(IF(SelectedScope="All India",TRUE,'RAW_QUIZ'!$B25=SelectedScope),'RAW_QUIZ'!I25,"")</f>
        <v>0</v>
      </c>
      <c r="J26" s="12">
        <f>IF(IF(SelectedScope="All India",TRUE,'RAW_QUIZ'!$B25=SelectedScope),'RAW_QUIZ'!J25,"")</f>
        <v>0</v>
      </c>
      <c r="K26" s="12">
        <f>IF(IF(SelectedScope="All India",TRUE,'RAW_QUIZ'!$B25=SelectedScope),'RAW_QUIZ'!K25,"")</f>
        <v>0</v>
      </c>
      <c r="L26" s="12">
        <f>IF(IF(SelectedScope="All India",TRUE,'RAW_QUIZ'!$B25=SelectedScope),'RAW_QUIZ'!L25,"")</f>
        <v>0</v>
      </c>
      <c r="M26" s="12">
        <f>IF(IF(SelectedScope="All India",TRUE,'RAW_QUIZ'!$B25=SelectedScope),'RAW_QUIZ'!M25,"")</f>
        <v>0</v>
      </c>
      <c r="N26" s="12">
        <f>IF(IF(SelectedScope="All India",TRUE,'RAW_QUIZ'!$B25=SelectedScope),'RAW_QUIZ'!N25,"")</f>
        <v>0</v>
      </c>
      <c r="O26" s="12">
        <f>IF(IF(SelectedScope="All India",TRUE,'RAW_QUIZ'!$B25=SelectedScope),'RAW_QUIZ'!O25,"")</f>
        <v>0</v>
      </c>
      <c r="P26" s="12">
        <f>IF(IF(SelectedScope="All India",TRUE,'RAW_QUIZ'!$B25=SelectedScope),'RAW_QUIZ'!P25,"")</f>
        <v>0</v>
      </c>
      <c r="Q26" s="12">
        <f>IF(IF(SelectedScope="All India",TRUE,'RAW_QUIZ'!$B25=SelectedScope),'RAW_QUIZ'!Q25,"")</f>
        <v>0</v>
      </c>
    </row>
    <row r="27" spans="1:17" ht="15" customHeight="1" x14ac:dyDescent="0.3">
      <c r="A27" s="9">
        <f>IF(IF(SelectedScope="All India",TRUE,'RAW_QUIZ'!$B26=SelectedScope),'RAW_QUIZ'!A26,"")</f>
        <v>23</v>
      </c>
      <c r="B27" s="9" t="str">
        <f>IF(IF(SelectedScope="All India",TRUE,'RAW_QUIZ'!$B26=SelectedScope),'RAW_QUIZ'!B26,"")</f>
        <v>Arunachal Pradesh</v>
      </c>
      <c r="C27" s="9" t="str">
        <f>IF(IF(SelectedScope="All India",TRUE,'RAW_QUIZ'!$B26=SelectedScope),'RAW_QUIZ'!C26,"")</f>
        <v>Chemistry</v>
      </c>
      <c r="D27" s="9" t="str">
        <f>IF(IF(SelectedScope="All India",TRUE,'RAW_QUIZ'!$B26=SelectedScope),'RAW_QUIZ'!D26,"")</f>
        <v>Class 9</v>
      </c>
      <c r="E27" s="9" t="str">
        <f>IF(IF(SelectedScope="All India",TRUE,'RAW_QUIZ'!$B26=SelectedScope),'RAW_QUIZ'!E26,"")</f>
        <v>Atoms and Molecules — Unit Quiz</v>
      </c>
      <c r="F27" s="9">
        <f>IF(IF(SelectedScope="All India",TRUE,'RAW_QUIZ'!$B26=SelectedScope),'RAW_QUIZ'!F26,"")</f>
        <v>0</v>
      </c>
      <c r="G27" s="9" t="str">
        <f>IF(IF(SelectedScope="All India",TRUE,'RAW_QUIZ'!$B26=SelectedScope),'RAW_QUIZ'!G26,"")</f>
        <v>Active</v>
      </c>
      <c r="H27" s="9">
        <f>IF(IF(SelectedScope="All India",TRUE,'RAW_QUIZ'!$B26=SelectedScope),'RAW_QUIZ'!H26,"")</f>
        <v>0</v>
      </c>
      <c r="I27" s="9">
        <f>IF(IF(SelectedScope="All India",TRUE,'RAW_QUIZ'!$B26=SelectedScope),'RAW_QUIZ'!I26,"")</f>
        <v>0</v>
      </c>
      <c r="J27" s="9">
        <f>IF(IF(SelectedScope="All India",TRUE,'RAW_QUIZ'!$B26=SelectedScope),'RAW_QUIZ'!J26,"")</f>
        <v>0</v>
      </c>
      <c r="K27" s="9">
        <f>IF(IF(SelectedScope="All India",TRUE,'RAW_QUIZ'!$B26=SelectedScope),'RAW_QUIZ'!K26,"")</f>
        <v>0</v>
      </c>
      <c r="L27" s="9">
        <f>IF(IF(SelectedScope="All India",TRUE,'RAW_QUIZ'!$B26=SelectedScope),'RAW_QUIZ'!L26,"")</f>
        <v>0</v>
      </c>
      <c r="M27" s="9">
        <f>IF(IF(SelectedScope="All India",TRUE,'RAW_QUIZ'!$B26=SelectedScope),'RAW_QUIZ'!M26,"")</f>
        <v>0</v>
      </c>
      <c r="N27" s="9">
        <f>IF(IF(SelectedScope="All India",TRUE,'RAW_QUIZ'!$B26=SelectedScope),'RAW_QUIZ'!N26,"")</f>
        <v>0</v>
      </c>
      <c r="O27" s="9">
        <f>IF(IF(SelectedScope="All India",TRUE,'RAW_QUIZ'!$B26=SelectedScope),'RAW_QUIZ'!O26,"")</f>
        <v>0</v>
      </c>
      <c r="P27" s="9">
        <f>IF(IF(SelectedScope="All India",TRUE,'RAW_QUIZ'!$B26=SelectedScope),'RAW_QUIZ'!P26,"")</f>
        <v>0</v>
      </c>
      <c r="Q27" s="9">
        <f>IF(IF(SelectedScope="All India",TRUE,'RAW_QUIZ'!$B26=SelectedScope),'RAW_QUIZ'!Q26,"")</f>
        <v>0</v>
      </c>
    </row>
    <row r="28" spans="1:17" ht="15" customHeight="1" x14ac:dyDescent="0.3">
      <c r="A28" s="12">
        <f>IF(IF(SelectedScope="All India",TRUE,'RAW_QUIZ'!$B27=SelectedScope),'RAW_QUIZ'!A27,"")</f>
        <v>24</v>
      </c>
      <c r="B28" s="12" t="str">
        <f>IF(IF(SelectedScope="All India",TRUE,'RAW_QUIZ'!$B27=SelectedScope),'RAW_QUIZ'!B27,"")</f>
        <v>Arunachal Pradesh</v>
      </c>
      <c r="C28" s="12" t="str">
        <f>IF(IF(SelectedScope="All India",TRUE,'RAW_QUIZ'!$B27=SelectedScope),'RAW_QUIZ'!C27,"")</f>
        <v>Mathematics</v>
      </c>
      <c r="D28" s="12" t="str">
        <f>IF(IF(SelectedScope="All India",TRUE,'RAW_QUIZ'!$B27=SelectedScope),'RAW_QUIZ'!D27,"")</f>
        <v>Class 7</v>
      </c>
      <c r="E28" s="12" t="str">
        <f>IF(IF(SelectedScope="All India",TRUE,'RAW_QUIZ'!$B27=SelectedScope),'RAW_QUIZ'!E27,"")</f>
        <v>Fractions — Unit Quiz</v>
      </c>
      <c r="F28" s="12">
        <f>IF(IF(SelectedScope="All India",TRUE,'RAW_QUIZ'!$B27=SelectedScope),'RAW_QUIZ'!F27,"")</f>
        <v>0</v>
      </c>
      <c r="G28" s="12" t="str">
        <f>IF(IF(SelectedScope="All India",TRUE,'RAW_QUIZ'!$B27=SelectedScope),'RAW_QUIZ'!G27,"")</f>
        <v>Active</v>
      </c>
      <c r="H28" s="12">
        <f>IF(IF(SelectedScope="All India",TRUE,'RAW_QUIZ'!$B27=SelectedScope),'RAW_QUIZ'!H27,"")</f>
        <v>0</v>
      </c>
      <c r="I28" s="12">
        <f>IF(IF(SelectedScope="All India",TRUE,'RAW_QUIZ'!$B27=SelectedScope),'RAW_QUIZ'!I27,"")</f>
        <v>0</v>
      </c>
      <c r="J28" s="12">
        <f>IF(IF(SelectedScope="All India",TRUE,'RAW_QUIZ'!$B27=SelectedScope),'RAW_QUIZ'!J27,"")</f>
        <v>0</v>
      </c>
      <c r="K28" s="12">
        <f>IF(IF(SelectedScope="All India",TRUE,'RAW_QUIZ'!$B27=SelectedScope),'RAW_QUIZ'!K27,"")</f>
        <v>0</v>
      </c>
      <c r="L28" s="12">
        <f>IF(IF(SelectedScope="All India",TRUE,'RAW_QUIZ'!$B27=SelectedScope),'RAW_QUIZ'!L27,"")</f>
        <v>0</v>
      </c>
      <c r="M28" s="12">
        <f>IF(IF(SelectedScope="All India",TRUE,'RAW_QUIZ'!$B27=SelectedScope),'RAW_QUIZ'!M27,"")</f>
        <v>0</v>
      </c>
      <c r="N28" s="12">
        <f>IF(IF(SelectedScope="All India",TRUE,'RAW_QUIZ'!$B27=SelectedScope),'RAW_QUIZ'!N27,"")</f>
        <v>0</v>
      </c>
      <c r="O28" s="12">
        <f>IF(IF(SelectedScope="All India",TRUE,'RAW_QUIZ'!$B27=SelectedScope),'RAW_QUIZ'!O27,"")</f>
        <v>0</v>
      </c>
      <c r="P28" s="12">
        <f>IF(IF(SelectedScope="All India",TRUE,'RAW_QUIZ'!$B27=SelectedScope),'RAW_QUIZ'!P27,"")</f>
        <v>0</v>
      </c>
      <c r="Q28" s="12">
        <f>IF(IF(SelectedScope="All India",TRUE,'RAW_QUIZ'!$B27=SelectedScope),'RAW_QUIZ'!Q27,"")</f>
        <v>0</v>
      </c>
    </row>
    <row r="29" spans="1:17" ht="15" customHeight="1" x14ac:dyDescent="0.3">
      <c r="A29" s="9">
        <f>IF(IF(SelectedScope="All India",TRUE,'RAW_QUIZ'!$B28=SelectedScope),'RAW_QUIZ'!A28,"")</f>
        <v>25</v>
      </c>
      <c r="B29" s="9" t="str">
        <f>IF(IF(SelectedScope="All India",TRUE,'RAW_QUIZ'!$B28=SelectedScope),'RAW_QUIZ'!B28,"")</f>
        <v>Arunachal Pradesh</v>
      </c>
      <c r="C29" s="9" t="str">
        <f>IF(IF(SelectedScope="All India",TRUE,'RAW_QUIZ'!$B28=SelectedScope),'RAW_QUIZ'!C28,"")</f>
        <v>Mathematics</v>
      </c>
      <c r="D29" s="9" t="str">
        <f>IF(IF(SelectedScope="All India",TRUE,'RAW_QUIZ'!$B28=SelectedScope),'RAW_QUIZ'!D28,"")</f>
        <v>Class 10</v>
      </c>
      <c r="E29" s="9" t="str">
        <f>IF(IF(SelectedScope="All India",TRUE,'RAW_QUIZ'!$B28=SelectedScope),'RAW_QUIZ'!E28,"")</f>
        <v>Trigonometry — Unit Quiz</v>
      </c>
      <c r="F29" s="9">
        <f>IF(IF(SelectedScope="All India",TRUE,'RAW_QUIZ'!$B28=SelectedScope),'RAW_QUIZ'!F28,"")</f>
        <v>0</v>
      </c>
      <c r="G29" s="9" t="str">
        <f>IF(IF(SelectedScope="All India",TRUE,'RAW_QUIZ'!$B28=SelectedScope),'RAW_QUIZ'!G28,"")</f>
        <v>Active</v>
      </c>
      <c r="H29" s="9">
        <f>IF(IF(SelectedScope="All India",TRUE,'RAW_QUIZ'!$B28=SelectedScope),'RAW_QUIZ'!H28,"")</f>
        <v>0</v>
      </c>
      <c r="I29" s="9">
        <f>IF(IF(SelectedScope="All India",TRUE,'RAW_QUIZ'!$B28=SelectedScope),'RAW_QUIZ'!I28,"")</f>
        <v>0</v>
      </c>
      <c r="J29" s="9">
        <f>IF(IF(SelectedScope="All India",TRUE,'RAW_QUIZ'!$B28=SelectedScope),'RAW_QUIZ'!J28,"")</f>
        <v>0</v>
      </c>
      <c r="K29" s="9">
        <f>IF(IF(SelectedScope="All India",TRUE,'RAW_QUIZ'!$B28=SelectedScope),'RAW_QUIZ'!K28,"")</f>
        <v>0</v>
      </c>
      <c r="L29" s="9">
        <f>IF(IF(SelectedScope="All India",TRUE,'RAW_QUIZ'!$B28=SelectedScope),'RAW_QUIZ'!L28,"")</f>
        <v>0</v>
      </c>
      <c r="M29" s="9">
        <f>IF(IF(SelectedScope="All India",TRUE,'RAW_QUIZ'!$B28=SelectedScope),'RAW_QUIZ'!M28,"")</f>
        <v>0</v>
      </c>
      <c r="N29" s="9">
        <f>IF(IF(SelectedScope="All India",TRUE,'RAW_QUIZ'!$B28=SelectedScope),'RAW_QUIZ'!N28,"")</f>
        <v>0</v>
      </c>
      <c r="O29" s="9">
        <f>IF(IF(SelectedScope="All India",TRUE,'RAW_QUIZ'!$B28=SelectedScope),'RAW_QUIZ'!O28,"")</f>
        <v>0</v>
      </c>
      <c r="P29" s="9">
        <f>IF(IF(SelectedScope="All India",TRUE,'RAW_QUIZ'!$B28=SelectedScope),'RAW_QUIZ'!P28,"")</f>
        <v>0</v>
      </c>
      <c r="Q29" s="9">
        <f>IF(IF(SelectedScope="All India",TRUE,'RAW_QUIZ'!$B28=SelectedScope),'RAW_QUIZ'!Q28,"")</f>
        <v>0</v>
      </c>
    </row>
    <row r="30" spans="1:17" ht="15" customHeight="1" x14ac:dyDescent="0.3">
      <c r="A30" s="12">
        <f>IF(IF(SelectedScope="All India",TRUE,'RAW_QUIZ'!$B29=SelectedScope),'RAW_QUIZ'!A29,"")</f>
        <v>26</v>
      </c>
      <c r="B30" s="12" t="str">
        <f>IF(IF(SelectedScope="All India",TRUE,'RAW_QUIZ'!$B29=SelectedScope),'RAW_QUIZ'!B29,"")</f>
        <v>Arunachal Pradesh</v>
      </c>
      <c r="C30" s="12" t="str">
        <f>IF(IF(SelectedScope="All India",TRUE,'RAW_QUIZ'!$B29=SelectedScope),'RAW_QUIZ'!C29,"")</f>
        <v>History</v>
      </c>
      <c r="D30" s="12" t="str">
        <f>IF(IF(SelectedScope="All India",TRUE,'RAW_QUIZ'!$B29=SelectedScope),'RAW_QUIZ'!D29,"")</f>
        <v>Class 10</v>
      </c>
      <c r="E30" s="12" t="str">
        <f>IF(IF(SelectedScope="All India",TRUE,'RAW_QUIZ'!$B29=SelectedScope),'RAW_QUIZ'!E29,"")</f>
        <v>Mughal Empire — Unit Quiz</v>
      </c>
      <c r="F30" s="12">
        <f>IF(IF(SelectedScope="All India",TRUE,'RAW_QUIZ'!$B29=SelectedScope),'RAW_QUIZ'!F29,"")</f>
        <v>0</v>
      </c>
      <c r="G30" s="12" t="str">
        <f>IF(IF(SelectedScope="All India",TRUE,'RAW_QUIZ'!$B29=SelectedScope),'RAW_QUIZ'!G29,"")</f>
        <v>Active</v>
      </c>
      <c r="H30" s="12">
        <f>IF(IF(SelectedScope="All India",TRUE,'RAW_QUIZ'!$B29=SelectedScope),'RAW_QUIZ'!H29,"")</f>
        <v>0</v>
      </c>
      <c r="I30" s="12">
        <f>IF(IF(SelectedScope="All India",TRUE,'RAW_QUIZ'!$B29=SelectedScope),'RAW_QUIZ'!I29,"")</f>
        <v>0</v>
      </c>
      <c r="J30" s="12">
        <f>IF(IF(SelectedScope="All India",TRUE,'RAW_QUIZ'!$B29=SelectedScope),'RAW_QUIZ'!J29,"")</f>
        <v>0</v>
      </c>
      <c r="K30" s="12">
        <f>IF(IF(SelectedScope="All India",TRUE,'RAW_QUIZ'!$B29=SelectedScope),'RAW_QUIZ'!K29,"")</f>
        <v>0</v>
      </c>
      <c r="L30" s="12">
        <f>IF(IF(SelectedScope="All India",TRUE,'RAW_QUIZ'!$B29=SelectedScope),'RAW_QUIZ'!L29,"")</f>
        <v>0</v>
      </c>
      <c r="M30" s="12">
        <f>IF(IF(SelectedScope="All India",TRUE,'RAW_QUIZ'!$B29=SelectedScope),'RAW_QUIZ'!M29,"")</f>
        <v>0</v>
      </c>
      <c r="N30" s="12">
        <f>IF(IF(SelectedScope="All India",TRUE,'RAW_QUIZ'!$B29=SelectedScope),'RAW_QUIZ'!N29,"")</f>
        <v>0</v>
      </c>
      <c r="O30" s="12">
        <f>IF(IF(SelectedScope="All India",TRUE,'RAW_QUIZ'!$B29=SelectedScope),'RAW_QUIZ'!O29,"")</f>
        <v>0</v>
      </c>
      <c r="P30" s="12">
        <f>IF(IF(SelectedScope="All India",TRUE,'RAW_QUIZ'!$B29=SelectedScope),'RAW_QUIZ'!P29,"")</f>
        <v>0</v>
      </c>
      <c r="Q30" s="12">
        <f>IF(IF(SelectedScope="All India",TRUE,'RAW_QUIZ'!$B29=SelectedScope),'RAW_QUIZ'!Q29,"")</f>
        <v>0</v>
      </c>
    </row>
    <row r="31" spans="1:17" ht="15" customHeight="1" x14ac:dyDescent="0.3">
      <c r="A31" s="9">
        <f>IF(IF(SelectedScope="All India",TRUE,'RAW_QUIZ'!$B30=SelectedScope),'RAW_QUIZ'!A30,"")</f>
        <v>27</v>
      </c>
      <c r="B31" s="9" t="str">
        <f>IF(IF(SelectedScope="All India",TRUE,'RAW_QUIZ'!$B30=SelectedScope),'RAW_QUIZ'!B30,"")</f>
        <v>Arunachal Pradesh</v>
      </c>
      <c r="C31" s="9" t="str">
        <f>IF(IF(SelectedScope="All India",TRUE,'RAW_QUIZ'!$B30=SelectedScope),'RAW_QUIZ'!C30,"")</f>
        <v>Physics</v>
      </c>
      <c r="D31" s="9" t="str">
        <f>IF(IF(SelectedScope="All India",TRUE,'RAW_QUIZ'!$B30=SelectedScope),'RAW_QUIZ'!D30,"")</f>
        <v>Class 9</v>
      </c>
      <c r="E31" s="9" t="str">
        <f>IF(IF(SelectedScope="All India",TRUE,'RAW_QUIZ'!$B30=SelectedScope),'RAW_QUIZ'!E30,"")</f>
        <v>Laws of Motion — Unit Quiz</v>
      </c>
      <c r="F31" s="9">
        <f>IF(IF(SelectedScope="All India",TRUE,'RAW_QUIZ'!$B30=SelectedScope),'RAW_QUIZ'!F30,"")</f>
        <v>0</v>
      </c>
      <c r="G31" s="9" t="str">
        <f>IF(IF(SelectedScope="All India",TRUE,'RAW_QUIZ'!$B30=SelectedScope),'RAW_QUIZ'!G30,"")</f>
        <v>Active</v>
      </c>
      <c r="H31" s="9">
        <f>IF(IF(SelectedScope="All India",TRUE,'RAW_QUIZ'!$B30=SelectedScope),'RAW_QUIZ'!H30,"")</f>
        <v>0</v>
      </c>
      <c r="I31" s="9">
        <f>IF(IF(SelectedScope="All India",TRUE,'RAW_QUIZ'!$B30=SelectedScope),'RAW_QUIZ'!I30,"")</f>
        <v>0</v>
      </c>
      <c r="J31" s="9">
        <f>IF(IF(SelectedScope="All India",TRUE,'RAW_QUIZ'!$B30=SelectedScope),'RAW_QUIZ'!J30,"")</f>
        <v>0</v>
      </c>
      <c r="K31" s="9">
        <f>IF(IF(SelectedScope="All India",TRUE,'RAW_QUIZ'!$B30=SelectedScope),'RAW_QUIZ'!K30,"")</f>
        <v>0</v>
      </c>
      <c r="L31" s="9">
        <f>IF(IF(SelectedScope="All India",TRUE,'RAW_QUIZ'!$B30=SelectedScope),'RAW_QUIZ'!L30,"")</f>
        <v>0</v>
      </c>
      <c r="M31" s="9">
        <f>IF(IF(SelectedScope="All India",TRUE,'RAW_QUIZ'!$B30=SelectedScope),'RAW_QUIZ'!M30,"")</f>
        <v>0</v>
      </c>
      <c r="N31" s="9">
        <f>IF(IF(SelectedScope="All India",TRUE,'RAW_QUIZ'!$B30=SelectedScope),'RAW_QUIZ'!N30,"")</f>
        <v>0</v>
      </c>
      <c r="O31" s="9">
        <f>IF(IF(SelectedScope="All India",TRUE,'RAW_QUIZ'!$B30=SelectedScope),'RAW_QUIZ'!O30,"")</f>
        <v>0</v>
      </c>
      <c r="P31" s="9">
        <f>IF(IF(SelectedScope="All India",TRUE,'RAW_QUIZ'!$B30=SelectedScope),'RAW_QUIZ'!P30,"")</f>
        <v>0</v>
      </c>
      <c r="Q31" s="9">
        <f>IF(IF(SelectedScope="All India",TRUE,'RAW_QUIZ'!$B30=SelectedScope),'RAW_QUIZ'!Q30,"")</f>
        <v>0</v>
      </c>
    </row>
    <row r="32" spans="1:17" ht="15" customHeight="1" x14ac:dyDescent="0.3">
      <c r="A32" s="12">
        <f>IF(IF(SelectedScope="All India",TRUE,'RAW_QUIZ'!$B31=SelectedScope),'RAW_QUIZ'!A31,"")</f>
        <v>28</v>
      </c>
      <c r="B32" s="12" t="str">
        <f>IF(IF(SelectedScope="All India",TRUE,'RAW_QUIZ'!$B31=SelectedScope),'RAW_QUIZ'!B31,"")</f>
        <v>Arunachal Pradesh</v>
      </c>
      <c r="C32" s="12" t="str">
        <f>IF(IF(SelectedScope="All India",TRUE,'RAW_QUIZ'!$B31=SelectedScope),'RAW_QUIZ'!C31,"")</f>
        <v>Physics</v>
      </c>
      <c r="D32" s="12" t="str">
        <f>IF(IF(SelectedScope="All India",TRUE,'RAW_QUIZ'!$B31=SelectedScope),'RAW_QUIZ'!D31,"")</f>
        <v>Class 10</v>
      </c>
      <c r="E32" s="12" t="str">
        <f>IF(IF(SelectedScope="All India",TRUE,'RAW_QUIZ'!$B31=SelectedScope),'RAW_QUIZ'!E31,"")</f>
        <v>Electricity — Unit Quiz</v>
      </c>
      <c r="F32" s="12">
        <f>IF(IF(SelectedScope="All India",TRUE,'RAW_QUIZ'!$B31=SelectedScope),'RAW_QUIZ'!F31,"")</f>
        <v>0</v>
      </c>
      <c r="G32" s="12" t="str">
        <f>IF(IF(SelectedScope="All India",TRUE,'RAW_QUIZ'!$B31=SelectedScope),'RAW_QUIZ'!G31,"")</f>
        <v>Active</v>
      </c>
      <c r="H32" s="12">
        <f>IF(IF(SelectedScope="All India",TRUE,'RAW_QUIZ'!$B31=SelectedScope),'RAW_QUIZ'!H31,"")</f>
        <v>0</v>
      </c>
      <c r="I32" s="12">
        <f>IF(IF(SelectedScope="All India",TRUE,'RAW_QUIZ'!$B31=SelectedScope),'RAW_QUIZ'!I31,"")</f>
        <v>0</v>
      </c>
      <c r="J32" s="12">
        <f>IF(IF(SelectedScope="All India",TRUE,'RAW_QUIZ'!$B31=SelectedScope),'RAW_QUIZ'!J31,"")</f>
        <v>0</v>
      </c>
      <c r="K32" s="12">
        <f>IF(IF(SelectedScope="All India",TRUE,'RAW_QUIZ'!$B31=SelectedScope),'RAW_QUIZ'!K31,"")</f>
        <v>0</v>
      </c>
      <c r="L32" s="12">
        <f>IF(IF(SelectedScope="All India",TRUE,'RAW_QUIZ'!$B31=SelectedScope),'RAW_QUIZ'!L31,"")</f>
        <v>0</v>
      </c>
      <c r="M32" s="12">
        <f>IF(IF(SelectedScope="All India",TRUE,'RAW_QUIZ'!$B31=SelectedScope),'RAW_QUIZ'!M31,"")</f>
        <v>0</v>
      </c>
      <c r="N32" s="12">
        <f>IF(IF(SelectedScope="All India",TRUE,'RAW_QUIZ'!$B31=SelectedScope),'RAW_QUIZ'!N31,"")</f>
        <v>0</v>
      </c>
      <c r="O32" s="12">
        <f>IF(IF(SelectedScope="All India",TRUE,'RAW_QUIZ'!$B31=SelectedScope),'RAW_QUIZ'!O31,"")</f>
        <v>0</v>
      </c>
      <c r="P32" s="12">
        <f>IF(IF(SelectedScope="All India",TRUE,'RAW_QUIZ'!$B31=SelectedScope),'RAW_QUIZ'!P31,"")</f>
        <v>0</v>
      </c>
      <c r="Q32" s="12">
        <f>IF(IF(SelectedScope="All India",TRUE,'RAW_QUIZ'!$B31=SelectedScope),'RAW_QUIZ'!Q31,"")</f>
        <v>0</v>
      </c>
    </row>
    <row r="33" spans="1:17" ht="15" customHeight="1" x14ac:dyDescent="0.3">
      <c r="A33" s="9">
        <f>IF(IF(SelectedScope="All India",TRUE,'RAW_QUIZ'!$B32=SelectedScope),'RAW_QUIZ'!A32,"")</f>
        <v>29</v>
      </c>
      <c r="B33" s="9" t="str">
        <f>IF(IF(SelectedScope="All India",TRUE,'RAW_QUIZ'!$B32=SelectedScope),'RAW_QUIZ'!B32,"")</f>
        <v>Arunachal Pradesh</v>
      </c>
      <c r="C33" s="9" t="str">
        <f>IF(IF(SelectedScope="All India",TRUE,'RAW_QUIZ'!$B32=SelectedScope),'RAW_QUIZ'!C32,"")</f>
        <v>Civics</v>
      </c>
      <c r="D33" s="9" t="str">
        <f>IF(IF(SelectedScope="All India",TRUE,'RAW_QUIZ'!$B32=SelectedScope),'RAW_QUIZ'!D32,"")</f>
        <v>Class 9</v>
      </c>
      <c r="E33" s="9" t="str">
        <f>IF(IF(SelectedScope="All India",TRUE,'RAW_QUIZ'!$B32=SelectedScope),'RAW_QUIZ'!E32,"")</f>
        <v>Indian Constitution — Unit Quiz</v>
      </c>
      <c r="F33" s="9">
        <f>IF(IF(SelectedScope="All India",TRUE,'RAW_QUIZ'!$B32=SelectedScope),'RAW_QUIZ'!F32,"")</f>
        <v>0</v>
      </c>
      <c r="G33" s="9" t="str">
        <f>IF(IF(SelectedScope="All India",TRUE,'RAW_QUIZ'!$B32=SelectedScope),'RAW_QUIZ'!G32,"")</f>
        <v>Active</v>
      </c>
      <c r="H33" s="9">
        <f>IF(IF(SelectedScope="All India",TRUE,'RAW_QUIZ'!$B32=SelectedScope),'RAW_QUIZ'!H32,"")</f>
        <v>0</v>
      </c>
      <c r="I33" s="9">
        <f>IF(IF(SelectedScope="All India",TRUE,'RAW_QUIZ'!$B32=SelectedScope),'RAW_QUIZ'!I32,"")</f>
        <v>0</v>
      </c>
      <c r="J33" s="9">
        <f>IF(IF(SelectedScope="All India",TRUE,'RAW_QUIZ'!$B32=SelectedScope),'RAW_QUIZ'!J32,"")</f>
        <v>0</v>
      </c>
      <c r="K33" s="9">
        <f>IF(IF(SelectedScope="All India",TRUE,'RAW_QUIZ'!$B32=SelectedScope),'RAW_QUIZ'!K32,"")</f>
        <v>0</v>
      </c>
      <c r="L33" s="9">
        <f>IF(IF(SelectedScope="All India",TRUE,'RAW_QUIZ'!$B32=SelectedScope),'RAW_QUIZ'!L32,"")</f>
        <v>0</v>
      </c>
      <c r="M33" s="9">
        <f>IF(IF(SelectedScope="All India",TRUE,'RAW_QUIZ'!$B32=SelectedScope),'RAW_QUIZ'!M32,"")</f>
        <v>0</v>
      </c>
      <c r="N33" s="9">
        <f>IF(IF(SelectedScope="All India",TRUE,'RAW_QUIZ'!$B32=SelectedScope),'RAW_QUIZ'!N32,"")</f>
        <v>0</v>
      </c>
      <c r="O33" s="9">
        <f>IF(IF(SelectedScope="All India",TRUE,'RAW_QUIZ'!$B32=SelectedScope),'RAW_QUIZ'!O32,"")</f>
        <v>0</v>
      </c>
      <c r="P33" s="9">
        <f>IF(IF(SelectedScope="All India",TRUE,'RAW_QUIZ'!$B32=SelectedScope),'RAW_QUIZ'!P32,"")</f>
        <v>0</v>
      </c>
      <c r="Q33" s="9">
        <f>IF(IF(SelectedScope="All India",TRUE,'RAW_QUIZ'!$B32=SelectedScope),'RAW_QUIZ'!Q32,"")</f>
        <v>0</v>
      </c>
    </row>
    <row r="34" spans="1:17" ht="15" customHeight="1" x14ac:dyDescent="0.3">
      <c r="A34" s="12">
        <f>IF(IF(SelectedScope="All India",TRUE,'RAW_QUIZ'!$B33=SelectedScope),'RAW_QUIZ'!A33,"")</f>
        <v>30</v>
      </c>
      <c r="B34" s="12" t="str">
        <f>IF(IF(SelectedScope="All India",TRUE,'RAW_QUIZ'!$B33=SelectedScope),'RAW_QUIZ'!B33,"")</f>
        <v>Arunachal Pradesh</v>
      </c>
      <c r="C34" s="12" t="str">
        <f>IF(IF(SelectedScope="All India",TRUE,'RAW_QUIZ'!$B33=SelectedScope),'RAW_QUIZ'!C33,"")</f>
        <v>Mathematics</v>
      </c>
      <c r="D34" s="12" t="str">
        <f>IF(IF(SelectedScope="All India",TRUE,'RAW_QUIZ'!$B33=SelectedScope),'RAW_QUIZ'!D33,"")</f>
        <v>Class 10</v>
      </c>
      <c r="E34" s="12" t="str">
        <f>IF(IF(SelectedScope="All India",TRUE,'RAW_QUIZ'!$B33=SelectedScope),'RAW_QUIZ'!E33,"")</f>
        <v>Quadratic Equations — Unit Quiz</v>
      </c>
      <c r="F34" s="12">
        <f>IF(IF(SelectedScope="All India",TRUE,'RAW_QUIZ'!$B33=SelectedScope),'RAW_QUIZ'!F33,"")</f>
        <v>0</v>
      </c>
      <c r="G34" s="12" t="str">
        <f>IF(IF(SelectedScope="All India",TRUE,'RAW_QUIZ'!$B33=SelectedScope),'RAW_QUIZ'!G33,"")</f>
        <v>Active</v>
      </c>
      <c r="H34" s="12">
        <f>IF(IF(SelectedScope="All India",TRUE,'RAW_QUIZ'!$B33=SelectedScope),'RAW_QUIZ'!H33,"")</f>
        <v>0</v>
      </c>
      <c r="I34" s="12">
        <f>IF(IF(SelectedScope="All India",TRUE,'RAW_QUIZ'!$B33=SelectedScope),'RAW_QUIZ'!I33,"")</f>
        <v>0</v>
      </c>
      <c r="J34" s="12">
        <f>IF(IF(SelectedScope="All India",TRUE,'RAW_QUIZ'!$B33=SelectedScope),'RAW_QUIZ'!J33,"")</f>
        <v>0</v>
      </c>
      <c r="K34" s="12">
        <f>IF(IF(SelectedScope="All India",TRUE,'RAW_QUIZ'!$B33=SelectedScope),'RAW_QUIZ'!K33,"")</f>
        <v>0</v>
      </c>
      <c r="L34" s="12">
        <f>IF(IF(SelectedScope="All India",TRUE,'RAW_QUIZ'!$B33=SelectedScope),'RAW_QUIZ'!L33,"")</f>
        <v>0</v>
      </c>
      <c r="M34" s="12">
        <f>IF(IF(SelectedScope="All India",TRUE,'RAW_QUIZ'!$B33=SelectedScope),'RAW_QUIZ'!M33,"")</f>
        <v>0</v>
      </c>
      <c r="N34" s="12">
        <f>IF(IF(SelectedScope="All India",TRUE,'RAW_QUIZ'!$B33=SelectedScope),'RAW_QUIZ'!N33,"")</f>
        <v>0</v>
      </c>
      <c r="O34" s="12">
        <f>IF(IF(SelectedScope="All India",TRUE,'RAW_QUIZ'!$B33=SelectedScope),'RAW_QUIZ'!O33,"")</f>
        <v>0</v>
      </c>
      <c r="P34" s="12">
        <f>IF(IF(SelectedScope="All India",TRUE,'RAW_QUIZ'!$B33=SelectedScope),'RAW_QUIZ'!P33,"")</f>
        <v>0</v>
      </c>
      <c r="Q34" s="12">
        <f>IF(IF(SelectedScope="All India",TRUE,'RAW_QUIZ'!$B33=SelectedScope),'RAW_QUIZ'!Q33,"")</f>
        <v>0</v>
      </c>
    </row>
    <row r="35" spans="1:17" ht="15" customHeight="1" x14ac:dyDescent="0.3">
      <c r="A35" s="9">
        <f>IF(IF(SelectedScope="All India",TRUE,'RAW_QUIZ'!$B34=SelectedScope),'RAW_QUIZ'!A34,"")</f>
        <v>31</v>
      </c>
      <c r="B35" s="9" t="str">
        <f>IF(IF(SelectedScope="All India",TRUE,'RAW_QUIZ'!$B34=SelectedScope),'RAW_QUIZ'!B34,"")</f>
        <v>Assam</v>
      </c>
      <c r="C35" s="9" t="str">
        <f>IF(IF(SelectedScope="All India",TRUE,'RAW_QUIZ'!$B34=SelectedScope),'RAW_QUIZ'!C34,"")</f>
        <v>Science</v>
      </c>
      <c r="D35" s="9" t="str">
        <f>IF(IF(SelectedScope="All India",TRUE,'RAW_QUIZ'!$B34=SelectedScope),'RAW_QUIZ'!D34,"")</f>
        <v>Class 8</v>
      </c>
      <c r="E35" s="9" t="str">
        <f>IF(IF(SelectedScope="All India",TRUE,'RAW_QUIZ'!$B34=SelectedScope),'RAW_QUIZ'!E34,"")</f>
        <v>Solar System — Unit Quiz</v>
      </c>
      <c r="F35" s="9">
        <f>IF(IF(SelectedScope="All India",TRUE,'RAW_QUIZ'!$B34=SelectedScope),'RAW_QUIZ'!F34,"")</f>
        <v>0</v>
      </c>
      <c r="G35" s="9" t="str">
        <f>IF(IF(SelectedScope="All India",TRUE,'RAW_QUIZ'!$B34=SelectedScope),'RAW_QUIZ'!G34,"")</f>
        <v>Active</v>
      </c>
      <c r="H35" s="9">
        <f>IF(IF(SelectedScope="All India",TRUE,'RAW_QUIZ'!$B34=SelectedScope),'RAW_QUIZ'!H34,"")</f>
        <v>0</v>
      </c>
      <c r="I35" s="9">
        <f>IF(IF(SelectedScope="All India",TRUE,'RAW_QUIZ'!$B34=SelectedScope),'RAW_QUIZ'!I34,"")</f>
        <v>0</v>
      </c>
      <c r="J35" s="9">
        <f>IF(IF(SelectedScope="All India",TRUE,'RAW_QUIZ'!$B34=SelectedScope),'RAW_QUIZ'!J34,"")</f>
        <v>0</v>
      </c>
      <c r="K35" s="9">
        <f>IF(IF(SelectedScope="All India",TRUE,'RAW_QUIZ'!$B34=SelectedScope),'RAW_QUIZ'!K34,"")</f>
        <v>0</v>
      </c>
      <c r="L35" s="9">
        <f>IF(IF(SelectedScope="All India",TRUE,'RAW_QUIZ'!$B34=SelectedScope),'RAW_QUIZ'!L34,"")</f>
        <v>0</v>
      </c>
      <c r="M35" s="9">
        <f>IF(IF(SelectedScope="All India",TRUE,'RAW_QUIZ'!$B34=SelectedScope),'RAW_QUIZ'!M34,"")</f>
        <v>0</v>
      </c>
      <c r="N35" s="9">
        <f>IF(IF(SelectedScope="All India",TRUE,'RAW_QUIZ'!$B34=SelectedScope),'RAW_QUIZ'!N34,"")</f>
        <v>0</v>
      </c>
      <c r="O35" s="9">
        <f>IF(IF(SelectedScope="All India",TRUE,'RAW_QUIZ'!$B34=SelectedScope),'RAW_QUIZ'!O34,"")</f>
        <v>0</v>
      </c>
      <c r="P35" s="9">
        <f>IF(IF(SelectedScope="All India",TRUE,'RAW_QUIZ'!$B34=SelectedScope),'RAW_QUIZ'!P34,"")</f>
        <v>0</v>
      </c>
      <c r="Q35" s="9">
        <f>IF(IF(SelectedScope="All India",TRUE,'RAW_QUIZ'!$B34=SelectedScope),'RAW_QUIZ'!Q34,"")</f>
        <v>0</v>
      </c>
    </row>
    <row r="36" spans="1:17" ht="15" customHeight="1" x14ac:dyDescent="0.3">
      <c r="A36" s="12">
        <f>IF(IF(SelectedScope="All India",TRUE,'RAW_QUIZ'!$B35=SelectedScope),'RAW_QUIZ'!A35,"")</f>
        <v>32</v>
      </c>
      <c r="B36" s="12" t="str">
        <f>IF(IF(SelectedScope="All India",TRUE,'RAW_QUIZ'!$B35=SelectedScope),'RAW_QUIZ'!B35,"")</f>
        <v>Assam</v>
      </c>
      <c r="C36" s="12" t="str">
        <f>IF(IF(SelectedScope="All India",TRUE,'RAW_QUIZ'!$B35=SelectedScope),'RAW_QUIZ'!C35,"")</f>
        <v>Biology</v>
      </c>
      <c r="D36" s="12" t="str">
        <f>IF(IF(SelectedScope="All India",TRUE,'RAW_QUIZ'!$B35=SelectedScope),'RAW_QUIZ'!D35,"")</f>
        <v>Class 9</v>
      </c>
      <c r="E36" s="12" t="str">
        <f>IF(IF(SelectedScope="All India",TRUE,'RAW_QUIZ'!$B35=SelectedScope),'RAW_QUIZ'!E35,"")</f>
        <v>Cell Division — Unit Quiz</v>
      </c>
      <c r="F36" s="12">
        <f>IF(IF(SelectedScope="All India",TRUE,'RAW_QUIZ'!$B35=SelectedScope),'RAW_QUIZ'!F35,"")</f>
        <v>0</v>
      </c>
      <c r="G36" s="12" t="str">
        <f>IF(IF(SelectedScope="All India",TRUE,'RAW_QUIZ'!$B35=SelectedScope),'RAW_QUIZ'!G35,"")</f>
        <v>Active</v>
      </c>
      <c r="H36" s="12">
        <f>IF(IF(SelectedScope="All India",TRUE,'RAW_QUIZ'!$B35=SelectedScope),'RAW_QUIZ'!H35,"")</f>
        <v>0</v>
      </c>
      <c r="I36" s="12">
        <f>IF(IF(SelectedScope="All India",TRUE,'RAW_QUIZ'!$B35=SelectedScope),'RAW_QUIZ'!I35,"")</f>
        <v>0</v>
      </c>
      <c r="J36" s="12">
        <f>IF(IF(SelectedScope="All India",TRUE,'RAW_QUIZ'!$B35=SelectedScope),'RAW_QUIZ'!J35,"")</f>
        <v>0</v>
      </c>
      <c r="K36" s="12">
        <f>IF(IF(SelectedScope="All India",TRUE,'RAW_QUIZ'!$B35=SelectedScope),'RAW_QUIZ'!K35,"")</f>
        <v>0</v>
      </c>
      <c r="L36" s="12">
        <f>IF(IF(SelectedScope="All India",TRUE,'RAW_QUIZ'!$B35=SelectedScope),'RAW_QUIZ'!L35,"")</f>
        <v>0</v>
      </c>
      <c r="M36" s="12">
        <f>IF(IF(SelectedScope="All India",TRUE,'RAW_QUIZ'!$B35=SelectedScope),'RAW_QUIZ'!M35,"")</f>
        <v>0</v>
      </c>
      <c r="N36" s="12">
        <f>IF(IF(SelectedScope="All India",TRUE,'RAW_QUIZ'!$B35=SelectedScope),'RAW_QUIZ'!N35,"")</f>
        <v>0</v>
      </c>
      <c r="O36" s="12">
        <f>IF(IF(SelectedScope="All India",TRUE,'RAW_QUIZ'!$B35=SelectedScope),'RAW_QUIZ'!O35,"")</f>
        <v>0</v>
      </c>
      <c r="P36" s="12">
        <f>IF(IF(SelectedScope="All India",TRUE,'RAW_QUIZ'!$B35=SelectedScope),'RAW_QUIZ'!P35,"")</f>
        <v>0</v>
      </c>
      <c r="Q36" s="12">
        <f>IF(IF(SelectedScope="All India",TRUE,'RAW_QUIZ'!$B35=SelectedScope),'RAW_QUIZ'!Q35,"")</f>
        <v>0</v>
      </c>
    </row>
    <row r="37" spans="1:17" ht="15" customHeight="1" x14ac:dyDescent="0.3">
      <c r="A37" s="9">
        <f>IF(IF(SelectedScope="All India",TRUE,'RAW_QUIZ'!$B36=SelectedScope),'RAW_QUIZ'!A36,"")</f>
        <v>33</v>
      </c>
      <c r="B37" s="9" t="str">
        <f>IF(IF(SelectedScope="All India",TRUE,'RAW_QUIZ'!$B36=SelectedScope),'RAW_QUIZ'!B36,"")</f>
        <v>Assam</v>
      </c>
      <c r="C37" s="9" t="str">
        <f>IF(IF(SelectedScope="All India",TRUE,'RAW_QUIZ'!$B36=SelectedScope),'RAW_QUIZ'!C36,"")</f>
        <v>Chemistry</v>
      </c>
      <c r="D37" s="9" t="str">
        <f>IF(IF(SelectedScope="All India",TRUE,'RAW_QUIZ'!$B36=SelectedScope),'RAW_QUIZ'!D36,"")</f>
        <v>Class 9</v>
      </c>
      <c r="E37" s="9" t="str">
        <f>IF(IF(SelectedScope="All India",TRUE,'RAW_QUIZ'!$B36=SelectedScope),'RAW_QUIZ'!E36,"")</f>
        <v>Atoms and Molecules — Unit Quiz</v>
      </c>
      <c r="F37" s="9">
        <f>IF(IF(SelectedScope="All India",TRUE,'RAW_QUIZ'!$B36=SelectedScope),'RAW_QUIZ'!F36,"")</f>
        <v>0</v>
      </c>
      <c r="G37" s="9" t="str">
        <f>IF(IF(SelectedScope="All India",TRUE,'RAW_QUIZ'!$B36=SelectedScope),'RAW_QUIZ'!G36,"")</f>
        <v>Active</v>
      </c>
      <c r="H37" s="9">
        <f>IF(IF(SelectedScope="All India",TRUE,'RAW_QUIZ'!$B36=SelectedScope),'RAW_QUIZ'!H36,"")</f>
        <v>0</v>
      </c>
      <c r="I37" s="9">
        <f>IF(IF(SelectedScope="All India",TRUE,'RAW_QUIZ'!$B36=SelectedScope),'RAW_QUIZ'!I36,"")</f>
        <v>0</v>
      </c>
      <c r="J37" s="9">
        <f>IF(IF(SelectedScope="All India",TRUE,'RAW_QUIZ'!$B36=SelectedScope),'RAW_QUIZ'!J36,"")</f>
        <v>0</v>
      </c>
      <c r="K37" s="9">
        <f>IF(IF(SelectedScope="All India",TRUE,'RAW_QUIZ'!$B36=SelectedScope),'RAW_QUIZ'!K36,"")</f>
        <v>0</v>
      </c>
      <c r="L37" s="9">
        <f>IF(IF(SelectedScope="All India",TRUE,'RAW_QUIZ'!$B36=SelectedScope),'RAW_QUIZ'!L36,"")</f>
        <v>0</v>
      </c>
      <c r="M37" s="9">
        <f>IF(IF(SelectedScope="All India",TRUE,'RAW_QUIZ'!$B36=SelectedScope),'RAW_QUIZ'!M36,"")</f>
        <v>0</v>
      </c>
      <c r="N37" s="9">
        <f>IF(IF(SelectedScope="All India",TRUE,'RAW_QUIZ'!$B36=SelectedScope),'RAW_QUIZ'!N36,"")</f>
        <v>0</v>
      </c>
      <c r="O37" s="9">
        <f>IF(IF(SelectedScope="All India",TRUE,'RAW_QUIZ'!$B36=SelectedScope),'RAW_QUIZ'!O36,"")</f>
        <v>0</v>
      </c>
      <c r="P37" s="9">
        <f>IF(IF(SelectedScope="All India",TRUE,'RAW_QUIZ'!$B36=SelectedScope),'RAW_QUIZ'!P36,"")</f>
        <v>0</v>
      </c>
      <c r="Q37" s="9">
        <f>IF(IF(SelectedScope="All India",TRUE,'RAW_QUIZ'!$B36=SelectedScope),'RAW_QUIZ'!Q36,"")</f>
        <v>0</v>
      </c>
    </row>
    <row r="38" spans="1:17" ht="15" customHeight="1" x14ac:dyDescent="0.3">
      <c r="A38" s="12">
        <f>IF(IF(SelectedScope="All India",TRUE,'RAW_QUIZ'!$B37=SelectedScope),'RAW_QUIZ'!A37,"")</f>
        <v>34</v>
      </c>
      <c r="B38" s="12" t="str">
        <f>IF(IF(SelectedScope="All India",TRUE,'RAW_QUIZ'!$B37=SelectedScope),'RAW_QUIZ'!B37,"")</f>
        <v>Assam</v>
      </c>
      <c r="C38" s="12" t="str">
        <f>IF(IF(SelectedScope="All India",TRUE,'RAW_QUIZ'!$B37=SelectedScope),'RAW_QUIZ'!C37,"")</f>
        <v>Mathematics</v>
      </c>
      <c r="D38" s="12" t="str">
        <f>IF(IF(SelectedScope="All India",TRUE,'RAW_QUIZ'!$B37=SelectedScope),'RAW_QUIZ'!D37,"")</f>
        <v>Class 7</v>
      </c>
      <c r="E38" s="12" t="str">
        <f>IF(IF(SelectedScope="All India",TRUE,'RAW_QUIZ'!$B37=SelectedScope),'RAW_QUIZ'!E37,"")</f>
        <v>Fractions — Unit Quiz</v>
      </c>
      <c r="F38" s="12">
        <f>IF(IF(SelectedScope="All India",TRUE,'RAW_QUIZ'!$B37=SelectedScope),'RAW_QUIZ'!F37,"")</f>
        <v>0</v>
      </c>
      <c r="G38" s="12" t="str">
        <f>IF(IF(SelectedScope="All India",TRUE,'RAW_QUIZ'!$B37=SelectedScope),'RAW_QUIZ'!G37,"")</f>
        <v>Active</v>
      </c>
      <c r="H38" s="12">
        <f>IF(IF(SelectedScope="All India",TRUE,'RAW_QUIZ'!$B37=SelectedScope),'RAW_QUIZ'!H37,"")</f>
        <v>0</v>
      </c>
      <c r="I38" s="12">
        <f>IF(IF(SelectedScope="All India",TRUE,'RAW_QUIZ'!$B37=SelectedScope),'RAW_QUIZ'!I37,"")</f>
        <v>0</v>
      </c>
      <c r="J38" s="12">
        <f>IF(IF(SelectedScope="All India",TRUE,'RAW_QUIZ'!$B37=SelectedScope),'RAW_QUIZ'!J37,"")</f>
        <v>0</v>
      </c>
      <c r="K38" s="12">
        <f>IF(IF(SelectedScope="All India",TRUE,'RAW_QUIZ'!$B37=SelectedScope),'RAW_QUIZ'!K37,"")</f>
        <v>0</v>
      </c>
      <c r="L38" s="12">
        <f>IF(IF(SelectedScope="All India",TRUE,'RAW_QUIZ'!$B37=SelectedScope),'RAW_QUIZ'!L37,"")</f>
        <v>0</v>
      </c>
      <c r="M38" s="12">
        <f>IF(IF(SelectedScope="All India",TRUE,'RAW_QUIZ'!$B37=SelectedScope),'RAW_QUIZ'!M37,"")</f>
        <v>0</v>
      </c>
      <c r="N38" s="12">
        <f>IF(IF(SelectedScope="All India",TRUE,'RAW_QUIZ'!$B37=SelectedScope),'RAW_QUIZ'!N37,"")</f>
        <v>0</v>
      </c>
      <c r="O38" s="12">
        <f>IF(IF(SelectedScope="All India",TRUE,'RAW_QUIZ'!$B37=SelectedScope),'RAW_QUIZ'!O37,"")</f>
        <v>0</v>
      </c>
      <c r="P38" s="12">
        <f>IF(IF(SelectedScope="All India",TRUE,'RAW_QUIZ'!$B37=SelectedScope),'RAW_QUIZ'!P37,"")</f>
        <v>0</v>
      </c>
      <c r="Q38" s="12">
        <f>IF(IF(SelectedScope="All India",TRUE,'RAW_QUIZ'!$B37=SelectedScope),'RAW_QUIZ'!Q37,"")</f>
        <v>0</v>
      </c>
    </row>
    <row r="39" spans="1:17" ht="15" customHeight="1" x14ac:dyDescent="0.3">
      <c r="A39" s="9">
        <f>IF(IF(SelectedScope="All India",TRUE,'RAW_QUIZ'!$B38=SelectedScope),'RAW_QUIZ'!A38,"")</f>
        <v>35</v>
      </c>
      <c r="B39" s="9" t="str">
        <f>IF(IF(SelectedScope="All India",TRUE,'RAW_QUIZ'!$B38=SelectedScope),'RAW_QUIZ'!B38,"")</f>
        <v>Assam</v>
      </c>
      <c r="C39" s="9" t="str">
        <f>IF(IF(SelectedScope="All India",TRUE,'RAW_QUIZ'!$B38=SelectedScope),'RAW_QUIZ'!C38,"")</f>
        <v>Mathematics</v>
      </c>
      <c r="D39" s="9" t="str">
        <f>IF(IF(SelectedScope="All India",TRUE,'RAW_QUIZ'!$B38=SelectedScope),'RAW_QUIZ'!D38,"")</f>
        <v>Class 10</v>
      </c>
      <c r="E39" s="9" t="str">
        <f>IF(IF(SelectedScope="All India",TRUE,'RAW_QUIZ'!$B38=SelectedScope),'RAW_QUIZ'!E38,"")</f>
        <v>Trigonometry — Unit Quiz</v>
      </c>
      <c r="F39" s="9">
        <f>IF(IF(SelectedScope="All India",TRUE,'RAW_QUIZ'!$B38=SelectedScope),'RAW_QUIZ'!F38,"")</f>
        <v>0</v>
      </c>
      <c r="G39" s="9" t="str">
        <f>IF(IF(SelectedScope="All India",TRUE,'RAW_QUIZ'!$B38=SelectedScope),'RAW_QUIZ'!G38,"")</f>
        <v>Active</v>
      </c>
      <c r="H39" s="9">
        <f>IF(IF(SelectedScope="All India",TRUE,'RAW_QUIZ'!$B38=SelectedScope),'RAW_QUIZ'!H38,"")</f>
        <v>0</v>
      </c>
      <c r="I39" s="9">
        <f>IF(IF(SelectedScope="All India",TRUE,'RAW_QUIZ'!$B38=SelectedScope),'RAW_QUIZ'!I38,"")</f>
        <v>0</v>
      </c>
      <c r="J39" s="9">
        <f>IF(IF(SelectedScope="All India",TRUE,'RAW_QUIZ'!$B38=SelectedScope),'RAW_QUIZ'!J38,"")</f>
        <v>0</v>
      </c>
      <c r="K39" s="9">
        <f>IF(IF(SelectedScope="All India",TRUE,'RAW_QUIZ'!$B38=SelectedScope),'RAW_QUIZ'!K38,"")</f>
        <v>0</v>
      </c>
      <c r="L39" s="9">
        <f>IF(IF(SelectedScope="All India",TRUE,'RAW_QUIZ'!$B38=SelectedScope),'RAW_QUIZ'!L38,"")</f>
        <v>0</v>
      </c>
      <c r="M39" s="9">
        <f>IF(IF(SelectedScope="All India",TRUE,'RAW_QUIZ'!$B38=SelectedScope),'RAW_QUIZ'!M38,"")</f>
        <v>0</v>
      </c>
      <c r="N39" s="9">
        <f>IF(IF(SelectedScope="All India",TRUE,'RAW_QUIZ'!$B38=SelectedScope),'RAW_QUIZ'!N38,"")</f>
        <v>0</v>
      </c>
      <c r="O39" s="9">
        <f>IF(IF(SelectedScope="All India",TRUE,'RAW_QUIZ'!$B38=SelectedScope),'RAW_QUIZ'!O38,"")</f>
        <v>0</v>
      </c>
      <c r="P39" s="9">
        <f>IF(IF(SelectedScope="All India",TRUE,'RAW_QUIZ'!$B38=SelectedScope),'RAW_QUIZ'!P38,"")</f>
        <v>0</v>
      </c>
      <c r="Q39" s="9">
        <f>IF(IF(SelectedScope="All India",TRUE,'RAW_QUIZ'!$B38=SelectedScope),'RAW_QUIZ'!Q38,"")</f>
        <v>0</v>
      </c>
    </row>
    <row r="40" spans="1:17" ht="15" customHeight="1" x14ac:dyDescent="0.3">
      <c r="A40" s="12">
        <f>IF(IF(SelectedScope="All India",TRUE,'RAW_QUIZ'!$B39=SelectedScope),'RAW_QUIZ'!A39,"")</f>
        <v>36</v>
      </c>
      <c r="B40" s="12" t="str">
        <f>IF(IF(SelectedScope="All India",TRUE,'RAW_QUIZ'!$B39=SelectedScope),'RAW_QUIZ'!B39,"")</f>
        <v>Assam</v>
      </c>
      <c r="C40" s="12" t="str">
        <f>IF(IF(SelectedScope="All India",TRUE,'RAW_QUIZ'!$B39=SelectedScope),'RAW_QUIZ'!C39,"")</f>
        <v>History</v>
      </c>
      <c r="D40" s="12" t="str">
        <f>IF(IF(SelectedScope="All India",TRUE,'RAW_QUIZ'!$B39=SelectedScope),'RAW_QUIZ'!D39,"")</f>
        <v>Class 10</v>
      </c>
      <c r="E40" s="12" t="str">
        <f>IF(IF(SelectedScope="All India",TRUE,'RAW_QUIZ'!$B39=SelectedScope),'RAW_QUIZ'!E39,"")</f>
        <v>Mughal Empire — Unit Quiz</v>
      </c>
      <c r="F40" s="12">
        <f>IF(IF(SelectedScope="All India",TRUE,'RAW_QUIZ'!$B39=SelectedScope),'RAW_QUIZ'!F39,"")</f>
        <v>0</v>
      </c>
      <c r="G40" s="12" t="str">
        <f>IF(IF(SelectedScope="All India",TRUE,'RAW_QUIZ'!$B39=SelectedScope),'RAW_QUIZ'!G39,"")</f>
        <v>Active</v>
      </c>
      <c r="H40" s="12">
        <f>IF(IF(SelectedScope="All India",TRUE,'RAW_QUIZ'!$B39=SelectedScope),'RAW_QUIZ'!H39,"")</f>
        <v>0</v>
      </c>
      <c r="I40" s="12">
        <f>IF(IF(SelectedScope="All India",TRUE,'RAW_QUIZ'!$B39=SelectedScope),'RAW_QUIZ'!I39,"")</f>
        <v>0</v>
      </c>
      <c r="J40" s="12">
        <f>IF(IF(SelectedScope="All India",TRUE,'RAW_QUIZ'!$B39=SelectedScope),'RAW_QUIZ'!J39,"")</f>
        <v>0</v>
      </c>
      <c r="K40" s="12">
        <f>IF(IF(SelectedScope="All India",TRUE,'RAW_QUIZ'!$B39=SelectedScope),'RAW_QUIZ'!K39,"")</f>
        <v>0</v>
      </c>
      <c r="L40" s="12">
        <f>IF(IF(SelectedScope="All India",TRUE,'RAW_QUIZ'!$B39=SelectedScope),'RAW_QUIZ'!L39,"")</f>
        <v>0</v>
      </c>
      <c r="M40" s="12">
        <f>IF(IF(SelectedScope="All India",TRUE,'RAW_QUIZ'!$B39=SelectedScope),'RAW_QUIZ'!M39,"")</f>
        <v>0</v>
      </c>
      <c r="N40" s="12">
        <f>IF(IF(SelectedScope="All India",TRUE,'RAW_QUIZ'!$B39=SelectedScope),'RAW_QUIZ'!N39,"")</f>
        <v>0</v>
      </c>
      <c r="O40" s="12">
        <f>IF(IF(SelectedScope="All India",TRUE,'RAW_QUIZ'!$B39=SelectedScope),'RAW_QUIZ'!O39,"")</f>
        <v>0</v>
      </c>
      <c r="P40" s="12">
        <f>IF(IF(SelectedScope="All India",TRUE,'RAW_QUIZ'!$B39=SelectedScope),'RAW_QUIZ'!P39,"")</f>
        <v>0</v>
      </c>
      <c r="Q40" s="12">
        <f>IF(IF(SelectedScope="All India",TRUE,'RAW_QUIZ'!$B39=SelectedScope),'RAW_QUIZ'!Q39,"")</f>
        <v>0</v>
      </c>
    </row>
    <row r="41" spans="1:17" ht="15" customHeight="1" x14ac:dyDescent="0.3">
      <c r="A41" s="9">
        <f>IF(IF(SelectedScope="All India",TRUE,'RAW_QUIZ'!$B40=SelectedScope),'RAW_QUIZ'!A40,"")</f>
        <v>37</v>
      </c>
      <c r="B41" s="9" t="str">
        <f>IF(IF(SelectedScope="All India",TRUE,'RAW_QUIZ'!$B40=SelectedScope),'RAW_QUIZ'!B40,"")</f>
        <v>Assam</v>
      </c>
      <c r="C41" s="9" t="str">
        <f>IF(IF(SelectedScope="All India",TRUE,'RAW_QUIZ'!$B40=SelectedScope),'RAW_QUIZ'!C40,"")</f>
        <v>Physics</v>
      </c>
      <c r="D41" s="9" t="str">
        <f>IF(IF(SelectedScope="All India",TRUE,'RAW_QUIZ'!$B40=SelectedScope),'RAW_QUIZ'!D40,"")</f>
        <v>Class 9</v>
      </c>
      <c r="E41" s="9" t="str">
        <f>IF(IF(SelectedScope="All India",TRUE,'RAW_QUIZ'!$B40=SelectedScope),'RAW_QUIZ'!E40,"")</f>
        <v>Laws of Motion — Unit Quiz</v>
      </c>
      <c r="F41" s="9">
        <f>IF(IF(SelectedScope="All India",TRUE,'RAW_QUIZ'!$B40=SelectedScope),'RAW_QUIZ'!F40,"")</f>
        <v>0</v>
      </c>
      <c r="G41" s="9" t="str">
        <f>IF(IF(SelectedScope="All India",TRUE,'RAW_QUIZ'!$B40=SelectedScope),'RAW_QUIZ'!G40,"")</f>
        <v>Active</v>
      </c>
      <c r="H41" s="9">
        <f>IF(IF(SelectedScope="All India",TRUE,'RAW_QUIZ'!$B40=SelectedScope),'RAW_QUIZ'!H40,"")</f>
        <v>0</v>
      </c>
      <c r="I41" s="9">
        <f>IF(IF(SelectedScope="All India",TRUE,'RAW_QUIZ'!$B40=SelectedScope),'RAW_QUIZ'!I40,"")</f>
        <v>0</v>
      </c>
      <c r="J41" s="9">
        <f>IF(IF(SelectedScope="All India",TRUE,'RAW_QUIZ'!$B40=SelectedScope),'RAW_QUIZ'!J40,"")</f>
        <v>0</v>
      </c>
      <c r="K41" s="9">
        <f>IF(IF(SelectedScope="All India",TRUE,'RAW_QUIZ'!$B40=SelectedScope),'RAW_QUIZ'!K40,"")</f>
        <v>0</v>
      </c>
      <c r="L41" s="9">
        <f>IF(IF(SelectedScope="All India",TRUE,'RAW_QUIZ'!$B40=SelectedScope),'RAW_QUIZ'!L40,"")</f>
        <v>0</v>
      </c>
      <c r="M41" s="9">
        <f>IF(IF(SelectedScope="All India",TRUE,'RAW_QUIZ'!$B40=SelectedScope),'RAW_QUIZ'!M40,"")</f>
        <v>0</v>
      </c>
      <c r="N41" s="9">
        <f>IF(IF(SelectedScope="All India",TRUE,'RAW_QUIZ'!$B40=SelectedScope),'RAW_QUIZ'!N40,"")</f>
        <v>0</v>
      </c>
      <c r="O41" s="9">
        <f>IF(IF(SelectedScope="All India",TRUE,'RAW_QUIZ'!$B40=SelectedScope),'RAW_QUIZ'!O40,"")</f>
        <v>0</v>
      </c>
      <c r="P41" s="9">
        <f>IF(IF(SelectedScope="All India",TRUE,'RAW_QUIZ'!$B40=SelectedScope),'RAW_QUIZ'!P40,"")</f>
        <v>0</v>
      </c>
      <c r="Q41" s="9">
        <f>IF(IF(SelectedScope="All India",TRUE,'RAW_QUIZ'!$B40=SelectedScope),'RAW_QUIZ'!Q40,"")</f>
        <v>0</v>
      </c>
    </row>
    <row r="42" spans="1:17" ht="15" customHeight="1" x14ac:dyDescent="0.3">
      <c r="A42" s="12">
        <f>IF(IF(SelectedScope="All India",TRUE,'RAW_QUIZ'!$B41=SelectedScope),'RAW_QUIZ'!A41,"")</f>
        <v>38</v>
      </c>
      <c r="B42" s="12" t="str">
        <f>IF(IF(SelectedScope="All India",TRUE,'RAW_QUIZ'!$B41=SelectedScope),'RAW_QUIZ'!B41,"")</f>
        <v>Assam</v>
      </c>
      <c r="C42" s="12" t="str">
        <f>IF(IF(SelectedScope="All India",TRUE,'RAW_QUIZ'!$B41=SelectedScope),'RAW_QUIZ'!C41,"")</f>
        <v>Physics</v>
      </c>
      <c r="D42" s="12" t="str">
        <f>IF(IF(SelectedScope="All India",TRUE,'RAW_QUIZ'!$B41=SelectedScope),'RAW_QUIZ'!D41,"")</f>
        <v>Class 10</v>
      </c>
      <c r="E42" s="12" t="str">
        <f>IF(IF(SelectedScope="All India",TRUE,'RAW_QUIZ'!$B41=SelectedScope),'RAW_QUIZ'!E41,"")</f>
        <v>Electricity — Unit Quiz</v>
      </c>
      <c r="F42" s="12">
        <f>IF(IF(SelectedScope="All India",TRUE,'RAW_QUIZ'!$B41=SelectedScope),'RAW_QUIZ'!F41,"")</f>
        <v>0</v>
      </c>
      <c r="G42" s="12" t="str">
        <f>IF(IF(SelectedScope="All India",TRUE,'RAW_QUIZ'!$B41=SelectedScope),'RAW_QUIZ'!G41,"")</f>
        <v>Active</v>
      </c>
      <c r="H42" s="12">
        <f>IF(IF(SelectedScope="All India",TRUE,'RAW_QUIZ'!$B41=SelectedScope),'RAW_QUIZ'!H41,"")</f>
        <v>0</v>
      </c>
      <c r="I42" s="12">
        <f>IF(IF(SelectedScope="All India",TRUE,'RAW_QUIZ'!$B41=SelectedScope),'RAW_QUIZ'!I41,"")</f>
        <v>0</v>
      </c>
      <c r="J42" s="12">
        <f>IF(IF(SelectedScope="All India",TRUE,'RAW_QUIZ'!$B41=SelectedScope),'RAW_QUIZ'!J41,"")</f>
        <v>0</v>
      </c>
      <c r="K42" s="12">
        <f>IF(IF(SelectedScope="All India",TRUE,'RAW_QUIZ'!$B41=SelectedScope),'RAW_QUIZ'!K41,"")</f>
        <v>0</v>
      </c>
      <c r="L42" s="12">
        <f>IF(IF(SelectedScope="All India",TRUE,'RAW_QUIZ'!$B41=SelectedScope),'RAW_QUIZ'!L41,"")</f>
        <v>0</v>
      </c>
      <c r="M42" s="12">
        <f>IF(IF(SelectedScope="All India",TRUE,'RAW_QUIZ'!$B41=SelectedScope),'RAW_QUIZ'!M41,"")</f>
        <v>0</v>
      </c>
      <c r="N42" s="12">
        <f>IF(IF(SelectedScope="All India",TRUE,'RAW_QUIZ'!$B41=SelectedScope),'RAW_QUIZ'!N41,"")</f>
        <v>0</v>
      </c>
      <c r="O42" s="12">
        <f>IF(IF(SelectedScope="All India",TRUE,'RAW_QUIZ'!$B41=SelectedScope),'RAW_QUIZ'!O41,"")</f>
        <v>0</v>
      </c>
      <c r="P42" s="12">
        <f>IF(IF(SelectedScope="All India",TRUE,'RAW_QUIZ'!$B41=SelectedScope),'RAW_QUIZ'!P41,"")</f>
        <v>0</v>
      </c>
      <c r="Q42" s="12">
        <f>IF(IF(SelectedScope="All India",TRUE,'RAW_QUIZ'!$B41=SelectedScope),'RAW_QUIZ'!Q41,"")</f>
        <v>0</v>
      </c>
    </row>
    <row r="43" spans="1:17" ht="15" customHeight="1" x14ac:dyDescent="0.3">
      <c r="A43" s="9">
        <f>IF(IF(SelectedScope="All India",TRUE,'RAW_QUIZ'!$B42=SelectedScope),'RAW_QUIZ'!A42,"")</f>
        <v>39</v>
      </c>
      <c r="B43" s="9" t="str">
        <f>IF(IF(SelectedScope="All India",TRUE,'RAW_QUIZ'!$B42=SelectedScope),'RAW_QUIZ'!B42,"")</f>
        <v>Assam</v>
      </c>
      <c r="C43" s="9" t="str">
        <f>IF(IF(SelectedScope="All India",TRUE,'RAW_QUIZ'!$B42=SelectedScope),'RAW_QUIZ'!C42,"")</f>
        <v>Civics</v>
      </c>
      <c r="D43" s="9" t="str">
        <f>IF(IF(SelectedScope="All India",TRUE,'RAW_QUIZ'!$B42=SelectedScope),'RAW_QUIZ'!D42,"")</f>
        <v>Class 9</v>
      </c>
      <c r="E43" s="9" t="str">
        <f>IF(IF(SelectedScope="All India",TRUE,'RAW_QUIZ'!$B42=SelectedScope),'RAW_QUIZ'!E42,"")</f>
        <v>Indian Constitution — Unit Quiz</v>
      </c>
      <c r="F43" s="9">
        <f>IF(IF(SelectedScope="All India",TRUE,'RAW_QUIZ'!$B42=SelectedScope),'RAW_QUIZ'!F42,"")</f>
        <v>0</v>
      </c>
      <c r="G43" s="9" t="str">
        <f>IF(IF(SelectedScope="All India",TRUE,'RAW_QUIZ'!$B42=SelectedScope),'RAW_QUIZ'!G42,"")</f>
        <v>Active</v>
      </c>
      <c r="H43" s="9">
        <f>IF(IF(SelectedScope="All India",TRUE,'RAW_QUIZ'!$B42=SelectedScope),'RAW_QUIZ'!H42,"")</f>
        <v>0</v>
      </c>
      <c r="I43" s="9">
        <f>IF(IF(SelectedScope="All India",TRUE,'RAW_QUIZ'!$B42=SelectedScope),'RAW_QUIZ'!I42,"")</f>
        <v>0</v>
      </c>
      <c r="J43" s="9">
        <f>IF(IF(SelectedScope="All India",TRUE,'RAW_QUIZ'!$B42=SelectedScope),'RAW_QUIZ'!J42,"")</f>
        <v>0</v>
      </c>
      <c r="K43" s="9">
        <f>IF(IF(SelectedScope="All India",TRUE,'RAW_QUIZ'!$B42=SelectedScope),'RAW_QUIZ'!K42,"")</f>
        <v>0</v>
      </c>
      <c r="L43" s="9">
        <f>IF(IF(SelectedScope="All India",TRUE,'RAW_QUIZ'!$B42=SelectedScope),'RAW_QUIZ'!L42,"")</f>
        <v>0</v>
      </c>
      <c r="M43" s="9">
        <f>IF(IF(SelectedScope="All India",TRUE,'RAW_QUIZ'!$B42=SelectedScope),'RAW_QUIZ'!M42,"")</f>
        <v>0</v>
      </c>
      <c r="N43" s="9">
        <f>IF(IF(SelectedScope="All India",TRUE,'RAW_QUIZ'!$B42=SelectedScope),'RAW_QUIZ'!N42,"")</f>
        <v>0</v>
      </c>
      <c r="O43" s="9">
        <f>IF(IF(SelectedScope="All India",TRUE,'RAW_QUIZ'!$B42=SelectedScope),'RAW_QUIZ'!O42,"")</f>
        <v>0</v>
      </c>
      <c r="P43" s="9">
        <f>IF(IF(SelectedScope="All India",TRUE,'RAW_QUIZ'!$B42=SelectedScope),'RAW_QUIZ'!P42,"")</f>
        <v>0</v>
      </c>
      <c r="Q43" s="9">
        <f>IF(IF(SelectedScope="All India",TRUE,'RAW_QUIZ'!$B42=SelectedScope),'RAW_QUIZ'!Q42,"")</f>
        <v>0</v>
      </c>
    </row>
    <row r="44" spans="1:17" ht="15" customHeight="1" x14ac:dyDescent="0.3">
      <c r="A44" s="12">
        <f>IF(IF(SelectedScope="All India",TRUE,'RAW_QUIZ'!$B43=SelectedScope),'RAW_QUIZ'!A43,"")</f>
        <v>40</v>
      </c>
      <c r="B44" s="12" t="str">
        <f>IF(IF(SelectedScope="All India",TRUE,'RAW_QUIZ'!$B43=SelectedScope),'RAW_QUIZ'!B43,"")</f>
        <v>Assam</v>
      </c>
      <c r="C44" s="12" t="str">
        <f>IF(IF(SelectedScope="All India",TRUE,'RAW_QUIZ'!$B43=SelectedScope),'RAW_QUIZ'!C43,"")</f>
        <v>Mathematics</v>
      </c>
      <c r="D44" s="12" t="str">
        <f>IF(IF(SelectedScope="All India",TRUE,'RAW_QUIZ'!$B43=SelectedScope),'RAW_QUIZ'!D43,"")</f>
        <v>Class 10</v>
      </c>
      <c r="E44" s="12" t="str">
        <f>IF(IF(SelectedScope="All India",TRUE,'RAW_QUIZ'!$B43=SelectedScope),'RAW_QUIZ'!E43,"")</f>
        <v>Quadratic Equations — Unit Quiz</v>
      </c>
      <c r="F44" s="12">
        <f>IF(IF(SelectedScope="All India",TRUE,'RAW_QUIZ'!$B43=SelectedScope),'RAW_QUIZ'!F43,"")</f>
        <v>0</v>
      </c>
      <c r="G44" s="12" t="str">
        <f>IF(IF(SelectedScope="All India",TRUE,'RAW_QUIZ'!$B43=SelectedScope),'RAW_QUIZ'!G43,"")</f>
        <v>Active</v>
      </c>
      <c r="H44" s="12">
        <f>IF(IF(SelectedScope="All India",TRUE,'RAW_QUIZ'!$B43=SelectedScope),'RAW_QUIZ'!H43,"")</f>
        <v>0</v>
      </c>
      <c r="I44" s="12">
        <f>IF(IF(SelectedScope="All India",TRUE,'RAW_QUIZ'!$B43=SelectedScope),'RAW_QUIZ'!I43,"")</f>
        <v>0</v>
      </c>
      <c r="J44" s="12">
        <f>IF(IF(SelectedScope="All India",TRUE,'RAW_QUIZ'!$B43=SelectedScope),'RAW_QUIZ'!J43,"")</f>
        <v>0</v>
      </c>
      <c r="K44" s="12">
        <f>IF(IF(SelectedScope="All India",TRUE,'RAW_QUIZ'!$B43=SelectedScope),'RAW_QUIZ'!K43,"")</f>
        <v>0</v>
      </c>
      <c r="L44" s="12">
        <f>IF(IF(SelectedScope="All India",TRUE,'RAW_QUIZ'!$B43=SelectedScope),'RAW_QUIZ'!L43,"")</f>
        <v>0</v>
      </c>
      <c r="M44" s="12">
        <f>IF(IF(SelectedScope="All India",TRUE,'RAW_QUIZ'!$B43=SelectedScope),'RAW_QUIZ'!M43,"")</f>
        <v>0</v>
      </c>
      <c r="N44" s="12">
        <f>IF(IF(SelectedScope="All India",TRUE,'RAW_QUIZ'!$B43=SelectedScope),'RAW_QUIZ'!N43,"")</f>
        <v>0</v>
      </c>
      <c r="O44" s="12">
        <f>IF(IF(SelectedScope="All India",TRUE,'RAW_QUIZ'!$B43=SelectedScope),'RAW_QUIZ'!O43,"")</f>
        <v>0</v>
      </c>
      <c r="P44" s="12">
        <f>IF(IF(SelectedScope="All India",TRUE,'RAW_QUIZ'!$B43=SelectedScope),'RAW_QUIZ'!P43,"")</f>
        <v>0</v>
      </c>
      <c r="Q44" s="12">
        <f>IF(IF(SelectedScope="All India",TRUE,'RAW_QUIZ'!$B43=SelectedScope),'RAW_QUIZ'!Q43,"")</f>
        <v>0</v>
      </c>
    </row>
    <row r="45" spans="1:17" ht="15" customHeight="1" x14ac:dyDescent="0.3">
      <c r="A45" s="9">
        <f>IF(IF(SelectedScope="All India",TRUE,'RAW_QUIZ'!$B44=SelectedScope),'RAW_QUIZ'!A44,"")</f>
        <v>41</v>
      </c>
      <c r="B45" s="9" t="str">
        <f>IF(IF(SelectedScope="All India",TRUE,'RAW_QUIZ'!$B44=SelectedScope),'RAW_QUIZ'!B44,"")</f>
        <v>Bihar</v>
      </c>
      <c r="C45" s="9" t="str">
        <f>IF(IF(SelectedScope="All India",TRUE,'RAW_QUIZ'!$B44=SelectedScope),'RAW_QUIZ'!C44,"")</f>
        <v>Science</v>
      </c>
      <c r="D45" s="9" t="str">
        <f>IF(IF(SelectedScope="All India",TRUE,'RAW_QUIZ'!$B44=SelectedScope),'RAW_QUIZ'!D44,"")</f>
        <v>Class 8</v>
      </c>
      <c r="E45" s="9" t="str">
        <f>IF(IF(SelectedScope="All India",TRUE,'RAW_QUIZ'!$B44=SelectedScope),'RAW_QUIZ'!E44,"")</f>
        <v>Solar System — Unit Quiz</v>
      </c>
      <c r="F45" s="9">
        <f>IF(IF(SelectedScope="All India",TRUE,'RAW_QUIZ'!$B44=SelectedScope),'RAW_QUIZ'!F44,"")</f>
        <v>0</v>
      </c>
      <c r="G45" s="9" t="str">
        <f>IF(IF(SelectedScope="All India",TRUE,'RAW_QUIZ'!$B44=SelectedScope),'RAW_QUIZ'!G44,"")</f>
        <v>Active</v>
      </c>
      <c r="H45" s="9">
        <f>IF(IF(SelectedScope="All India",TRUE,'RAW_QUIZ'!$B44=SelectedScope),'RAW_QUIZ'!H44,"")</f>
        <v>0</v>
      </c>
      <c r="I45" s="9">
        <f>IF(IF(SelectedScope="All India",TRUE,'RAW_QUIZ'!$B44=SelectedScope),'RAW_QUIZ'!I44,"")</f>
        <v>0</v>
      </c>
      <c r="J45" s="9">
        <f>IF(IF(SelectedScope="All India",TRUE,'RAW_QUIZ'!$B44=SelectedScope),'RAW_QUIZ'!J44,"")</f>
        <v>0</v>
      </c>
      <c r="K45" s="9">
        <f>IF(IF(SelectedScope="All India",TRUE,'RAW_QUIZ'!$B44=SelectedScope),'RAW_QUIZ'!K44,"")</f>
        <v>0</v>
      </c>
      <c r="L45" s="9">
        <f>IF(IF(SelectedScope="All India",TRUE,'RAW_QUIZ'!$B44=SelectedScope),'RAW_QUIZ'!L44,"")</f>
        <v>0</v>
      </c>
      <c r="M45" s="9">
        <f>IF(IF(SelectedScope="All India",TRUE,'RAW_QUIZ'!$B44=SelectedScope),'RAW_QUIZ'!M44,"")</f>
        <v>0</v>
      </c>
      <c r="N45" s="9">
        <f>IF(IF(SelectedScope="All India",TRUE,'RAW_QUIZ'!$B44=SelectedScope),'RAW_QUIZ'!N44,"")</f>
        <v>0</v>
      </c>
      <c r="O45" s="9">
        <f>IF(IF(SelectedScope="All India",TRUE,'RAW_QUIZ'!$B44=SelectedScope),'RAW_QUIZ'!O44,"")</f>
        <v>0</v>
      </c>
      <c r="P45" s="9">
        <f>IF(IF(SelectedScope="All India",TRUE,'RAW_QUIZ'!$B44=SelectedScope),'RAW_QUIZ'!P44,"")</f>
        <v>0</v>
      </c>
      <c r="Q45" s="9">
        <f>IF(IF(SelectedScope="All India",TRUE,'RAW_QUIZ'!$B44=SelectedScope),'RAW_QUIZ'!Q44,"")</f>
        <v>0</v>
      </c>
    </row>
    <row r="46" spans="1:17" ht="15" customHeight="1" x14ac:dyDescent="0.3">
      <c r="A46" s="12">
        <f>IF(IF(SelectedScope="All India",TRUE,'RAW_QUIZ'!$B45=SelectedScope),'RAW_QUIZ'!A45,"")</f>
        <v>42</v>
      </c>
      <c r="B46" s="12" t="str">
        <f>IF(IF(SelectedScope="All India",TRUE,'RAW_QUIZ'!$B45=SelectedScope),'RAW_QUIZ'!B45,"")</f>
        <v>Bihar</v>
      </c>
      <c r="C46" s="12" t="str">
        <f>IF(IF(SelectedScope="All India",TRUE,'RAW_QUIZ'!$B45=SelectedScope),'RAW_QUIZ'!C45,"")</f>
        <v>Biology</v>
      </c>
      <c r="D46" s="12" t="str">
        <f>IF(IF(SelectedScope="All India",TRUE,'RAW_QUIZ'!$B45=SelectedScope),'RAW_QUIZ'!D45,"")</f>
        <v>Class 9</v>
      </c>
      <c r="E46" s="12" t="str">
        <f>IF(IF(SelectedScope="All India",TRUE,'RAW_QUIZ'!$B45=SelectedScope),'RAW_QUIZ'!E45,"")</f>
        <v>Cell Division — Unit Quiz</v>
      </c>
      <c r="F46" s="12">
        <f>IF(IF(SelectedScope="All India",TRUE,'RAW_QUIZ'!$B45=SelectedScope),'RAW_QUIZ'!F45,"")</f>
        <v>0</v>
      </c>
      <c r="G46" s="12" t="str">
        <f>IF(IF(SelectedScope="All India",TRUE,'RAW_QUIZ'!$B45=SelectedScope),'RAW_QUIZ'!G45,"")</f>
        <v>Active</v>
      </c>
      <c r="H46" s="12">
        <f>IF(IF(SelectedScope="All India",TRUE,'RAW_QUIZ'!$B45=SelectedScope),'RAW_QUIZ'!H45,"")</f>
        <v>0</v>
      </c>
      <c r="I46" s="12">
        <f>IF(IF(SelectedScope="All India",TRUE,'RAW_QUIZ'!$B45=SelectedScope),'RAW_QUIZ'!I45,"")</f>
        <v>0</v>
      </c>
      <c r="J46" s="12">
        <f>IF(IF(SelectedScope="All India",TRUE,'RAW_QUIZ'!$B45=SelectedScope),'RAW_QUIZ'!J45,"")</f>
        <v>0</v>
      </c>
      <c r="K46" s="12">
        <f>IF(IF(SelectedScope="All India",TRUE,'RAW_QUIZ'!$B45=SelectedScope),'RAW_QUIZ'!K45,"")</f>
        <v>0</v>
      </c>
      <c r="L46" s="12">
        <f>IF(IF(SelectedScope="All India",TRUE,'RAW_QUIZ'!$B45=SelectedScope),'RAW_QUIZ'!L45,"")</f>
        <v>0</v>
      </c>
      <c r="M46" s="12">
        <f>IF(IF(SelectedScope="All India",TRUE,'RAW_QUIZ'!$B45=SelectedScope),'RAW_QUIZ'!M45,"")</f>
        <v>0</v>
      </c>
      <c r="N46" s="12">
        <f>IF(IF(SelectedScope="All India",TRUE,'RAW_QUIZ'!$B45=SelectedScope),'RAW_QUIZ'!N45,"")</f>
        <v>0</v>
      </c>
      <c r="O46" s="12">
        <f>IF(IF(SelectedScope="All India",TRUE,'RAW_QUIZ'!$B45=SelectedScope),'RAW_QUIZ'!O45,"")</f>
        <v>0</v>
      </c>
      <c r="P46" s="12">
        <f>IF(IF(SelectedScope="All India",TRUE,'RAW_QUIZ'!$B45=SelectedScope),'RAW_QUIZ'!P45,"")</f>
        <v>0</v>
      </c>
      <c r="Q46" s="12">
        <f>IF(IF(SelectedScope="All India",TRUE,'RAW_QUIZ'!$B45=SelectedScope),'RAW_QUIZ'!Q45,"")</f>
        <v>0</v>
      </c>
    </row>
    <row r="47" spans="1:17" ht="15" customHeight="1" x14ac:dyDescent="0.3">
      <c r="A47" s="9">
        <f>IF(IF(SelectedScope="All India",TRUE,'RAW_QUIZ'!$B46=SelectedScope),'RAW_QUIZ'!A46,"")</f>
        <v>43</v>
      </c>
      <c r="B47" s="9" t="str">
        <f>IF(IF(SelectedScope="All India",TRUE,'RAW_QUIZ'!$B46=SelectedScope),'RAW_QUIZ'!B46,"")</f>
        <v>Bihar</v>
      </c>
      <c r="C47" s="9" t="str">
        <f>IF(IF(SelectedScope="All India",TRUE,'RAW_QUIZ'!$B46=SelectedScope),'RAW_QUIZ'!C46,"")</f>
        <v>Chemistry</v>
      </c>
      <c r="D47" s="9" t="str">
        <f>IF(IF(SelectedScope="All India",TRUE,'RAW_QUIZ'!$B46=SelectedScope),'RAW_QUIZ'!D46,"")</f>
        <v>Class 9</v>
      </c>
      <c r="E47" s="9" t="str">
        <f>IF(IF(SelectedScope="All India",TRUE,'RAW_QUIZ'!$B46=SelectedScope),'RAW_QUIZ'!E46,"")</f>
        <v>Atoms and Molecules — Unit Quiz</v>
      </c>
      <c r="F47" s="9">
        <f>IF(IF(SelectedScope="All India",TRUE,'RAW_QUIZ'!$B46=SelectedScope),'RAW_QUIZ'!F46,"")</f>
        <v>0</v>
      </c>
      <c r="G47" s="9" t="str">
        <f>IF(IF(SelectedScope="All India",TRUE,'RAW_QUIZ'!$B46=SelectedScope),'RAW_QUIZ'!G46,"")</f>
        <v>Active</v>
      </c>
      <c r="H47" s="9">
        <f>IF(IF(SelectedScope="All India",TRUE,'RAW_QUIZ'!$B46=SelectedScope),'RAW_QUIZ'!H46,"")</f>
        <v>0</v>
      </c>
      <c r="I47" s="9">
        <f>IF(IF(SelectedScope="All India",TRUE,'RAW_QUIZ'!$B46=SelectedScope),'RAW_QUIZ'!I46,"")</f>
        <v>0</v>
      </c>
      <c r="J47" s="9">
        <f>IF(IF(SelectedScope="All India",TRUE,'RAW_QUIZ'!$B46=SelectedScope),'RAW_QUIZ'!J46,"")</f>
        <v>0</v>
      </c>
      <c r="K47" s="9">
        <f>IF(IF(SelectedScope="All India",TRUE,'RAW_QUIZ'!$B46=SelectedScope),'RAW_QUIZ'!K46,"")</f>
        <v>0</v>
      </c>
      <c r="L47" s="9">
        <f>IF(IF(SelectedScope="All India",TRUE,'RAW_QUIZ'!$B46=SelectedScope),'RAW_QUIZ'!L46,"")</f>
        <v>0</v>
      </c>
      <c r="M47" s="9">
        <f>IF(IF(SelectedScope="All India",TRUE,'RAW_QUIZ'!$B46=SelectedScope),'RAW_QUIZ'!M46,"")</f>
        <v>0</v>
      </c>
      <c r="N47" s="9">
        <f>IF(IF(SelectedScope="All India",TRUE,'RAW_QUIZ'!$B46=SelectedScope),'RAW_QUIZ'!N46,"")</f>
        <v>0</v>
      </c>
      <c r="O47" s="9">
        <f>IF(IF(SelectedScope="All India",TRUE,'RAW_QUIZ'!$B46=SelectedScope),'RAW_QUIZ'!O46,"")</f>
        <v>0</v>
      </c>
      <c r="P47" s="9">
        <f>IF(IF(SelectedScope="All India",TRUE,'RAW_QUIZ'!$B46=SelectedScope),'RAW_QUIZ'!P46,"")</f>
        <v>0</v>
      </c>
      <c r="Q47" s="9">
        <f>IF(IF(SelectedScope="All India",TRUE,'RAW_QUIZ'!$B46=SelectedScope),'RAW_QUIZ'!Q46,"")</f>
        <v>0</v>
      </c>
    </row>
    <row r="48" spans="1:17" ht="15" customHeight="1" x14ac:dyDescent="0.3">
      <c r="A48" s="12">
        <f>IF(IF(SelectedScope="All India",TRUE,'RAW_QUIZ'!$B47=SelectedScope),'RAW_QUIZ'!A47,"")</f>
        <v>44</v>
      </c>
      <c r="B48" s="12" t="str">
        <f>IF(IF(SelectedScope="All India",TRUE,'RAW_QUIZ'!$B47=SelectedScope),'RAW_QUIZ'!B47,"")</f>
        <v>Bihar</v>
      </c>
      <c r="C48" s="12" t="str">
        <f>IF(IF(SelectedScope="All India",TRUE,'RAW_QUIZ'!$B47=SelectedScope),'RAW_QUIZ'!C47,"")</f>
        <v>Mathematics</v>
      </c>
      <c r="D48" s="12" t="str">
        <f>IF(IF(SelectedScope="All India",TRUE,'RAW_QUIZ'!$B47=SelectedScope),'RAW_QUIZ'!D47,"")</f>
        <v>Class 7</v>
      </c>
      <c r="E48" s="12" t="str">
        <f>IF(IF(SelectedScope="All India",TRUE,'RAW_QUIZ'!$B47=SelectedScope),'RAW_QUIZ'!E47,"")</f>
        <v>Fractions — Unit Quiz</v>
      </c>
      <c r="F48" s="12">
        <f>IF(IF(SelectedScope="All India",TRUE,'RAW_QUIZ'!$B47=SelectedScope),'RAW_QUIZ'!F47,"")</f>
        <v>0</v>
      </c>
      <c r="G48" s="12" t="str">
        <f>IF(IF(SelectedScope="All India",TRUE,'RAW_QUIZ'!$B47=SelectedScope),'RAW_QUIZ'!G47,"")</f>
        <v>Active</v>
      </c>
      <c r="H48" s="12">
        <f>IF(IF(SelectedScope="All India",TRUE,'RAW_QUIZ'!$B47=SelectedScope),'RAW_QUIZ'!H47,"")</f>
        <v>0</v>
      </c>
      <c r="I48" s="12">
        <f>IF(IF(SelectedScope="All India",TRUE,'RAW_QUIZ'!$B47=SelectedScope),'RAW_QUIZ'!I47,"")</f>
        <v>0</v>
      </c>
      <c r="J48" s="12">
        <f>IF(IF(SelectedScope="All India",TRUE,'RAW_QUIZ'!$B47=SelectedScope),'RAW_QUIZ'!J47,"")</f>
        <v>0</v>
      </c>
      <c r="K48" s="12">
        <f>IF(IF(SelectedScope="All India",TRUE,'RAW_QUIZ'!$B47=SelectedScope),'RAW_QUIZ'!K47,"")</f>
        <v>0</v>
      </c>
      <c r="L48" s="12">
        <f>IF(IF(SelectedScope="All India",TRUE,'RAW_QUIZ'!$B47=SelectedScope),'RAW_QUIZ'!L47,"")</f>
        <v>0</v>
      </c>
      <c r="M48" s="12">
        <f>IF(IF(SelectedScope="All India",TRUE,'RAW_QUIZ'!$B47=SelectedScope),'RAW_QUIZ'!M47,"")</f>
        <v>0</v>
      </c>
      <c r="N48" s="12">
        <f>IF(IF(SelectedScope="All India",TRUE,'RAW_QUIZ'!$B47=SelectedScope),'RAW_QUIZ'!N47,"")</f>
        <v>0</v>
      </c>
      <c r="O48" s="12">
        <f>IF(IF(SelectedScope="All India",TRUE,'RAW_QUIZ'!$B47=SelectedScope),'RAW_QUIZ'!O47,"")</f>
        <v>0</v>
      </c>
      <c r="P48" s="12">
        <f>IF(IF(SelectedScope="All India",TRUE,'RAW_QUIZ'!$B47=SelectedScope),'RAW_QUIZ'!P47,"")</f>
        <v>0</v>
      </c>
      <c r="Q48" s="12">
        <f>IF(IF(SelectedScope="All India",TRUE,'RAW_QUIZ'!$B47=SelectedScope),'RAW_QUIZ'!Q47,"")</f>
        <v>0</v>
      </c>
    </row>
    <row r="49" spans="1:17" ht="15" customHeight="1" x14ac:dyDescent="0.3">
      <c r="A49" s="9">
        <f>IF(IF(SelectedScope="All India",TRUE,'RAW_QUIZ'!$B48=SelectedScope),'RAW_QUIZ'!A48,"")</f>
        <v>45</v>
      </c>
      <c r="B49" s="9" t="str">
        <f>IF(IF(SelectedScope="All India",TRUE,'RAW_QUIZ'!$B48=SelectedScope),'RAW_QUIZ'!B48,"")</f>
        <v>Bihar</v>
      </c>
      <c r="C49" s="9" t="str">
        <f>IF(IF(SelectedScope="All India",TRUE,'RAW_QUIZ'!$B48=SelectedScope),'RAW_QUIZ'!C48,"")</f>
        <v>Mathematics</v>
      </c>
      <c r="D49" s="9" t="str">
        <f>IF(IF(SelectedScope="All India",TRUE,'RAW_QUIZ'!$B48=SelectedScope),'RAW_QUIZ'!D48,"")</f>
        <v>Class 10</v>
      </c>
      <c r="E49" s="9" t="str">
        <f>IF(IF(SelectedScope="All India",TRUE,'RAW_QUIZ'!$B48=SelectedScope),'RAW_QUIZ'!E48,"")</f>
        <v>Trigonometry — Unit Quiz</v>
      </c>
      <c r="F49" s="9">
        <f>IF(IF(SelectedScope="All India",TRUE,'RAW_QUIZ'!$B48=SelectedScope),'RAW_QUIZ'!F48,"")</f>
        <v>0</v>
      </c>
      <c r="G49" s="9" t="str">
        <f>IF(IF(SelectedScope="All India",TRUE,'RAW_QUIZ'!$B48=SelectedScope),'RAW_QUIZ'!G48,"")</f>
        <v>Active</v>
      </c>
      <c r="H49" s="9">
        <f>IF(IF(SelectedScope="All India",TRUE,'RAW_QUIZ'!$B48=SelectedScope),'RAW_QUIZ'!H48,"")</f>
        <v>0</v>
      </c>
      <c r="I49" s="9">
        <f>IF(IF(SelectedScope="All India",TRUE,'RAW_QUIZ'!$B48=SelectedScope),'RAW_QUIZ'!I48,"")</f>
        <v>0</v>
      </c>
      <c r="J49" s="9">
        <f>IF(IF(SelectedScope="All India",TRUE,'RAW_QUIZ'!$B48=SelectedScope),'RAW_QUIZ'!J48,"")</f>
        <v>0</v>
      </c>
      <c r="K49" s="9">
        <f>IF(IF(SelectedScope="All India",TRUE,'RAW_QUIZ'!$B48=SelectedScope),'RAW_QUIZ'!K48,"")</f>
        <v>0</v>
      </c>
      <c r="L49" s="9">
        <f>IF(IF(SelectedScope="All India",TRUE,'RAW_QUIZ'!$B48=SelectedScope),'RAW_QUIZ'!L48,"")</f>
        <v>0</v>
      </c>
      <c r="M49" s="9">
        <f>IF(IF(SelectedScope="All India",TRUE,'RAW_QUIZ'!$B48=SelectedScope),'RAW_QUIZ'!M48,"")</f>
        <v>0</v>
      </c>
      <c r="N49" s="9">
        <f>IF(IF(SelectedScope="All India",TRUE,'RAW_QUIZ'!$B48=SelectedScope),'RAW_QUIZ'!N48,"")</f>
        <v>0</v>
      </c>
      <c r="O49" s="9">
        <f>IF(IF(SelectedScope="All India",TRUE,'RAW_QUIZ'!$B48=SelectedScope),'RAW_QUIZ'!O48,"")</f>
        <v>0</v>
      </c>
      <c r="P49" s="9">
        <f>IF(IF(SelectedScope="All India",TRUE,'RAW_QUIZ'!$B48=SelectedScope),'RAW_QUIZ'!P48,"")</f>
        <v>0</v>
      </c>
      <c r="Q49" s="9">
        <f>IF(IF(SelectedScope="All India",TRUE,'RAW_QUIZ'!$B48=SelectedScope),'RAW_QUIZ'!Q48,"")</f>
        <v>0</v>
      </c>
    </row>
    <row r="50" spans="1:17" ht="15" customHeight="1" x14ac:dyDescent="0.3">
      <c r="A50" s="12">
        <f>IF(IF(SelectedScope="All India",TRUE,'RAW_QUIZ'!$B49=SelectedScope),'RAW_QUIZ'!A49,"")</f>
        <v>46</v>
      </c>
      <c r="B50" s="12" t="str">
        <f>IF(IF(SelectedScope="All India",TRUE,'RAW_QUIZ'!$B49=SelectedScope),'RAW_QUIZ'!B49,"")</f>
        <v>Bihar</v>
      </c>
      <c r="C50" s="12" t="str">
        <f>IF(IF(SelectedScope="All India",TRUE,'RAW_QUIZ'!$B49=SelectedScope),'RAW_QUIZ'!C49,"")</f>
        <v>History</v>
      </c>
      <c r="D50" s="12" t="str">
        <f>IF(IF(SelectedScope="All India",TRUE,'RAW_QUIZ'!$B49=SelectedScope),'RAW_QUIZ'!D49,"")</f>
        <v>Class 10</v>
      </c>
      <c r="E50" s="12" t="str">
        <f>IF(IF(SelectedScope="All India",TRUE,'RAW_QUIZ'!$B49=SelectedScope),'RAW_QUIZ'!E49,"")</f>
        <v>Mughal Empire — Unit Quiz</v>
      </c>
      <c r="F50" s="12">
        <f>IF(IF(SelectedScope="All India",TRUE,'RAW_QUIZ'!$B49=SelectedScope),'RAW_QUIZ'!F49,"")</f>
        <v>0</v>
      </c>
      <c r="G50" s="12" t="str">
        <f>IF(IF(SelectedScope="All India",TRUE,'RAW_QUIZ'!$B49=SelectedScope),'RAW_QUIZ'!G49,"")</f>
        <v>Active</v>
      </c>
      <c r="H50" s="12">
        <f>IF(IF(SelectedScope="All India",TRUE,'RAW_QUIZ'!$B49=SelectedScope),'RAW_QUIZ'!H49,"")</f>
        <v>0</v>
      </c>
      <c r="I50" s="12">
        <f>IF(IF(SelectedScope="All India",TRUE,'RAW_QUIZ'!$B49=SelectedScope),'RAW_QUIZ'!I49,"")</f>
        <v>0</v>
      </c>
      <c r="J50" s="12">
        <f>IF(IF(SelectedScope="All India",TRUE,'RAW_QUIZ'!$B49=SelectedScope),'RAW_QUIZ'!J49,"")</f>
        <v>0</v>
      </c>
      <c r="K50" s="12">
        <f>IF(IF(SelectedScope="All India",TRUE,'RAW_QUIZ'!$B49=SelectedScope),'RAW_QUIZ'!K49,"")</f>
        <v>0</v>
      </c>
      <c r="L50" s="12">
        <f>IF(IF(SelectedScope="All India",TRUE,'RAW_QUIZ'!$B49=SelectedScope),'RAW_QUIZ'!L49,"")</f>
        <v>0</v>
      </c>
      <c r="M50" s="12">
        <f>IF(IF(SelectedScope="All India",TRUE,'RAW_QUIZ'!$B49=SelectedScope),'RAW_QUIZ'!M49,"")</f>
        <v>0</v>
      </c>
      <c r="N50" s="12">
        <f>IF(IF(SelectedScope="All India",TRUE,'RAW_QUIZ'!$B49=SelectedScope),'RAW_QUIZ'!N49,"")</f>
        <v>0</v>
      </c>
      <c r="O50" s="12">
        <f>IF(IF(SelectedScope="All India",TRUE,'RAW_QUIZ'!$B49=SelectedScope),'RAW_QUIZ'!O49,"")</f>
        <v>0</v>
      </c>
      <c r="P50" s="12">
        <f>IF(IF(SelectedScope="All India",TRUE,'RAW_QUIZ'!$B49=SelectedScope),'RAW_QUIZ'!P49,"")</f>
        <v>0</v>
      </c>
      <c r="Q50" s="12">
        <f>IF(IF(SelectedScope="All India",TRUE,'RAW_QUIZ'!$B49=SelectedScope),'RAW_QUIZ'!Q49,"")</f>
        <v>0</v>
      </c>
    </row>
    <row r="51" spans="1:17" ht="15" customHeight="1" x14ac:dyDescent="0.3">
      <c r="A51" s="9">
        <f>IF(IF(SelectedScope="All India",TRUE,'RAW_QUIZ'!$B50=SelectedScope),'RAW_QUIZ'!A50,"")</f>
        <v>47</v>
      </c>
      <c r="B51" s="9" t="str">
        <f>IF(IF(SelectedScope="All India",TRUE,'RAW_QUIZ'!$B50=SelectedScope),'RAW_QUIZ'!B50,"")</f>
        <v>Bihar</v>
      </c>
      <c r="C51" s="9" t="str">
        <f>IF(IF(SelectedScope="All India",TRUE,'RAW_QUIZ'!$B50=SelectedScope),'RAW_QUIZ'!C50,"")</f>
        <v>Physics</v>
      </c>
      <c r="D51" s="9" t="str">
        <f>IF(IF(SelectedScope="All India",TRUE,'RAW_QUIZ'!$B50=SelectedScope),'RAW_QUIZ'!D50,"")</f>
        <v>Class 9</v>
      </c>
      <c r="E51" s="9" t="str">
        <f>IF(IF(SelectedScope="All India",TRUE,'RAW_QUIZ'!$B50=SelectedScope),'RAW_QUIZ'!E50,"")</f>
        <v>Laws of Motion — Unit Quiz</v>
      </c>
      <c r="F51" s="9">
        <f>IF(IF(SelectedScope="All India",TRUE,'RAW_QUIZ'!$B50=SelectedScope),'RAW_QUIZ'!F50,"")</f>
        <v>0</v>
      </c>
      <c r="G51" s="9" t="str">
        <f>IF(IF(SelectedScope="All India",TRUE,'RAW_QUIZ'!$B50=SelectedScope),'RAW_QUIZ'!G50,"")</f>
        <v>Active</v>
      </c>
      <c r="H51" s="9">
        <f>IF(IF(SelectedScope="All India",TRUE,'RAW_QUIZ'!$B50=SelectedScope),'RAW_QUIZ'!H50,"")</f>
        <v>0</v>
      </c>
      <c r="I51" s="9">
        <f>IF(IF(SelectedScope="All India",TRUE,'RAW_QUIZ'!$B50=SelectedScope),'RAW_QUIZ'!I50,"")</f>
        <v>0</v>
      </c>
      <c r="J51" s="9">
        <f>IF(IF(SelectedScope="All India",TRUE,'RAW_QUIZ'!$B50=SelectedScope),'RAW_QUIZ'!J50,"")</f>
        <v>0</v>
      </c>
      <c r="K51" s="9">
        <f>IF(IF(SelectedScope="All India",TRUE,'RAW_QUIZ'!$B50=SelectedScope),'RAW_QUIZ'!K50,"")</f>
        <v>0</v>
      </c>
      <c r="L51" s="9">
        <f>IF(IF(SelectedScope="All India",TRUE,'RAW_QUIZ'!$B50=SelectedScope),'RAW_QUIZ'!L50,"")</f>
        <v>0</v>
      </c>
      <c r="M51" s="9">
        <f>IF(IF(SelectedScope="All India",TRUE,'RAW_QUIZ'!$B50=SelectedScope),'RAW_QUIZ'!M50,"")</f>
        <v>0</v>
      </c>
      <c r="N51" s="9">
        <f>IF(IF(SelectedScope="All India",TRUE,'RAW_QUIZ'!$B50=SelectedScope),'RAW_QUIZ'!N50,"")</f>
        <v>0</v>
      </c>
      <c r="O51" s="9">
        <f>IF(IF(SelectedScope="All India",TRUE,'RAW_QUIZ'!$B50=SelectedScope),'RAW_QUIZ'!O50,"")</f>
        <v>0</v>
      </c>
      <c r="P51" s="9">
        <f>IF(IF(SelectedScope="All India",TRUE,'RAW_QUIZ'!$B50=SelectedScope),'RAW_QUIZ'!P50,"")</f>
        <v>0</v>
      </c>
      <c r="Q51" s="9">
        <f>IF(IF(SelectedScope="All India",TRUE,'RAW_QUIZ'!$B50=SelectedScope),'RAW_QUIZ'!Q50,"")</f>
        <v>0</v>
      </c>
    </row>
    <row r="52" spans="1:17" ht="15" customHeight="1" x14ac:dyDescent="0.3">
      <c r="A52" s="12">
        <f>IF(IF(SelectedScope="All India",TRUE,'RAW_QUIZ'!$B51=SelectedScope),'RAW_QUIZ'!A51,"")</f>
        <v>48</v>
      </c>
      <c r="B52" s="12" t="str">
        <f>IF(IF(SelectedScope="All India",TRUE,'RAW_QUIZ'!$B51=SelectedScope),'RAW_QUIZ'!B51,"")</f>
        <v>Bihar</v>
      </c>
      <c r="C52" s="12" t="str">
        <f>IF(IF(SelectedScope="All India",TRUE,'RAW_QUIZ'!$B51=SelectedScope),'RAW_QUIZ'!C51,"")</f>
        <v>Physics</v>
      </c>
      <c r="D52" s="12" t="str">
        <f>IF(IF(SelectedScope="All India",TRUE,'RAW_QUIZ'!$B51=SelectedScope),'RAW_QUIZ'!D51,"")</f>
        <v>Class 10</v>
      </c>
      <c r="E52" s="12" t="str">
        <f>IF(IF(SelectedScope="All India",TRUE,'RAW_QUIZ'!$B51=SelectedScope),'RAW_QUIZ'!E51,"")</f>
        <v>Electricity — Unit Quiz</v>
      </c>
      <c r="F52" s="12">
        <f>IF(IF(SelectedScope="All India",TRUE,'RAW_QUIZ'!$B51=SelectedScope),'RAW_QUIZ'!F51,"")</f>
        <v>0</v>
      </c>
      <c r="G52" s="12" t="str">
        <f>IF(IF(SelectedScope="All India",TRUE,'RAW_QUIZ'!$B51=SelectedScope),'RAW_QUIZ'!G51,"")</f>
        <v>Active</v>
      </c>
      <c r="H52" s="12">
        <f>IF(IF(SelectedScope="All India",TRUE,'RAW_QUIZ'!$B51=SelectedScope),'RAW_QUIZ'!H51,"")</f>
        <v>0</v>
      </c>
      <c r="I52" s="12">
        <f>IF(IF(SelectedScope="All India",TRUE,'RAW_QUIZ'!$B51=SelectedScope),'RAW_QUIZ'!I51,"")</f>
        <v>0</v>
      </c>
      <c r="J52" s="12">
        <f>IF(IF(SelectedScope="All India",TRUE,'RAW_QUIZ'!$B51=SelectedScope),'RAW_QUIZ'!J51,"")</f>
        <v>0</v>
      </c>
      <c r="K52" s="12">
        <f>IF(IF(SelectedScope="All India",TRUE,'RAW_QUIZ'!$B51=SelectedScope),'RAW_QUIZ'!K51,"")</f>
        <v>0</v>
      </c>
      <c r="L52" s="12">
        <f>IF(IF(SelectedScope="All India",TRUE,'RAW_QUIZ'!$B51=SelectedScope),'RAW_QUIZ'!L51,"")</f>
        <v>0</v>
      </c>
      <c r="M52" s="12">
        <f>IF(IF(SelectedScope="All India",TRUE,'RAW_QUIZ'!$B51=SelectedScope),'RAW_QUIZ'!M51,"")</f>
        <v>0</v>
      </c>
      <c r="N52" s="12">
        <f>IF(IF(SelectedScope="All India",TRUE,'RAW_QUIZ'!$B51=SelectedScope),'RAW_QUIZ'!N51,"")</f>
        <v>0</v>
      </c>
      <c r="O52" s="12">
        <f>IF(IF(SelectedScope="All India",TRUE,'RAW_QUIZ'!$B51=SelectedScope),'RAW_QUIZ'!O51,"")</f>
        <v>0</v>
      </c>
      <c r="P52" s="12">
        <f>IF(IF(SelectedScope="All India",TRUE,'RAW_QUIZ'!$B51=SelectedScope),'RAW_QUIZ'!P51,"")</f>
        <v>0</v>
      </c>
      <c r="Q52" s="12">
        <f>IF(IF(SelectedScope="All India",TRUE,'RAW_QUIZ'!$B51=SelectedScope),'RAW_QUIZ'!Q51,"")</f>
        <v>0</v>
      </c>
    </row>
    <row r="53" spans="1:17" ht="15" customHeight="1" x14ac:dyDescent="0.3">
      <c r="A53" s="9">
        <f>IF(IF(SelectedScope="All India",TRUE,'RAW_QUIZ'!$B52=SelectedScope),'RAW_QUIZ'!A52,"")</f>
        <v>49</v>
      </c>
      <c r="B53" s="9" t="str">
        <f>IF(IF(SelectedScope="All India",TRUE,'RAW_QUIZ'!$B52=SelectedScope),'RAW_QUIZ'!B52,"")</f>
        <v>Bihar</v>
      </c>
      <c r="C53" s="9" t="str">
        <f>IF(IF(SelectedScope="All India",TRUE,'RAW_QUIZ'!$B52=SelectedScope),'RAW_QUIZ'!C52,"")</f>
        <v>Civics</v>
      </c>
      <c r="D53" s="9" t="str">
        <f>IF(IF(SelectedScope="All India",TRUE,'RAW_QUIZ'!$B52=SelectedScope),'RAW_QUIZ'!D52,"")</f>
        <v>Class 9</v>
      </c>
      <c r="E53" s="9" t="str">
        <f>IF(IF(SelectedScope="All India",TRUE,'RAW_QUIZ'!$B52=SelectedScope),'RAW_QUIZ'!E52,"")</f>
        <v>Indian Constitution — Unit Quiz</v>
      </c>
      <c r="F53" s="9">
        <f>IF(IF(SelectedScope="All India",TRUE,'RAW_QUIZ'!$B52=SelectedScope),'RAW_QUIZ'!F52,"")</f>
        <v>0</v>
      </c>
      <c r="G53" s="9" t="str">
        <f>IF(IF(SelectedScope="All India",TRUE,'RAW_QUIZ'!$B52=SelectedScope),'RAW_QUIZ'!G52,"")</f>
        <v>Active</v>
      </c>
      <c r="H53" s="9">
        <f>IF(IF(SelectedScope="All India",TRUE,'RAW_QUIZ'!$B52=SelectedScope),'RAW_QUIZ'!H52,"")</f>
        <v>0</v>
      </c>
      <c r="I53" s="9">
        <f>IF(IF(SelectedScope="All India",TRUE,'RAW_QUIZ'!$B52=SelectedScope),'RAW_QUIZ'!I52,"")</f>
        <v>0</v>
      </c>
      <c r="J53" s="9">
        <f>IF(IF(SelectedScope="All India",TRUE,'RAW_QUIZ'!$B52=SelectedScope),'RAW_QUIZ'!J52,"")</f>
        <v>0</v>
      </c>
      <c r="K53" s="9">
        <f>IF(IF(SelectedScope="All India",TRUE,'RAW_QUIZ'!$B52=SelectedScope),'RAW_QUIZ'!K52,"")</f>
        <v>0</v>
      </c>
      <c r="L53" s="9">
        <f>IF(IF(SelectedScope="All India",TRUE,'RAW_QUIZ'!$B52=SelectedScope),'RAW_QUIZ'!L52,"")</f>
        <v>0</v>
      </c>
      <c r="M53" s="9">
        <f>IF(IF(SelectedScope="All India",TRUE,'RAW_QUIZ'!$B52=SelectedScope),'RAW_QUIZ'!M52,"")</f>
        <v>0</v>
      </c>
      <c r="N53" s="9">
        <f>IF(IF(SelectedScope="All India",TRUE,'RAW_QUIZ'!$B52=SelectedScope),'RAW_QUIZ'!N52,"")</f>
        <v>0</v>
      </c>
      <c r="O53" s="9">
        <f>IF(IF(SelectedScope="All India",TRUE,'RAW_QUIZ'!$B52=SelectedScope),'RAW_QUIZ'!O52,"")</f>
        <v>0</v>
      </c>
      <c r="P53" s="9">
        <f>IF(IF(SelectedScope="All India",TRUE,'RAW_QUIZ'!$B52=SelectedScope),'RAW_QUIZ'!P52,"")</f>
        <v>0</v>
      </c>
      <c r="Q53" s="9">
        <f>IF(IF(SelectedScope="All India",TRUE,'RAW_QUIZ'!$B52=SelectedScope),'RAW_QUIZ'!Q52,"")</f>
        <v>0</v>
      </c>
    </row>
    <row r="54" spans="1:17" ht="15" customHeight="1" x14ac:dyDescent="0.3">
      <c r="A54" s="12">
        <f>IF(IF(SelectedScope="All India",TRUE,'RAW_QUIZ'!$B53=SelectedScope),'RAW_QUIZ'!A53,"")</f>
        <v>50</v>
      </c>
      <c r="B54" s="12" t="str">
        <f>IF(IF(SelectedScope="All India",TRUE,'RAW_QUIZ'!$B53=SelectedScope),'RAW_QUIZ'!B53,"")</f>
        <v>Bihar</v>
      </c>
      <c r="C54" s="12" t="str">
        <f>IF(IF(SelectedScope="All India",TRUE,'RAW_QUIZ'!$B53=SelectedScope),'RAW_QUIZ'!C53,"")</f>
        <v>Mathematics</v>
      </c>
      <c r="D54" s="12" t="str">
        <f>IF(IF(SelectedScope="All India",TRUE,'RAW_QUIZ'!$B53=SelectedScope),'RAW_QUIZ'!D53,"")</f>
        <v>Class 10</v>
      </c>
      <c r="E54" s="12" t="str">
        <f>IF(IF(SelectedScope="All India",TRUE,'RAW_QUIZ'!$B53=SelectedScope),'RAW_QUIZ'!E53,"")</f>
        <v>Quadratic Equations — Unit Quiz</v>
      </c>
      <c r="F54" s="12">
        <f>IF(IF(SelectedScope="All India",TRUE,'RAW_QUIZ'!$B53=SelectedScope),'RAW_QUIZ'!F53,"")</f>
        <v>0</v>
      </c>
      <c r="G54" s="12" t="str">
        <f>IF(IF(SelectedScope="All India",TRUE,'RAW_QUIZ'!$B53=SelectedScope),'RAW_QUIZ'!G53,"")</f>
        <v>Active</v>
      </c>
      <c r="H54" s="12">
        <f>IF(IF(SelectedScope="All India",TRUE,'RAW_QUIZ'!$B53=SelectedScope),'RAW_QUIZ'!H53,"")</f>
        <v>0</v>
      </c>
      <c r="I54" s="12">
        <f>IF(IF(SelectedScope="All India",TRUE,'RAW_QUIZ'!$B53=SelectedScope),'RAW_QUIZ'!I53,"")</f>
        <v>0</v>
      </c>
      <c r="J54" s="12">
        <f>IF(IF(SelectedScope="All India",TRUE,'RAW_QUIZ'!$B53=SelectedScope),'RAW_QUIZ'!J53,"")</f>
        <v>0</v>
      </c>
      <c r="K54" s="12">
        <f>IF(IF(SelectedScope="All India",TRUE,'RAW_QUIZ'!$B53=SelectedScope),'RAW_QUIZ'!K53,"")</f>
        <v>0</v>
      </c>
      <c r="L54" s="12">
        <f>IF(IF(SelectedScope="All India",TRUE,'RAW_QUIZ'!$B53=SelectedScope),'RAW_QUIZ'!L53,"")</f>
        <v>0</v>
      </c>
      <c r="M54" s="12">
        <f>IF(IF(SelectedScope="All India",TRUE,'RAW_QUIZ'!$B53=SelectedScope),'RAW_QUIZ'!M53,"")</f>
        <v>0</v>
      </c>
      <c r="N54" s="12">
        <f>IF(IF(SelectedScope="All India",TRUE,'RAW_QUIZ'!$B53=SelectedScope),'RAW_QUIZ'!N53,"")</f>
        <v>0</v>
      </c>
      <c r="O54" s="12">
        <f>IF(IF(SelectedScope="All India",TRUE,'RAW_QUIZ'!$B53=SelectedScope),'RAW_QUIZ'!O53,"")</f>
        <v>0</v>
      </c>
      <c r="P54" s="12">
        <f>IF(IF(SelectedScope="All India",TRUE,'RAW_QUIZ'!$B53=SelectedScope),'RAW_QUIZ'!P53,"")</f>
        <v>0</v>
      </c>
      <c r="Q54" s="12">
        <f>IF(IF(SelectedScope="All India",TRUE,'RAW_QUIZ'!$B53=SelectedScope),'RAW_QUIZ'!Q53,"")</f>
        <v>0</v>
      </c>
    </row>
    <row r="55" spans="1:17" ht="15" customHeight="1" x14ac:dyDescent="0.3">
      <c r="A55" s="9">
        <f>IF(IF(SelectedScope="All India",TRUE,'RAW_QUIZ'!$B54=SelectedScope),'RAW_QUIZ'!A54,"")</f>
        <v>51</v>
      </c>
      <c r="B55" s="9" t="str">
        <f>IF(IF(SelectedScope="All India",TRUE,'RAW_QUIZ'!$B54=SelectedScope),'RAW_QUIZ'!B54,"")</f>
        <v>Chandigarh</v>
      </c>
      <c r="C55" s="9" t="str">
        <f>IF(IF(SelectedScope="All India",TRUE,'RAW_QUIZ'!$B54=SelectedScope),'RAW_QUIZ'!C54,"")</f>
        <v>Science</v>
      </c>
      <c r="D55" s="9" t="str">
        <f>IF(IF(SelectedScope="All India",TRUE,'RAW_QUIZ'!$B54=SelectedScope),'RAW_QUIZ'!D54,"")</f>
        <v>Class 8</v>
      </c>
      <c r="E55" s="9" t="str">
        <f>IF(IF(SelectedScope="All India",TRUE,'RAW_QUIZ'!$B54=SelectedScope),'RAW_QUIZ'!E54,"")</f>
        <v>Solar System — Unit Quiz</v>
      </c>
      <c r="F55" s="9">
        <f>IF(IF(SelectedScope="All India",TRUE,'RAW_QUIZ'!$B54=SelectedScope),'RAW_QUIZ'!F54,"")</f>
        <v>0</v>
      </c>
      <c r="G55" s="9" t="str">
        <f>IF(IF(SelectedScope="All India",TRUE,'RAW_QUIZ'!$B54=SelectedScope),'RAW_QUIZ'!G54,"")</f>
        <v>Active</v>
      </c>
      <c r="H55" s="9">
        <f>IF(IF(SelectedScope="All India",TRUE,'RAW_QUIZ'!$B54=SelectedScope),'RAW_QUIZ'!H54,"")</f>
        <v>0</v>
      </c>
      <c r="I55" s="9">
        <f>IF(IF(SelectedScope="All India",TRUE,'RAW_QUIZ'!$B54=SelectedScope),'RAW_QUIZ'!I54,"")</f>
        <v>0</v>
      </c>
      <c r="J55" s="9">
        <f>IF(IF(SelectedScope="All India",TRUE,'RAW_QUIZ'!$B54=SelectedScope),'RAW_QUIZ'!J54,"")</f>
        <v>0</v>
      </c>
      <c r="K55" s="9">
        <f>IF(IF(SelectedScope="All India",TRUE,'RAW_QUIZ'!$B54=SelectedScope),'RAW_QUIZ'!K54,"")</f>
        <v>0</v>
      </c>
      <c r="L55" s="9">
        <f>IF(IF(SelectedScope="All India",TRUE,'RAW_QUIZ'!$B54=SelectedScope),'RAW_QUIZ'!L54,"")</f>
        <v>0</v>
      </c>
      <c r="M55" s="9">
        <f>IF(IF(SelectedScope="All India",TRUE,'RAW_QUIZ'!$B54=SelectedScope),'RAW_QUIZ'!M54,"")</f>
        <v>0</v>
      </c>
      <c r="N55" s="9">
        <f>IF(IF(SelectedScope="All India",TRUE,'RAW_QUIZ'!$B54=SelectedScope),'RAW_QUIZ'!N54,"")</f>
        <v>0</v>
      </c>
      <c r="O55" s="9">
        <f>IF(IF(SelectedScope="All India",TRUE,'RAW_QUIZ'!$B54=SelectedScope),'RAW_QUIZ'!O54,"")</f>
        <v>0</v>
      </c>
      <c r="P55" s="9">
        <f>IF(IF(SelectedScope="All India",TRUE,'RAW_QUIZ'!$B54=SelectedScope),'RAW_QUIZ'!P54,"")</f>
        <v>0</v>
      </c>
      <c r="Q55" s="9">
        <f>IF(IF(SelectedScope="All India",TRUE,'RAW_QUIZ'!$B54=SelectedScope),'RAW_QUIZ'!Q54,"")</f>
        <v>0</v>
      </c>
    </row>
    <row r="56" spans="1:17" ht="15" customHeight="1" x14ac:dyDescent="0.3">
      <c r="A56" s="12">
        <f>IF(IF(SelectedScope="All India",TRUE,'RAW_QUIZ'!$B55=SelectedScope),'RAW_QUIZ'!A55,"")</f>
        <v>52</v>
      </c>
      <c r="B56" s="12" t="str">
        <f>IF(IF(SelectedScope="All India",TRUE,'RAW_QUIZ'!$B55=SelectedScope),'RAW_QUIZ'!B55,"")</f>
        <v>Chandigarh</v>
      </c>
      <c r="C56" s="12" t="str">
        <f>IF(IF(SelectedScope="All India",TRUE,'RAW_QUIZ'!$B55=SelectedScope),'RAW_QUIZ'!C55,"")</f>
        <v>Biology</v>
      </c>
      <c r="D56" s="12" t="str">
        <f>IF(IF(SelectedScope="All India",TRUE,'RAW_QUIZ'!$B55=SelectedScope),'RAW_QUIZ'!D55,"")</f>
        <v>Class 9</v>
      </c>
      <c r="E56" s="12" t="str">
        <f>IF(IF(SelectedScope="All India",TRUE,'RAW_QUIZ'!$B55=SelectedScope),'RAW_QUIZ'!E55,"")</f>
        <v>Cell Division — Unit Quiz</v>
      </c>
      <c r="F56" s="12">
        <f>IF(IF(SelectedScope="All India",TRUE,'RAW_QUIZ'!$B55=SelectedScope),'RAW_QUIZ'!F55,"")</f>
        <v>0</v>
      </c>
      <c r="G56" s="12" t="str">
        <f>IF(IF(SelectedScope="All India",TRUE,'RAW_QUIZ'!$B55=SelectedScope),'RAW_QUIZ'!G55,"")</f>
        <v>Active</v>
      </c>
      <c r="H56" s="12">
        <f>IF(IF(SelectedScope="All India",TRUE,'RAW_QUIZ'!$B55=SelectedScope),'RAW_QUIZ'!H55,"")</f>
        <v>0</v>
      </c>
      <c r="I56" s="12">
        <f>IF(IF(SelectedScope="All India",TRUE,'RAW_QUIZ'!$B55=SelectedScope),'RAW_QUIZ'!I55,"")</f>
        <v>0</v>
      </c>
      <c r="J56" s="12">
        <f>IF(IF(SelectedScope="All India",TRUE,'RAW_QUIZ'!$B55=SelectedScope),'RAW_QUIZ'!J55,"")</f>
        <v>0</v>
      </c>
      <c r="K56" s="12">
        <f>IF(IF(SelectedScope="All India",TRUE,'RAW_QUIZ'!$B55=SelectedScope),'RAW_QUIZ'!K55,"")</f>
        <v>0</v>
      </c>
      <c r="L56" s="12">
        <f>IF(IF(SelectedScope="All India",TRUE,'RAW_QUIZ'!$B55=SelectedScope),'RAW_QUIZ'!L55,"")</f>
        <v>0</v>
      </c>
      <c r="M56" s="12">
        <f>IF(IF(SelectedScope="All India",TRUE,'RAW_QUIZ'!$B55=SelectedScope),'RAW_QUIZ'!M55,"")</f>
        <v>0</v>
      </c>
      <c r="N56" s="12">
        <f>IF(IF(SelectedScope="All India",TRUE,'RAW_QUIZ'!$B55=SelectedScope),'RAW_QUIZ'!N55,"")</f>
        <v>0</v>
      </c>
      <c r="O56" s="12">
        <f>IF(IF(SelectedScope="All India",TRUE,'RAW_QUIZ'!$B55=SelectedScope),'RAW_QUIZ'!O55,"")</f>
        <v>0</v>
      </c>
      <c r="P56" s="12">
        <f>IF(IF(SelectedScope="All India",TRUE,'RAW_QUIZ'!$B55=SelectedScope),'RAW_QUIZ'!P55,"")</f>
        <v>0</v>
      </c>
      <c r="Q56" s="12">
        <f>IF(IF(SelectedScope="All India",TRUE,'RAW_QUIZ'!$B55=SelectedScope),'RAW_QUIZ'!Q55,"")</f>
        <v>0</v>
      </c>
    </row>
    <row r="57" spans="1:17" ht="15" customHeight="1" x14ac:dyDescent="0.3">
      <c r="A57" s="9">
        <f>IF(IF(SelectedScope="All India",TRUE,'RAW_QUIZ'!$B56=SelectedScope),'RAW_QUIZ'!A56,"")</f>
        <v>53</v>
      </c>
      <c r="B57" s="9" t="str">
        <f>IF(IF(SelectedScope="All India",TRUE,'RAW_QUIZ'!$B56=SelectedScope),'RAW_QUIZ'!B56,"")</f>
        <v>Chandigarh</v>
      </c>
      <c r="C57" s="9" t="str">
        <f>IF(IF(SelectedScope="All India",TRUE,'RAW_QUIZ'!$B56=SelectedScope),'RAW_QUIZ'!C56,"")</f>
        <v>Chemistry</v>
      </c>
      <c r="D57" s="9" t="str">
        <f>IF(IF(SelectedScope="All India",TRUE,'RAW_QUIZ'!$B56=SelectedScope),'RAW_QUIZ'!D56,"")</f>
        <v>Class 9</v>
      </c>
      <c r="E57" s="9" t="str">
        <f>IF(IF(SelectedScope="All India",TRUE,'RAW_QUIZ'!$B56=SelectedScope),'RAW_QUIZ'!E56,"")</f>
        <v>Atoms and Molecules — Unit Quiz</v>
      </c>
      <c r="F57" s="9">
        <f>IF(IF(SelectedScope="All India",TRUE,'RAW_QUIZ'!$B56=SelectedScope),'RAW_QUIZ'!F56,"")</f>
        <v>0</v>
      </c>
      <c r="G57" s="9" t="str">
        <f>IF(IF(SelectedScope="All India",TRUE,'RAW_QUIZ'!$B56=SelectedScope),'RAW_QUIZ'!G56,"")</f>
        <v>Active</v>
      </c>
      <c r="H57" s="9">
        <f>IF(IF(SelectedScope="All India",TRUE,'RAW_QUIZ'!$B56=SelectedScope),'RAW_QUIZ'!H56,"")</f>
        <v>0</v>
      </c>
      <c r="I57" s="9">
        <f>IF(IF(SelectedScope="All India",TRUE,'RAW_QUIZ'!$B56=SelectedScope),'RAW_QUIZ'!I56,"")</f>
        <v>0</v>
      </c>
      <c r="J57" s="9">
        <f>IF(IF(SelectedScope="All India",TRUE,'RAW_QUIZ'!$B56=SelectedScope),'RAW_QUIZ'!J56,"")</f>
        <v>0</v>
      </c>
      <c r="K57" s="9">
        <f>IF(IF(SelectedScope="All India",TRUE,'RAW_QUIZ'!$B56=SelectedScope),'RAW_QUIZ'!K56,"")</f>
        <v>0</v>
      </c>
      <c r="L57" s="9">
        <f>IF(IF(SelectedScope="All India",TRUE,'RAW_QUIZ'!$B56=SelectedScope),'RAW_QUIZ'!L56,"")</f>
        <v>0</v>
      </c>
      <c r="M57" s="9">
        <f>IF(IF(SelectedScope="All India",TRUE,'RAW_QUIZ'!$B56=SelectedScope),'RAW_QUIZ'!M56,"")</f>
        <v>0</v>
      </c>
      <c r="N57" s="9">
        <f>IF(IF(SelectedScope="All India",TRUE,'RAW_QUIZ'!$B56=SelectedScope),'RAW_QUIZ'!N56,"")</f>
        <v>0</v>
      </c>
      <c r="O57" s="9">
        <f>IF(IF(SelectedScope="All India",TRUE,'RAW_QUIZ'!$B56=SelectedScope),'RAW_QUIZ'!O56,"")</f>
        <v>0</v>
      </c>
      <c r="P57" s="9">
        <f>IF(IF(SelectedScope="All India",TRUE,'RAW_QUIZ'!$B56=SelectedScope),'RAW_QUIZ'!P56,"")</f>
        <v>0</v>
      </c>
      <c r="Q57" s="9">
        <f>IF(IF(SelectedScope="All India",TRUE,'RAW_QUIZ'!$B56=SelectedScope),'RAW_QUIZ'!Q56,"")</f>
        <v>0</v>
      </c>
    </row>
    <row r="58" spans="1:17" ht="15" customHeight="1" x14ac:dyDescent="0.3">
      <c r="A58" s="12">
        <f>IF(IF(SelectedScope="All India",TRUE,'RAW_QUIZ'!$B57=SelectedScope),'RAW_QUIZ'!A57,"")</f>
        <v>54</v>
      </c>
      <c r="B58" s="12" t="str">
        <f>IF(IF(SelectedScope="All India",TRUE,'RAW_QUIZ'!$B57=SelectedScope),'RAW_QUIZ'!B57,"")</f>
        <v>Chandigarh</v>
      </c>
      <c r="C58" s="12" t="str">
        <f>IF(IF(SelectedScope="All India",TRUE,'RAW_QUIZ'!$B57=SelectedScope),'RAW_QUIZ'!C57,"")</f>
        <v>Mathematics</v>
      </c>
      <c r="D58" s="12" t="str">
        <f>IF(IF(SelectedScope="All India",TRUE,'RAW_QUIZ'!$B57=SelectedScope),'RAW_QUIZ'!D57,"")</f>
        <v>Class 7</v>
      </c>
      <c r="E58" s="12" t="str">
        <f>IF(IF(SelectedScope="All India",TRUE,'RAW_QUIZ'!$B57=SelectedScope),'RAW_QUIZ'!E57,"")</f>
        <v>Fractions — Unit Quiz</v>
      </c>
      <c r="F58" s="12">
        <f>IF(IF(SelectedScope="All India",TRUE,'RAW_QUIZ'!$B57=SelectedScope),'RAW_QUIZ'!F57,"")</f>
        <v>0</v>
      </c>
      <c r="G58" s="12" t="str">
        <f>IF(IF(SelectedScope="All India",TRUE,'RAW_QUIZ'!$B57=SelectedScope),'RAW_QUIZ'!G57,"")</f>
        <v>Active</v>
      </c>
      <c r="H58" s="12">
        <f>IF(IF(SelectedScope="All India",TRUE,'RAW_QUIZ'!$B57=SelectedScope),'RAW_QUIZ'!H57,"")</f>
        <v>0</v>
      </c>
      <c r="I58" s="12">
        <f>IF(IF(SelectedScope="All India",TRUE,'RAW_QUIZ'!$B57=SelectedScope),'RAW_QUIZ'!I57,"")</f>
        <v>0</v>
      </c>
      <c r="J58" s="12">
        <f>IF(IF(SelectedScope="All India",TRUE,'RAW_QUIZ'!$B57=SelectedScope),'RAW_QUIZ'!J57,"")</f>
        <v>0</v>
      </c>
      <c r="K58" s="12">
        <f>IF(IF(SelectedScope="All India",TRUE,'RAW_QUIZ'!$B57=SelectedScope),'RAW_QUIZ'!K57,"")</f>
        <v>0</v>
      </c>
      <c r="L58" s="12">
        <f>IF(IF(SelectedScope="All India",TRUE,'RAW_QUIZ'!$B57=SelectedScope),'RAW_QUIZ'!L57,"")</f>
        <v>0</v>
      </c>
      <c r="M58" s="12">
        <f>IF(IF(SelectedScope="All India",TRUE,'RAW_QUIZ'!$B57=SelectedScope),'RAW_QUIZ'!M57,"")</f>
        <v>0</v>
      </c>
      <c r="N58" s="12">
        <f>IF(IF(SelectedScope="All India",TRUE,'RAW_QUIZ'!$B57=SelectedScope),'RAW_QUIZ'!N57,"")</f>
        <v>0</v>
      </c>
      <c r="O58" s="12">
        <f>IF(IF(SelectedScope="All India",TRUE,'RAW_QUIZ'!$B57=SelectedScope),'RAW_QUIZ'!O57,"")</f>
        <v>0</v>
      </c>
      <c r="P58" s="12">
        <f>IF(IF(SelectedScope="All India",TRUE,'RAW_QUIZ'!$B57=SelectedScope),'RAW_QUIZ'!P57,"")</f>
        <v>0</v>
      </c>
      <c r="Q58" s="12">
        <f>IF(IF(SelectedScope="All India",TRUE,'RAW_QUIZ'!$B57=SelectedScope),'RAW_QUIZ'!Q57,"")</f>
        <v>0</v>
      </c>
    </row>
    <row r="59" spans="1:17" ht="15" customHeight="1" x14ac:dyDescent="0.3">
      <c r="A59" s="9">
        <f>IF(IF(SelectedScope="All India",TRUE,'RAW_QUIZ'!$B58=SelectedScope),'RAW_QUIZ'!A58,"")</f>
        <v>55</v>
      </c>
      <c r="B59" s="9" t="str">
        <f>IF(IF(SelectedScope="All India",TRUE,'RAW_QUIZ'!$B58=SelectedScope),'RAW_QUIZ'!B58,"")</f>
        <v>Chandigarh</v>
      </c>
      <c r="C59" s="9" t="str">
        <f>IF(IF(SelectedScope="All India",TRUE,'RAW_QUIZ'!$B58=SelectedScope),'RAW_QUIZ'!C58,"")</f>
        <v>Mathematics</v>
      </c>
      <c r="D59" s="9" t="str">
        <f>IF(IF(SelectedScope="All India",TRUE,'RAW_QUIZ'!$B58=SelectedScope),'RAW_QUIZ'!D58,"")</f>
        <v>Class 10</v>
      </c>
      <c r="E59" s="9" t="str">
        <f>IF(IF(SelectedScope="All India",TRUE,'RAW_QUIZ'!$B58=SelectedScope),'RAW_QUIZ'!E58,"")</f>
        <v>Trigonometry — Unit Quiz</v>
      </c>
      <c r="F59" s="9">
        <f>IF(IF(SelectedScope="All India",TRUE,'RAW_QUIZ'!$B58=SelectedScope),'RAW_QUIZ'!F58,"")</f>
        <v>0</v>
      </c>
      <c r="G59" s="9" t="str">
        <f>IF(IF(SelectedScope="All India",TRUE,'RAW_QUIZ'!$B58=SelectedScope),'RAW_QUIZ'!G58,"")</f>
        <v>Active</v>
      </c>
      <c r="H59" s="9">
        <f>IF(IF(SelectedScope="All India",TRUE,'RAW_QUIZ'!$B58=SelectedScope),'RAW_QUIZ'!H58,"")</f>
        <v>0</v>
      </c>
      <c r="I59" s="9">
        <f>IF(IF(SelectedScope="All India",TRUE,'RAW_QUIZ'!$B58=SelectedScope),'RAW_QUIZ'!I58,"")</f>
        <v>0</v>
      </c>
      <c r="J59" s="9">
        <f>IF(IF(SelectedScope="All India",TRUE,'RAW_QUIZ'!$B58=SelectedScope),'RAW_QUIZ'!J58,"")</f>
        <v>0</v>
      </c>
      <c r="K59" s="9">
        <f>IF(IF(SelectedScope="All India",TRUE,'RAW_QUIZ'!$B58=SelectedScope),'RAW_QUIZ'!K58,"")</f>
        <v>0</v>
      </c>
      <c r="L59" s="9">
        <f>IF(IF(SelectedScope="All India",TRUE,'RAW_QUIZ'!$B58=SelectedScope),'RAW_QUIZ'!L58,"")</f>
        <v>0</v>
      </c>
      <c r="M59" s="9">
        <f>IF(IF(SelectedScope="All India",TRUE,'RAW_QUIZ'!$B58=SelectedScope),'RAW_QUIZ'!M58,"")</f>
        <v>0</v>
      </c>
      <c r="N59" s="9">
        <f>IF(IF(SelectedScope="All India",TRUE,'RAW_QUIZ'!$B58=SelectedScope),'RAW_QUIZ'!N58,"")</f>
        <v>0</v>
      </c>
      <c r="O59" s="9">
        <f>IF(IF(SelectedScope="All India",TRUE,'RAW_QUIZ'!$B58=SelectedScope),'RAW_QUIZ'!O58,"")</f>
        <v>0</v>
      </c>
      <c r="P59" s="9">
        <f>IF(IF(SelectedScope="All India",TRUE,'RAW_QUIZ'!$B58=SelectedScope),'RAW_QUIZ'!P58,"")</f>
        <v>0</v>
      </c>
      <c r="Q59" s="9">
        <f>IF(IF(SelectedScope="All India",TRUE,'RAW_QUIZ'!$B58=SelectedScope),'RAW_QUIZ'!Q58,"")</f>
        <v>0</v>
      </c>
    </row>
    <row r="60" spans="1:17" ht="15" customHeight="1" x14ac:dyDescent="0.3">
      <c r="A60" s="12">
        <f>IF(IF(SelectedScope="All India",TRUE,'RAW_QUIZ'!$B59=SelectedScope),'RAW_QUIZ'!A59,"")</f>
        <v>56</v>
      </c>
      <c r="B60" s="12" t="str">
        <f>IF(IF(SelectedScope="All India",TRUE,'RAW_QUIZ'!$B59=SelectedScope),'RAW_QUIZ'!B59,"")</f>
        <v>Chandigarh</v>
      </c>
      <c r="C60" s="12" t="str">
        <f>IF(IF(SelectedScope="All India",TRUE,'RAW_QUIZ'!$B59=SelectedScope),'RAW_QUIZ'!C59,"")</f>
        <v>History</v>
      </c>
      <c r="D60" s="12" t="str">
        <f>IF(IF(SelectedScope="All India",TRUE,'RAW_QUIZ'!$B59=SelectedScope),'RAW_QUIZ'!D59,"")</f>
        <v>Class 10</v>
      </c>
      <c r="E60" s="12" t="str">
        <f>IF(IF(SelectedScope="All India",TRUE,'RAW_QUIZ'!$B59=SelectedScope),'RAW_QUIZ'!E59,"")</f>
        <v>Mughal Empire — Unit Quiz</v>
      </c>
      <c r="F60" s="12">
        <f>IF(IF(SelectedScope="All India",TRUE,'RAW_QUIZ'!$B59=SelectedScope),'RAW_QUIZ'!F59,"")</f>
        <v>0</v>
      </c>
      <c r="G60" s="12" t="str">
        <f>IF(IF(SelectedScope="All India",TRUE,'RAW_QUIZ'!$B59=SelectedScope),'RAW_QUIZ'!G59,"")</f>
        <v>Active</v>
      </c>
      <c r="H60" s="12">
        <f>IF(IF(SelectedScope="All India",TRUE,'RAW_QUIZ'!$B59=SelectedScope),'RAW_QUIZ'!H59,"")</f>
        <v>0</v>
      </c>
      <c r="I60" s="12">
        <f>IF(IF(SelectedScope="All India",TRUE,'RAW_QUIZ'!$B59=SelectedScope),'RAW_QUIZ'!I59,"")</f>
        <v>0</v>
      </c>
      <c r="J60" s="12">
        <f>IF(IF(SelectedScope="All India",TRUE,'RAW_QUIZ'!$B59=SelectedScope),'RAW_QUIZ'!J59,"")</f>
        <v>0</v>
      </c>
      <c r="K60" s="12">
        <f>IF(IF(SelectedScope="All India",TRUE,'RAW_QUIZ'!$B59=SelectedScope),'RAW_QUIZ'!K59,"")</f>
        <v>0</v>
      </c>
      <c r="L60" s="12">
        <f>IF(IF(SelectedScope="All India",TRUE,'RAW_QUIZ'!$B59=SelectedScope),'RAW_QUIZ'!L59,"")</f>
        <v>0</v>
      </c>
      <c r="M60" s="12">
        <f>IF(IF(SelectedScope="All India",TRUE,'RAW_QUIZ'!$B59=SelectedScope),'RAW_QUIZ'!M59,"")</f>
        <v>0</v>
      </c>
      <c r="N60" s="12">
        <f>IF(IF(SelectedScope="All India",TRUE,'RAW_QUIZ'!$B59=SelectedScope),'RAW_QUIZ'!N59,"")</f>
        <v>0</v>
      </c>
      <c r="O60" s="12">
        <f>IF(IF(SelectedScope="All India",TRUE,'RAW_QUIZ'!$B59=SelectedScope),'RAW_QUIZ'!O59,"")</f>
        <v>0</v>
      </c>
      <c r="P60" s="12">
        <f>IF(IF(SelectedScope="All India",TRUE,'RAW_QUIZ'!$B59=SelectedScope),'RAW_QUIZ'!P59,"")</f>
        <v>0</v>
      </c>
      <c r="Q60" s="12">
        <f>IF(IF(SelectedScope="All India",TRUE,'RAW_QUIZ'!$B59=SelectedScope),'RAW_QUIZ'!Q59,"")</f>
        <v>0</v>
      </c>
    </row>
    <row r="61" spans="1:17" ht="15" customHeight="1" x14ac:dyDescent="0.3">
      <c r="A61" s="9">
        <f>IF(IF(SelectedScope="All India",TRUE,'RAW_QUIZ'!$B60=SelectedScope),'RAW_QUIZ'!A60,"")</f>
        <v>57</v>
      </c>
      <c r="B61" s="9" t="str">
        <f>IF(IF(SelectedScope="All India",TRUE,'RAW_QUIZ'!$B60=SelectedScope),'RAW_QUIZ'!B60,"")</f>
        <v>Chandigarh</v>
      </c>
      <c r="C61" s="9" t="str">
        <f>IF(IF(SelectedScope="All India",TRUE,'RAW_QUIZ'!$B60=SelectedScope),'RAW_QUIZ'!C60,"")</f>
        <v>Physics</v>
      </c>
      <c r="D61" s="9" t="str">
        <f>IF(IF(SelectedScope="All India",TRUE,'RAW_QUIZ'!$B60=SelectedScope),'RAW_QUIZ'!D60,"")</f>
        <v>Class 9</v>
      </c>
      <c r="E61" s="9" t="str">
        <f>IF(IF(SelectedScope="All India",TRUE,'RAW_QUIZ'!$B60=SelectedScope),'RAW_QUIZ'!E60,"")</f>
        <v>Laws of Motion — Unit Quiz</v>
      </c>
      <c r="F61" s="9">
        <f>IF(IF(SelectedScope="All India",TRUE,'RAW_QUIZ'!$B60=SelectedScope),'RAW_QUIZ'!F60,"")</f>
        <v>0</v>
      </c>
      <c r="G61" s="9" t="str">
        <f>IF(IF(SelectedScope="All India",TRUE,'RAW_QUIZ'!$B60=SelectedScope),'RAW_QUIZ'!G60,"")</f>
        <v>Active</v>
      </c>
      <c r="H61" s="9">
        <f>IF(IF(SelectedScope="All India",TRUE,'RAW_QUIZ'!$B60=SelectedScope),'RAW_QUIZ'!H60,"")</f>
        <v>0</v>
      </c>
      <c r="I61" s="9">
        <f>IF(IF(SelectedScope="All India",TRUE,'RAW_QUIZ'!$B60=SelectedScope),'RAW_QUIZ'!I60,"")</f>
        <v>0</v>
      </c>
      <c r="J61" s="9">
        <f>IF(IF(SelectedScope="All India",TRUE,'RAW_QUIZ'!$B60=SelectedScope),'RAW_QUIZ'!J60,"")</f>
        <v>0</v>
      </c>
      <c r="K61" s="9">
        <f>IF(IF(SelectedScope="All India",TRUE,'RAW_QUIZ'!$B60=SelectedScope),'RAW_QUIZ'!K60,"")</f>
        <v>0</v>
      </c>
      <c r="L61" s="9">
        <f>IF(IF(SelectedScope="All India",TRUE,'RAW_QUIZ'!$B60=SelectedScope),'RAW_QUIZ'!L60,"")</f>
        <v>0</v>
      </c>
      <c r="M61" s="9">
        <f>IF(IF(SelectedScope="All India",TRUE,'RAW_QUIZ'!$B60=SelectedScope),'RAW_QUIZ'!M60,"")</f>
        <v>0</v>
      </c>
      <c r="N61" s="9">
        <f>IF(IF(SelectedScope="All India",TRUE,'RAW_QUIZ'!$B60=SelectedScope),'RAW_QUIZ'!N60,"")</f>
        <v>0</v>
      </c>
      <c r="O61" s="9">
        <f>IF(IF(SelectedScope="All India",TRUE,'RAW_QUIZ'!$B60=SelectedScope),'RAW_QUIZ'!O60,"")</f>
        <v>0</v>
      </c>
      <c r="P61" s="9">
        <f>IF(IF(SelectedScope="All India",TRUE,'RAW_QUIZ'!$B60=SelectedScope),'RAW_QUIZ'!P60,"")</f>
        <v>0</v>
      </c>
      <c r="Q61" s="9">
        <f>IF(IF(SelectedScope="All India",TRUE,'RAW_QUIZ'!$B60=SelectedScope),'RAW_QUIZ'!Q60,"")</f>
        <v>0</v>
      </c>
    </row>
    <row r="62" spans="1:17" ht="15" customHeight="1" x14ac:dyDescent="0.3">
      <c r="A62" s="12">
        <f>IF(IF(SelectedScope="All India",TRUE,'RAW_QUIZ'!$B61=SelectedScope),'RAW_QUIZ'!A61,"")</f>
        <v>58</v>
      </c>
      <c r="B62" s="12" t="str">
        <f>IF(IF(SelectedScope="All India",TRUE,'RAW_QUIZ'!$B61=SelectedScope),'RAW_QUIZ'!B61,"")</f>
        <v>Chandigarh</v>
      </c>
      <c r="C62" s="12" t="str">
        <f>IF(IF(SelectedScope="All India",TRUE,'RAW_QUIZ'!$B61=SelectedScope),'RAW_QUIZ'!C61,"")</f>
        <v>Physics</v>
      </c>
      <c r="D62" s="12" t="str">
        <f>IF(IF(SelectedScope="All India",TRUE,'RAW_QUIZ'!$B61=SelectedScope),'RAW_QUIZ'!D61,"")</f>
        <v>Class 10</v>
      </c>
      <c r="E62" s="12" t="str">
        <f>IF(IF(SelectedScope="All India",TRUE,'RAW_QUIZ'!$B61=SelectedScope),'RAW_QUIZ'!E61,"")</f>
        <v>Electricity — Unit Quiz</v>
      </c>
      <c r="F62" s="12">
        <f>IF(IF(SelectedScope="All India",TRUE,'RAW_QUIZ'!$B61=SelectedScope),'RAW_QUIZ'!F61,"")</f>
        <v>0</v>
      </c>
      <c r="G62" s="12" t="str">
        <f>IF(IF(SelectedScope="All India",TRUE,'RAW_QUIZ'!$B61=SelectedScope),'RAW_QUIZ'!G61,"")</f>
        <v>Active</v>
      </c>
      <c r="H62" s="12">
        <f>IF(IF(SelectedScope="All India",TRUE,'RAW_QUIZ'!$B61=SelectedScope),'RAW_QUIZ'!H61,"")</f>
        <v>0</v>
      </c>
      <c r="I62" s="12">
        <f>IF(IF(SelectedScope="All India",TRUE,'RAW_QUIZ'!$B61=SelectedScope),'RAW_QUIZ'!I61,"")</f>
        <v>0</v>
      </c>
      <c r="J62" s="12">
        <f>IF(IF(SelectedScope="All India",TRUE,'RAW_QUIZ'!$B61=SelectedScope),'RAW_QUIZ'!J61,"")</f>
        <v>0</v>
      </c>
      <c r="K62" s="12">
        <f>IF(IF(SelectedScope="All India",TRUE,'RAW_QUIZ'!$B61=SelectedScope),'RAW_QUIZ'!K61,"")</f>
        <v>0</v>
      </c>
      <c r="L62" s="12">
        <f>IF(IF(SelectedScope="All India",TRUE,'RAW_QUIZ'!$B61=SelectedScope),'RAW_QUIZ'!L61,"")</f>
        <v>0</v>
      </c>
      <c r="M62" s="12">
        <f>IF(IF(SelectedScope="All India",TRUE,'RAW_QUIZ'!$B61=SelectedScope),'RAW_QUIZ'!M61,"")</f>
        <v>0</v>
      </c>
      <c r="N62" s="12">
        <f>IF(IF(SelectedScope="All India",TRUE,'RAW_QUIZ'!$B61=SelectedScope),'RAW_QUIZ'!N61,"")</f>
        <v>0</v>
      </c>
      <c r="O62" s="12">
        <f>IF(IF(SelectedScope="All India",TRUE,'RAW_QUIZ'!$B61=SelectedScope),'RAW_QUIZ'!O61,"")</f>
        <v>0</v>
      </c>
      <c r="P62" s="12">
        <f>IF(IF(SelectedScope="All India",TRUE,'RAW_QUIZ'!$B61=SelectedScope),'RAW_QUIZ'!P61,"")</f>
        <v>0</v>
      </c>
      <c r="Q62" s="12">
        <f>IF(IF(SelectedScope="All India",TRUE,'RAW_QUIZ'!$B61=SelectedScope),'RAW_QUIZ'!Q61,"")</f>
        <v>0</v>
      </c>
    </row>
    <row r="63" spans="1:17" ht="15" customHeight="1" x14ac:dyDescent="0.3">
      <c r="A63" s="9">
        <f>IF(IF(SelectedScope="All India",TRUE,'RAW_QUIZ'!$B62=SelectedScope),'RAW_QUIZ'!A62,"")</f>
        <v>59</v>
      </c>
      <c r="B63" s="9" t="str">
        <f>IF(IF(SelectedScope="All India",TRUE,'RAW_QUIZ'!$B62=SelectedScope),'RAW_QUIZ'!B62,"")</f>
        <v>Chandigarh</v>
      </c>
      <c r="C63" s="9" t="str">
        <f>IF(IF(SelectedScope="All India",TRUE,'RAW_QUIZ'!$B62=SelectedScope),'RAW_QUIZ'!C62,"")</f>
        <v>Civics</v>
      </c>
      <c r="D63" s="9" t="str">
        <f>IF(IF(SelectedScope="All India",TRUE,'RAW_QUIZ'!$B62=SelectedScope),'RAW_QUIZ'!D62,"")</f>
        <v>Class 9</v>
      </c>
      <c r="E63" s="9" t="str">
        <f>IF(IF(SelectedScope="All India",TRUE,'RAW_QUIZ'!$B62=SelectedScope),'RAW_QUIZ'!E62,"")</f>
        <v>Indian Constitution — Unit Quiz</v>
      </c>
      <c r="F63" s="9">
        <f>IF(IF(SelectedScope="All India",TRUE,'RAW_QUIZ'!$B62=SelectedScope),'RAW_QUIZ'!F62,"")</f>
        <v>0</v>
      </c>
      <c r="G63" s="9" t="str">
        <f>IF(IF(SelectedScope="All India",TRUE,'RAW_QUIZ'!$B62=SelectedScope),'RAW_QUIZ'!G62,"")</f>
        <v>Active</v>
      </c>
      <c r="H63" s="9">
        <f>IF(IF(SelectedScope="All India",TRUE,'RAW_QUIZ'!$B62=SelectedScope),'RAW_QUIZ'!H62,"")</f>
        <v>0</v>
      </c>
      <c r="I63" s="9">
        <f>IF(IF(SelectedScope="All India",TRUE,'RAW_QUIZ'!$B62=SelectedScope),'RAW_QUIZ'!I62,"")</f>
        <v>0</v>
      </c>
      <c r="J63" s="9">
        <f>IF(IF(SelectedScope="All India",TRUE,'RAW_QUIZ'!$B62=SelectedScope),'RAW_QUIZ'!J62,"")</f>
        <v>0</v>
      </c>
      <c r="K63" s="9">
        <f>IF(IF(SelectedScope="All India",TRUE,'RAW_QUIZ'!$B62=SelectedScope),'RAW_QUIZ'!K62,"")</f>
        <v>0</v>
      </c>
      <c r="L63" s="9">
        <f>IF(IF(SelectedScope="All India",TRUE,'RAW_QUIZ'!$B62=SelectedScope),'RAW_QUIZ'!L62,"")</f>
        <v>0</v>
      </c>
      <c r="M63" s="9">
        <f>IF(IF(SelectedScope="All India",TRUE,'RAW_QUIZ'!$B62=SelectedScope),'RAW_QUIZ'!M62,"")</f>
        <v>0</v>
      </c>
      <c r="N63" s="9">
        <f>IF(IF(SelectedScope="All India",TRUE,'RAW_QUIZ'!$B62=SelectedScope),'RAW_QUIZ'!N62,"")</f>
        <v>0</v>
      </c>
      <c r="O63" s="9">
        <f>IF(IF(SelectedScope="All India",TRUE,'RAW_QUIZ'!$B62=SelectedScope),'RAW_QUIZ'!O62,"")</f>
        <v>0</v>
      </c>
      <c r="P63" s="9">
        <f>IF(IF(SelectedScope="All India",TRUE,'RAW_QUIZ'!$B62=SelectedScope),'RAW_QUIZ'!P62,"")</f>
        <v>0</v>
      </c>
      <c r="Q63" s="9">
        <f>IF(IF(SelectedScope="All India",TRUE,'RAW_QUIZ'!$B62=SelectedScope),'RAW_QUIZ'!Q62,"")</f>
        <v>0</v>
      </c>
    </row>
    <row r="64" spans="1:17" ht="15" customHeight="1" x14ac:dyDescent="0.3">
      <c r="A64" s="12">
        <f>IF(IF(SelectedScope="All India",TRUE,'RAW_QUIZ'!$B63=SelectedScope),'RAW_QUIZ'!A63,"")</f>
        <v>60</v>
      </c>
      <c r="B64" s="12" t="str">
        <f>IF(IF(SelectedScope="All India",TRUE,'RAW_QUIZ'!$B63=SelectedScope),'RAW_QUIZ'!B63,"")</f>
        <v>Chandigarh</v>
      </c>
      <c r="C64" s="12" t="str">
        <f>IF(IF(SelectedScope="All India",TRUE,'RAW_QUIZ'!$B63=SelectedScope),'RAW_QUIZ'!C63,"")</f>
        <v>Mathematics</v>
      </c>
      <c r="D64" s="12" t="str">
        <f>IF(IF(SelectedScope="All India",TRUE,'RAW_QUIZ'!$B63=SelectedScope),'RAW_QUIZ'!D63,"")</f>
        <v>Class 10</v>
      </c>
      <c r="E64" s="12" t="str">
        <f>IF(IF(SelectedScope="All India",TRUE,'RAW_QUIZ'!$B63=SelectedScope),'RAW_QUIZ'!E63,"")</f>
        <v>Quadratic Equations — Unit Quiz</v>
      </c>
      <c r="F64" s="12">
        <f>IF(IF(SelectedScope="All India",TRUE,'RAW_QUIZ'!$B63=SelectedScope),'RAW_QUIZ'!F63,"")</f>
        <v>0</v>
      </c>
      <c r="G64" s="12" t="str">
        <f>IF(IF(SelectedScope="All India",TRUE,'RAW_QUIZ'!$B63=SelectedScope),'RAW_QUIZ'!G63,"")</f>
        <v>Active</v>
      </c>
      <c r="H64" s="12">
        <f>IF(IF(SelectedScope="All India",TRUE,'RAW_QUIZ'!$B63=SelectedScope),'RAW_QUIZ'!H63,"")</f>
        <v>0</v>
      </c>
      <c r="I64" s="12">
        <f>IF(IF(SelectedScope="All India",TRUE,'RAW_QUIZ'!$B63=SelectedScope),'RAW_QUIZ'!I63,"")</f>
        <v>0</v>
      </c>
      <c r="J64" s="12">
        <f>IF(IF(SelectedScope="All India",TRUE,'RAW_QUIZ'!$B63=SelectedScope),'RAW_QUIZ'!J63,"")</f>
        <v>0</v>
      </c>
      <c r="K64" s="12">
        <f>IF(IF(SelectedScope="All India",TRUE,'RAW_QUIZ'!$B63=SelectedScope),'RAW_QUIZ'!K63,"")</f>
        <v>0</v>
      </c>
      <c r="L64" s="12">
        <f>IF(IF(SelectedScope="All India",TRUE,'RAW_QUIZ'!$B63=SelectedScope),'RAW_QUIZ'!L63,"")</f>
        <v>0</v>
      </c>
      <c r="M64" s="12">
        <f>IF(IF(SelectedScope="All India",TRUE,'RAW_QUIZ'!$B63=SelectedScope),'RAW_QUIZ'!M63,"")</f>
        <v>0</v>
      </c>
      <c r="N64" s="12">
        <f>IF(IF(SelectedScope="All India",TRUE,'RAW_QUIZ'!$B63=SelectedScope),'RAW_QUIZ'!N63,"")</f>
        <v>0</v>
      </c>
      <c r="O64" s="12">
        <f>IF(IF(SelectedScope="All India",TRUE,'RAW_QUIZ'!$B63=SelectedScope),'RAW_QUIZ'!O63,"")</f>
        <v>0</v>
      </c>
      <c r="P64" s="12">
        <f>IF(IF(SelectedScope="All India",TRUE,'RAW_QUIZ'!$B63=SelectedScope),'RAW_QUIZ'!P63,"")</f>
        <v>0</v>
      </c>
      <c r="Q64" s="12">
        <f>IF(IF(SelectedScope="All India",TRUE,'RAW_QUIZ'!$B63=SelectedScope),'RAW_QUIZ'!Q63,"")</f>
        <v>0</v>
      </c>
    </row>
    <row r="65" spans="1:17" ht="15" customHeight="1" x14ac:dyDescent="0.3">
      <c r="A65" s="9">
        <f>IF(IF(SelectedScope="All India",TRUE,'RAW_QUIZ'!$B64=SelectedScope),'RAW_QUIZ'!A64,"")</f>
        <v>61</v>
      </c>
      <c r="B65" s="9" t="str">
        <f>IF(IF(SelectedScope="All India",TRUE,'RAW_QUIZ'!$B64=SelectedScope),'RAW_QUIZ'!B64,"")</f>
        <v>Chhattisgarh</v>
      </c>
      <c r="C65" s="9" t="str">
        <f>IF(IF(SelectedScope="All India",TRUE,'RAW_QUIZ'!$B64=SelectedScope),'RAW_QUIZ'!C64,"")</f>
        <v>Science</v>
      </c>
      <c r="D65" s="9" t="str">
        <f>IF(IF(SelectedScope="All India",TRUE,'RAW_QUIZ'!$B64=SelectedScope),'RAW_QUIZ'!D64,"")</f>
        <v>Class 8</v>
      </c>
      <c r="E65" s="9" t="str">
        <f>IF(IF(SelectedScope="All India",TRUE,'RAW_QUIZ'!$B64=SelectedScope),'RAW_QUIZ'!E64,"")</f>
        <v>Solar System — Unit Quiz</v>
      </c>
      <c r="F65" s="9">
        <f>IF(IF(SelectedScope="All India",TRUE,'RAW_QUIZ'!$B64=SelectedScope),'RAW_QUIZ'!F64,"")</f>
        <v>0</v>
      </c>
      <c r="G65" s="9" t="str">
        <f>IF(IF(SelectedScope="All India",TRUE,'RAW_QUIZ'!$B64=SelectedScope),'RAW_QUIZ'!G64,"")</f>
        <v>Active</v>
      </c>
      <c r="H65" s="9">
        <f>IF(IF(SelectedScope="All India",TRUE,'RAW_QUIZ'!$B64=SelectedScope),'RAW_QUIZ'!H64,"")</f>
        <v>0</v>
      </c>
      <c r="I65" s="9">
        <f>IF(IF(SelectedScope="All India",TRUE,'RAW_QUIZ'!$B64=SelectedScope),'RAW_QUIZ'!I64,"")</f>
        <v>0</v>
      </c>
      <c r="J65" s="9">
        <f>IF(IF(SelectedScope="All India",TRUE,'RAW_QUIZ'!$B64=SelectedScope),'RAW_QUIZ'!J64,"")</f>
        <v>0</v>
      </c>
      <c r="K65" s="9">
        <f>IF(IF(SelectedScope="All India",TRUE,'RAW_QUIZ'!$B64=SelectedScope),'RAW_QUIZ'!K64,"")</f>
        <v>0</v>
      </c>
      <c r="L65" s="9">
        <f>IF(IF(SelectedScope="All India",TRUE,'RAW_QUIZ'!$B64=SelectedScope),'RAW_QUIZ'!L64,"")</f>
        <v>0</v>
      </c>
      <c r="M65" s="9">
        <f>IF(IF(SelectedScope="All India",TRUE,'RAW_QUIZ'!$B64=SelectedScope),'RAW_QUIZ'!M64,"")</f>
        <v>0</v>
      </c>
      <c r="N65" s="9">
        <f>IF(IF(SelectedScope="All India",TRUE,'RAW_QUIZ'!$B64=SelectedScope),'RAW_QUIZ'!N64,"")</f>
        <v>0</v>
      </c>
      <c r="O65" s="9">
        <f>IF(IF(SelectedScope="All India",TRUE,'RAW_QUIZ'!$B64=SelectedScope),'RAW_QUIZ'!O64,"")</f>
        <v>0</v>
      </c>
      <c r="P65" s="9">
        <f>IF(IF(SelectedScope="All India",TRUE,'RAW_QUIZ'!$B64=SelectedScope),'RAW_QUIZ'!P64,"")</f>
        <v>0</v>
      </c>
      <c r="Q65" s="9">
        <f>IF(IF(SelectedScope="All India",TRUE,'RAW_QUIZ'!$B64=SelectedScope),'RAW_QUIZ'!Q64,"")</f>
        <v>0</v>
      </c>
    </row>
    <row r="66" spans="1:17" ht="15" customHeight="1" x14ac:dyDescent="0.3">
      <c r="A66" s="12">
        <f>IF(IF(SelectedScope="All India",TRUE,'RAW_QUIZ'!$B65=SelectedScope),'RAW_QUIZ'!A65,"")</f>
        <v>62</v>
      </c>
      <c r="B66" s="12" t="str">
        <f>IF(IF(SelectedScope="All India",TRUE,'RAW_QUIZ'!$B65=SelectedScope),'RAW_QUIZ'!B65,"")</f>
        <v>Chhattisgarh</v>
      </c>
      <c r="C66" s="12" t="str">
        <f>IF(IF(SelectedScope="All India",TRUE,'RAW_QUIZ'!$B65=SelectedScope),'RAW_QUIZ'!C65,"")</f>
        <v>Biology</v>
      </c>
      <c r="D66" s="12" t="str">
        <f>IF(IF(SelectedScope="All India",TRUE,'RAW_QUIZ'!$B65=SelectedScope),'RAW_QUIZ'!D65,"")</f>
        <v>Class 9</v>
      </c>
      <c r="E66" s="12" t="str">
        <f>IF(IF(SelectedScope="All India",TRUE,'RAW_QUIZ'!$B65=SelectedScope),'RAW_QUIZ'!E65,"")</f>
        <v>Cell Division — Unit Quiz</v>
      </c>
      <c r="F66" s="12">
        <f>IF(IF(SelectedScope="All India",TRUE,'RAW_QUIZ'!$B65=SelectedScope),'RAW_QUIZ'!F65,"")</f>
        <v>0</v>
      </c>
      <c r="G66" s="12" t="str">
        <f>IF(IF(SelectedScope="All India",TRUE,'RAW_QUIZ'!$B65=SelectedScope),'RAW_QUIZ'!G65,"")</f>
        <v>Active</v>
      </c>
      <c r="H66" s="12">
        <f>IF(IF(SelectedScope="All India",TRUE,'RAW_QUIZ'!$B65=SelectedScope),'RAW_QUIZ'!H65,"")</f>
        <v>0</v>
      </c>
      <c r="I66" s="12">
        <f>IF(IF(SelectedScope="All India",TRUE,'RAW_QUIZ'!$B65=SelectedScope),'RAW_QUIZ'!I65,"")</f>
        <v>0</v>
      </c>
      <c r="J66" s="12">
        <f>IF(IF(SelectedScope="All India",TRUE,'RAW_QUIZ'!$B65=SelectedScope),'RAW_QUIZ'!J65,"")</f>
        <v>0</v>
      </c>
      <c r="K66" s="12">
        <f>IF(IF(SelectedScope="All India",TRUE,'RAW_QUIZ'!$B65=SelectedScope),'RAW_QUIZ'!K65,"")</f>
        <v>0</v>
      </c>
      <c r="L66" s="12">
        <f>IF(IF(SelectedScope="All India",TRUE,'RAW_QUIZ'!$B65=SelectedScope),'RAW_QUIZ'!L65,"")</f>
        <v>0</v>
      </c>
      <c r="M66" s="12">
        <f>IF(IF(SelectedScope="All India",TRUE,'RAW_QUIZ'!$B65=SelectedScope),'RAW_QUIZ'!M65,"")</f>
        <v>0</v>
      </c>
      <c r="N66" s="12">
        <f>IF(IF(SelectedScope="All India",TRUE,'RAW_QUIZ'!$B65=SelectedScope),'RAW_QUIZ'!N65,"")</f>
        <v>0</v>
      </c>
      <c r="O66" s="12">
        <f>IF(IF(SelectedScope="All India",TRUE,'RAW_QUIZ'!$B65=SelectedScope),'RAW_QUIZ'!O65,"")</f>
        <v>0</v>
      </c>
      <c r="P66" s="12">
        <f>IF(IF(SelectedScope="All India",TRUE,'RAW_QUIZ'!$B65=SelectedScope),'RAW_QUIZ'!P65,"")</f>
        <v>0</v>
      </c>
      <c r="Q66" s="12">
        <f>IF(IF(SelectedScope="All India",TRUE,'RAW_QUIZ'!$B65=SelectedScope),'RAW_QUIZ'!Q65,"")</f>
        <v>0</v>
      </c>
    </row>
    <row r="67" spans="1:17" ht="15" customHeight="1" x14ac:dyDescent="0.3">
      <c r="A67" s="9">
        <f>IF(IF(SelectedScope="All India",TRUE,'RAW_QUIZ'!$B66=SelectedScope),'RAW_QUIZ'!A66,"")</f>
        <v>63</v>
      </c>
      <c r="B67" s="9" t="str">
        <f>IF(IF(SelectedScope="All India",TRUE,'RAW_QUIZ'!$B66=SelectedScope),'RAW_QUIZ'!B66,"")</f>
        <v>Chhattisgarh</v>
      </c>
      <c r="C67" s="9" t="str">
        <f>IF(IF(SelectedScope="All India",TRUE,'RAW_QUIZ'!$B66=SelectedScope),'RAW_QUIZ'!C66,"")</f>
        <v>Chemistry</v>
      </c>
      <c r="D67" s="9" t="str">
        <f>IF(IF(SelectedScope="All India",TRUE,'RAW_QUIZ'!$B66=SelectedScope),'RAW_QUIZ'!D66,"")</f>
        <v>Class 9</v>
      </c>
      <c r="E67" s="9" t="str">
        <f>IF(IF(SelectedScope="All India",TRUE,'RAW_QUIZ'!$B66=SelectedScope),'RAW_QUIZ'!E66,"")</f>
        <v>Atoms and Molecules — Unit Quiz</v>
      </c>
      <c r="F67" s="9">
        <f>IF(IF(SelectedScope="All India",TRUE,'RAW_QUIZ'!$B66=SelectedScope),'RAW_QUIZ'!F66,"")</f>
        <v>0</v>
      </c>
      <c r="G67" s="9" t="str">
        <f>IF(IF(SelectedScope="All India",TRUE,'RAW_QUIZ'!$B66=SelectedScope),'RAW_QUIZ'!G66,"")</f>
        <v>Active</v>
      </c>
      <c r="H67" s="9">
        <f>IF(IF(SelectedScope="All India",TRUE,'RAW_QUIZ'!$B66=SelectedScope),'RAW_QUIZ'!H66,"")</f>
        <v>0</v>
      </c>
      <c r="I67" s="9">
        <f>IF(IF(SelectedScope="All India",TRUE,'RAW_QUIZ'!$B66=SelectedScope),'RAW_QUIZ'!I66,"")</f>
        <v>0</v>
      </c>
      <c r="J67" s="9">
        <f>IF(IF(SelectedScope="All India",TRUE,'RAW_QUIZ'!$B66=SelectedScope),'RAW_QUIZ'!J66,"")</f>
        <v>0</v>
      </c>
      <c r="K67" s="9">
        <f>IF(IF(SelectedScope="All India",TRUE,'RAW_QUIZ'!$B66=SelectedScope),'RAW_QUIZ'!K66,"")</f>
        <v>0</v>
      </c>
      <c r="L67" s="9">
        <f>IF(IF(SelectedScope="All India",TRUE,'RAW_QUIZ'!$B66=SelectedScope),'RAW_QUIZ'!L66,"")</f>
        <v>0</v>
      </c>
      <c r="M67" s="9">
        <f>IF(IF(SelectedScope="All India",TRUE,'RAW_QUIZ'!$B66=SelectedScope),'RAW_QUIZ'!M66,"")</f>
        <v>0</v>
      </c>
      <c r="N67" s="9">
        <f>IF(IF(SelectedScope="All India",TRUE,'RAW_QUIZ'!$B66=SelectedScope),'RAW_QUIZ'!N66,"")</f>
        <v>0</v>
      </c>
      <c r="O67" s="9">
        <f>IF(IF(SelectedScope="All India",TRUE,'RAW_QUIZ'!$B66=SelectedScope),'RAW_QUIZ'!O66,"")</f>
        <v>0</v>
      </c>
      <c r="P67" s="9">
        <f>IF(IF(SelectedScope="All India",TRUE,'RAW_QUIZ'!$B66=SelectedScope),'RAW_QUIZ'!P66,"")</f>
        <v>0</v>
      </c>
      <c r="Q67" s="9">
        <f>IF(IF(SelectedScope="All India",TRUE,'RAW_QUIZ'!$B66=SelectedScope),'RAW_QUIZ'!Q66,"")</f>
        <v>0</v>
      </c>
    </row>
    <row r="68" spans="1:17" ht="15" customHeight="1" x14ac:dyDescent="0.3">
      <c r="A68" s="12">
        <f>IF(IF(SelectedScope="All India",TRUE,'RAW_QUIZ'!$B67=SelectedScope),'RAW_QUIZ'!A67,"")</f>
        <v>64</v>
      </c>
      <c r="B68" s="12" t="str">
        <f>IF(IF(SelectedScope="All India",TRUE,'RAW_QUIZ'!$B67=SelectedScope),'RAW_QUIZ'!B67,"")</f>
        <v>Chhattisgarh</v>
      </c>
      <c r="C68" s="12" t="str">
        <f>IF(IF(SelectedScope="All India",TRUE,'RAW_QUIZ'!$B67=SelectedScope),'RAW_QUIZ'!C67,"")</f>
        <v>Mathematics</v>
      </c>
      <c r="D68" s="12" t="str">
        <f>IF(IF(SelectedScope="All India",TRUE,'RAW_QUIZ'!$B67=SelectedScope),'RAW_QUIZ'!D67,"")</f>
        <v>Class 7</v>
      </c>
      <c r="E68" s="12" t="str">
        <f>IF(IF(SelectedScope="All India",TRUE,'RAW_QUIZ'!$B67=SelectedScope),'RAW_QUIZ'!E67,"")</f>
        <v>Fractions — Unit Quiz</v>
      </c>
      <c r="F68" s="12">
        <f>IF(IF(SelectedScope="All India",TRUE,'RAW_QUIZ'!$B67=SelectedScope),'RAW_QUIZ'!F67,"")</f>
        <v>0</v>
      </c>
      <c r="G68" s="12" t="str">
        <f>IF(IF(SelectedScope="All India",TRUE,'RAW_QUIZ'!$B67=SelectedScope),'RAW_QUIZ'!G67,"")</f>
        <v>Active</v>
      </c>
      <c r="H68" s="12">
        <f>IF(IF(SelectedScope="All India",TRUE,'RAW_QUIZ'!$B67=SelectedScope),'RAW_QUIZ'!H67,"")</f>
        <v>0</v>
      </c>
      <c r="I68" s="12">
        <f>IF(IF(SelectedScope="All India",TRUE,'RAW_QUIZ'!$B67=SelectedScope),'RAW_QUIZ'!I67,"")</f>
        <v>0</v>
      </c>
      <c r="J68" s="12">
        <f>IF(IF(SelectedScope="All India",TRUE,'RAW_QUIZ'!$B67=SelectedScope),'RAW_QUIZ'!J67,"")</f>
        <v>0</v>
      </c>
      <c r="K68" s="12">
        <f>IF(IF(SelectedScope="All India",TRUE,'RAW_QUIZ'!$B67=SelectedScope),'RAW_QUIZ'!K67,"")</f>
        <v>0</v>
      </c>
      <c r="L68" s="12">
        <f>IF(IF(SelectedScope="All India",TRUE,'RAW_QUIZ'!$B67=SelectedScope),'RAW_QUIZ'!L67,"")</f>
        <v>0</v>
      </c>
      <c r="M68" s="12">
        <f>IF(IF(SelectedScope="All India",TRUE,'RAW_QUIZ'!$B67=SelectedScope),'RAW_QUIZ'!M67,"")</f>
        <v>0</v>
      </c>
      <c r="N68" s="12">
        <f>IF(IF(SelectedScope="All India",TRUE,'RAW_QUIZ'!$B67=SelectedScope),'RAW_QUIZ'!N67,"")</f>
        <v>0</v>
      </c>
      <c r="O68" s="12">
        <f>IF(IF(SelectedScope="All India",TRUE,'RAW_QUIZ'!$B67=SelectedScope),'RAW_QUIZ'!O67,"")</f>
        <v>0</v>
      </c>
      <c r="P68" s="12">
        <f>IF(IF(SelectedScope="All India",TRUE,'RAW_QUIZ'!$B67=SelectedScope),'RAW_QUIZ'!P67,"")</f>
        <v>0</v>
      </c>
      <c r="Q68" s="12">
        <f>IF(IF(SelectedScope="All India",TRUE,'RAW_QUIZ'!$B67=SelectedScope),'RAW_QUIZ'!Q67,"")</f>
        <v>0</v>
      </c>
    </row>
    <row r="69" spans="1:17" ht="15" customHeight="1" x14ac:dyDescent="0.3">
      <c r="A69" s="9">
        <f>IF(IF(SelectedScope="All India",TRUE,'RAW_QUIZ'!$B68=SelectedScope),'RAW_QUIZ'!A68,"")</f>
        <v>65</v>
      </c>
      <c r="B69" s="9" t="str">
        <f>IF(IF(SelectedScope="All India",TRUE,'RAW_QUIZ'!$B68=SelectedScope),'RAW_QUIZ'!B68,"")</f>
        <v>Chhattisgarh</v>
      </c>
      <c r="C69" s="9" t="str">
        <f>IF(IF(SelectedScope="All India",TRUE,'RAW_QUIZ'!$B68=SelectedScope),'RAW_QUIZ'!C68,"")</f>
        <v>Mathematics</v>
      </c>
      <c r="D69" s="9" t="str">
        <f>IF(IF(SelectedScope="All India",TRUE,'RAW_QUIZ'!$B68=SelectedScope),'RAW_QUIZ'!D68,"")</f>
        <v>Class 10</v>
      </c>
      <c r="E69" s="9" t="str">
        <f>IF(IF(SelectedScope="All India",TRUE,'RAW_QUIZ'!$B68=SelectedScope),'RAW_QUIZ'!E68,"")</f>
        <v>Trigonometry — Unit Quiz</v>
      </c>
      <c r="F69" s="9">
        <f>IF(IF(SelectedScope="All India",TRUE,'RAW_QUIZ'!$B68=SelectedScope),'RAW_QUIZ'!F68,"")</f>
        <v>0</v>
      </c>
      <c r="G69" s="9" t="str">
        <f>IF(IF(SelectedScope="All India",TRUE,'RAW_QUIZ'!$B68=SelectedScope),'RAW_QUIZ'!G68,"")</f>
        <v>Active</v>
      </c>
      <c r="H69" s="9">
        <f>IF(IF(SelectedScope="All India",TRUE,'RAW_QUIZ'!$B68=SelectedScope),'RAW_QUIZ'!H68,"")</f>
        <v>0</v>
      </c>
      <c r="I69" s="9">
        <f>IF(IF(SelectedScope="All India",TRUE,'RAW_QUIZ'!$B68=SelectedScope),'RAW_QUIZ'!I68,"")</f>
        <v>0</v>
      </c>
      <c r="J69" s="9">
        <f>IF(IF(SelectedScope="All India",TRUE,'RAW_QUIZ'!$B68=SelectedScope),'RAW_QUIZ'!J68,"")</f>
        <v>0</v>
      </c>
      <c r="K69" s="9">
        <f>IF(IF(SelectedScope="All India",TRUE,'RAW_QUIZ'!$B68=SelectedScope),'RAW_QUIZ'!K68,"")</f>
        <v>0</v>
      </c>
      <c r="L69" s="9">
        <f>IF(IF(SelectedScope="All India",TRUE,'RAW_QUIZ'!$B68=SelectedScope),'RAW_QUIZ'!L68,"")</f>
        <v>0</v>
      </c>
      <c r="M69" s="9">
        <f>IF(IF(SelectedScope="All India",TRUE,'RAW_QUIZ'!$B68=SelectedScope),'RAW_QUIZ'!M68,"")</f>
        <v>0</v>
      </c>
      <c r="N69" s="9">
        <f>IF(IF(SelectedScope="All India",TRUE,'RAW_QUIZ'!$B68=SelectedScope),'RAW_QUIZ'!N68,"")</f>
        <v>0</v>
      </c>
      <c r="O69" s="9">
        <f>IF(IF(SelectedScope="All India",TRUE,'RAW_QUIZ'!$B68=SelectedScope),'RAW_QUIZ'!O68,"")</f>
        <v>0</v>
      </c>
      <c r="P69" s="9">
        <f>IF(IF(SelectedScope="All India",TRUE,'RAW_QUIZ'!$B68=SelectedScope),'RAW_QUIZ'!P68,"")</f>
        <v>0</v>
      </c>
      <c r="Q69" s="9">
        <f>IF(IF(SelectedScope="All India",TRUE,'RAW_QUIZ'!$B68=SelectedScope),'RAW_QUIZ'!Q68,"")</f>
        <v>0</v>
      </c>
    </row>
    <row r="70" spans="1:17" ht="15" customHeight="1" x14ac:dyDescent="0.3">
      <c r="A70" s="12">
        <f>IF(IF(SelectedScope="All India",TRUE,'RAW_QUIZ'!$B69=SelectedScope),'RAW_QUIZ'!A69,"")</f>
        <v>66</v>
      </c>
      <c r="B70" s="12" t="str">
        <f>IF(IF(SelectedScope="All India",TRUE,'RAW_QUIZ'!$B69=SelectedScope),'RAW_QUIZ'!B69,"")</f>
        <v>Chhattisgarh</v>
      </c>
      <c r="C70" s="12" t="str">
        <f>IF(IF(SelectedScope="All India",TRUE,'RAW_QUIZ'!$B69=SelectedScope),'RAW_QUIZ'!C69,"")</f>
        <v>History</v>
      </c>
      <c r="D70" s="12" t="str">
        <f>IF(IF(SelectedScope="All India",TRUE,'RAW_QUIZ'!$B69=SelectedScope),'RAW_QUIZ'!D69,"")</f>
        <v>Class 10</v>
      </c>
      <c r="E70" s="12" t="str">
        <f>IF(IF(SelectedScope="All India",TRUE,'RAW_QUIZ'!$B69=SelectedScope),'RAW_QUIZ'!E69,"")</f>
        <v>Mughal Empire — Unit Quiz</v>
      </c>
      <c r="F70" s="12">
        <f>IF(IF(SelectedScope="All India",TRUE,'RAW_QUIZ'!$B69=SelectedScope),'RAW_QUIZ'!F69,"")</f>
        <v>0</v>
      </c>
      <c r="G70" s="12" t="str">
        <f>IF(IF(SelectedScope="All India",TRUE,'RAW_QUIZ'!$B69=SelectedScope),'RAW_QUIZ'!G69,"")</f>
        <v>Active</v>
      </c>
      <c r="H70" s="12">
        <f>IF(IF(SelectedScope="All India",TRUE,'RAW_QUIZ'!$B69=SelectedScope),'RAW_QUIZ'!H69,"")</f>
        <v>0</v>
      </c>
      <c r="I70" s="12">
        <f>IF(IF(SelectedScope="All India",TRUE,'RAW_QUIZ'!$B69=SelectedScope),'RAW_QUIZ'!I69,"")</f>
        <v>0</v>
      </c>
      <c r="J70" s="12">
        <f>IF(IF(SelectedScope="All India",TRUE,'RAW_QUIZ'!$B69=SelectedScope),'RAW_QUIZ'!J69,"")</f>
        <v>0</v>
      </c>
      <c r="K70" s="12">
        <f>IF(IF(SelectedScope="All India",TRUE,'RAW_QUIZ'!$B69=SelectedScope),'RAW_QUIZ'!K69,"")</f>
        <v>0</v>
      </c>
      <c r="L70" s="12">
        <f>IF(IF(SelectedScope="All India",TRUE,'RAW_QUIZ'!$B69=SelectedScope),'RAW_QUIZ'!L69,"")</f>
        <v>0</v>
      </c>
      <c r="M70" s="12">
        <f>IF(IF(SelectedScope="All India",TRUE,'RAW_QUIZ'!$B69=SelectedScope),'RAW_QUIZ'!M69,"")</f>
        <v>0</v>
      </c>
      <c r="N70" s="12">
        <f>IF(IF(SelectedScope="All India",TRUE,'RAW_QUIZ'!$B69=SelectedScope),'RAW_QUIZ'!N69,"")</f>
        <v>0</v>
      </c>
      <c r="O70" s="12">
        <f>IF(IF(SelectedScope="All India",TRUE,'RAW_QUIZ'!$B69=SelectedScope),'RAW_QUIZ'!O69,"")</f>
        <v>0</v>
      </c>
      <c r="P70" s="12">
        <f>IF(IF(SelectedScope="All India",TRUE,'RAW_QUIZ'!$B69=SelectedScope),'RAW_QUIZ'!P69,"")</f>
        <v>0</v>
      </c>
      <c r="Q70" s="12">
        <f>IF(IF(SelectedScope="All India",TRUE,'RAW_QUIZ'!$B69=SelectedScope),'RAW_QUIZ'!Q69,"")</f>
        <v>0</v>
      </c>
    </row>
    <row r="71" spans="1:17" ht="15" customHeight="1" x14ac:dyDescent="0.3">
      <c r="A71" s="9">
        <f>IF(IF(SelectedScope="All India",TRUE,'RAW_QUIZ'!$B70=SelectedScope),'RAW_QUIZ'!A70,"")</f>
        <v>67</v>
      </c>
      <c r="B71" s="9" t="str">
        <f>IF(IF(SelectedScope="All India",TRUE,'RAW_QUIZ'!$B70=SelectedScope),'RAW_QUIZ'!B70,"")</f>
        <v>Chhattisgarh</v>
      </c>
      <c r="C71" s="9" t="str">
        <f>IF(IF(SelectedScope="All India",TRUE,'RAW_QUIZ'!$B70=SelectedScope),'RAW_QUIZ'!C70,"")</f>
        <v>Physics</v>
      </c>
      <c r="D71" s="9" t="str">
        <f>IF(IF(SelectedScope="All India",TRUE,'RAW_QUIZ'!$B70=SelectedScope),'RAW_QUIZ'!D70,"")</f>
        <v>Class 9</v>
      </c>
      <c r="E71" s="9" t="str">
        <f>IF(IF(SelectedScope="All India",TRUE,'RAW_QUIZ'!$B70=SelectedScope),'RAW_QUIZ'!E70,"")</f>
        <v>Laws of Motion — Unit Quiz</v>
      </c>
      <c r="F71" s="9">
        <f>IF(IF(SelectedScope="All India",TRUE,'RAW_QUIZ'!$B70=SelectedScope),'RAW_QUIZ'!F70,"")</f>
        <v>0</v>
      </c>
      <c r="G71" s="9" t="str">
        <f>IF(IF(SelectedScope="All India",TRUE,'RAW_QUIZ'!$B70=SelectedScope),'RAW_QUIZ'!G70,"")</f>
        <v>Active</v>
      </c>
      <c r="H71" s="9">
        <f>IF(IF(SelectedScope="All India",TRUE,'RAW_QUIZ'!$B70=SelectedScope),'RAW_QUIZ'!H70,"")</f>
        <v>0</v>
      </c>
      <c r="I71" s="9">
        <f>IF(IF(SelectedScope="All India",TRUE,'RAW_QUIZ'!$B70=SelectedScope),'RAW_QUIZ'!I70,"")</f>
        <v>0</v>
      </c>
      <c r="J71" s="9">
        <f>IF(IF(SelectedScope="All India",TRUE,'RAW_QUIZ'!$B70=SelectedScope),'RAW_QUIZ'!J70,"")</f>
        <v>0</v>
      </c>
      <c r="K71" s="9">
        <f>IF(IF(SelectedScope="All India",TRUE,'RAW_QUIZ'!$B70=SelectedScope),'RAW_QUIZ'!K70,"")</f>
        <v>0</v>
      </c>
      <c r="L71" s="9">
        <f>IF(IF(SelectedScope="All India",TRUE,'RAW_QUIZ'!$B70=SelectedScope),'RAW_QUIZ'!L70,"")</f>
        <v>0</v>
      </c>
      <c r="M71" s="9">
        <f>IF(IF(SelectedScope="All India",TRUE,'RAW_QUIZ'!$B70=SelectedScope),'RAW_QUIZ'!M70,"")</f>
        <v>0</v>
      </c>
      <c r="N71" s="9">
        <f>IF(IF(SelectedScope="All India",TRUE,'RAW_QUIZ'!$B70=SelectedScope),'RAW_QUIZ'!N70,"")</f>
        <v>0</v>
      </c>
      <c r="O71" s="9">
        <f>IF(IF(SelectedScope="All India",TRUE,'RAW_QUIZ'!$B70=SelectedScope),'RAW_QUIZ'!O70,"")</f>
        <v>0</v>
      </c>
      <c r="P71" s="9">
        <f>IF(IF(SelectedScope="All India",TRUE,'RAW_QUIZ'!$B70=SelectedScope),'RAW_QUIZ'!P70,"")</f>
        <v>0</v>
      </c>
      <c r="Q71" s="9">
        <f>IF(IF(SelectedScope="All India",TRUE,'RAW_QUIZ'!$B70=SelectedScope),'RAW_QUIZ'!Q70,"")</f>
        <v>0</v>
      </c>
    </row>
    <row r="72" spans="1:17" ht="15" customHeight="1" x14ac:dyDescent="0.3">
      <c r="A72" s="12">
        <f>IF(IF(SelectedScope="All India",TRUE,'RAW_QUIZ'!$B71=SelectedScope),'RAW_QUIZ'!A71,"")</f>
        <v>68</v>
      </c>
      <c r="B72" s="12" t="str">
        <f>IF(IF(SelectedScope="All India",TRUE,'RAW_QUIZ'!$B71=SelectedScope),'RAW_QUIZ'!B71,"")</f>
        <v>Chhattisgarh</v>
      </c>
      <c r="C72" s="12" t="str">
        <f>IF(IF(SelectedScope="All India",TRUE,'RAW_QUIZ'!$B71=SelectedScope),'RAW_QUIZ'!C71,"")</f>
        <v>Physics</v>
      </c>
      <c r="D72" s="12" t="str">
        <f>IF(IF(SelectedScope="All India",TRUE,'RAW_QUIZ'!$B71=SelectedScope),'RAW_QUIZ'!D71,"")</f>
        <v>Class 10</v>
      </c>
      <c r="E72" s="12" t="str">
        <f>IF(IF(SelectedScope="All India",TRUE,'RAW_QUIZ'!$B71=SelectedScope),'RAW_QUIZ'!E71,"")</f>
        <v>Electricity — Unit Quiz</v>
      </c>
      <c r="F72" s="12">
        <f>IF(IF(SelectedScope="All India",TRUE,'RAW_QUIZ'!$B71=SelectedScope),'RAW_QUIZ'!F71,"")</f>
        <v>0</v>
      </c>
      <c r="G72" s="12" t="str">
        <f>IF(IF(SelectedScope="All India",TRUE,'RAW_QUIZ'!$B71=SelectedScope),'RAW_QUIZ'!G71,"")</f>
        <v>Active</v>
      </c>
      <c r="H72" s="12">
        <f>IF(IF(SelectedScope="All India",TRUE,'RAW_QUIZ'!$B71=SelectedScope),'RAW_QUIZ'!H71,"")</f>
        <v>0</v>
      </c>
      <c r="I72" s="12">
        <f>IF(IF(SelectedScope="All India",TRUE,'RAW_QUIZ'!$B71=SelectedScope),'RAW_QUIZ'!I71,"")</f>
        <v>0</v>
      </c>
      <c r="J72" s="12">
        <f>IF(IF(SelectedScope="All India",TRUE,'RAW_QUIZ'!$B71=SelectedScope),'RAW_QUIZ'!J71,"")</f>
        <v>0</v>
      </c>
      <c r="K72" s="12">
        <f>IF(IF(SelectedScope="All India",TRUE,'RAW_QUIZ'!$B71=SelectedScope),'RAW_QUIZ'!K71,"")</f>
        <v>0</v>
      </c>
      <c r="L72" s="12">
        <f>IF(IF(SelectedScope="All India",TRUE,'RAW_QUIZ'!$B71=SelectedScope),'RAW_QUIZ'!L71,"")</f>
        <v>0</v>
      </c>
      <c r="M72" s="12">
        <f>IF(IF(SelectedScope="All India",TRUE,'RAW_QUIZ'!$B71=SelectedScope),'RAW_QUIZ'!M71,"")</f>
        <v>0</v>
      </c>
      <c r="N72" s="12">
        <f>IF(IF(SelectedScope="All India",TRUE,'RAW_QUIZ'!$B71=SelectedScope),'RAW_QUIZ'!N71,"")</f>
        <v>0</v>
      </c>
      <c r="O72" s="12">
        <f>IF(IF(SelectedScope="All India",TRUE,'RAW_QUIZ'!$B71=SelectedScope),'RAW_QUIZ'!O71,"")</f>
        <v>0</v>
      </c>
      <c r="P72" s="12">
        <f>IF(IF(SelectedScope="All India",TRUE,'RAW_QUIZ'!$B71=SelectedScope),'RAW_QUIZ'!P71,"")</f>
        <v>0</v>
      </c>
      <c r="Q72" s="12">
        <f>IF(IF(SelectedScope="All India",TRUE,'RAW_QUIZ'!$B71=SelectedScope),'RAW_QUIZ'!Q71,"")</f>
        <v>0</v>
      </c>
    </row>
    <row r="73" spans="1:17" ht="15" customHeight="1" x14ac:dyDescent="0.3">
      <c r="A73" s="9">
        <f>IF(IF(SelectedScope="All India",TRUE,'RAW_QUIZ'!$B72=SelectedScope),'RAW_QUIZ'!A72,"")</f>
        <v>69</v>
      </c>
      <c r="B73" s="9" t="str">
        <f>IF(IF(SelectedScope="All India",TRUE,'RAW_QUIZ'!$B72=SelectedScope),'RAW_QUIZ'!B72,"")</f>
        <v>Chhattisgarh</v>
      </c>
      <c r="C73" s="9" t="str">
        <f>IF(IF(SelectedScope="All India",TRUE,'RAW_QUIZ'!$B72=SelectedScope),'RAW_QUIZ'!C72,"")</f>
        <v>Civics</v>
      </c>
      <c r="D73" s="9" t="str">
        <f>IF(IF(SelectedScope="All India",TRUE,'RAW_QUIZ'!$B72=SelectedScope),'RAW_QUIZ'!D72,"")</f>
        <v>Class 9</v>
      </c>
      <c r="E73" s="9" t="str">
        <f>IF(IF(SelectedScope="All India",TRUE,'RAW_QUIZ'!$B72=SelectedScope),'RAW_QUIZ'!E72,"")</f>
        <v>Indian Constitution — Unit Quiz</v>
      </c>
      <c r="F73" s="9">
        <f>IF(IF(SelectedScope="All India",TRUE,'RAW_QUIZ'!$B72=SelectedScope),'RAW_QUIZ'!F72,"")</f>
        <v>0</v>
      </c>
      <c r="G73" s="9" t="str">
        <f>IF(IF(SelectedScope="All India",TRUE,'RAW_QUIZ'!$B72=SelectedScope),'RAW_QUIZ'!G72,"")</f>
        <v>Active</v>
      </c>
      <c r="H73" s="9">
        <f>IF(IF(SelectedScope="All India",TRUE,'RAW_QUIZ'!$B72=SelectedScope),'RAW_QUIZ'!H72,"")</f>
        <v>0</v>
      </c>
      <c r="I73" s="9">
        <f>IF(IF(SelectedScope="All India",TRUE,'RAW_QUIZ'!$B72=SelectedScope),'RAW_QUIZ'!I72,"")</f>
        <v>0</v>
      </c>
      <c r="J73" s="9">
        <f>IF(IF(SelectedScope="All India",TRUE,'RAW_QUIZ'!$B72=SelectedScope),'RAW_QUIZ'!J72,"")</f>
        <v>0</v>
      </c>
      <c r="K73" s="9">
        <f>IF(IF(SelectedScope="All India",TRUE,'RAW_QUIZ'!$B72=SelectedScope),'RAW_QUIZ'!K72,"")</f>
        <v>0</v>
      </c>
      <c r="L73" s="9">
        <f>IF(IF(SelectedScope="All India",TRUE,'RAW_QUIZ'!$B72=SelectedScope),'RAW_QUIZ'!L72,"")</f>
        <v>0</v>
      </c>
      <c r="M73" s="9">
        <f>IF(IF(SelectedScope="All India",TRUE,'RAW_QUIZ'!$B72=SelectedScope),'RAW_QUIZ'!M72,"")</f>
        <v>0</v>
      </c>
      <c r="N73" s="9">
        <f>IF(IF(SelectedScope="All India",TRUE,'RAW_QUIZ'!$B72=SelectedScope),'RAW_QUIZ'!N72,"")</f>
        <v>0</v>
      </c>
      <c r="O73" s="9">
        <f>IF(IF(SelectedScope="All India",TRUE,'RAW_QUIZ'!$B72=SelectedScope),'RAW_QUIZ'!O72,"")</f>
        <v>0</v>
      </c>
      <c r="P73" s="9">
        <f>IF(IF(SelectedScope="All India",TRUE,'RAW_QUIZ'!$B72=SelectedScope),'RAW_QUIZ'!P72,"")</f>
        <v>0</v>
      </c>
      <c r="Q73" s="9">
        <f>IF(IF(SelectedScope="All India",TRUE,'RAW_QUIZ'!$B72=SelectedScope),'RAW_QUIZ'!Q72,"")</f>
        <v>0</v>
      </c>
    </row>
    <row r="74" spans="1:17" ht="15" customHeight="1" x14ac:dyDescent="0.3">
      <c r="A74" s="12">
        <f>IF(IF(SelectedScope="All India",TRUE,'RAW_QUIZ'!$B73=SelectedScope),'RAW_QUIZ'!A73,"")</f>
        <v>70</v>
      </c>
      <c r="B74" s="12" t="str">
        <f>IF(IF(SelectedScope="All India",TRUE,'RAW_QUIZ'!$B73=SelectedScope),'RAW_QUIZ'!B73,"")</f>
        <v>Chhattisgarh</v>
      </c>
      <c r="C74" s="12" t="str">
        <f>IF(IF(SelectedScope="All India",TRUE,'RAW_QUIZ'!$B73=SelectedScope),'RAW_QUIZ'!C73,"")</f>
        <v>Mathematics</v>
      </c>
      <c r="D74" s="12" t="str">
        <f>IF(IF(SelectedScope="All India",TRUE,'RAW_QUIZ'!$B73=SelectedScope),'RAW_QUIZ'!D73,"")</f>
        <v>Class 10</v>
      </c>
      <c r="E74" s="12" t="str">
        <f>IF(IF(SelectedScope="All India",TRUE,'RAW_QUIZ'!$B73=SelectedScope),'RAW_QUIZ'!E73,"")</f>
        <v>Quadratic Equations — Unit Quiz</v>
      </c>
      <c r="F74" s="12">
        <f>IF(IF(SelectedScope="All India",TRUE,'RAW_QUIZ'!$B73=SelectedScope),'RAW_QUIZ'!F73,"")</f>
        <v>0</v>
      </c>
      <c r="G74" s="12" t="str">
        <f>IF(IF(SelectedScope="All India",TRUE,'RAW_QUIZ'!$B73=SelectedScope),'RAW_QUIZ'!G73,"")</f>
        <v>Active</v>
      </c>
      <c r="H74" s="12">
        <f>IF(IF(SelectedScope="All India",TRUE,'RAW_QUIZ'!$B73=SelectedScope),'RAW_QUIZ'!H73,"")</f>
        <v>0</v>
      </c>
      <c r="I74" s="12">
        <f>IF(IF(SelectedScope="All India",TRUE,'RAW_QUIZ'!$B73=SelectedScope),'RAW_QUIZ'!I73,"")</f>
        <v>0</v>
      </c>
      <c r="J74" s="12">
        <f>IF(IF(SelectedScope="All India",TRUE,'RAW_QUIZ'!$B73=SelectedScope),'RAW_QUIZ'!J73,"")</f>
        <v>0</v>
      </c>
      <c r="K74" s="12">
        <f>IF(IF(SelectedScope="All India",TRUE,'RAW_QUIZ'!$B73=SelectedScope),'RAW_QUIZ'!K73,"")</f>
        <v>0</v>
      </c>
      <c r="L74" s="12">
        <f>IF(IF(SelectedScope="All India",TRUE,'RAW_QUIZ'!$B73=SelectedScope),'RAW_QUIZ'!L73,"")</f>
        <v>0</v>
      </c>
      <c r="M74" s="12">
        <f>IF(IF(SelectedScope="All India",TRUE,'RAW_QUIZ'!$B73=SelectedScope),'RAW_QUIZ'!M73,"")</f>
        <v>0</v>
      </c>
      <c r="N74" s="12">
        <f>IF(IF(SelectedScope="All India",TRUE,'RAW_QUIZ'!$B73=SelectedScope),'RAW_QUIZ'!N73,"")</f>
        <v>0</v>
      </c>
      <c r="O74" s="12">
        <f>IF(IF(SelectedScope="All India",TRUE,'RAW_QUIZ'!$B73=SelectedScope),'RAW_QUIZ'!O73,"")</f>
        <v>0</v>
      </c>
      <c r="P74" s="12">
        <f>IF(IF(SelectedScope="All India",TRUE,'RAW_QUIZ'!$B73=SelectedScope),'RAW_QUIZ'!P73,"")</f>
        <v>0</v>
      </c>
      <c r="Q74" s="12">
        <f>IF(IF(SelectedScope="All India",TRUE,'RAW_QUIZ'!$B73=SelectedScope),'RAW_QUIZ'!Q73,"")</f>
        <v>0</v>
      </c>
    </row>
    <row r="75" spans="1:17" ht="15" customHeight="1" x14ac:dyDescent="0.3">
      <c r="A75" s="9">
        <f>IF(IF(SelectedScope="All India",TRUE,'RAW_QUIZ'!$B74=SelectedScope),'RAW_QUIZ'!A74,"")</f>
        <v>71</v>
      </c>
      <c r="B75" s="9" t="str">
        <f>IF(IF(SelectedScope="All India",TRUE,'RAW_QUIZ'!$B74=SelectedScope),'RAW_QUIZ'!B74,"")</f>
        <v>Dadra and Nagar Haveli and Daman and Diu</v>
      </c>
      <c r="C75" s="9" t="str">
        <f>IF(IF(SelectedScope="All India",TRUE,'RAW_QUIZ'!$B74=SelectedScope),'RAW_QUIZ'!C74,"")</f>
        <v>Science</v>
      </c>
      <c r="D75" s="9" t="str">
        <f>IF(IF(SelectedScope="All India",TRUE,'RAW_QUIZ'!$B74=SelectedScope),'RAW_QUIZ'!D74,"")</f>
        <v>Class 8</v>
      </c>
      <c r="E75" s="9" t="str">
        <f>IF(IF(SelectedScope="All India",TRUE,'RAW_QUIZ'!$B74=SelectedScope),'RAW_QUIZ'!E74,"")</f>
        <v>Solar System — Unit Quiz</v>
      </c>
      <c r="F75" s="9">
        <f>IF(IF(SelectedScope="All India",TRUE,'RAW_QUIZ'!$B74=SelectedScope),'RAW_QUIZ'!F74,"")</f>
        <v>0</v>
      </c>
      <c r="G75" s="9" t="str">
        <f>IF(IF(SelectedScope="All India",TRUE,'RAW_QUIZ'!$B74=SelectedScope),'RAW_QUIZ'!G74,"")</f>
        <v>Active</v>
      </c>
      <c r="H75" s="9">
        <f>IF(IF(SelectedScope="All India",TRUE,'RAW_QUIZ'!$B74=SelectedScope),'RAW_QUIZ'!H74,"")</f>
        <v>0</v>
      </c>
      <c r="I75" s="9">
        <f>IF(IF(SelectedScope="All India",TRUE,'RAW_QUIZ'!$B74=SelectedScope),'RAW_QUIZ'!I74,"")</f>
        <v>0</v>
      </c>
      <c r="J75" s="9">
        <f>IF(IF(SelectedScope="All India",TRUE,'RAW_QUIZ'!$B74=SelectedScope),'RAW_QUIZ'!J74,"")</f>
        <v>0</v>
      </c>
      <c r="K75" s="9">
        <f>IF(IF(SelectedScope="All India",TRUE,'RAW_QUIZ'!$B74=SelectedScope),'RAW_QUIZ'!K74,"")</f>
        <v>0</v>
      </c>
      <c r="L75" s="9">
        <f>IF(IF(SelectedScope="All India",TRUE,'RAW_QUIZ'!$B74=SelectedScope),'RAW_QUIZ'!L74,"")</f>
        <v>0</v>
      </c>
      <c r="M75" s="9">
        <f>IF(IF(SelectedScope="All India",TRUE,'RAW_QUIZ'!$B74=SelectedScope),'RAW_QUIZ'!M74,"")</f>
        <v>0</v>
      </c>
      <c r="N75" s="9">
        <f>IF(IF(SelectedScope="All India",TRUE,'RAW_QUIZ'!$B74=SelectedScope),'RAW_QUIZ'!N74,"")</f>
        <v>0</v>
      </c>
      <c r="O75" s="9">
        <f>IF(IF(SelectedScope="All India",TRUE,'RAW_QUIZ'!$B74=SelectedScope),'RAW_QUIZ'!O74,"")</f>
        <v>0</v>
      </c>
      <c r="P75" s="9">
        <f>IF(IF(SelectedScope="All India",TRUE,'RAW_QUIZ'!$B74=SelectedScope),'RAW_QUIZ'!P74,"")</f>
        <v>0</v>
      </c>
      <c r="Q75" s="9">
        <f>IF(IF(SelectedScope="All India",TRUE,'RAW_QUIZ'!$B74=SelectedScope),'RAW_QUIZ'!Q74,"")</f>
        <v>0</v>
      </c>
    </row>
    <row r="76" spans="1:17" ht="15" customHeight="1" x14ac:dyDescent="0.3">
      <c r="A76" s="12">
        <f>IF(IF(SelectedScope="All India",TRUE,'RAW_QUIZ'!$B75=SelectedScope),'RAW_QUIZ'!A75,"")</f>
        <v>72</v>
      </c>
      <c r="B76" s="12" t="str">
        <f>IF(IF(SelectedScope="All India",TRUE,'RAW_QUIZ'!$B75=SelectedScope),'RAW_QUIZ'!B75,"")</f>
        <v>Dadra and Nagar Haveli and Daman and Diu</v>
      </c>
      <c r="C76" s="12" t="str">
        <f>IF(IF(SelectedScope="All India",TRUE,'RAW_QUIZ'!$B75=SelectedScope),'RAW_QUIZ'!C75,"")</f>
        <v>Biology</v>
      </c>
      <c r="D76" s="12" t="str">
        <f>IF(IF(SelectedScope="All India",TRUE,'RAW_QUIZ'!$B75=SelectedScope),'RAW_QUIZ'!D75,"")</f>
        <v>Class 9</v>
      </c>
      <c r="E76" s="12" t="str">
        <f>IF(IF(SelectedScope="All India",TRUE,'RAW_QUIZ'!$B75=SelectedScope),'RAW_QUIZ'!E75,"")</f>
        <v>Cell Division — Unit Quiz</v>
      </c>
      <c r="F76" s="12">
        <f>IF(IF(SelectedScope="All India",TRUE,'RAW_QUIZ'!$B75=SelectedScope),'RAW_QUIZ'!F75,"")</f>
        <v>0</v>
      </c>
      <c r="G76" s="12" t="str">
        <f>IF(IF(SelectedScope="All India",TRUE,'RAW_QUIZ'!$B75=SelectedScope),'RAW_QUIZ'!G75,"")</f>
        <v>Active</v>
      </c>
      <c r="H76" s="12">
        <f>IF(IF(SelectedScope="All India",TRUE,'RAW_QUIZ'!$B75=SelectedScope),'RAW_QUIZ'!H75,"")</f>
        <v>0</v>
      </c>
      <c r="I76" s="12">
        <f>IF(IF(SelectedScope="All India",TRUE,'RAW_QUIZ'!$B75=SelectedScope),'RAW_QUIZ'!I75,"")</f>
        <v>0</v>
      </c>
      <c r="J76" s="12">
        <f>IF(IF(SelectedScope="All India",TRUE,'RAW_QUIZ'!$B75=SelectedScope),'RAW_QUIZ'!J75,"")</f>
        <v>0</v>
      </c>
      <c r="K76" s="12">
        <f>IF(IF(SelectedScope="All India",TRUE,'RAW_QUIZ'!$B75=SelectedScope),'RAW_QUIZ'!K75,"")</f>
        <v>0</v>
      </c>
      <c r="L76" s="12">
        <f>IF(IF(SelectedScope="All India",TRUE,'RAW_QUIZ'!$B75=SelectedScope),'RAW_QUIZ'!L75,"")</f>
        <v>0</v>
      </c>
      <c r="M76" s="12">
        <f>IF(IF(SelectedScope="All India",TRUE,'RAW_QUIZ'!$B75=SelectedScope),'RAW_QUIZ'!M75,"")</f>
        <v>0</v>
      </c>
      <c r="N76" s="12">
        <f>IF(IF(SelectedScope="All India",TRUE,'RAW_QUIZ'!$B75=SelectedScope),'RAW_QUIZ'!N75,"")</f>
        <v>0</v>
      </c>
      <c r="O76" s="12">
        <f>IF(IF(SelectedScope="All India",TRUE,'RAW_QUIZ'!$B75=SelectedScope),'RAW_QUIZ'!O75,"")</f>
        <v>0</v>
      </c>
      <c r="P76" s="12">
        <f>IF(IF(SelectedScope="All India",TRUE,'RAW_QUIZ'!$B75=SelectedScope),'RAW_QUIZ'!P75,"")</f>
        <v>0</v>
      </c>
      <c r="Q76" s="12">
        <f>IF(IF(SelectedScope="All India",TRUE,'RAW_QUIZ'!$B75=SelectedScope),'RAW_QUIZ'!Q75,"")</f>
        <v>0</v>
      </c>
    </row>
    <row r="77" spans="1:17" ht="15" customHeight="1" x14ac:dyDescent="0.3">
      <c r="A77" s="9">
        <f>IF(IF(SelectedScope="All India",TRUE,'RAW_QUIZ'!$B76=SelectedScope),'RAW_QUIZ'!A76,"")</f>
        <v>73</v>
      </c>
      <c r="B77" s="9" t="str">
        <f>IF(IF(SelectedScope="All India",TRUE,'RAW_QUIZ'!$B76=SelectedScope),'RAW_QUIZ'!B76,"")</f>
        <v>Dadra and Nagar Haveli and Daman and Diu</v>
      </c>
      <c r="C77" s="9" t="str">
        <f>IF(IF(SelectedScope="All India",TRUE,'RAW_QUIZ'!$B76=SelectedScope),'RAW_QUIZ'!C76,"")</f>
        <v>Chemistry</v>
      </c>
      <c r="D77" s="9" t="str">
        <f>IF(IF(SelectedScope="All India",TRUE,'RAW_QUIZ'!$B76=SelectedScope),'RAW_QUIZ'!D76,"")</f>
        <v>Class 9</v>
      </c>
      <c r="E77" s="9" t="str">
        <f>IF(IF(SelectedScope="All India",TRUE,'RAW_QUIZ'!$B76=SelectedScope),'RAW_QUIZ'!E76,"")</f>
        <v>Atoms and Molecules — Unit Quiz</v>
      </c>
      <c r="F77" s="9">
        <f>IF(IF(SelectedScope="All India",TRUE,'RAW_QUIZ'!$B76=SelectedScope),'RAW_QUIZ'!F76,"")</f>
        <v>0</v>
      </c>
      <c r="G77" s="9" t="str">
        <f>IF(IF(SelectedScope="All India",TRUE,'RAW_QUIZ'!$B76=SelectedScope),'RAW_QUIZ'!G76,"")</f>
        <v>Active</v>
      </c>
      <c r="H77" s="9">
        <f>IF(IF(SelectedScope="All India",TRUE,'RAW_QUIZ'!$B76=SelectedScope),'RAW_QUIZ'!H76,"")</f>
        <v>0</v>
      </c>
      <c r="I77" s="9">
        <f>IF(IF(SelectedScope="All India",TRUE,'RAW_QUIZ'!$B76=SelectedScope),'RAW_QUIZ'!I76,"")</f>
        <v>0</v>
      </c>
      <c r="J77" s="9">
        <f>IF(IF(SelectedScope="All India",TRUE,'RAW_QUIZ'!$B76=SelectedScope),'RAW_QUIZ'!J76,"")</f>
        <v>0</v>
      </c>
      <c r="K77" s="9">
        <f>IF(IF(SelectedScope="All India",TRUE,'RAW_QUIZ'!$B76=SelectedScope),'RAW_QUIZ'!K76,"")</f>
        <v>0</v>
      </c>
      <c r="L77" s="9">
        <f>IF(IF(SelectedScope="All India",TRUE,'RAW_QUIZ'!$B76=SelectedScope),'RAW_QUIZ'!L76,"")</f>
        <v>0</v>
      </c>
      <c r="M77" s="9">
        <f>IF(IF(SelectedScope="All India",TRUE,'RAW_QUIZ'!$B76=SelectedScope),'RAW_QUIZ'!M76,"")</f>
        <v>0</v>
      </c>
      <c r="N77" s="9">
        <f>IF(IF(SelectedScope="All India",TRUE,'RAW_QUIZ'!$B76=SelectedScope),'RAW_QUIZ'!N76,"")</f>
        <v>0</v>
      </c>
      <c r="O77" s="9">
        <f>IF(IF(SelectedScope="All India",TRUE,'RAW_QUIZ'!$B76=SelectedScope),'RAW_QUIZ'!O76,"")</f>
        <v>0</v>
      </c>
      <c r="P77" s="9">
        <f>IF(IF(SelectedScope="All India",TRUE,'RAW_QUIZ'!$B76=SelectedScope),'RAW_QUIZ'!P76,"")</f>
        <v>0</v>
      </c>
      <c r="Q77" s="9">
        <f>IF(IF(SelectedScope="All India",TRUE,'RAW_QUIZ'!$B76=SelectedScope),'RAW_QUIZ'!Q76,"")</f>
        <v>0</v>
      </c>
    </row>
    <row r="78" spans="1:17" ht="15" customHeight="1" x14ac:dyDescent="0.3">
      <c r="A78" s="12">
        <f>IF(IF(SelectedScope="All India",TRUE,'RAW_QUIZ'!$B77=SelectedScope),'RAW_QUIZ'!A77,"")</f>
        <v>74</v>
      </c>
      <c r="B78" s="12" t="str">
        <f>IF(IF(SelectedScope="All India",TRUE,'RAW_QUIZ'!$B77=SelectedScope),'RAW_QUIZ'!B77,"")</f>
        <v>Dadra and Nagar Haveli and Daman and Diu</v>
      </c>
      <c r="C78" s="12" t="str">
        <f>IF(IF(SelectedScope="All India",TRUE,'RAW_QUIZ'!$B77=SelectedScope),'RAW_QUIZ'!C77,"")</f>
        <v>Mathematics</v>
      </c>
      <c r="D78" s="12" t="str">
        <f>IF(IF(SelectedScope="All India",TRUE,'RAW_QUIZ'!$B77=SelectedScope),'RAW_QUIZ'!D77,"")</f>
        <v>Class 7</v>
      </c>
      <c r="E78" s="12" t="str">
        <f>IF(IF(SelectedScope="All India",TRUE,'RAW_QUIZ'!$B77=SelectedScope),'RAW_QUIZ'!E77,"")</f>
        <v>Fractions — Unit Quiz</v>
      </c>
      <c r="F78" s="12">
        <f>IF(IF(SelectedScope="All India",TRUE,'RAW_QUIZ'!$B77=SelectedScope),'RAW_QUIZ'!F77,"")</f>
        <v>0</v>
      </c>
      <c r="G78" s="12" t="str">
        <f>IF(IF(SelectedScope="All India",TRUE,'RAW_QUIZ'!$B77=SelectedScope),'RAW_QUIZ'!G77,"")</f>
        <v>Active</v>
      </c>
      <c r="H78" s="12">
        <f>IF(IF(SelectedScope="All India",TRUE,'RAW_QUIZ'!$B77=SelectedScope),'RAW_QUIZ'!H77,"")</f>
        <v>0</v>
      </c>
      <c r="I78" s="12">
        <f>IF(IF(SelectedScope="All India",TRUE,'RAW_QUIZ'!$B77=SelectedScope),'RAW_QUIZ'!I77,"")</f>
        <v>0</v>
      </c>
      <c r="J78" s="12">
        <f>IF(IF(SelectedScope="All India",TRUE,'RAW_QUIZ'!$B77=SelectedScope),'RAW_QUIZ'!J77,"")</f>
        <v>0</v>
      </c>
      <c r="K78" s="12">
        <f>IF(IF(SelectedScope="All India",TRUE,'RAW_QUIZ'!$B77=SelectedScope),'RAW_QUIZ'!K77,"")</f>
        <v>0</v>
      </c>
      <c r="L78" s="12">
        <f>IF(IF(SelectedScope="All India",TRUE,'RAW_QUIZ'!$B77=SelectedScope),'RAW_QUIZ'!L77,"")</f>
        <v>0</v>
      </c>
      <c r="M78" s="12">
        <f>IF(IF(SelectedScope="All India",TRUE,'RAW_QUIZ'!$B77=SelectedScope),'RAW_QUIZ'!M77,"")</f>
        <v>0</v>
      </c>
      <c r="N78" s="12">
        <f>IF(IF(SelectedScope="All India",TRUE,'RAW_QUIZ'!$B77=SelectedScope),'RAW_QUIZ'!N77,"")</f>
        <v>0</v>
      </c>
      <c r="O78" s="12">
        <f>IF(IF(SelectedScope="All India",TRUE,'RAW_QUIZ'!$B77=SelectedScope),'RAW_QUIZ'!O77,"")</f>
        <v>0</v>
      </c>
      <c r="P78" s="12">
        <f>IF(IF(SelectedScope="All India",TRUE,'RAW_QUIZ'!$B77=SelectedScope),'RAW_QUIZ'!P77,"")</f>
        <v>0</v>
      </c>
      <c r="Q78" s="12">
        <f>IF(IF(SelectedScope="All India",TRUE,'RAW_QUIZ'!$B77=SelectedScope),'RAW_QUIZ'!Q77,"")</f>
        <v>0</v>
      </c>
    </row>
    <row r="79" spans="1:17" ht="15" customHeight="1" x14ac:dyDescent="0.3">
      <c r="A79" s="9">
        <f>IF(IF(SelectedScope="All India",TRUE,'RAW_QUIZ'!$B78=SelectedScope),'RAW_QUIZ'!A78,"")</f>
        <v>75</v>
      </c>
      <c r="B79" s="9" t="str">
        <f>IF(IF(SelectedScope="All India",TRUE,'RAW_QUIZ'!$B78=SelectedScope),'RAW_QUIZ'!B78,"")</f>
        <v>Dadra and Nagar Haveli and Daman and Diu</v>
      </c>
      <c r="C79" s="9" t="str">
        <f>IF(IF(SelectedScope="All India",TRUE,'RAW_QUIZ'!$B78=SelectedScope),'RAW_QUIZ'!C78,"")</f>
        <v>Mathematics</v>
      </c>
      <c r="D79" s="9" t="str">
        <f>IF(IF(SelectedScope="All India",TRUE,'RAW_QUIZ'!$B78=SelectedScope),'RAW_QUIZ'!D78,"")</f>
        <v>Class 10</v>
      </c>
      <c r="E79" s="9" t="str">
        <f>IF(IF(SelectedScope="All India",TRUE,'RAW_QUIZ'!$B78=SelectedScope),'RAW_QUIZ'!E78,"")</f>
        <v>Trigonometry — Unit Quiz</v>
      </c>
      <c r="F79" s="9">
        <f>IF(IF(SelectedScope="All India",TRUE,'RAW_QUIZ'!$B78=SelectedScope),'RAW_QUIZ'!F78,"")</f>
        <v>0</v>
      </c>
      <c r="G79" s="9" t="str">
        <f>IF(IF(SelectedScope="All India",TRUE,'RAW_QUIZ'!$B78=SelectedScope),'RAW_QUIZ'!G78,"")</f>
        <v>Active</v>
      </c>
      <c r="H79" s="9">
        <f>IF(IF(SelectedScope="All India",TRUE,'RAW_QUIZ'!$B78=SelectedScope),'RAW_QUIZ'!H78,"")</f>
        <v>0</v>
      </c>
      <c r="I79" s="9">
        <f>IF(IF(SelectedScope="All India",TRUE,'RAW_QUIZ'!$B78=SelectedScope),'RAW_QUIZ'!I78,"")</f>
        <v>0</v>
      </c>
      <c r="J79" s="9">
        <f>IF(IF(SelectedScope="All India",TRUE,'RAW_QUIZ'!$B78=SelectedScope),'RAW_QUIZ'!J78,"")</f>
        <v>0</v>
      </c>
      <c r="K79" s="9">
        <f>IF(IF(SelectedScope="All India",TRUE,'RAW_QUIZ'!$B78=SelectedScope),'RAW_QUIZ'!K78,"")</f>
        <v>0</v>
      </c>
      <c r="L79" s="9">
        <f>IF(IF(SelectedScope="All India",TRUE,'RAW_QUIZ'!$B78=SelectedScope),'RAW_QUIZ'!L78,"")</f>
        <v>0</v>
      </c>
      <c r="M79" s="9">
        <f>IF(IF(SelectedScope="All India",TRUE,'RAW_QUIZ'!$B78=SelectedScope),'RAW_QUIZ'!M78,"")</f>
        <v>0</v>
      </c>
      <c r="N79" s="9">
        <f>IF(IF(SelectedScope="All India",TRUE,'RAW_QUIZ'!$B78=SelectedScope),'RAW_QUIZ'!N78,"")</f>
        <v>0</v>
      </c>
      <c r="O79" s="9">
        <f>IF(IF(SelectedScope="All India",TRUE,'RAW_QUIZ'!$B78=SelectedScope),'RAW_QUIZ'!O78,"")</f>
        <v>0</v>
      </c>
      <c r="P79" s="9">
        <f>IF(IF(SelectedScope="All India",TRUE,'RAW_QUIZ'!$B78=SelectedScope),'RAW_QUIZ'!P78,"")</f>
        <v>0</v>
      </c>
      <c r="Q79" s="9">
        <f>IF(IF(SelectedScope="All India",TRUE,'RAW_QUIZ'!$B78=SelectedScope),'RAW_QUIZ'!Q78,"")</f>
        <v>0</v>
      </c>
    </row>
    <row r="80" spans="1:17" ht="15" customHeight="1" x14ac:dyDescent="0.3">
      <c r="A80" s="12">
        <f>IF(IF(SelectedScope="All India",TRUE,'RAW_QUIZ'!$B79=SelectedScope),'RAW_QUIZ'!A79,"")</f>
        <v>76</v>
      </c>
      <c r="B80" s="12" t="str">
        <f>IF(IF(SelectedScope="All India",TRUE,'RAW_QUIZ'!$B79=SelectedScope),'RAW_QUIZ'!B79,"")</f>
        <v>Dadra and Nagar Haveli and Daman and Diu</v>
      </c>
      <c r="C80" s="12" t="str">
        <f>IF(IF(SelectedScope="All India",TRUE,'RAW_QUIZ'!$B79=SelectedScope),'RAW_QUIZ'!C79,"")</f>
        <v>History</v>
      </c>
      <c r="D80" s="12" t="str">
        <f>IF(IF(SelectedScope="All India",TRUE,'RAW_QUIZ'!$B79=SelectedScope),'RAW_QUIZ'!D79,"")</f>
        <v>Class 10</v>
      </c>
      <c r="E80" s="12" t="str">
        <f>IF(IF(SelectedScope="All India",TRUE,'RAW_QUIZ'!$B79=SelectedScope),'RAW_QUIZ'!E79,"")</f>
        <v>Mughal Empire — Unit Quiz</v>
      </c>
      <c r="F80" s="12">
        <f>IF(IF(SelectedScope="All India",TRUE,'RAW_QUIZ'!$B79=SelectedScope),'RAW_QUIZ'!F79,"")</f>
        <v>0</v>
      </c>
      <c r="G80" s="12" t="str">
        <f>IF(IF(SelectedScope="All India",TRUE,'RAW_QUIZ'!$B79=SelectedScope),'RAW_QUIZ'!G79,"")</f>
        <v>Active</v>
      </c>
      <c r="H80" s="12">
        <f>IF(IF(SelectedScope="All India",TRUE,'RAW_QUIZ'!$B79=SelectedScope),'RAW_QUIZ'!H79,"")</f>
        <v>0</v>
      </c>
      <c r="I80" s="12">
        <f>IF(IF(SelectedScope="All India",TRUE,'RAW_QUIZ'!$B79=SelectedScope),'RAW_QUIZ'!I79,"")</f>
        <v>0</v>
      </c>
      <c r="J80" s="12">
        <f>IF(IF(SelectedScope="All India",TRUE,'RAW_QUIZ'!$B79=SelectedScope),'RAW_QUIZ'!J79,"")</f>
        <v>0</v>
      </c>
      <c r="K80" s="12">
        <f>IF(IF(SelectedScope="All India",TRUE,'RAW_QUIZ'!$B79=SelectedScope),'RAW_QUIZ'!K79,"")</f>
        <v>0</v>
      </c>
      <c r="L80" s="12">
        <f>IF(IF(SelectedScope="All India",TRUE,'RAW_QUIZ'!$B79=SelectedScope),'RAW_QUIZ'!L79,"")</f>
        <v>0</v>
      </c>
      <c r="M80" s="12">
        <f>IF(IF(SelectedScope="All India",TRUE,'RAW_QUIZ'!$B79=SelectedScope),'RAW_QUIZ'!M79,"")</f>
        <v>0</v>
      </c>
      <c r="N80" s="12">
        <f>IF(IF(SelectedScope="All India",TRUE,'RAW_QUIZ'!$B79=SelectedScope),'RAW_QUIZ'!N79,"")</f>
        <v>0</v>
      </c>
      <c r="O80" s="12">
        <f>IF(IF(SelectedScope="All India",TRUE,'RAW_QUIZ'!$B79=SelectedScope),'RAW_QUIZ'!O79,"")</f>
        <v>0</v>
      </c>
      <c r="P80" s="12">
        <f>IF(IF(SelectedScope="All India",TRUE,'RAW_QUIZ'!$B79=SelectedScope),'RAW_QUIZ'!P79,"")</f>
        <v>0</v>
      </c>
      <c r="Q80" s="12">
        <f>IF(IF(SelectedScope="All India",TRUE,'RAW_QUIZ'!$B79=SelectedScope),'RAW_QUIZ'!Q79,"")</f>
        <v>0</v>
      </c>
    </row>
    <row r="81" spans="1:17" ht="15" customHeight="1" x14ac:dyDescent="0.3">
      <c r="A81" s="9">
        <f>IF(IF(SelectedScope="All India",TRUE,'RAW_QUIZ'!$B80=SelectedScope),'RAW_QUIZ'!A80,"")</f>
        <v>77</v>
      </c>
      <c r="B81" s="9" t="str">
        <f>IF(IF(SelectedScope="All India",TRUE,'RAW_QUIZ'!$B80=SelectedScope),'RAW_QUIZ'!B80,"")</f>
        <v>Dadra and Nagar Haveli and Daman and Diu</v>
      </c>
      <c r="C81" s="9" t="str">
        <f>IF(IF(SelectedScope="All India",TRUE,'RAW_QUIZ'!$B80=SelectedScope),'RAW_QUIZ'!C80,"")</f>
        <v>Physics</v>
      </c>
      <c r="D81" s="9" t="str">
        <f>IF(IF(SelectedScope="All India",TRUE,'RAW_QUIZ'!$B80=SelectedScope),'RAW_QUIZ'!D80,"")</f>
        <v>Class 9</v>
      </c>
      <c r="E81" s="9" t="str">
        <f>IF(IF(SelectedScope="All India",TRUE,'RAW_QUIZ'!$B80=SelectedScope),'RAW_QUIZ'!E80,"")</f>
        <v>Laws of Motion — Unit Quiz</v>
      </c>
      <c r="F81" s="9">
        <f>IF(IF(SelectedScope="All India",TRUE,'RAW_QUIZ'!$B80=SelectedScope),'RAW_QUIZ'!F80,"")</f>
        <v>0</v>
      </c>
      <c r="G81" s="9" t="str">
        <f>IF(IF(SelectedScope="All India",TRUE,'RAW_QUIZ'!$B80=SelectedScope),'RAW_QUIZ'!G80,"")</f>
        <v>Active</v>
      </c>
      <c r="H81" s="9">
        <f>IF(IF(SelectedScope="All India",TRUE,'RAW_QUIZ'!$B80=SelectedScope),'RAW_QUIZ'!H80,"")</f>
        <v>0</v>
      </c>
      <c r="I81" s="9">
        <f>IF(IF(SelectedScope="All India",TRUE,'RAW_QUIZ'!$B80=SelectedScope),'RAW_QUIZ'!I80,"")</f>
        <v>0</v>
      </c>
      <c r="J81" s="9">
        <f>IF(IF(SelectedScope="All India",TRUE,'RAW_QUIZ'!$B80=SelectedScope),'RAW_QUIZ'!J80,"")</f>
        <v>0</v>
      </c>
      <c r="K81" s="9">
        <f>IF(IF(SelectedScope="All India",TRUE,'RAW_QUIZ'!$B80=SelectedScope),'RAW_QUIZ'!K80,"")</f>
        <v>0</v>
      </c>
      <c r="L81" s="9">
        <f>IF(IF(SelectedScope="All India",TRUE,'RAW_QUIZ'!$B80=SelectedScope),'RAW_QUIZ'!L80,"")</f>
        <v>0</v>
      </c>
      <c r="M81" s="9">
        <f>IF(IF(SelectedScope="All India",TRUE,'RAW_QUIZ'!$B80=SelectedScope),'RAW_QUIZ'!M80,"")</f>
        <v>0</v>
      </c>
      <c r="N81" s="9">
        <f>IF(IF(SelectedScope="All India",TRUE,'RAW_QUIZ'!$B80=SelectedScope),'RAW_QUIZ'!N80,"")</f>
        <v>0</v>
      </c>
      <c r="O81" s="9">
        <f>IF(IF(SelectedScope="All India",TRUE,'RAW_QUIZ'!$B80=SelectedScope),'RAW_QUIZ'!O80,"")</f>
        <v>0</v>
      </c>
      <c r="P81" s="9">
        <f>IF(IF(SelectedScope="All India",TRUE,'RAW_QUIZ'!$B80=SelectedScope),'RAW_QUIZ'!P80,"")</f>
        <v>0</v>
      </c>
      <c r="Q81" s="9">
        <f>IF(IF(SelectedScope="All India",TRUE,'RAW_QUIZ'!$B80=SelectedScope),'RAW_QUIZ'!Q80,"")</f>
        <v>0</v>
      </c>
    </row>
    <row r="82" spans="1:17" ht="15" customHeight="1" x14ac:dyDescent="0.3">
      <c r="A82" s="12">
        <f>IF(IF(SelectedScope="All India",TRUE,'RAW_QUIZ'!$B81=SelectedScope),'RAW_QUIZ'!A81,"")</f>
        <v>78</v>
      </c>
      <c r="B82" s="12" t="str">
        <f>IF(IF(SelectedScope="All India",TRUE,'RAW_QUIZ'!$B81=SelectedScope),'RAW_QUIZ'!B81,"")</f>
        <v>Dadra and Nagar Haveli and Daman and Diu</v>
      </c>
      <c r="C82" s="12" t="str">
        <f>IF(IF(SelectedScope="All India",TRUE,'RAW_QUIZ'!$B81=SelectedScope),'RAW_QUIZ'!C81,"")</f>
        <v>Physics</v>
      </c>
      <c r="D82" s="12" t="str">
        <f>IF(IF(SelectedScope="All India",TRUE,'RAW_QUIZ'!$B81=SelectedScope),'RAW_QUIZ'!D81,"")</f>
        <v>Class 10</v>
      </c>
      <c r="E82" s="12" t="str">
        <f>IF(IF(SelectedScope="All India",TRUE,'RAW_QUIZ'!$B81=SelectedScope),'RAW_QUIZ'!E81,"")</f>
        <v>Electricity — Unit Quiz</v>
      </c>
      <c r="F82" s="12">
        <f>IF(IF(SelectedScope="All India",TRUE,'RAW_QUIZ'!$B81=SelectedScope),'RAW_QUIZ'!F81,"")</f>
        <v>0</v>
      </c>
      <c r="G82" s="12" t="str">
        <f>IF(IF(SelectedScope="All India",TRUE,'RAW_QUIZ'!$B81=SelectedScope),'RAW_QUIZ'!G81,"")</f>
        <v>Active</v>
      </c>
      <c r="H82" s="12">
        <f>IF(IF(SelectedScope="All India",TRUE,'RAW_QUIZ'!$B81=SelectedScope),'RAW_QUIZ'!H81,"")</f>
        <v>0</v>
      </c>
      <c r="I82" s="12">
        <f>IF(IF(SelectedScope="All India",TRUE,'RAW_QUIZ'!$B81=SelectedScope),'RAW_QUIZ'!I81,"")</f>
        <v>0</v>
      </c>
      <c r="J82" s="12">
        <f>IF(IF(SelectedScope="All India",TRUE,'RAW_QUIZ'!$B81=SelectedScope),'RAW_QUIZ'!J81,"")</f>
        <v>0</v>
      </c>
      <c r="K82" s="12">
        <f>IF(IF(SelectedScope="All India",TRUE,'RAW_QUIZ'!$B81=SelectedScope),'RAW_QUIZ'!K81,"")</f>
        <v>0</v>
      </c>
      <c r="L82" s="12">
        <f>IF(IF(SelectedScope="All India",TRUE,'RAW_QUIZ'!$B81=SelectedScope),'RAW_QUIZ'!L81,"")</f>
        <v>0</v>
      </c>
      <c r="M82" s="12">
        <f>IF(IF(SelectedScope="All India",TRUE,'RAW_QUIZ'!$B81=SelectedScope),'RAW_QUIZ'!M81,"")</f>
        <v>0</v>
      </c>
      <c r="N82" s="12">
        <f>IF(IF(SelectedScope="All India",TRUE,'RAW_QUIZ'!$B81=SelectedScope),'RAW_QUIZ'!N81,"")</f>
        <v>0</v>
      </c>
      <c r="O82" s="12">
        <f>IF(IF(SelectedScope="All India",TRUE,'RAW_QUIZ'!$B81=SelectedScope),'RAW_QUIZ'!O81,"")</f>
        <v>0</v>
      </c>
      <c r="P82" s="12">
        <f>IF(IF(SelectedScope="All India",TRUE,'RAW_QUIZ'!$B81=SelectedScope),'RAW_QUIZ'!P81,"")</f>
        <v>0</v>
      </c>
      <c r="Q82" s="12">
        <f>IF(IF(SelectedScope="All India",TRUE,'RAW_QUIZ'!$B81=SelectedScope),'RAW_QUIZ'!Q81,"")</f>
        <v>0</v>
      </c>
    </row>
    <row r="83" spans="1:17" ht="15" customHeight="1" x14ac:dyDescent="0.3">
      <c r="A83" s="9">
        <f>IF(IF(SelectedScope="All India",TRUE,'RAW_QUIZ'!$B82=SelectedScope),'RAW_QUIZ'!A82,"")</f>
        <v>79</v>
      </c>
      <c r="B83" s="9" t="str">
        <f>IF(IF(SelectedScope="All India",TRUE,'RAW_QUIZ'!$B82=SelectedScope),'RAW_QUIZ'!B82,"")</f>
        <v>Dadra and Nagar Haveli and Daman and Diu</v>
      </c>
      <c r="C83" s="9" t="str">
        <f>IF(IF(SelectedScope="All India",TRUE,'RAW_QUIZ'!$B82=SelectedScope),'RAW_QUIZ'!C82,"")</f>
        <v>Civics</v>
      </c>
      <c r="D83" s="9" t="str">
        <f>IF(IF(SelectedScope="All India",TRUE,'RAW_QUIZ'!$B82=SelectedScope),'RAW_QUIZ'!D82,"")</f>
        <v>Class 9</v>
      </c>
      <c r="E83" s="9" t="str">
        <f>IF(IF(SelectedScope="All India",TRUE,'RAW_QUIZ'!$B82=SelectedScope),'RAW_QUIZ'!E82,"")</f>
        <v>Indian Constitution — Unit Quiz</v>
      </c>
      <c r="F83" s="9">
        <f>IF(IF(SelectedScope="All India",TRUE,'RAW_QUIZ'!$B82=SelectedScope),'RAW_QUIZ'!F82,"")</f>
        <v>0</v>
      </c>
      <c r="G83" s="9" t="str">
        <f>IF(IF(SelectedScope="All India",TRUE,'RAW_QUIZ'!$B82=SelectedScope),'RAW_QUIZ'!G82,"")</f>
        <v>Active</v>
      </c>
      <c r="H83" s="9">
        <f>IF(IF(SelectedScope="All India",TRUE,'RAW_QUIZ'!$B82=SelectedScope),'RAW_QUIZ'!H82,"")</f>
        <v>0</v>
      </c>
      <c r="I83" s="9">
        <f>IF(IF(SelectedScope="All India",TRUE,'RAW_QUIZ'!$B82=SelectedScope),'RAW_QUIZ'!I82,"")</f>
        <v>0</v>
      </c>
      <c r="J83" s="9">
        <f>IF(IF(SelectedScope="All India",TRUE,'RAW_QUIZ'!$B82=SelectedScope),'RAW_QUIZ'!J82,"")</f>
        <v>0</v>
      </c>
      <c r="K83" s="9">
        <f>IF(IF(SelectedScope="All India",TRUE,'RAW_QUIZ'!$B82=SelectedScope),'RAW_QUIZ'!K82,"")</f>
        <v>0</v>
      </c>
      <c r="L83" s="9">
        <f>IF(IF(SelectedScope="All India",TRUE,'RAW_QUIZ'!$B82=SelectedScope),'RAW_QUIZ'!L82,"")</f>
        <v>0</v>
      </c>
      <c r="M83" s="9">
        <f>IF(IF(SelectedScope="All India",TRUE,'RAW_QUIZ'!$B82=SelectedScope),'RAW_QUIZ'!M82,"")</f>
        <v>0</v>
      </c>
      <c r="N83" s="9">
        <f>IF(IF(SelectedScope="All India",TRUE,'RAW_QUIZ'!$B82=SelectedScope),'RAW_QUIZ'!N82,"")</f>
        <v>0</v>
      </c>
      <c r="O83" s="9">
        <f>IF(IF(SelectedScope="All India",TRUE,'RAW_QUIZ'!$B82=SelectedScope),'RAW_QUIZ'!O82,"")</f>
        <v>0</v>
      </c>
      <c r="P83" s="9">
        <f>IF(IF(SelectedScope="All India",TRUE,'RAW_QUIZ'!$B82=SelectedScope),'RAW_QUIZ'!P82,"")</f>
        <v>0</v>
      </c>
      <c r="Q83" s="9">
        <f>IF(IF(SelectedScope="All India",TRUE,'RAW_QUIZ'!$B82=SelectedScope),'RAW_QUIZ'!Q82,"")</f>
        <v>0</v>
      </c>
    </row>
    <row r="84" spans="1:17" ht="15" customHeight="1" x14ac:dyDescent="0.3">
      <c r="A84" s="12">
        <f>IF(IF(SelectedScope="All India",TRUE,'RAW_QUIZ'!$B83=SelectedScope),'RAW_QUIZ'!A83,"")</f>
        <v>80</v>
      </c>
      <c r="B84" s="12" t="str">
        <f>IF(IF(SelectedScope="All India",TRUE,'RAW_QUIZ'!$B83=SelectedScope),'RAW_QUIZ'!B83,"")</f>
        <v>Dadra and Nagar Haveli and Daman and Diu</v>
      </c>
      <c r="C84" s="12" t="str">
        <f>IF(IF(SelectedScope="All India",TRUE,'RAW_QUIZ'!$B83=SelectedScope),'RAW_QUIZ'!C83,"")</f>
        <v>Mathematics</v>
      </c>
      <c r="D84" s="12" t="str">
        <f>IF(IF(SelectedScope="All India",TRUE,'RAW_QUIZ'!$B83=SelectedScope),'RAW_QUIZ'!D83,"")</f>
        <v>Class 10</v>
      </c>
      <c r="E84" s="12" t="str">
        <f>IF(IF(SelectedScope="All India",TRUE,'RAW_QUIZ'!$B83=SelectedScope),'RAW_QUIZ'!E83,"")</f>
        <v>Quadratic Equations — Unit Quiz</v>
      </c>
      <c r="F84" s="12">
        <f>IF(IF(SelectedScope="All India",TRUE,'RAW_QUIZ'!$B83=SelectedScope),'RAW_QUIZ'!F83,"")</f>
        <v>0</v>
      </c>
      <c r="G84" s="12" t="str">
        <f>IF(IF(SelectedScope="All India",TRUE,'RAW_QUIZ'!$B83=SelectedScope),'RAW_QUIZ'!G83,"")</f>
        <v>Active</v>
      </c>
      <c r="H84" s="12">
        <f>IF(IF(SelectedScope="All India",TRUE,'RAW_QUIZ'!$B83=SelectedScope),'RAW_QUIZ'!H83,"")</f>
        <v>0</v>
      </c>
      <c r="I84" s="12">
        <f>IF(IF(SelectedScope="All India",TRUE,'RAW_QUIZ'!$B83=SelectedScope),'RAW_QUIZ'!I83,"")</f>
        <v>0</v>
      </c>
      <c r="J84" s="12">
        <f>IF(IF(SelectedScope="All India",TRUE,'RAW_QUIZ'!$B83=SelectedScope),'RAW_QUIZ'!J83,"")</f>
        <v>0</v>
      </c>
      <c r="K84" s="12">
        <f>IF(IF(SelectedScope="All India",TRUE,'RAW_QUIZ'!$B83=SelectedScope),'RAW_QUIZ'!K83,"")</f>
        <v>0</v>
      </c>
      <c r="L84" s="12">
        <f>IF(IF(SelectedScope="All India",TRUE,'RAW_QUIZ'!$B83=SelectedScope),'RAW_QUIZ'!L83,"")</f>
        <v>0</v>
      </c>
      <c r="M84" s="12">
        <f>IF(IF(SelectedScope="All India",TRUE,'RAW_QUIZ'!$B83=SelectedScope),'RAW_QUIZ'!M83,"")</f>
        <v>0</v>
      </c>
      <c r="N84" s="12">
        <f>IF(IF(SelectedScope="All India",TRUE,'RAW_QUIZ'!$B83=SelectedScope),'RAW_QUIZ'!N83,"")</f>
        <v>0</v>
      </c>
      <c r="O84" s="12">
        <f>IF(IF(SelectedScope="All India",TRUE,'RAW_QUIZ'!$B83=SelectedScope),'RAW_QUIZ'!O83,"")</f>
        <v>0</v>
      </c>
      <c r="P84" s="12">
        <f>IF(IF(SelectedScope="All India",TRUE,'RAW_QUIZ'!$B83=SelectedScope),'RAW_QUIZ'!P83,"")</f>
        <v>0</v>
      </c>
      <c r="Q84" s="12">
        <f>IF(IF(SelectedScope="All India",TRUE,'RAW_QUIZ'!$B83=SelectedScope),'RAW_QUIZ'!Q83,"")</f>
        <v>0</v>
      </c>
    </row>
    <row r="85" spans="1:17" ht="15" customHeight="1" x14ac:dyDescent="0.3">
      <c r="A85" s="9">
        <f>IF(IF(SelectedScope="All India",TRUE,'RAW_QUIZ'!$B84=SelectedScope),'RAW_QUIZ'!A84,"")</f>
        <v>81</v>
      </c>
      <c r="B85" s="9" t="str">
        <f>IF(IF(SelectedScope="All India",TRUE,'RAW_QUIZ'!$B84=SelectedScope),'RAW_QUIZ'!B84,"")</f>
        <v>Delhi</v>
      </c>
      <c r="C85" s="9" t="str">
        <f>IF(IF(SelectedScope="All India",TRUE,'RAW_QUIZ'!$B84=SelectedScope),'RAW_QUIZ'!C84,"")</f>
        <v>Science</v>
      </c>
      <c r="D85" s="9" t="str">
        <f>IF(IF(SelectedScope="All India",TRUE,'RAW_QUIZ'!$B84=SelectedScope),'RAW_QUIZ'!D84,"")</f>
        <v>Class 8</v>
      </c>
      <c r="E85" s="9" t="str">
        <f>IF(IF(SelectedScope="All India",TRUE,'RAW_QUIZ'!$B84=SelectedScope),'RAW_QUIZ'!E84,"")</f>
        <v>Solar System — Unit Quiz</v>
      </c>
      <c r="F85" s="9">
        <f>IF(IF(SelectedScope="All India",TRUE,'RAW_QUIZ'!$B84=SelectedScope),'RAW_QUIZ'!F84,"")</f>
        <v>0</v>
      </c>
      <c r="G85" s="9" t="str">
        <f>IF(IF(SelectedScope="All India",TRUE,'RAW_QUIZ'!$B84=SelectedScope),'RAW_QUIZ'!G84,"")</f>
        <v>Active</v>
      </c>
      <c r="H85" s="9">
        <f>IF(IF(SelectedScope="All India",TRUE,'RAW_QUIZ'!$B84=SelectedScope),'RAW_QUIZ'!H84,"")</f>
        <v>0</v>
      </c>
      <c r="I85" s="9">
        <f>IF(IF(SelectedScope="All India",TRUE,'RAW_QUIZ'!$B84=SelectedScope),'RAW_QUIZ'!I84,"")</f>
        <v>0</v>
      </c>
      <c r="J85" s="9">
        <f>IF(IF(SelectedScope="All India",TRUE,'RAW_QUIZ'!$B84=SelectedScope),'RAW_QUIZ'!J84,"")</f>
        <v>0</v>
      </c>
      <c r="K85" s="9">
        <f>IF(IF(SelectedScope="All India",TRUE,'RAW_QUIZ'!$B84=SelectedScope),'RAW_QUIZ'!K84,"")</f>
        <v>0</v>
      </c>
      <c r="L85" s="9">
        <f>IF(IF(SelectedScope="All India",TRUE,'RAW_QUIZ'!$B84=SelectedScope),'RAW_QUIZ'!L84,"")</f>
        <v>0</v>
      </c>
      <c r="M85" s="9">
        <f>IF(IF(SelectedScope="All India",TRUE,'RAW_QUIZ'!$B84=SelectedScope),'RAW_QUIZ'!M84,"")</f>
        <v>0</v>
      </c>
      <c r="N85" s="9">
        <f>IF(IF(SelectedScope="All India",TRUE,'RAW_QUIZ'!$B84=SelectedScope),'RAW_QUIZ'!N84,"")</f>
        <v>0</v>
      </c>
      <c r="O85" s="9">
        <f>IF(IF(SelectedScope="All India",TRUE,'RAW_QUIZ'!$B84=SelectedScope),'RAW_QUIZ'!O84,"")</f>
        <v>0</v>
      </c>
      <c r="P85" s="9">
        <f>IF(IF(SelectedScope="All India",TRUE,'RAW_QUIZ'!$B84=SelectedScope),'RAW_QUIZ'!P84,"")</f>
        <v>0</v>
      </c>
      <c r="Q85" s="9">
        <f>IF(IF(SelectedScope="All India",TRUE,'RAW_QUIZ'!$B84=SelectedScope),'RAW_QUIZ'!Q84,"")</f>
        <v>0</v>
      </c>
    </row>
    <row r="86" spans="1:17" ht="15" customHeight="1" x14ac:dyDescent="0.3">
      <c r="A86" s="12">
        <f>IF(IF(SelectedScope="All India",TRUE,'RAW_QUIZ'!$B85=SelectedScope),'RAW_QUIZ'!A85,"")</f>
        <v>82</v>
      </c>
      <c r="B86" s="12" t="str">
        <f>IF(IF(SelectedScope="All India",TRUE,'RAW_QUIZ'!$B85=SelectedScope),'RAW_QUIZ'!B85,"")</f>
        <v>Delhi</v>
      </c>
      <c r="C86" s="12" t="str">
        <f>IF(IF(SelectedScope="All India",TRUE,'RAW_QUIZ'!$B85=SelectedScope),'RAW_QUIZ'!C85,"")</f>
        <v>Biology</v>
      </c>
      <c r="D86" s="12" t="str">
        <f>IF(IF(SelectedScope="All India",TRUE,'RAW_QUIZ'!$B85=SelectedScope),'RAW_QUIZ'!D85,"")</f>
        <v>Class 9</v>
      </c>
      <c r="E86" s="12" t="str">
        <f>IF(IF(SelectedScope="All India",TRUE,'RAW_QUIZ'!$B85=SelectedScope),'RAW_QUIZ'!E85,"")</f>
        <v>Cell Division — Unit Quiz</v>
      </c>
      <c r="F86" s="12">
        <f>IF(IF(SelectedScope="All India",TRUE,'RAW_QUIZ'!$B85=SelectedScope),'RAW_QUIZ'!F85,"")</f>
        <v>0</v>
      </c>
      <c r="G86" s="12" t="str">
        <f>IF(IF(SelectedScope="All India",TRUE,'RAW_QUIZ'!$B85=SelectedScope),'RAW_QUIZ'!G85,"")</f>
        <v>Active</v>
      </c>
      <c r="H86" s="12">
        <f>IF(IF(SelectedScope="All India",TRUE,'RAW_QUIZ'!$B85=SelectedScope),'RAW_QUIZ'!H85,"")</f>
        <v>0</v>
      </c>
      <c r="I86" s="12">
        <f>IF(IF(SelectedScope="All India",TRUE,'RAW_QUIZ'!$B85=SelectedScope),'RAW_QUIZ'!I85,"")</f>
        <v>0</v>
      </c>
      <c r="J86" s="12">
        <f>IF(IF(SelectedScope="All India",TRUE,'RAW_QUIZ'!$B85=SelectedScope),'RAW_QUIZ'!J85,"")</f>
        <v>0</v>
      </c>
      <c r="K86" s="12">
        <f>IF(IF(SelectedScope="All India",TRUE,'RAW_QUIZ'!$B85=SelectedScope),'RAW_QUIZ'!K85,"")</f>
        <v>0</v>
      </c>
      <c r="L86" s="12">
        <f>IF(IF(SelectedScope="All India",TRUE,'RAW_QUIZ'!$B85=SelectedScope),'RAW_QUIZ'!L85,"")</f>
        <v>0</v>
      </c>
      <c r="M86" s="12">
        <f>IF(IF(SelectedScope="All India",TRUE,'RAW_QUIZ'!$B85=SelectedScope),'RAW_QUIZ'!M85,"")</f>
        <v>0</v>
      </c>
      <c r="N86" s="12">
        <f>IF(IF(SelectedScope="All India",TRUE,'RAW_QUIZ'!$B85=SelectedScope),'RAW_QUIZ'!N85,"")</f>
        <v>0</v>
      </c>
      <c r="O86" s="12">
        <f>IF(IF(SelectedScope="All India",TRUE,'RAW_QUIZ'!$B85=SelectedScope),'RAW_QUIZ'!O85,"")</f>
        <v>0</v>
      </c>
      <c r="P86" s="12">
        <f>IF(IF(SelectedScope="All India",TRUE,'RAW_QUIZ'!$B85=SelectedScope),'RAW_QUIZ'!P85,"")</f>
        <v>0</v>
      </c>
      <c r="Q86" s="12">
        <f>IF(IF(SelectedScope="All India",TRUE,'RAW_QUIZ'!$B85=SelectedScope),'RAW_QUIZ'!Q85,"")</f>
        <v>0</v>
      </c>
    </row>
    <row r="87" spans="1:17" ht="15" customHeight="1" x14ac:dyDescent="0.3">
      <c r="A87" s="9">
        <f>IF(IF(SelectedScope="All India",TRUE,'RAW_QUIZ'!$B86=SelectedScope),'RAW_QUIZ'!A86,"")</f>
        <v>83</v>
      </c>
      <c r="B87" s="9" t="str">
        <f>IF(IF(SelectedScope="All India",TRUE,'RAW_QUIZ'!$B86=SelectedScope),'RAW_QUIZ'!B86,"")</f>
        <v>Delhi</v>
      </c>
      <c r="C87" s="9" t="str">
        <f>IF(IF(SelectedScope="All India",TRUE,'RAW_QUIZ'!$B86=SelectedScope),'RAW_QUIZ'!C86,"")</f>
        <v>Chemistry</v>
      </c>
      <c r="D87" s="9" t="str">
        <f>IF(IF(SelectedScope="All India",TRUE,'RAW_QUIZ'!$B86=SelectedScope),'RAW_QUIZ'!D86,"")</f>
        <v>Class 9</v>
      </c>
      <c r="E87" s="9" t="str">
        <f>IF(IF(SelectedScope="All India",TRUE,'RAW_QUIZ'!$B86=SelectedScope),'RAW_QUIZ'!E86,"")</f>
        <v>Atoms and Molecules — Unit Quiz</v>
      </c>
      <c r="F87" s="9">
        <f>IF(IF(SelectedScope="All India",TRUE,'RAW_QUIZ'!$B86=SelectedScope),'RAW_QUIZ'!F86,"")</f>
        <v>0</v>
      </c>
      <c r="G87" s="9" t="str">
        <f>IF(IF(SelectedScope="All India",TRUE,'RAW_QUIZ'!$B86=SelectedScope),'RAW_QUIZ'!G86,"")</f>
        <v>Active</v>
      </c>
      <c r="H87" s="9">
        <f>IF(IF(SelectedScope="All India",TRUE,'RAW_QUIZ'!$B86=SelectedScope),'RAW_QUIZ'!H86,"")</f>
        <v>0</v>
      </c>
      <c r="I87" s="9">
        <f>IF(IF(SelectedScope="All India",TRUE,'RAW_QUIZ'!$B86=SelectedScope),'RAW_QUIZ'!I86,"")</f>
        <v>0</v>
      </c>
      <c r="J87" s="9">
        <f>IF(IF(SelectedScope="All India",TRUE,'RAW_QUIZ'!$B86=SelectedScope),'RAW_QUIZ'!J86,"")</f>
        <v>0</v>
      </c>
      <c r="K87" s="9">
        <f>IF(IF(SelectedScope="All India",TRUE,'RAW_QUIZ'!$B86=SelectedScope),'RAW_QUIZ'!K86,"")</f>
        <v>0</v>
      </c>
      <c r="L87" s="9">
        <f>IF(IF(SelectedScope="All India",TRUE,'RAW_QUIZ'!$B86=SelectedScope),'RAW_QUIZ'!L86,"")</f>
        <v>0</v>
      </c>
      <c r="M87" s="9">
        <f>IF(IF(SelectedScope="All India",TRUE,'RAW_QUIZ'!$B86=SelectedScope),'RAW_QUIZ'!M86,"")</f>
        <v>0</v>
      </c>
      <c r="N87" s="9">
        <f>IF(IF(SelectedScope="All India",TRUE,'RAW_QUIZ'!$B86=SelectedScope),'RAW_QUIZ'!N86,"")</f>
        <v>0</v>
      </c>
      <c r="O87" s="9">
        <f>IF(IF(SelectedScope="All India",TRUE,'RAW_QUIZ'!$B86=SelectedScope),'RAW_QUIZ'!O86,"")</f>
        <v>0</v>
      </c>
      <c r="P87" s="9">
        <f>IF(IF(SelectedScope="All India",TRUE,'RAW_QUIZ'!$B86=SelectedScope),'RAW_QUIZ'!P86,"")</f>
        <v>0</v>
      </c>
      <c r="Q87" s="9">
        <f>IF(IF(SelectedScope="All India",TRUE,'RAW_QUIZ'!$B86=SelectedScope),'RAW_QUIZ'!Q86,"")</f>
        <v>0</v>
      </c>
    </row>
    <row r="88" spans="1:17" ht="15" customHeight="1" x14ac:dyDescent="0.3">
      <c r="A88" s="12">
        <f>IF(IF(SelectedScope="All India",TRUE,'RAW_QUIZ'!$B87=SelectedScope),'RAW_QUIZ'!A87,"")</f>
        <v>84</v>
      </c>
      <c r="B88" s="12" t="str">
        <f>IF(IF(SelectedScope="All India",TRUE,'RAW_QUIZ'!$B87=SelectedScope),'RAW_QUIZ'!B87,"")</f>
        <v>Delhi</v>
      </c>
      <c r="C88" s="12" t="str">
        <f>IF(IF(SelectedScope="All India",TRUE,'RAW_QUIZ'!$B87=SelectedScope),'RAW_QUIZ'!C87,"")</f>
        <v>Mathematics</v>
      </c>
      <c r="D88" s="12" t="str">
        <f>IF(IF(SelectedScope="All India",TRUE,'RAW_QUIZ'!$B87=SelectedScope),'RAW_QUIZ'!D87,"")</f>
        <v>Class 7</v>
      </c>
      <c r="E88" s="12" t="str">
        <f>IF(IF(SelectedScope="All India",TRUE,'RAW_QUIZ'!$B87=SelectedScope),'RAW_QUIZ'!E87,"")</f>
        <v>Fractions — Unit Quiz</v>
      </c>
      <c r="F88" s="12">
        <f>IF(IF(SelectedScope="All India",TRUE,'RAW_QUIZ'!$B87=SelectedScope),'RAW_QUIZ'!F87,"")</f>
        <v>0</v>
      </c>
      <c r="G88" s="12" t="str">
        <f>IF(IF(SelectedScope="All India",TRUE,'RAW_QUIZ'!$B87=SelectedScope),'RAW_QUIZ'!G87,"")</f>
        <v>Active</v>
      </c>
      <c r="H88" s="12">
        <f>IF(IF(SelectedScope="All India",TRUE,'RAW_QUIZ'!$B87=SelectedScope),'RAW_QUIZ'!H87,"")</f>
        <v>0</v>
      </c>
      <c r="I88" s="12">
        <f>IF(IF(SelectedScope="All India",TRUE,'RAW_QUIZ'!$B87=SelectedScope),'RAW_QUIZ'!I87,"")</f>
        <v>0</v>
      </c>
      <c r="J88" s="12">
        <f>IF(IF(SelectedScope="All India",TRUE,'RAW_QUIZ'!$B87=SelectedScope),'RAW_QUIZ'!J87,"")</f>
        <v>0</v>
      </c>
      <c r="K88" s="12">
        <f>IF(IF(SelectedScope="All India",TRUE,'RAW_QUIZ'!$B87=SelectedScope),'RAW_QUIZ'!K87,"")</f>
        <v>0</v>
      </c>
      <c r="L88" s="12">
        <f>IF(IF(SelectedScope="All India",TRUE,'RAW_QUIZ'!$B87=SelectedScope),'RAW_QUIZ'!L87,"")</f>
        <v>0</v>
      </c>
      <c r="M88" s="12">
        <f>IF(IF(SelectedScope="All India",TRUE,'RAW_QUIZ'!$B87=SelectedScope),'RAW_QUIZ'!M87,"")</f>
        <v>0</v>
      </c>
      <c r="N88" s="12">
        <f>IF(IF(SelectedScope="All India",TRUE,'RAW_QUIZ'!$B87=SelectedScope),'RAW_QUIZ'!N87,"")</f>
        <v>0</v>
      </c>
      <c r="O88" s="12">
        <f>IF(IF(SelectedScope="All India",TRUE,'RAW_QUIZ'!$B87=SelectedScope),'RAW_QUIZ'!O87,"")</f>
        <v>0</v>
      </c>
      <c r="P88" s="12">
        <f>IF(IF(SelectedScope="All India",TRUE,'RAW_QUIZ'!$B87=SelectedScope),'RAW_QUIZ'!P87,"")</f>
        <v>0</v>
      </c>
      <c r="Q88" s="12">
        <f>IF(IF(SelectedScope="All India",TRUE,'RAW_QUIZ'!$B87=SelectedScope),'RAW_QUIZ'!Q87,"")</f>
        <v>0</v>
      </c>
    </row>
    <row r="89" spans="1:17" ht="15" customHeight="1" x14ac:dyDescent="0.3">
      <c r="A89" s="9">
        <f>IF(IF(SelectedScope="All India",TRUE,'RAW_QUIZ'!$B88=SelectedScope),'RAW_QUIZ'!A88,"")</f>
        <v>85</v>
      </c>
      <c r="B89" s="9" t="str">
        <f>IF(IF(SelectedScope="All India",TRUE,'RAW_QUIZ'!$B88=SelectedScope),'RAW_QUIZ'!B88,"")</f>
        <v>Delhi</v>
      </c>
      <c r="C89" s="9" t="str">
        <f>IF(IF(SelectedScope="All India",TRUE,'RAW_QUIZ'!$B88=SelectedScope),'RAW_QUIZ'!C88,"")</f>
        <v>Mathematics</v>
      </c>
      <c r="D89" s="9" t="str">
        <f>IF(IF(SelectedScope="All India",TRUE,'RAW_QUIZ'!$B88=SelectedScope),'RAW_QUIZ'!D88,"")</f>
        <v>Class 10</v>
      </c>
      <c r="E89" s="9" t="str">
        <f>IF(IF(SelectedScope="All India",TRUE,'RAW_QUIZ'!$B88=SelectedScope),'RAW_QUIZ'!E88,"")</f>
        <v>Trigonometry — Unit Quiz</v>
      </c>
      <c r="F89" s="9">
        <f>IF(IF(SelectedScope="All India",TRUE,'RAW_QUIZ'!$B88=SelectedScope),'RAW_QUIZ'!F88,"")</f>
        <v>0</v>
      </c>
      <c r="G89" s="9" t="str">
        <f>IF(IF(SelectedScope="All India",TRUE,'RAW_QUIZ'!$B88=SelectedScope),'RAW_QUIZ'!G88,"")</f>
        <v>Active</v>
      </c>
      <c r="H89" s="9">
        <f>IF(IF(SelectedScope="All India",TRUE,'RAW_QUIZ'!$B88=SelectedScope),'RAW_QUIZ'!H88,"")</f>
        <v>0</v>
      </c>
      <c r="I89" s="9">
        <f>IF(IF(SelectedScope="All India",TRUE,'RAW_QUIZ'!$B88=SelectedScope),'RAW_QUIZ'!I88,"")</f>
        <v>0</v>
      </c>
      <c r="J89" s="9">
        <f>IF(IF(SelectedScope="All India",TRUE,'RAW_QUIZ'!$B88=SelectedScope),'RAW_QUIZ'!J88,"")</f>
        <v>0</v>
      </c>
      <c r="K89" s="9">
        <f>IF(IF(SelectedScope="All India",TRUE,'RAW_QUIZ'!$B88=SelectedScope),'RAW_QUIZ'!K88,"")</f>
        <v>0</v>
      </c>
      <c r="L89" s="9">
        <f>IF(IF(SelectedScope="All India",TRUE,'RAW_QUIZ'!$B88=SelectedScope),'RAW_QUIZ'!L88,"")</f>
        <v>0</v>
      </c>
      <c r="M89" s="9">
        <f>IF(IF(SelectedScope="All India",TRUE,'RAW_QUIZ'!$B88=SelectedScope),'RAW_QUIZ'!M88,"")</f>
        <v>0</v>
      </c>
      <c r="N89" s="9">
        <f>IF(IF(SelectedScope="All India",TRUE,'RAW_QUIZ'!$B88=SelectedScope),'RAW_QUIZ'!N88,"")</f>
        <v>0</v>
      </c>
      <c r="O89" s="9">
        <f>IF(IF(SelectedScope="All India",TRUE,'RAW_QUIZ'!$B88=SelectedScope),'RAW_QUIZ'!O88,"")</f>
        <v>0</v>
      </c>
      <c r="P89" s="9">
        <f>IF(IF(SelectedScope="All India",TRUE,'RAW_QUIZ'!$B88=SelectedScope),'RAW_QUIZ'!P88,"")</f>
        <v>0</v>
      </c>
      <c r="Q89" s="9">
        <f>IF(IF(SelectedScope="All India",TRUE,'RAW_QUIZ'!$B88=SelectedScope),'RAW_QUIZ'!Q88,"")</f>
        <v>0</v>
      </c>
    </row>
    <row r="90" spans="1:17" ht="15" customHeight="1" x14ac:dyDescent="0.3">
      <c r="A90" s="12">
        <f>IF(IF(SelectedScope="All India",TRUE,'RAW_QUIZ'!$B89=SelectedScope),'RAW_QUIZ'!A89,"")</f>
        <v>86</v>
      </c>
      <c r="B90" s="12" t="str">
        <f>IF(IF(SelectedScope="All India",TRUE,'RAW_QUIZ'!$B89=SelectedScope),'RAW_QUIZ'!B89,"")</f>
        <v>Delhi</v>
      </c>
      <c r="C90" s="12" t="str">
        <f>IF(IF(SelectedScope="All India",TRUE,'RAW_QUIZ'!$B89=SelectedScope),'RAW_QUIZ'!C89,"")</f>
        <v>History</v>
      </c>
      <c r="D90" s="12" t="str">
        <f>IF(IF(SelectedScope="All India",TRUE,'RAW_QUIZ'!$B89=SelectedScope),'RAW_QUIZ'!D89,"")</f>
        <v>Class 10</v>
      </c>
      <c r="E90" s="12" t="str">
        <f>IF(IF(SelectedScope="All India",TRUE,'RAW_QUIZ'!$B89=SelectedScope),'RAW_QUIZ'!E89,"")</f>
        <v>Mughal Empire — Unit Quiz</v>
      </c>
      <c r="F90" s="12">
        <f>IF(IF(SelectedScope="All India",TRUE,'RAW_QUIZ'!$B89=SelectedScope),'RAW_QUIZ'!F89,"")</f>
        <v>0</v>
      </c>
      <c r="G90" s="12" t="str">
        <f>IF(IF(SelectedScope="All India",TRUE,'RAW_QUIZ'!$B89=SelectedScope),'RAW_QUIZ'!G89,"")</f>
        <v>Active</v>
      </c>
      <c r="H90" s="12">
        <f>IF(IF(SelectedScope="All India",TRUE,'RAW_QUIZ'!$B89=SelectedScope),'RAW_QUIZ'!H89,"")</f>
        <v>0</v>
      </c>
      <c r="I90" s="12">
        <f>IF(IF(SelectedScope="All India",TRUE,'RAW_QUIZ'!$B89=SelectedScope),'RAW_QUIZ'!I89,"")</f>
        <v>0</v>
      </c>
      <c r="J90" s="12">
        <f>IF(IF(SelectedScope="All India",TRUE,'RAW_QUIZ'!$B89=SelectedScope),'RAW_QUIZ'!J89,"")</f>
        <v>0</v>
      </c>
      <c r="K90" s="12">
        <f>IF(IF(SelectedScope="All India",TRUE,'RAW_QUIZ'!$B89=SelectedScope),'RAW_QUIZ'!K89,"")</f>
        <v>0</v>
      </c>
      <c r="L90" s="12">
        <f>IF(IF(SelectedScope="All India",TRUE,'RAW_QUIZ'!$B89=SelectedScope),'RAW_QUIZ'!L89,"")</f>
        <v>0</v>
      </c>
      <c r="M90" s="12">
        <f>IF(IF(SelectedScope="All India",TRUE,'RAW_QUIZ'!$B89=SelectedScope),'RAW_QUIZ'!M89,"")</f>
        <v>0</v>
      </c>
      <c r="N90" s="12">
        <f>IF(IF(SelectedScope="All India",TRUE,'RAW_QUIZ'!$B89=SelectedScope),'RAW_QUIZ'!N89,"")</f>
        <v>0</v>
      </c>
      <c r="O90" s="12">
        <f>IF(IF(SelectedScope="All India",TRUE,'RAW_QUIZ'!$B89=SelectedScope),'RAW_QUIZ'!O89,"")</f>
        <v>0</v>
      </c>
      <c r="P90" s="12">
        <f>IF(IF(SelectedScope="All India",TRUE,'RAW_QUIZ'!$B89=SelectedScope),'RAW_QUIZ'!P89,"")</f>
        <v>0</v>
      </c>
      <c r="Q90" s="12">
        <f>IF(IF(SelectedScope="All India",TRUE,'RAW_QUIZ'!$B89=SelectedScope),'RAW_QUIZ'!Q89,"")</f>
        <v>0</v>
      </c>
    </row>
    <row r="91" spans="1:17" ht="15" customHeight="1" x14ac:dyDescent="0.3">
      <c r="A91" s="9">
        <f>IF(IF(SelectedScope="All India",TRUE,'RAW_QUIZ'!$B90=SelectedScope),'RAW_QUIZ'!A90,"")</f>
        <v>87</v>
      </c>
      <c r="B91" s="9" t="str">
        <f>IF(IF(SelectedScope="All India",TRUE,'RAW_QUIZ'!$B90=SelectedScope),'RAW_QUIZ'!B90,"")</f>
        <v>Delhi</v>
      </c>
      <c r="C91" s="9" t="str">
        <f>IF(IF(SelectedScope="All India",TRUE,'RAW_QUIZ'!$B90=SelectedScope),'RAW_QUIZ'!C90,"")</f>
        <v>Physics</v>
      </c>
      <c r="D91" s="9" t="str">
        <f>IF(IF(SelectedScope="All India",TRUE,'RAW_QUIZ'!$B90=SelectedScope),'RAW_QUIZ'!D90,"")</f>
        <v>Class 9</v>
      </c>
      <c r="E91" s="9" t="str">
        <f>IF(IF(SelectedScope="All India",TRUE,'RAW_QUIZ'!$B90=SelectedScope),'RAW_QUIZ'!E90,"")</f>
        <v>Laws of Motion — Unit Quiz</v>
      </c>
      <c r="F91" s="9">
        <f>IF(IF(SelectedScope="All India",TRUE,'RAW_QUIZ'!$B90=SelectedScope),'RAW_QUIZ'!F90,"")</f>
        <v>0</v>
      </c>
      <c r="G91" s="9" t="str">
        <f>IF(IF(SelectedScope="All India",TRUE,'RAW_QUIZ'!$B90=SelectedScope),'RAW_QUIZ'!G90,"")</f>
        <v>Active</v>
      </c>
      <c r="H91" s="9">
        <f>IF(IF(SelectedScope="All India",TRUE,'RAW_QUIZ'!$B90=SelectedScope),'RAW_QUIZ'!H90,"")</f>
        <v>0</v>
      </c>
      <c r="I91" s="9">
        <f>IF(IF(SelectedScope="All India",TRUE,'RAW_QUIZ'!$B90=SelectedScope),'RAW_QUIZ'!I90,"")</f>
        <v>0</v>
      </c>
      <c r="J91" s="9">
        <f>IF(IF(SelectedScope="All India",TRUE,'RAW_QUIZ'!$B90=SelectedScope),'RAW_QUIZ'!J90,"")</f>
        <v>0</v>
      </c>
      <c r="K91" s="9">
        <f>IF(IF(SelectedScope="All India",TRUE,'RAW_QUIZ'!$B90=SelectedScope),'RAW_QUIZ'!K90,"")</f>
        <v>0</v>
      </c>
      <c r="L91" s="9">
        <f>IF(IF(SelectedScope="All India",TRUE,'RAW_QUIZ'!$B90=SelectedScope),'RAW_QUIZ'!L90,"")</f>
        <v>0</v>
      </c>
      <c r="M91" s="9">
        <f>IF(IF(SelectedScope="All India",TRUE,'RAW_QUIZ'!$B90=SelectedScope),'RAW_QUIZ'!M90,"")</f>
        <v>0</v>
      </c>
      <c r="N91" s="9">
        <f>IF(IF(SelectedScope="All India",TRUE,'RAW_QUIZ'!$B90=SelectedScope),'RAW_QUIZ'!N90,"")</f>
        <v>0</v>
      </c>
      <c r="O91" s="9">
        <f>IF(IF(SelectedScope="All India",TRUE,'RAW_QUIZ'!$B90=SelectedScope),'RAW_QUIZ'!O90,"")</f>
        <v>0</v>
      </c>
      <c r="P91" s="9">
        <f>IF(IF(SelectedScope="All India",TRUE,'RAW_QUIZ'!$B90=SelectedScope),'RAW_QUIZ'!P90,"")</f>
        <v>0</v>
      </c>
      <c r="Q91" s="9">
        <f>IF(IF(SelectedScope="All India",TRUE,'RAW_QUIZ'!$B90=SelectedScope),'RAW_QUIZ'!Q90,"")</f>
        <v>0</v>
      </c>
    </row>
    <row r="92" spans="1:17" ht="15" customHeight="1" x14ac:dyDescent="0.3">
      <c r="A92" s="12">
        <f>IF(IF(SelectedScope="All India",TRUE,'RAW_QUIZ'!$B91=SelectedScope),'RAW_QUIZ'!A91,"")</f>
        <v>88</v>
      </c>
      <c r="B92" s="12" t="str">
        <f>IF(IF(SelectedScope="All India",TRUE,'RAW_QUIZ'!$B91=SelectedScope),'RAW_QUIZ'!B91,"")</f>
        <v>Delhi</v>
      </c>
      <c r="C92" s="12" t="str">
        <f>IF(IF(SelectedScope="All India",TRUE,'RAW_QUIZ'!$B91=SelectedScope),'RAW_QUIZ'!C91,"")</f>
        <v>Physics</v>
      </c>
      <c r="D92" s="12" t="str">
        <f>IF(IF(SelectedScope="All India",TRUE,'RAW_QUIZ'!$B91=SelectedScope),'RAW_QUIZ'!D91,"")</f>
        <v>Class 10</v>
      </c>
      <c r="E92" s="12" t="str">
        <f>IF(IF(SelectedScope="All India",TRUE,'RAW_QUIZ'!$B91=SelectedScope),'RAW_QUIZ'!E91,"")</f>
        <v>Electricity — Unit Quiz</v>
      </c>
      <c r="F92" s="12">
        <f>IF(IF(SelectedScope="All India",TRUE,'RAW_QUIZ'!$B91=SelectedScope),'RAW_QUIZ'!F91,"")</f>
        <v>0</v>
      </c>
      <c r="G92" s="12" t="str">
        <f>IF(IF(SelectedScope="All India",TRUE,'RAW_QUIZ'!$B91=SelectedScope),'RAW_QUIZ'!G91,"")</f>
        <v>Active</v>
      </c>
      <c r="H92" s="12">
        <f>IF(IF(SelectedScope="All India",TRUE,'RAW_QUIZ'!$B91=SelectedScope),'RAW_QUIZ'!H91,"")</f>
        <v>0</v>
      </c>
      <c r="I92" s="12">
        <f>IF(IF(SelectedScope="All India",TRUE,'RAW_QUIZ'!$B91=SelectedScope),'RAW_QUIZ'!I91,"")</f>
        <v>0</v>
      </c>
      <c r="J92" s="12">
        <f>IF(IF(SelectedScope="All India",TRUE,'RAW_QUIZ'!$B91=SelectedScope),'RAW_QUIZ'!J91,"")</f>
        <v>0</v>
      </c>
      <c r="K92" s="12">
        <f>IF(IF(SelectedScope="All India",TRUE,'RAW_QUIZ'!$B91=SelectedScope),'RAW_QUIZ'!K91,"")</f>
        <v>0</v>
      </c>
      <c r="L92" s="12">
        <f>IF(IF(SelectedScope="All India",TRUE,'RAW_QUIZ'!$B91=SelectedScope),'RAW_QUIZ'!L91,"")</f>
        <v>0</v>
      </c>
      <c r="M92" s="12">
        <f>IF(IF(SelectedScope="All India",TRUE,'RAW_QUIZ'!$B91=SelectedScope),'RAW_QUIZ'!M91,"")</f>
        <v>0</v>
      </c>
      <c r="N92" s="12">
        <f>IF(IF(SelectedScope="All India",TRUE,'RAW_QUIZ'!$B91=SelectedScope),'RAW_QUIZ'!N91,"")</f>
        <v>0</v>
      </c>
      <c r="O92" s="12">
        <f>IF(IF(SelectedScope="All India",TRUE,'RAW_QUIZ'!$B91=SelectedScope),'RAW_QUIZ'!O91,"")</f>
        <v>0</v>
      </c>
      <c r="P92" s="12">
        <f>IF(IF(SelectedScope="All India",TRUE,'RAW_QUIZ'!$B91=SelectedScope),'RAW_QUIZ'!P91,"")</f>
        <v>0</v>
      </c>
      <c r="Q92" s="12">
        <f>IF(IF(SelectedScope="All India",TRUE,'RAW_QUIZ'!$B91=SelectedScope),'RAW_QUIZ'!Q91,"")</f>
        <v>0</v>
      </c>
    </row>
    <row r="93" spans="1:17" ht="15" customHeight="1" x14ac:dyDescent="0.3">
      <c r="A93" s="9">
        <f>IF(IF(SelectedScope="All India",TRUE,'RAW_QUIZ'!$B92=SelectedScope),'RAW_QUIZ'!A92,"")</f>
        <v>89</v>
      </c>
      <c r="B93" s="9" t="str">
        <f>IF(IF(SelectedScope="All India",TRUE,'RAW_QUIZ'!$B92=SelectedScope),'RAW_QUIZ'!B92,"")</f>
        <v>Delhi</v>
      </c>
      <c r="C93" s="9" t="str">
        <f>IF(IF(SelectedScope="All India",TRUE,'RAW_QUIZ'!$B92=SelectedScope),'RAW_QUIZ'!C92,"")</f>
        <v>Civics</v>
      </c>
      <c r="D93" s="9" t="str">
        <f>IF(IF(SelectedScope="All India",TRUE,'RAW_QUIZ'!$B92=SelectedScope),'RAW_QUIZ'!D92,"")</f>
        <v>Class 9</v>
      </c>
      <c r="E93" s="9" t="str">
        <f>IF(IF(SelectedScope="All India",TRUE,'RAW_QUIZ'!$B92=SelectedScope),'RAW_QUIZ'!E92,"")</f>
        <v>Indian Constitution — Unit Quiz</v>
      </c>
      <c r="F93" s="9">
        <f>IF(IF(SelectedScope="All India",TRUE,'RAW_QUIZ'!$B92=SelectedScope),'RAW_QUIZ'!F92,"")</f>
        <v>0</v>
      </c>
      <c r="G93" s="9" t="str">
        <f>IF(IF(SelectedScope="All India",TRUE,'RAW_QUIZ'!$B92=SelectedScope),'RAW_QUIZ'!G92,"")</f>
        <v>Active</v>
      </c>
      <c r="H93" s="9">
        <f>IF(IF(SelectedScope="All India",TRUE,'RAW_QUIZ'!$B92=SelectedScope),'RAW_QUIZ'!H92,"")</f>
        <v>0</v>
      </c>
      <c r="I93" s="9">
        <f>IF(IF(SelectedScope="All India",TRUE,'RAW_QUIZ'!$B92=SelectedScope),'RAW_QUIZ'!I92,"")</f>
        <v>0</v>
      </c>
      <c r="J93" s="9">
        <f>IF(IF(SelectedScope="All India",TRUE,'RAW_QUIZ'!$B92=SelectedScope),'RAW_QUIZ'!J92,"")</f>
        <v>0</v>
      </c>
      <c r="K93" s="9">
        <f>IF(IF(SelectedScope="All India",TRUE,'RAW_QUIZ'!$B92=SelectedScope),'RAW_QUIZ'!K92,"")</f>
        <v>0</v>
      </c>
      <c r="L93" s="9">
        <f>IF(IF(SelectedScope="All India",TRUE,'RAW_QUIZ'!$B92=SelectedScope),'RAW_QUIZ'!L92,"")</f>
        <v>0</v>
      </c>
      <c r="M93" s="9">
        <f>IF(IF(SelectedScope="All India",TRUE,'RAW_QUIZ'!$B92=SelectedScope),'RAW_QUIZ'!M92,"")</f>
        <v>0</v>
      </c>
      <c r="N93" s="9">
        <f>IF(IF(SelectedScope="All India",TRUE,'RAW_QUIZ'!$B92=SelectedScope),'RAW_QUIZ'!N92,"")</f>
        <v>0</v>
      </c>
      <c r="O93" s="9">
        <f>IF(IF(SelectedScope="All India",TRUE,'RAW_QUIZ'!$B92=SelectedScope),'RAW_QUIZ'!O92,"")</f>
        <v>0</v>
      </c>
      <c r="P93" s="9">
        <f>IF(IF(SelectedScope="All India",TRUE,'RAW_QUIZ'!$B92=SelectedScope),'RAW_QUIZ'!P92,"")</f>
        <v>0</v>
      </c>
      <c r="Q93" s="9">
        <f>IF(IF(SelectedScope="All India",TRUE,'RAW_QUIZ'!$B92=SelectedScope),'RAW_QUIZ'!Q92,"")</f>
        <v>0</v>
      </c>
    </row>
    <row r="94" spans="1:17" ht="15" customHeight="1" x14ac:dyDescent="0.3">
      <c r="A94" s="12">
        <f>IF(IF(SelectedScope="All India",TRUE,'RAW_QUIZ'!$B93=SelectedScope),'RAW_QUIZ'!A93,"")</f>
        <v>90</v>
      </c>
      <c r="B94" s="12" t="str">
        <f>IF(IF(SelectedScope="All India",TRUE,'RAW_QUIZ'!$B93=SelectedScope),'RAW_QUIZ'!B93,"")</f>
        <v>Delhi</v>
      </c>
      <c r="C94" s="12" t="str">
        <f>IF(IF(SelectedScope="All India",TRUE,'RAW_QUIZ'!$B93=SelectedScope),'RAW_QUIZ'!C93,"")</f>
        <v>Mathematics</v>
      </c>
      <c r="D94" s="12" t="str">
        <f>IF(IF(SelectedScope="All India",TRUE,'RAW_QUIZ'!$B93=SelectedScope),'RAW_QUIZ'!D93,"")</f>
        <v>Class 10</v>
      </c>
      <c r="E94" s="12" t="str">
        <f>IF(IF(SelectedScope="All India",TRUE,'RAW_QUIZ'!$B93=SelectedScope),'RAW_QUIZ'!E93,"")</f>
        <v>Quadratic Equations — Unit Quiz</v>
      </c>
      <c r="F94" s="12">
        <f>IF(IF(SelectedScope="All India",TRUE,'RAW_QUIZ'!$B93=SelectedScope),'RAW_QUIZ'!F93,"")</f>
        <v>0</v>
      </c>
      <c r="G94" s="12" t="str">
        <f>IF(IF(SelectedScope="All India",TRUE,'RAW_QUIZ'!$B93=SelectedScope),'RAW_QUIZ'!G93,"")</f>
        <v>Active</v>
      </c>
      <c r="H94" s="12">
        <f>IF(IF(SelectedScope="All India",TRUE,'RAW_QUIZ'!$B93=SelectedScope),'RAW_QUIZ'!H93,"")</f>
        <v>0</v>
      </c>
      <c r="I94" s="12">
        <f>IF(IF(SelectedScope="All India",TRUE,'RAW_QUIZ'!$B93=SelectedScope),'RAW_QUIZ'!I93,"")</f>
        <v>0</v>
      </c>
      <c r="J94" s="12">
        <f>IF(IF(SelectedScope="All India",TRUE,'RAW_QUIZ'!$B93=SelectedScope),'RAW_QUIZ'!J93,"")</f>
        <v>0</v>
      </c>
      <c r="K94" s="12">
        <f>IF(IF(SelectedScope="All India",TRUE,'RAW_QUIZ'!$B93=SelectedScope),'RAW_QUIZ'!K93,"")</f>
        <v>0</v>
      </c>
      <c r="L94" s="12">
        <f>IF(IF(SelectedScope="All India",TRUE,'RAW_QUIZ'!$B93=SelectedScope),'RAW_QUIZ'!L93,"")</f>
        <v>0</v>
      </c>
      <c r="M94" s="12">
        <f>IF(IF(SelectedScope="All India",TRUE,'RAW_QUIZ'!$B93=SelectedScope),'RAW_QUIZ'!M93,"")</f>
        <v>0</v>
      </c>
      <c r="N94" s="12">
        <f>IF(IF(SelectedScope="All India",TRUE,'RAW_QUIZ'!$B93=SelectedScope),'RAW_QUIZ'!N93,"")</f>
        <v>0</v>
      </c>
      <c r="O94" s="12">
        <f>IF(IF(SelectedScope="All India",TRUE,'RAW_QUIZ'!$B93=SelectedScope),'RAW_QUIZ'!O93,"")</f>
        <v>0</v>
      </c>
      <c r="P94" s="12">
        <f>IF(IF(SelectedScope="All India",TRUE,'RAW_QUIZ'!$B93=SelectedScope),'RAW_QUIZ'!P93,"")</f>
        <v>0</v>
      </c>
      <c r="Q94" s="12">
        <f>IF(IF(SelectedScope="All India",TRUE,'RAW_QUIZ'!$B93=SelectedScope),'RAW_QUIZ'!Q93,"")</f>
        <v>0</v>
      </c>
    </row>
    <row r="95" spans="1:17" ht="15" customHeight="1" x14ac:dyDescent="0.3">
      <c r="A95" s="9">
        <f>IF(IF(SelectedScope="All India",TRUE,'RAW_QUIZ'!$B94=SelectedScope),'RAW_QUIZ'!A94,"")</f>
        <v>91</v>
      </c>
      <c r="B95" s="9" t="str">
        <f>IF(IF(SelectedScope="All India",TRUE,'RAW_QUIZ'!$B94=SelectedScope),'RAW_QUIZ'!B94,"")</f>
        <v>Goa</v>
      </c>
      <c r="C95" s="9" t="str">
        <f>IF(IF(SelectedScope="All India",TRUE,'RAW_QUIZ'!$B94=SelectedScope),'RAW_QUIZ'!C94,"")</f>
        <v>Science</v>
      </c>
      <c r="D95" s="9" t="str">
        <f>IF(IF(SelectedScope="All India",TRUE,'RAW_QUIZ'!$B94=SelectedScope),'RAW_QUIZ'!D94,"")</f>
        <v>Class 8</v>
      </c>
      <c r="E95" s="9" t="str">
        <f>IF(IF(SelectedScope="All India",TRUE,'RAW_QUIZ'!$B94=SelectedScope),'RAW_QUIZ'!E94,"")</f>
        <v>Solar System — Unit Quiz</v>
      </c>
      <c r="F95" s="9">
        <f>IF(IF(SelectedScope="All India",TRUE,'RAW_QUIZ'!$B94=SelectedScope),'RAW_QUIZ'!F94,"")</f>
        <v>0</v>
      </c>
      <c r="G95" s="9" t="str">
        <f>IF(IF(SelectedScope="All India",TRUE,'RAW_QUIZ'!$B94=SelectedScope),'RAW_QUIZ'!G94,"")</f>
        <v>Active</v>
      </c>
      <c r="H95" s="9">
        <f>IF(IF(SelectedScope="All India",TRUE,'RAW_QUIZ'!$B94=SelectedScope),'RAW_QUIZ'!H94,"")</f>
        <v>0</v>
      </c>
      <c r="I95" s="9">
        <f>IF(IF(SelectedScope="All India",TRUE,'RAW_QUIZ'!$B94=SelectedScope),'RAW_QUIZ'!I94,"")</f>
        <v>0</v>
      </c>
      <c r="J95" s="9">
        <f>IF(IF(SelectedScope="All India",TRUE,'RAW_QUIZ'!$B94=SelectedScope),'RAW_QUIZ'!J94,"")</f>
        <v>0</v>
      </c>
      <c r="K95" s="9">
        <f>IF(IF(SelectedScope="All India",TRUE,'RAW_QUIZ'!$B94=SelectedScope),'RAW_QUIZ'!K94,"")</f>
        <v>0</v>
      </c>
      <c r="L95" s="9">
        <f>IF(IF(SelectedScope="All India",TRUE,'RAW_QUIZ'!$B94=SelectedScope),'RAW_QUIZ'!L94,"")</f>
        <v>0</v>
      </c>
      <c r="M95" s="9">
        <f>IF(IF(SelectedScope="All India",TRUE,'RAW_QUIZ'!$B94=SelectedScope),'RAW_QUIZ'!M94,"")</f>
        <v>0</v>
      </c>
      <c r="N95" s="9">
        <f>IF(IF(SelectedScope="All India",TRUE,'RAW_QUIZ'!$B94=SelectedScope),'RAW_QUIZ'!N94,"")</f>
        <v>0</v>
      </c>
      <c r="O95" s="9">
        <f>IF(IF(SelectedScope="All India",TRUE,'RAW_QUIZ'!$B94=SelectedScope),'RAW_QUIZ'!O94,"")</f>
        <v>0</v>
      </c>
      <c r="P95" s="9">
        <f>IF(IF(SelectedScope="All India",TRUE,'RAW_QUIZ'!$B94=SelectedScope),'RAW_QUIZ'!P94,"")</f>
        <v>0</v>
      </c>
      <c r="Q95" s="9">
        <f>IF(IF(SelectedScope="All India",TRUE,'RAW_QUIZ'!$B94=SelectedScope),'RAW_QUIZ'!Q94,"")</f>
        <v>0</v>
      </c>
    </row>
    <row r="96" spans="1:17" ht="15" customHeight="1" x14ac:dyDescent="0.3">
      <c r="A96" s="12">
        <f>IF(IF(SelectedScope="All India",TRUE,'RAW_QUIZ'!$B95=SelectedScope),'RAW_QUIZ'!A95,"")</f>
        <v>92</v>
      </c>
      <c r="B96" s="12" t="str">
        <f>IF(IF(SelectedScope="All India",TRUE,'RAW_QUIZ'!$B95=SelectedScope),'RAW_QUIZ'!B95,"")</f>
        <v>Goa</v>
      </c>
      <c r="C96" s="12" t="str">
        <f>IF(IF(SelectedScope="All India",TRUE,'RAW_QUIZ'!$B95=SelectedScope),'RAW_QUIZ'!C95,"")</f>
        <v>Biology</v>
      </c>
      <c r="D96" s="12" t="str">
        <f>IF(IF(SelectedScope="All India",TRUE,'RAW_QUIZ'!$B95=SelectedScope),'RAW_QUIZ'!D95,"")</f>
        <v>Class 9</v>
      </c>
      <c r="E96" s="12" t="str">
        <f>IF(IF(SelectedScope="All India",TRUE,'RAW_QUIZ'!$B95=SelectedScope),'RAW_QUIZ'!E95,"")</f>
        <v>Cell Division — Unit Quiz</v>
      </c>
      <c r="F96" s="12">
        <f>IF(IF(SelectedScope="All India",TRUE,'RAW_QUIZ'!$B95=SelectedScope),'RAW_QUIZ'!F95,"")</f>
        <v>0</v>
      </c>
      <c r="G96" s="12" t="str">
        <f>IF(IF(SelectedScope="All India",TRUE,'RAW_QUIZ'!$B95=SelectedScope),'RAW_QUIZ'!G95,"")</f>
        <v>Active</v>
      </c>
      <c r="H96" s="12">
        <f>IF(IF(SelectedScope="All India",TRUE,'RAW_QUIZ'!$B95=SelectedScope),'RAW_QUIZ'!H95,"")</f>
        <v>0</v>
      </c>
      <c r="I96" s="12">
        <f>IF(IF(SelectedScope="All India",TRUE,'RAW_QUIZ'!$B95=SelectedScope),'RAW_QUIZ'!I95,"")</f>
        <v>0</v>
      </c>
      <c r="J96" s="12">
        <f>IF(IF(SelectedScope="All India",TRUE,'RAW_QUIZ'!$B95=SelectedScope),'RAW_QUIZ'!J95,"")</f>
        <v>0</v>
      </c>
      <c r="K96" s="12">
        <f>IF(IF(SelectedScope="All India",TRUE,'RAW_QUIZ'!$B95=SelectedScope),'RAW_QUIZ'!K95,"")</f>
        <v>0</v>
      </c>
      <c r="L96" s="12">
        <f>IF(IF(SelectedScope="All India",TRUE,'RAW_QUIZ'!$B95=SelectedScope),'RAW_QUIZ'!L95,"")</f>
        <v>0</v>
      </c>
      <c r="M96" s="12">
        <f>IF(IF(SelectedScope="All India",TRUE,'RAW_QUIZ'!$B95=SelectedScope),'RAW_QUIZ'!M95,"")</f>
        <v>0</v>
      </c>
      <c r="N96" s="12">
        <f>IF(IF(SelectedScope="All India",TRUE,'RAW_QUIZ'!$B95=SelectedScope),'RAW_QUIZ'!N95,"")</f>
        <v>0</v>
      </c>
      <c r="O96" s="12">
        <f>IF(IF(SelectedScope="All India",TRUE,'RAW_QUIZ'!$B95=SelectedScope),'RAW_QUIZ'!O95,"")</f>
        <v>0</v>
      </c>
      <c r="P96" s="12">
        <f>IF(IF(SelectedScope="All India",TRUE,'RAW_QUIZ'!$B95=SelectedScope),'RAW_QUIZ'!P95,"")</f>
        <v>0</v>
      </c>
      <c r="Q96" s="12">
        <f>IF(IF(SelectedScope="All India",TRUE,'RAW_QUIZ'!$B95=SelectedScope),'RAW_QUIZ'!Q95,"")</f>
        <v>0</v>
      </c>
    </row>
    <row r="97" spans="1:17" ht="15" customHeight="1" x14ac:dyDescent="0.3">
      <c r="A97" s="9">
        <f>IF(IF(SelectedScope="All India",TRUE,'RAW_QUIZ'!$B96=SelectedScope),'RAW_QUIZ'!A96,"")</f>
        <v>93</v>
      </c>
      <c r="B97" s="9" t="str">
        <f>IF(IF(SelectedScope="All India",TRUE,'RAW_QUIZ'!$B96=SelectedScope),'RAW_QUIZ'!B96,"")</f>
        <v>Goa</v>
      </c>
      <c r="C97" s="9" t="str">
        <f>IF(IF(SelectedScope="All India",TRUE,'RAW_QUIZ'!$B96=SelectedScope),'RAW_QUIZ'!C96,"")</f>
        <v>Chemistry</v>
      </c>
      <c r="D97" s="9" t="str">
        <f>IF(IF(SelectedScope="All India",TRUE,'RAW_QUIZ'!$B96=SelectedScope),'RAW_QUIZ'!D96,"")</f>
        <v>Class 9</v>
      </c>
      <c r="E97" s="9" t="str">
        <f>IF(IF(SelectedScope="All India",TRUE,'RAW_QUIZ'!$B96=SelectedScope),'RAW_QUIZ'!E96,"")</f>
        <v>Atoms and Molecules — Unit Quiz</v>
      </c>
      <c r="F97" s="9">
        <f>IF(IF(SelectedScope="All India",TRUE,'RAW_QUIZ'!$B96=SelectedScope),'RAW_QUIZ'!F96,"")</f>
        <v>0</v>
      </c>
      <c r="G97" s="9" t="str">
        <f>IF(IF(SelectedScope="All India",TRUE,'RAW_QUIZ'!$B96=SelectedScope),'RAW_QUIZ'!G96,"")</f>
        <v>Active</v>
      </c>
      <c r="H97" s="9">
        <f>IF(IF(SelectedScope="All India",TRUE,'RAW_QUIZ'!$B96=SelectedScope),'RAW_QUIZ'!H96,"")</f>
        <v>0</v>
      </c>
      <c r="I97" s="9">
        <f>IF(IF(SelectedScope="All India",TRUE,'RAW_QUIZ'!$B96=SelectedScope),'RAW_QUIZ'!I96,"")</f>
        <v>0</v>
      </c>
      <c r="J97" s="9">
        <f>IF(IF(SelectedScope="All India",TRUE,'RAW_QUIZ'!$B96=SelectedScope),'RAW_QUIZ'!J96,"")</f>
        <v>0</v>
      </c>
      <c r="K97" s="9">
        <f>IF(IF(SelectedScope="All India",TRUE,'RAW_QUIZ'!$B96=SelectedScope),'RAW_QUIZ'!K96,"")</f>
        <v>0</v>
      </c>
      <c r="L97" s="9">
        <f>IF(IF(SelectedScope="All India",TRUE,'RAW_QUIZ'!$B96=SelectedScope),'RAW_QUIZ'!L96,"")</f>
        <v>0</v>
      </c>
      <c r="M97" s="9">
        <f>IF(IF(SelectedScope="All India",TRUE,'RAW_QUIZ'!$B96=SelectedScope),'RAW_QUIZ'!M96,"")</f>
        <v>0</v>
      </c>
      <c r="N97" s="9">
        <f>IF(IF(SelectedScope="All India",TRUE,'RAW_QUIZ'!$B96=SelectedScope),'RAW_QUIZ'!N96,"")</f>
        <v>0</v>
      </c>
      <c r="O97" s="9">
        <f>IF(IF(SelectedScope="All India",TRUE,'RAW_QUIZ'!$B96=SelectedScope),'RAW_QUIZ'!O96,"")</f>
        <v>0</v>
      </c>
      <c r="P97" s="9">
        <f>IF(IF(SelectedScope="All India",TRUE,'RAW_QUIZ'!$B96=SelectedScope),'RAW_QUIZ'!P96,"")</f>
        <v>0</v>
      </c>
      <c r="Q97" s="9">
        <f>IF(IF(SelectedScope="All India",TRUE,'RAW_QUIZ'!$B96=SelectedScope),'RAW_QUIZ'!Q96,"")</f>
        <v>0</v>
      </c>
    </row>
    <row r="98" spans="1:17" ht="15" customHeight="1" x14ac:dyDescent="0.3">
      <c r="A98" s="12">
        <f>IF(IF(SelectedScope="All India",TRUE,'RAW_QUIZ'!$B97=SelectedScope),'RAW_QUIZ'!A97,"")</f>
        <v>94</v>
      </c>
      <c r="B98" s="12" t="str">
        <f>IF(IF(SelectedScope="All India",TRUE,'RAW_QUIZ'!$B97=SelectedScope),'RAW_QUIZ'!B97,"")</f>
        <v>Goa</v>
      </c>
      <c r="C98" s="12" t="str">
        <f>IF(IF(SelectedScope="All India",TRUE,'RAW_QUIZ'!$B97=SelectedScope),'RAW_QUIZ'!C97,"")</f>
        <v>Mathematics</v>
      </c>
      <c r="D98" s="12" t="str">
        <f>IF(IF(SelectedScope="All India",TRUE,'RAW_QUIZ'!$B97=SelectedScope),'RAW_QUIZ'!D97,"")</f>
        <v>Class 7</v>
      </c>
      <c r="E98" s="12" t="str">
        <f>IF(IF(SelectedScope="All India",TRUE,'RAW_QUIZ'!$B97=SelectedScope),'RAW_QUIZ'!E97,"")</f>
        <v>Fractions — Unit Quiz</v>
      </c>
      <c r="F98" s="12">
        <f>IF(IF(SelectedScope="All India",TRUE,'RAW_QUIZ'!$B97=SelectedScope),'RAW_QUIZ'!F97,"")</f>
        <v>0</v>
      </c>
      <c r="G98" s="12" t="str">
        <f>IF(IF(SelectedScope="All India",TRUE,'RAW_QUIZ'!$B97=SelectedScope),'RAW_QUIZ'!G97,"")</f>
        <v>Active</v>
      </c>
      <c r="H98" s="12">
        <f>IF(IF(SelectedScope="All India",TRUE,'RAW_QUIZ'!$B97=SelectedScope),'RAW_QUIZ'!H97,"")</f>
        <v>0</v>
      </c>
      <c r="I98" s="12">
        <f>IF(IF(SelectedScope="All India",TRUE,'RAW_QUIZ'!$B97=SelectedScope),'RAW_QUIZ'!I97,"")</f>
        <v>0</v>
      </c>
      <c r="J98" s="12">
        <f>IF(IF(SelectedScope="All India",TRUE,'RAW_QUIZ'!$B97=SelectedScope),'RAW_QUIZ'!J97,"")</f>
        <v>0</v>
      </c>
      <c r="K98" s="12">
        <f>IF(IF(SelectedScope="All India",TRUE,'RAW_QUIZ'!$B97=SelectedScope),'RAW_QUIZ'!K97,"")</f>
        <v>0</v>
      </c>
      <c r="L98" s="12">
        <f>IF(IF(SelectedScope="All India",TRUE,'RAW_QUIZ'!$B97=SelectedScope),'RAW_QUIZ'!L97,"")</f>
        <v>0</v>
      </c>
      <c r="M98" s="12">
        <f>IF(IF(SelectedScope="All India",TRUE,'RAW_QUIZ'!$B97=SelectedScope),'RAW_QUIZ'!M97,"")</f>
        <v>0</v>
      </c>
      <c r="N98" s="12">
        <f>IF(IF(SelectedScope="All India",TRUE,'RAW_QUIZ'!$B97=SelectedScope),'RAW_QUIZ'!N97,"")</f>
        <v>0</v>
      </c>
      <c r="O98" s="12">
        <f>IF(IF(SelectedScope="All India",TRUE,'RAW_QUIZ'!$B97=SelectedScope),'RAW_QUIZ'!O97,"")</f>
        <v>0</v>
      </c>
      <c r="P98" s="12">
        <f>IF(IF(SelectedScope="All India",TRUE,'RAW_QUIZ'!$B97=SelectedScope),'RAW_QUIZ'!P97,"")</f>
        <v>0</v>
      </c>
      <c r="Q98" s="12">
        <f>IF(IF(SelectedScope="All India",TRUE,'RAW_QUIZ'!$B97=SelectedScope),'RAW_QUIZ'!Q97,"")</f>
        <v>0</v>
      </c>
    </row>
    <row r="99" spans="1:17" ht="15" customHeight="1" x14ac:dyDescent="0.3">
      <c r="A99" s="9">
        <f>IF(IF(SelectedScope="All India",TRUE,'RAW_QUIZ'!$B98=SelectedScope),'RAW_QUIZ'!A98,"")</f>
        <v>95</v>
      </c>
      <c r="B99" s="9" t="str">
        <f>IF(IF(SelectedScope="All India",TRUE,'RAW_QUIZ'!$B98=SelectedScope),'RAW_QUIZ'!B98,"")</f>
        <v>Goa</v>
      </c>
      <c r="C99" s="9" t="str">
        <f>IF(IF(SelectedScope="All India",TRUE,'RAW_QUIZ'!$B98=SelectedScope),'RAW_QUIZ'!C98,"")</f>
        <v>Mathematics</v>
      </c>
      <c r="D99" s="9" t="str">
        <f>IF(IF(SelectedScope="All India",TRUE,'RAW_QUIZ'!$B98=SelectedScope),'RAW_QUIZ'!D98,"")</f>
        <v>Class 10</v>
      </c>
      <c r="E99" s="9" t="str">
        <f>IF(IF(SelectedScope="All India",TRUE,'RAW_QUIZ'!$B98=SelectedScope),'RAW_QUIZ'!E98,"")</f>
        <v>Trigonometry — Unit Quiz</v>
      </c>
      <c r="F99" s="9">
        <f>IF(IF(SelectedScope="All India",TRUE,'RAW_QUIZ'!$B98=SelectedScope),'RAW_QUIZ'!F98,"")</f>
        <v>0</v>
      </c>
      <c r="G99" s="9" t="str">
        <f>IF(IF(SelectedScope="All India",TRUE,'RAW_QUIZ'!$B98=SelectedScope),'RAW_QUIZ'!G98,"")</f>
        <v>Active</v>
      </c>
      <c r="H99" s="9">
        <f>IF(IF(SelectedScope="All India",TRUE,'RAW_QUIZ'!$B98=SelectedScope),'RAW_QUIZ'!H98,"")</f>
        <v>0</v>
      </c>
      <c r="I99" s="9">
        <f>IF(IF(SelectedScope="All India",TRUE,'RAW_QUIZ'!$B98=SelectedScope),'RAW_QUIZ'!I98,"")</f>
        <v>0</v>
      </c>
      <c r="J99" s="9">
        <f>IF(IF(SelectedScope="All India",TRUE,'RAW_QUIZ'!$B98=SelectedScope),'RAW_QUIZ'!J98,"")</f>
        <v>0</v>
      </c>
      <c r="K99" s="9">
        <f>IF(IF(SelectedScope="All India",TRUE,'RAW_QUIZ'!$B98=SelectedScope),'RAW_QUIZ'!K98,"")</f>
        <v>0</v>
      </c>
      <c r="L99" s="9">
        <f>IF(IF(SelectedScope="All India",TRUE,'RAW_QUIZ'!$B98=SelectedScope),'RAW_QUIZ'!L98,"")</f>
        <v>0</v>
      </c>
      <c r="M99" s="9">
        <f>IF(IF(SelectedScope="All India",TRUE,'RAW_QUIZ'!$B98=SelectedScope),'RAW_QUIZ'!M98,"")</f>
        <v>0</v>
      </c>
      <c r="N99" s="9">
        <f>IF(IF(SelectedScope="All India",TRUE,'RAW_QUIZ'!$B98=SelectedScope),'RAW_QUIZ'!N98,"")</f>
        <v>0</v>
      </c>
      <c r="O99" s="9">
        <f>IF(IF(SelectedScope="All India",TRUE,'RAW_QUIZ'!$B98=SelectedScope),'RAW_QUIZ'!O98,"")</f>
        <v>0</v>
      </c>
      <c r="P99" s="9">
        <f>IF(IF(SelectedScope="All India",TRUE,'RAW_QUIZ'!$B98=SelectedScope),'RAW_QUIZ'!P98,"")</f>
        <v>0</v>
      </c>
      <c r="Q99" s="9">
        <f>IF(IF(SelectedScope="All India",TRUE,'RAW_QUIZ'!$B98=SelectedScope),'RAW_QUIZ'!Q98,"")</f>
        <v>0</v>
      </c>
    </row>
    <row r="100" spans="1:17" ht="15" customHeight="1" x14ac:dyDescent="0.3">
      <c r="A100" s="12">
        <f>IF(IF(SelectedScope="All India",TRUE,'RAW_QUIZ'!$B99=SelectedScope),'RAW_QUIZ'!A99,"")</f>
        <v>96</v>
      </c>
      <c r="B100" s="12" t="str">
        <f>IF(IF(SelectedScope="All India",TRUE,'RAW_QUIZ'!$B99=SelectedScope),'RAW_QUIZ'!B99,"")</f>
        <v>Goa</v>
      </c>
      <c r="C100" s="12" t="str">
        <f>IF(IF(SelectedScope="All India",TRUE,'RAW_QUIZ'!$B99=SelectedScope),'RAW_QUIZ'!C99,"")</f>
        <v>History</v>
      </c>
      <c r="D100" s="12" t="str">
        <f>IF(IF(SelectedScope="All India",TRUE,'RAW_QUIZ'!$B99=SelectedScope),'RAW_QUIZ'!D99,"")</f>
        <v>Class 10</v>
      </c>
      <c r="E100" s="12" t="str">
        <f>IF(IF(SelectedScope="All India",TRUE,'RAW_QUIZ'!$B99=SelectedScope),'RAW_QUIZ'!E99,"")</f>
        <v>Mughal Empire — Unit Quiz</v>
      </c>
      <c r="F100" s="12">
        <f>IF(IF(SelectedScope="All India",TRUE,'RAW_QUIZ'!$B99=SelectedScope),'RAW_QUIZ'!F99,"")</f>
        <v>0</v>
      </c>
      <c r="G100" s="12" t="str">
        <f>IF(IF(SelectedScope="All India",TRUE,'RAW_QUIZ'!$B99=SelectedScope),'RAW_QUIZ'!G99,"")</f>
        <v>Active</v>
      </c>
      <c r="H100" s="12">
        <f>IF(IF(SelectedScope="All India",TRUE,'RAW_QUIZ'!$B99=SelectedScope),'RAW_QUIZ'!H99,"")</f>
        <v>0</v>
      </c>
      <c r="I100" s="12">
        <f>IF(IF(SelectedScope="All India",TRUE,'RAW_QUIZ'!$B99=SelectedScope),'RAW_QUIZ'!I99,"")</f>
        <v>0</v>
      </c>
      <c r="J100" s="12">
        <f>IF(IF(SelectedScope="All India",TRUE,'RAW_QUIZ'!$B99=SelectedScope),'RAW_QUIZ'!J99,"")</f>
        <v>0</v>
      </c>
      <c r="K100" s="12">
        <f>IF(IF(SelectedScope="All India",TRUE,'RAW_QUIZ'!$B99=SelectedScope),'RAW_QUIZ'!K99,"")</f>
        <v>0</v>
      </c>
      <c r="L100" s="12">
        <f>IF(IF(SelectedScope="All India",TRUE,'RAW_QUIZ'!$B99=SelectedScope),'RAW_QUIZ'!L99,"")</f>
        <v>0</v>
      </c>
      <c r="M100" s="12">
        <f>IF(IF(SelectedScope="All India",TRUE,'RAW_QUIZ'!$B99=SelectedScope),'RAW_QUIZ'!M99,"")</f>
        <v>0</v>
      </c>
      <c r="N100" s="12">
        <f>IF(IF(SelectedScope="All India",TRUE,'RAW_QUIZ'!$B99=SelectedScope),'RAW_QUIZ'!N99,"")</f>
        <v>0</v>
      </c>
      <c r="O100" s="12">
        <f>IF(IF(SelectedScope="All India",TRUE,'RAW_QUIZ'!$B99=SelectedScope),'RAW_QUIZ'!O99,"")</f>
        <v>0</v>
      </c>
      <c r="P100" s="12">
        <f>IF(IF(SelectedScope="All India",TRUE,'RAW_QUIZ'!$B99=SelectedScope),'RAW_QUIZ'!P99,"")</f>
        <v>0</v>
      </c>
      <c r="Q100" s="12">
        <f>IF(IF(SelectedScope="All India",TRUE,'RAW_QUIZ'!$B99=SelectedScope),'RAW_QUIZ'!Q99,"")</f>
        <v>0</v>
      </c>
    </row>
    <row r="101" spans="1:17" ht="15" customHeight="1" x14ac:dyDescent="0.3">
      <c r="A101" s="9">
        <f>IF(IF(SelectedScope="All India",TRUE,'RAW_QUIZ'!$B100=SelectedScope),'RAW_QUIZ'!A100,"")</f>
        <v>97</v>
      </c>
      <c r="B101" s="9" t="str">
        <f>IF(IF(SelectedScope="All India",TRUE,'RAW_QUIZ'!$B100=SelectedScope),'RAW_QUIZ'!B100,"")</f>
        <v>Goa</v>
      </c>
      <c r="C101" s="9" t="str">
        <f>IF(IF(SelectedScope="All India",TRUE,'RAW_QUIZ'!$B100=SelectedScope),'RAW_QUIZ'!C100,"")</f>
        <v>Physics</v>
      </c>
      <c r="D101" s="9" t="str">
        <f>IF(IF(SelectedScope="All India",TRUE,'RAW_QUIZ'!$B100=SelectedScope),'RAW_QUIZ'!D100,"")</f>
        <v>Class 9</v>
      </c>
      <c r="E101" s="9" t="str">
        <f>IF(IF(SelectedScope="All India",TRUE,'RAW_QUIZ'!$B100=SelectedScope),'RAW_QUIZ'!E100,"")</f>
        <v>Laws of Motion — Unit Quiz</v>
      </c>
      <c r="F101" s="9">
        <f>IF(IF(SelectedScope="All India",TRUE,'RAW_QUIZ'!$B100=SelectedScope),'RAW_QUIZ'!F100,"")</f>
        <v>0</v>
      </c>
      <c r="G101" s="9" t="str">
        <f>IF(IF(SelectedScope="All India",TRUE,'RAW_QUIZ'!$B100=SelectedScope),'RAW_QUIZ'!G100,"")</f>
        <v>Active</v>
      </c>
      <c r="H101" s="9">
        <f>IF(IF(SelectedScope="All India",TRUE,'RAW_QUIZ'!$B100=SelectedScope),'RAW_QUIZ'!H100,"")</f>
        <v>0</v>
      </c>
      <c r="I101" s="9">
        <f>IF(IF(SelectedScope="All India",TRUE,'RAW_QUIZ'!$B100=SelectedScope),'RAW_QUIZ'!I100,"")</f>
        <v>0</v>
      </c>
      <c r="J101" s="9">
        <f>IF(IF(SelectedScope="All India",TRUE,'RAW_QUIZ'!$B100=SelectedScope),'RAW_QUIZ'!J100,"")</f>
        <v>0</v>
      </c>
      <c r="K101" s="9">
        <f>IF(IF(SelectedScope="All India",TRUE,'RAW_QUIZ'!$B100=SelectedScope),'RAW_QUIZ'!K100,"")</f>
        <v>0</v>
      </c>
      <c r="L101" s="9">
        <f>IF(IF(SelectedScope="All India",TRUE,'RAW_QUIZ'!$B100=SelectedScope),'RAW_QUIZ'!L100,"")</f>
        <v>0</v>
      </c>
      <c r="M101" s="9">
        <f>IF(IF(SelectedScope="All India",TRUE,'RAW_QUIZ'!$B100=SelectedScope),'RAW_QUIZ'!M100,"")</f>
        <v>0</v>
      </c>
      <c r="N101" s="9">
        <f>IF(IF(SelectedScope="All India",TRUE,'RAW_QUIZ'!$B100=SelectedScope),'RAW_QUIZ'!N100,"")</f>
        <v>0</v>
      </c>
      <c r="O101" s="9">
        <f>IF(IF(SelectedScope="All India",TRUE,'RAW_QUIZ'!$B100=SelectedScope),'RAW_QUIZ'!O100,"")</f>
        <v>0</v>
      </c>
      <c r="P101" s="9">
        <f>IF(IF(SelectedScope="All India",TRUE,'RAW_QUIZ'!$B100=SelectedScope),'RAW_QUIZ'!P100,"")</f>
        <v>0</v>
      </c>
      <c r="Q101" s="9">
        <f>IF(IF(SelectedScope="All India",TRUE,'RAW_QUIZ'!$B100=SelectedScope),'RAW_QUIZ'!Q100,"")</f>
        <v>0</v>
      </c>
    </row>
    <row r="102" spans="1:17" ht="15" customHeight="1" x14ac:dyDescent="0.3">
      <c r="A102" s="12">
        <f>IF(IF(SelectedScope="All India",TRUE,'RAW_QUIZ'!$B101=SelectedScope),'RAW_QUIZ'!A101,"")</f>
        <v>98</v>
      </c>
      <c r="B102" s="12" t="str">
        <f>IF(IF(SelectedScope="All India",TRUE,'RAW_QUIZ'!$B101=SelectedScope),'RAW_QUIZ'!B101,"")</f>
        <v>Goa</v>
      </c>
      <c r="C102" s="12" t="str">
        <f>IF(IF(SelectedScope="All India",TRUE,'RAW_QUIZ'!$B101=SelectedScope),'RAW_QUIZ'!C101,"")</f>
        <v>Physics</v>
      </c>
      <c r="D102" s="12" t="str">
        <f>IF(IF(SelectedScope="All India",TRUE,'RAW_QUIZ'!$B101=SelectedScope),'RAW_QUIZ'!D101,"")</f>
        <v>Class 10</v>
      </c>
      <c r="E102" s="12" t="str">
        <f>IF(IF(SelectedScope="All India",TRUE,'RAW_QUIZ'!$B101=SelectedScope),'RAW_QUIZ'!E101,"")</f>
        <v>Electricity — Unit Quiz</v>
      </c>
      <c r="F102" s="12">
        <f>IF(IF(SelectedScope="All India",TRUE,'RAW_QUIZ'!$B101=SelectedScope),'RAW_QUIZ'!F101,"")</f>
        <v>0</v>
      </c>
      <c r="G102" s="12" t="str">
        <f>IF(IF(SelectedScope="All India",TRUE,'RAW_QUIZ'!$B101=SelectedScope),'RAW_QUIZ'!G101,"")</f>
        <v>Active</v>
      </c>
      <c r="H102" s="12">
        <f>IF(IF(SelectedScope="All India",TRUE,'RAW_QUIZ'!$B101=SelectedScope),'RAW_QUIZ'!H101,"")</f>
        <v>0</v>
      </c>
      <c r="I102" s="12">
        <f>IF(IF(SelectedScope="All India",TRUE,'RAW_QUIZ'!$B101=SelectedScope),'RAW_QUIZ'!I101,"")</f>
        <v>0</v>
      </c>
      <c r="J102" s="12">
        <f>IF(IF(SelectedScope="All India",TRUE,'RAW_QUIZ'!$B101=SelectedScope),'RAW_QUIZ'!J101,"")</f>
        <v>0</v>
      </c>
      <c r="K102" s="12">
        <f>IF(IF(SelectedScope="All India",TRUE,'RAW_QUIZ'!$B101=SelectedScope),'RAW_QUIZ'!K101,"")</f>
        <v>0</v>
      </c>
      <c r="L102" s="12">
        <f>IF(IF(SelectedScope="All India",TRUE,'RAW_QUIZ'!$B101=SelectedScope),'RAW_QUIZ'!L101,"")</f>
        <v>0</v>
      </c>
      <c r="M102" s="12">
        <f>IF(IF(SelectedScope="All India",TRUE,'RAW_QUIZ'!$B101=SelectedScope),'RAW_QUIZ'!M101,"")</f>
        <v>0</v>
      </c>
      <c r="N102" s="12">
        <f>IF(IF(SelectedScope="All India",TRUE,'RAW_QUIZ'!$B101=SelectedScope),'RAW_QUIZ'!N101,"")</f>
        <v>0</v>
      </c>
      <c r="O102" s="12">
        <f>IF(IF(SelectedScope="All India",TRUE,'RAW_QUIZ'!$B101=SelectedScope),'RAW_QUIZ'!O101,"")</f>
        <v>0</v>
      </c>
      <c r="P102" s="12">
        <f>IF(IF(SelectedScope="All India",TRUE,'RAW_QUIZ'!$B101=SelectedScope),'RAW_QUIZ'!P101,"")</f>
        <v>0</v>
      </c>
      <c r="Q102" s="12">
        <f>IF(IF(SelectedScope="All India",TRUE,'RAW_QUIZ'!$B101=SelectedScope),'RAW_QUIZ'!Q101,"")</f>
        <v>0</v>
      </c>
    </row>
    <row r="103" spans="1:17" ht="15" customHeight="1" x14ac:dyDescent="0.3">
      <c r="A103" s="9">
        <f>IF(IF(SelectedScope="All India",TRUE,'RAW_QUIZ'!$B102=SelectedScope),'RAW_QUIZ'!A102,"")</f>
        <v>99</v>
      </c>
      <c r="B103" s="9" t="str">
        <f>IF(IF(SelectedScope="All India",TRUE,'RAW_QUIZ'!$B102=SelectedScope),'RAW_QUIZ'!B102,"")</f>
        <v>Goa</v>
      </c>
      <c r="C103" s="9" t="str">
        <f>IF(IF(SelectedScope="All India",TRUE,'RAW_QUIZ'!$B102=SelectedScope),'RAW_QUIZ'!C102,"")</f>
        <v>Civics</v>
      </c>
      <c r="D103" s="9" t="str">
        <f>IF(IF(SelectedScope="All India",TRUE,'RAW_QUIZ'!$B102=SelectedScope),'RAW_QUIZ'!D102,"")</f>
        <v>Class 9</v>
      </c>
      <c r="E103" s="9" t="str">
        <f>IF(IF(SelectedScope="All India",TRUE,'RAW_QUIZ'!$B102=SelectedScope),'RAW_QUIZ'!E102,"")</f>
        <v>Indian Constitution — Unit Quiz</v>
      </c>
      <c r="F103" s="9">
        <f>IF(IF(SelectedScope="All India",TRUE,'RAW_QUIZ'!$B102=SelectedScope),'RAW_QUIZ'!F102,"")</f>
        <v>0</v>
      </c>
      <c r="G103" s="9" t="str">
        <f>IF(IF(SelectedScope="All India",TRUE,'RAW_QUIZ'!$B102=SelectedScope),'RAW_QUIZ'!G102,"")</f>
        <v>Active</v>
      </c>
      <c r="H103" s="9">
        <f>IF(IF(SelectedScope="All India",TRUE,'RAW_QUIZ'!$B102=SelectedScope),'RAW_QUIZ'!H102,"")</f>
        <v>0</v>
      </c>
      <c r="I103" s="9">
        <f>IF(IF(SelectedScope="All India",TRUE,'RAW_QUIZ'!$B102=SelectedScope),'RAW_QUIZ'!I102,"")</f>
        <v>0</v>
      </c>
      <c r="J103" s="9">
        <f>IF(IF(SelectedScope="All India",TRUE,'RAW_QUIZ'!$B102=SelectedScope),'RAW_QUIZ'!J102,"")</f>
        <v>0</v>
      </c>
      <c r="K103" s="9">
        <f>IF(IF(SelectedScope="All India",TRUE,'RAW_QUIZ'!$B102=SelectedScope),'RAW_QUIZ'!K102,"")</f>
        <v>0</v>
      </c>
      <c r="L103" s="9">
        <f>IF(IF(SelectedScope="All India",TRUE,'RAW_QUIZ'!$B102=SelectedScope),'RAW_QUIZ'!L102,"")</f>
        <v>0</v>
      </c>
      <c r="M103" s="9">
        <f>IF(IF(SelectedScope="All India",TRUE,'RAW_QUIZ'!$B102=SelectedScope),'RAW_QUIZ'!M102,"")</f>
        <v>0</v>
      </c>
      <c r="N103" s="9">
        <f>IF(IF(SelectedScope="All India",TRUE,'RAW_QUIZ'!$B102=SelectedScope),'RAW_QUIZ'!N102,"")</f>
        <v>0</v>
      </c>
      <c r="O103" s="9">
        <f>IF(IF(SelectedScope="All India",TRUE,'RAW_QUIZ'!$B102=SelectedScope),'RAW_QUIZ'!O102,"")</f>
        <v>0</v>
      </c>
      <c r="P103" s="9">
        <f>IF(IF(SelectedScope="All India",TRUE,'RAW_QUIZ'!$B102=SelectedScope),'RAW_QUIZ'!P102,"")</f>
        <v>0</v>
      </c>
      <c r="Q103" s="9">
        <f>IF(IF(SelectedScope="All India",TRUE,'RAW_QUIZ'!$B102=SelectedScope),'RAW_QUIZ'!Q102,"")</f>
        <v>0</v>
      </c>
    </row>
    <row r="104" spans="1:17" ht="15" customHeight="1" x14ac:dyDescent="0.3">
      <c r="A104" s="12">
        <f>IF(IF(SelectedScope="All India",TRUE,'RAW_QUIZ'!$B103=SelectedScope),'RAW_QUIZ'!A103,"")</f>
        <v>100</v>
      </c>
      <c r="B104" s="12" t="str">
        <f>IF(IF(SelectedScope="All India",TRUE,'RAW_QUIZ'!$B103=SelectedScope),'RAW_QUIZ'!B103,"")</f>
        <v>Goa</v>
      </c>
      <c r="C104" s="12" t="str">
        <f>IF(IF(SelectedScope="All India",TRUE,'RAW_QUIZ'!$B103=SelectedScope),'RAW_QUIZ'!C103,"")</f>
        <v>Mathematics</v>
      </c>
      <c r="D104" s="12" t="str">
        <f>IF(IF(SelectedScope="All India",TRUE,'RAW_QUIZ'!$B103=SelectedScope),'RAW_QUIZ'!D103,"")</f>
        <v>Class 10</v>
      </c>
      <c r="E104" s="12" t="str">
        <f>IF(IF(SelectedScope="All India",TRUE,'RAW_QUIZ'!$B103=SelectedScope),'RAW_QUIZ'!E103,"")</f>
        <v>Quadratic Equations — Unit Quiz</v>
      </c>
      <c r="F104" s="12">
        <f>IF(IF(SelectedScope="All India",TRUE,'RAW_QUIZ'!$B103=SelectedScope),'RAW_QUIZ'!F103,"")</f>
        <v>0</v>
      </c>
      <c r="G104" s="12" t="str">
        <f>IF(IF(SelectedScope="All India",TRUE,'RAW_QUIZ'!$B103=SelectedScope),'RAW_QUIZ'!G103,"")</f>
        <v>Active</v>
      </c>
      <c r="H104" s="12">
        <f>IF(IF(SelectedScope="All India",TRUE,'RAW_QUIZ'!$B103=SelectedScope),'RAW_QUIZ'!H103,"")</f>
        <v>0</v>
      </c>
      <c r="I104" s="12">
        <f>IF(IF(SelectedScope="All India",TRUE,'RAW_QUIZ'!$B103=SelectedScope),'RAW_QUIZ'!I103,"")</f>
        <v>0</v>
      </c>
      <c r="J104" s="12">
        <f>IF(IF(SelectedScope="All India",TRUE,'RAW_QUIZ'!$B103=SelectedScope),'RAW_QUIZ'!J103,"")</f>
        <v>0</v>
      </c>
      <c r="K104" s="12">
        <f>IF(IF(SelectedScope="All India",TRUE,'RAW_QUIZ'!$B103=SelectedScope),'RAW_QUIZ'!K103,"")</f>
        <v>0</v>
      </c>
      <c r="L104" s="12">
        <f>IF(IF(SelectedScope="All India",TRUE,'RAW_QUIZ'!$B103=SelectedScope),'RAW_QUIZ'!L103,"")</f>
        <v>0</v>
      </c>
      <c r="M104" s="12">
        <f>IF(IF(SelectedScope="All India",TRUE,'RAW_QUIZ'!$B103=SelectedScope),'RAW_QUIZ'!M103,"")</f>
        <v>0</v>
      </c>
      <c r="N104" s="12">
        <f>IF(IF(SelectedScope="All India",TRUE,'RAW_QUIZ'!$B103=SelectedScope),'RAW_QUIZ'!N103,"")</f>
        <v>0</v>
      </c>
      <c r="O104" s="12">
        <f>IF(IF(SelectedScope="All India",TRUE,'RAW_QUIZ'!$B103=SelectedScope),'RAW_QUIZ'!O103,"")</f>
        <v>0</v>
      </c>
      <c r="P104" s="12">
        <f>IF(IF(SelectedScope="All India",TRUE,'RAW_QUIZ'!$B103=SelectedScope),'RAW_QUIZ'!P103,"")</f>
        <v>0</v>
      </c>
      <c r="Q104" s="12">
        <f>IF(IF(SelectedScope="All India",TRUE,'RAW_QUIZ'!$B103=SelectedScope),'RAW_QUIZ'!Q103,"")</f>
        <v>0</v>
      </c>
    </row>
    <row r="105" spans="1:17" ht="15" customHeight="1" x14ac:dyDescent="0.3">
      <c r="A105" s="9">
        <f>IF(IF(SelectedScope="All India",TRUE,'RAW_QUIZ'!$B104=SelectedScope),'RAW_QUIZ'!A104,"")</f>
        <v>101</v>
      </c>
      <c r="B105" s="9" t="str">
        <f>IF(IF(SelectedScope="All India",TRUE,'RAW_QUIZ'!$B104=SelectedScope),'RAW_QUIZ'!B104,"")</f>
        <v>Gujarat</v>
      </c>
      <c r="C105" s="9" t="str">
        <f>IF(IF(SelectedScope="All India",TRUE,'RAW_QUIZ'!$B104=SelectedScope),'RAW_QUIZ'!C104,"")</f>
        <v>Science</v>
      </c>
      <c r="D105" s="9" t="str">
        <f>IF(IF(SelectedScope="All India",TRUE,'RAW_QUIZ'!$B104=SelectedScope),'RAW_QUIZ'!D104,"")</f>
        <v>Class 8</v>
      </c>
      <c r="E105" s="9" t="str">
        <f>IF(IF(SelectedScope="All India",TRUE,'RAW_QUIZ'!$B104=SelectedScope),'RAW_QUIZ'!E104,"")</f>
        <v>Solar System — Unit Quiz</v>
      </c>
      <c r="F105" s="9">
        <f>IF(IF(SelectedScope="All India",TRUE,'RAW_QUIZ'!$B104=SelectedScope),'RAW_QUIZ'!F104,"")</f>
        <v>0</v>
      </c>
      <c r="G105" s="9" t="str">
        <f>IF(IF(SelectedScope="All India",TRUE,'RAW_QUIZ'!$B104=SelectedScope),'RAW_QUIZ'!G104,"")</f>
        <v>Active</v>
      </c>
      <c r="H105" s="9">
        <f>IF(IF(SelectedScope="All India",TRUE,'RAW_QUIZ'!$B104=SelectedScope),'RAW_QUIZ'!H104,"")</f>
        <v>0</v>
      </c>
      <c r="I105" s="9">
        <f>IF(IF(SelectedScope="All India",TRUE,'RAW_QUIZ'!$B104=SelectedScope),'RAW_QUIZ'!I104,"")</f>
        <v>0</v>
      </c>
      <c r="J105" s="9">
        <f>IF(IF(SelectedScope="All India",TRUE,'RAW_QUIZ'!$B104=SelectedScope),'RAW_QUIZ'!J104,"")</f>
        <v>0</v>
      </c>
      <c r="K105" s="9">
        <f>IF(IF(SelectedScope="All India",TRUE,'RAW_QUIZ'!$B104=SelectedScope),'RAW_QUIZ'!K104,"")</f>
        <v>0</v>
      </c>
      <c r="L105" s="9">
        <f>IF(IF(SelectedScope="All India",TRUE,'RAW_QUIZ'!$B104=SelectedScope),'RAW_QUIZ'!L104,"")</f>
        <v>0</v>
      </c>
      <c r="M105" s="9">
        <f>IF(IF(SelectedScope="All India",TRUE,'RAW_QUIZ'!$B104=SelectedScope),'RAW_QUIZ'!M104,"")</f>
        <v>0</v>
      </c>
      <c r="N105" s="9">
        <f>IF(IF(SelectedScope="All India",TRUE,'RAW_QUIZ'!$B104=SelectedScope),'RAW_QUIZ'!N104,"")</f>
        <v>0</v>
      </c>
      <c r="O105" s="9">
        <f>IF(IF(SelectedScope="All India",TRUE,'RAW_QUIZ'!$B104=SelectedScope),'RAW_QUIZ'!O104,"")</f>
        <v>0</v>
      </c>
      <c r="P105" s="9">
        <f>IF(IF(SelectedScope="All India",TRUE,'RAW_QUIZ'!$B104=SelectedScope),'RAW_QUIZ'!P104,"")</f>
        <v>0</v>
      </c>
      <c r="Q105" s="9">
        <f>IF(IF(SelectedScope="All India",TRUE,'RAW_QUIZ'!$B104=SelectedScope),'RAW_QUIZ'!Q104,"")</f>
        <v>0</v>
      </c>
    </row>
    <row r="106" spans="1:17" ht="15" customHeight="1" x14ac:dyDescent="0.3">
      <c r="A106" s="12">
        <f>IF(IF(SelectedScope="All India",TRUE,'RAW_QUIZ'!$B105=SelectedScope),'RAW_QUIZ'!A105,"")</f>
        <v>102</v>
      </c>
      <c r="B106" s="12" t="str">
        <f>IF(IF(SelectedScope="All India",TRUE,'RAW_QUIZ'!$B105=SelectedScope),'RAW_QUIZ'!B105,"")</f>
        <v>Gujarat</v>
      </c>
      <c r="C106" s="12" t="str">
        <f>IF(IF(SelectedScope="All India",TRUE,'RAW_QUIZ'!$B105=SelectedScope),'RAW_QUIZ'!C105,"")</f>
        <v>Biology</v>
      </c>
      <c r="D106" s="12" t="str">
        <f>IF(IF(SelectedScope="All India",TRUE,'RAW_QUIZ'!$B105=SelectedScope),'RAW_QUIZ'!D105,"")</f>
        <v>Class 9</v>
      </c>
      <c r="E106" s="12" t="str">
        <f>IF(IF(SelectedScope="All India",TRUE,'RAW_QUIZ'!$B105=SelectedScope),'RAW_QUIZ'!E105,"")</f>
        <v>Cell Division — Unit Quiz</v>
      </c>
      <c r="F106" s="12">
        <f>IF(IF(SelectedScope="All India",TRUE,'RAW_QUIZ'!$B105=SelectedScope),'RAW_QUIZ'!F105,"")</f>
        <v>0</v>
      </c>
      <c r="G106" s="12" t="str">
        <f>IF(IF(SelectedScope="All India",TRUE,'RAW_QUIZ'!$B105=SelectedScope),'RAW_QUIZ'!G105,"")</f>
        <v>Active</v>
      </c>
      <c r="H106" s="12">
        <f>IF(IF(SelectedScope="All India",TRUE,'RAW_QUIZ'!$B105=SelectedScope),'RAW_QUIZ'!H105,"")</f>
        <v>0</v>
      </c>
      <c r="I106" s="12">
        <f>IF(IF(SelectedScope="All India",TRUE,'RAW_QUIZ'!$B105=SelectedScope),'RAW_QUIZ'!I105,"")</f>
        <v>0</v>
      </c>
      <c r="J106" s="12">
        <f>IF(IF(SelectedScope="All India",TRUE,'RAW_QUIZ'!$B105=SelectedScope),'RAW_QUIZ'!J105,"")</f>
        <v>0</v>
      </c>
      <c r="K106" s="12">
        <f>IF(IF(SelectedScope="All India",TRUE,'RAW_QUIZ'!$B105=SelectedScope),'RAW_QUIZ'!K105,"")</f>
        <v>0</v>
      </c>
      <c r="L106" s="12">
        <f>IF(IF(SelectedScope="All India",TRUE,'RAW_QUIZ'!$B105=SelectedScope),'RAW_QUIZ'!L105,"")</f>
        <v>0</v>
      </c>
      <c r="M106" s="12">
        <f>IF(IF(SelectedScope="All India",TRUE,'RAW_QUIZ'!$B105=SelectedScope),'RAW_QUIZ'!M105,"")</f>
        <v>0</v>
      </c>
      <c r="N106" s="12">
        <f>IF(IF(SelectedScope="All India",TRUE,'RAW_QUIZ'!$B105=SelectedScope),'RAW_QUIZ'!N105,"")</f>
        <v>0</v>
      </c>
      <c r="O106" s="12">
        <f>IF(IF(SelectedScope="All India",TRUE,'RAW_QUIZ'!$B105=SelectedScope),'RAW_QUIZ'!O105,"")</f>
        <v>0</v>
      </c>
      <c r="P106" s="12">
        <f>IF(IF(SelectedScope="All India",TRUE,'RAW_QUIZ'!$B105=SelectedScope),'RAW_QUIZ'!P105,"")</f>
        <v>0</v>
      </c>
      <c r="Q106" s="12">
        <f>IF(IF(SelectedScope="All India",TRUE,'RAW_QUIZ'!$B105=SelectedScope),'RAW_QUIZ'!Q105,"")</f>
        <v>0</v>
      </c>
    </row>
    <row r="107" spans="1:17" ht="15" customHeight="1" x14ac:dyDescent="0.3">
      <c r="A107" s="9">
        <f>IF(IF(SelectedScope="All India",TRUE,'RAW_QUIZ'!$B106=SelectedScope),'RAW_QUIZ'!A106,"")</f>
        <v>103</v>
      </c>
      <c r="B107" s="9" t="str">
        <f>IF(IF(SelectedScope="All India",TRUE,'RAW_QUIZ'!$B106=SelectedScope),'RAW_QUIZ'!B106,"")</f>
        <v>Gujarat</v>
      </c>
      <c r="C107" s="9" t="str">
        <f>IF(IF(SelectedScope="All India",TRUE,'RAW_QUIZ'!$B106=SelectedScope),'RAW_QUIZ'!C106,"")</f>
        <v>Chemistry</v>
      </c>
      <c r="D107" s="9" t="str">
        <f>IF(IF(SelectedScope="All India",TRUE,'RAW_QUIZ'!$B106=SelectedScope),'RAW_QUIZ'!D106,"")</f>
        <v>Class 9</v>
      </c>
      <c r="E107" s="9" t="str">
        <f>IF(IF(SelectedScope="All India",TRUE,'RAW_QUIZ'!$B106=SelectedScope),'RAW_QUIZ'!E106,"")</f>
        <v>Atoms and Molecules — Unit Quiz</v>
      </c>
      <c r="F107" s="9">
        <f>IF(IF(SelectedScope="All India",TRUE,'RAW_QUIZ'!$B106=SelectedScope),'RAW_QUIZ'!F106,"")</f>
        <v>0</v>
      </c>
      <c r="G107" s="9" t="str">
        <f>IF(IF(SelectedScope="All India",TRUE,'RAW_QUIZ'!$B106=SelectedScope),'RAW_QUIZ'!G106,"")</f>
        <v>Active</v>
      </c>
      <c r="H107" s="9">
        <f>IF(IF(SelectedScope="All India",TRUE,'RAW_QUIZ'!$B106=SelectedScope),'RAW_QUIZ'!H106,"")</f>
        <v>0</v>
      </c>
      <c r="I107" s="9">
        <f>IF(IF(SelectedScope="All India",TRUE,'RAW_QUIZ'!$B106=SelectedScope),'RAW_QUIZ'!I106,"")</f>
        <v>0</v>
      </c>
      <c r="J107" s="9">
        <f>IF(IF(SelectedScope="All India",TRUE,'RAW_QUIZ'!$B106=SelectedScope),'RAW_QUIZ'!J106,"")</f>
        <v>0</v>
      </c>
      <c r="K107" s="9">
        <f>IF(IF(SelectedScope="All India",TRUE,'RAW_QUIZ'!$B106=SelectedScope),'RAW_QUIZ'!K106,"")</f>
        <v>0</v>
      </c>
      <c r="L107" s="9">
        <f>IF(IF(SelectedScope="All India",TRUE,'RAW_QUIZ'!$B106=SelectedScope),'RAW_QUIZ'!L106,"")</f>
        <v>0</v>
      </c>
      <c r="M107" s="9">
        <f>IF(IF(SelectedScope="All India",TRUE,'RAW_QUIZ'!$B106=SelectedScope),'RAW_QUIZ'!M106,"")</f>
        <v>0</v>
      </c>
      <c r="N107" s="9">
        <f>IF(IF(SelectedScope="All India",TRUE,'RAW_QUIZ'!$B106=SelectedScope),'RAW_QUIZ'!N106,"")</f>
        <v>0</v>
      </c>
      <c r="O107" s="9">
        <f>IF(IF(SelectedScope="All India",TRUE,'RAW_QUIZ'!$B106=SelectedScope),'RAW_QUIZ'!O106,"")</f>
        <v>0</v>
      </c>
      <c r="P107" s="9">
        <f>IF(IF(SelectedScope="All India",TRUE,'RAW_QUIZ'!$B106=SelectedScope),'RAW_QUIZ'!P106,"")</f>
        <v>0</v>
      </c>
      <c r="Q107" s="9">
        <f>IF(IF(SelectedScope="All India",TRUE,'RAW_QUIZ'!$B106=SelectedScope),'RAW_QUIZ'!Q106,"")</f>
        <v>0</v>
      </c>
    </row>
    <row r="108" spans="1:17" ht="15" customHeight="1" x14ac:dyDescent="0.3">
      <c r="A108" s="12">
        <f>IF(IF(SelectedScope="All India",TRUE,'RAW_QUIZ'!$B107=SelectedScope),'RAW_QUIZ'!A107,"")</f>
        <v>104</v>
      </c>
      <c r="B108" s="12" t="str">
        <f>IF(IF(SelectedScope="All India",TRUE,'RAW_QUIZ'!$B107=SelectedScope),'RAW_QUIZ'!B107,"")</f>
        <v>Gujarat</v>
      </c>
      <c r="C108" s="12" t="str">
        <f>IF(IF(SelectedScope="All India",TRUE,'RAW_QUIZ'!$B107=SelectedScope),'RAW_QUIZ'!C107,"")</f>
        <v>Mathematics</v>
      </c>
      <c r="D108" s="12" t="str">
        <f>IF(IF(SelectedScope="All India",TRUE,'RAW_QUIZ'!$B107=SelectedScope),'RAW_QUIZ'!D107,"")</f>
        <v>Class 7</v>
      </c>
      <c r="E108" s="12" t="str">
        <f>IF(IF(SelectedScope="All India",TRUE,'RAW_QUIZ'!$B107=SelectedScope),'RAW_QUIZ'!E107,"")</f>
        <v>Fractions — Unit Quiz</v>
      </c>
      <c r="F108" s="12">
        <f>IF(IF(SelectedScope="All India",TRUE,'RAW_QUIZ'!$B107=SelectedScope),'RAW_QUIZ'!F107,"")</f>
        <v>0</v>
      </c>
      <c r="G108" s="12" t="str">
        <f>IF(IF(SelectedScope="All India",TRUE,'RAW_QUIZ'!$B107=SelectedScope),'RAW_QUIZ'!G107,"")</f>
        <v>Active</v>
      </c>
      <c r="H108" s="12">
        <f>IF(IF(SelectedScope="All India",TRUE,'RAW_QUIZ'!$B107=SelectedScope),'RAW_QUIZ'!H107,"")</f>
        <v>0</v>
      </c>
      <c r="I108" s="12">
        <f>IF(IF(SelectedScope="All India",TRUE,'RAW_QUIZ'!$B107=SelectedScope),'RAW_QUIZ'!I107,"")</f>
        <v>0</v>
      </c>
      <c r="J108" s="12">
        <f>IF(IF(SelectedScope="All India",TRUE,'RAW_QUIZ'!$B107=SelectedScope),'RAW_QUIZ'!J107,"")</f>
        <v>0</v>
      </c>
      <c r="K108" s="12">
        <f>IF(IF(SelectedScope="All India",TRUE,'RAW_QUIZ'!$B107=SelectedScope),'RAW_QUIZ'!K107,"")</f>
        <v>0</v>
      </c>
      <c r="L108" s="12">
        <f>IF(IF(SelectedScope="All India",TRUE,'RAW_QUIZ'!$B107=SelectedScope),'RAW_QUIZ'!L107,"")</f>
        <v>0</v>
      </c>
      <c r="M108" s="12">
        <f>IF(IF(SelectedScope="All India",TRUE,'RAW_QUIZ'!$B107=SelectedScope),'RAW_QUIZ'!M107,"")</f>
        <v>0</v>
      </c>
      <c r="N108" s="12">
        <f>IF(IF(SelectedScope="All India",TRUE,'RAW_QUIZ'!$B107=SelectedScope),'RAW_QUIZ'!N107,"")</f>
        <v>0</v>
      </c>
      <c r="O108" s="12">
        <f>IF(IF(SelectedScope="All India",TRUE,'RAW_QUIZ'!$B107=SelectedScope),'RAW_QUIZ'!O107,"")</f>
        <v>0</v>
      </c>
      <c r="P108" s="12">
        <f>IF(IF(SelectedScope="All India",TRUE,'RAW_QUIZ'!$B107=SelectedScope),'RAW_QUIZ'!P107,"")</f>
        <v>0</v>
      </c>
      <c r="Q108" s="12">
        <f>IF(IF(SelectedScope="All India",TRUE,'RAW_QUIZ'!$B107=SelectedScope),'RAW_QUIZ'!Q107,"")</f>
        <v>0</v>
      </c>
    </row>
    <row r="109" spans="1:17" ht="15" customHeight="1" x14ac:dyDescent="0.3">
      <c r="A109" s="9">
        <f>IF(IF(SelectedScope="All India",TRUE,'RAW_QUIZ'!$B108=SelectedScope),'RAW_QUIZ'!A108,"")</f>
        <v>105</v>
      </c>
      <c r="B109" s="9" t="str">
        <f>IF(IF(SelectedScope="All India",TRUE,'RAW_QUIZ'!$B108=SelectedScope),'RAW_QUIZ'!B108,"")</f>
        <v>Gujarat</v>
      </c>
      <c r="C109" s="9" t="str">
        <f>IF(IF(SelectedScope="All India",TRUE,'RAW_QUIZ'!$B108=SelectedScope),'RAW_QUIZ'!C108,"")</f>
        <v>Mathematics</v>
      </c>
      <c r="D109" s="9" t="str">
        <f>IF(IF(SelectedScope="All India",TRUE,'RAW_QUIZ'!$B108=SelectedScope),'RAW_QUIZ'!D108,"")</f>
        <v>Class 10</v>
      </c>
      <c r="E109" s="9" t="str">
        <f>IF(IF(SelectedScope="All India",TRUE,'RAW_QUIZ'!$B108=SelectedScope),'RAW_QUIZ'!E108,"")</f>
        <v>Trigonometry — Unit Quiz</v>
      </c>
      <c r="F109" s="9">
        <f>IF(IF(SelectedScope="All India",TRUE,'RAW_QUIZ'!$B108=SelectedScope),'RAW_QUIZ'!F108,"")</f>
        <v>0</v>
      </c>
      <c r="G109" s="9" t="str">
        <f>IF(IF(SelectedScope="All India",TRUE,'RAW_QUIZ'!$B108=SelectedScope),'RAW_QUIZ'!G108,"")</f>
        <v>Active</v>
      </c>
      <c r="H109" s="9">
        <f>IF(IF(SelectedScope="All India",TRUE,'RAW_QUIZ'!$B108=SelectedScope),'RAW_QUIZ'!H108,"")</f>
        <v>0</v>
      </c>
      <c r="I109" s="9">
        <f>IF(IF(SelectedScope="All India",TRUE,'RAW_QUIZ'!$B108=SelectedScope),'RAW_QUIZ'!I108,"")</f>
        <v>0</v>
      </c>
      <c r="J109" s="9">
        <f>IF(IF(SelectedScope="All India",TRUE,'RAW_QUIZ'!$B108=SelectedScope),'RAW_QUIZ'!J108,"")</f>
        <v>0</v>
      </c>
      <c r="K109" s="9">
        <f>IF(IF(SelectedScope="All India",TRUE,'RAW_QUIZ'!$B108=SelectedScope),'RAW_QUIZ'!K108,"")</f>
        <v>0</v>
      </c>
      <c r="L109" s="9">
        <f>IF(IF(SelectedScope="All India",TRUE,'RAW_QUIZ'!$B108=SelectedScope),'RAW_QUIZ'!L108,"")</f>
        <v>0</v>
      </c>
      <c r="M109" s="9">
        <f>IF(IF(SelectedScope="All India",TRUE,'RAW_QUIZ'!$B108=SelectedScope),'RAW_QUIZ'!M108,"")</f>
        <v>0</v>
      </c>
      <c r="N109" s="9">
        <f>IF(IF(SelectedScope="All India",TRUE,'RAW_QUIZ'!$B108=SelectedScope),'RAW_QUIZ'!N108,"")</f>
        <v>0</v>
      </c>
      <c r="O109" s="9">
        <f>IF(IF(SelectedScope="All India",TRUE,'RAW_QUIZ'!$B108=SelectedScope),'RAW_QUIZ'!O108,"")</f>
        <v>0</v>
      </c>
      <c r="P109" s="9">
        <f>IF(IF(SelectedScope="All India",TRUE,'RAW_QUIZ'!$B108=SelectedScope),'RAW_QUIZ'!P108,"")</f>
        <v>0</v>
      </c>
      <c r="Q109" s="9">
        <f>IF(IF(SelectedScope="All India",TRUE,'RAW_QUIZ'!$B108=SelectedScope),'RAW_QUIZ'!Q108,"")</f>
        <v>0</v>
      </c>
    </row>
    <row r="110" spans="1:17" ht="15" customHeight="1" x14ac:dyDescent="0.3">
      <c r="A110" s="12">
        <f>IF(IF(SelectedScope="All India",TRUE,'RAW_QUIZ'!$B109=SelectedScope),'RAW_QUIZ'!A109,"")</f>
        <v>106</v>
      </c>
      <c r="B110" s="12" t="str">
        <f>IF(IF(SelectedScope="All India",TRUE,'RAW_QUIZ'!$B109=SelectedScope),'RAW_QUIZ'!B109,"")</f>
        <v>Gujarat</v>
      </c>
      <c r="C110" s="12" t="str">
        <f>IF(IF(SelectedScope="All India",TRUE,'RAW_QUIZ'!$B109=SelectedScope),'RAW_QUIZ'!C109,"")</f>
        <v>History</v>
      </c>
      <c r="D110" s="12" t="str">
        <f>IF(IF(SelectedScope="All India",TRUE,'RAW_QUIZ'!$B109=SelectedScope),'RAW_QUIZ'!D109,"")</f>
        <v>Class 10</v>
      </c>
      <c r="E110" s="12" t="str">
        <f>IF(IF(SelectedScope="All India",TRUE,'RAW_QUIZ'!$B109=SelectedScope),'RAW_QUIZ'!E109,"")</f>
        <v>Mughal Empire — Unit Quiz</v>
      </c>
      <c r="F110" s="12">
        <f>IF(IF(SelectedScope="All India",TRUE,'RAW_QUIZ'!$B109=SelectedScope),'RAW_QUIZ'!F109,"")</f>
        <v>0</v>
      </c>
      <c r="G110" s="12" t="str">
        <f>IF(IF(SelectedScope="All India",TRUE,'RAW_QUIZ'!$B109=SelectedScope),'RAW_QUIZ'!G109,"")</f>
        <v>Active</v>
      </c>
      <c r="H110" s="12">
        <f>IF(IF(SelectedScope="All India",TRUE,'RAW_QUIZ'!$B109=SelectedScope),'RAW_QUIZ'!H109,"")</f>
        <v>0</v>
      </c>
      <c r="I110" s="12">
        <f>IF(IF(SelectedScope="All India",TRUE,'RAW_QUIZ'!$B109=SelectedScope),'RAW_QUIZ'!I109,"")</f>
        <v>0</v>
      </c>
      <c r="J110" s="12">
        <f>IF(IF(SelectedScope="All India",TRUE,'RAW_QUIZ'!$B109=SelectedScope),'RAW_QUIZ'!J109,"")</f>
        <v>0</v>
      </c>
      <c r="K110" s="12">
        <f>IF(IF(SelectedScope="All India",TRUE,'RAW_QUIZ'!$B109=SelectedScope),'RAW_QUIZ'!K109,"")</f>
        <v>0</v>
      </c>
      <c r="L110" s="12">
        <f>IF(IF(SelectedScope="All India",TRUE,'RAW_QUIZ'!$B109=SelectedScope),'RAW_QUIZ'!L109,"")</f>
        <v>0</v>
      </c>
      <c r="M110" s="12">
        <f>IF(IF(SelectedScope="All India",TRUE,'RAW_QUIZ'!$B109=SelectedScope),'RAW_QUIZ'!M109,"")</f>
        <v>0</v>
      </c>
      <c r="N110" s="12">
        <f>IF(IF(SelectedScope="All India",TRUE,'RAW_QUIZ'!$B109=SelectedScope),'RAW_QUIZ'!N109,"")</f>
        <v>0</v>
      </c>
      <c r="O110" s="12">
        <f>IF(IF(SelectedScope="All India",TRUE,'RAW_QUIZ'!$B109=SelectedScope),'RAW_QUIZ'!O109,"")</f>
        <v>0</v>
      </c>
      <c r="P110" s="12">
        <f>IF(IF(SelectedScope="All India",TRUE,'RAW_QUIZ'!$B109=SelectedScope),'RAW_QUIZ'!P109,"")</f>
        <v>0</v>
      </c>
      <c r="Q110" s="12">
        <f>IF(IF(SelectedScope="All India",TRUE,'RAW_QUIZ'!$B109=SelectedScope),'RAW_QUIZ'!Q109,"")</f>
        <v>0</v>
      </c>
    </row>
    <row r="111" spans="1:17" ht="15" customHeight="1" x14ac:dyDescent="0.3">
      <c r="A111" s="9">
        <f>IF(IF(SelectedScope="All India",TRUE,'RAW_QUIZ'!$B110=SelectedScope),'RAW_QUIZ'!A110,"")</f>
        <v>107</v>
      </c>
      <c r="B111" s="9" t="str">
        <f>IF(IF(SelectedScope="All India",TRUE,'RAW_QUIZ'!$B110=SelectedScope),'RAW_QUIZ'!B110,"")</f>
        <v>Gujarat</v>
      </c>
      <c r="C111" s="9" t="str">
        <f>IF(IF(SelectedScope="All India",TRUE,'RAW_QUIZ'!$B110=SelectedScope),'RAW_QUIZ'!C110,"")</f>
        <v>Physics</v>
      </c>
      <c r="D111" s="9" t="str">
        <f>IF(IF(SelectedScope="All India",TRUE,'RAW_QUIZ'!$B110=SelectedScope),'RAW_QUIZ'!D110,"")</f>
        <v>Class 9</v>
      </c>
      <c r="E111" s="9" t="str">
        <f>IF(IF(SelectedScope="All India",TRUE,'RAW_QUIZ'!$B110=SelectedScope),'RAW_QUIZ'!E110,"")</f>
        <v>Laws of Motion — Unit Quiz</v>
      </c>
      <c r="F111" s="9">
        <f>IF(IF(SelectedScope="All India",TRUE,'RAW_QUIZ'!$B110=SelectedScope),'RAW_QUIZ'!F110,"")</f>
        <v>0</v>
      </c>
      <c r="G111" s="9" t="str">
        <f>IF(IF(SelectedScope="All India",TRUE,'RAW_QUIZ'!$B110=SelectedScope),'RAW_QUIZ'!G110,"")</f>
        <v>Active</v>
      </c>
      <c r="H111" s="9">
        <f>IF(IF(SelectedScope="All India",TRUE,'RAW_QUIZ'!$B110=SelectedScope),'RAW_QUIZ'!H110,"")</f>
        <v>0</v>
      </c>
      <c r="I111" s="9">
        <f>IF(IF(SelectedScope="All India",TRUE,'RAW_QUIZ'!$B110=SelectedScope),'RAW_QUIZ'!I110,"")</f>
        <v>0</v>
      </c>
      <c r="J111" s="9">
        <f>IF(IF(SelectedScope="All India",TRUE,'RAW_QUIZ'!$B110=SelectedScope),'RAW_QUIZ'!J110,"")</f>
        <v>0</v>
      </c>
      <c r="K111" s="9">
        <f>IF(IF(SelectedScope="All India",TRUE,'RAW_QUIZ'!$B110=SelectedScope),'RAW_QUIZ'!K110,"")</f>
        <v>0</v>
      </c>
      <c r="L111" s="9">
        <f>IF(IF(SelectedScope="All India",TRUE,'RAW_QUIZ'!$B110=SelectedScope),'RAW_QUIZ'!L110,"")</f>
        <v>0</v>
      </c>
      <c r="M111" s="9">
        <f>IF(IF(SelectedScope="All India",TRUE,'RAW_QUIZ'!$B110=SelectedScope),'RAW_QUIZ'!M110,"")</f>
        <v>0</v>
      </c>
      <c r="N111" s="9">
        <f>IF(IF(SelectedScope="All India",TRUE,'RAW_QUIZ'!$B110=SelectedScope),'RAW_QUIZ'!N110,"")</f>
        <v>0</v>
      </c>
      <c r="O111" s="9">
        <f>IF(IF(SelectedScope="All India",TRUE,'RAW_QUIZ'!$B110=SelectedScope),'RAW_QUIZ'!O110,"")</f>
        <v>0</v>
      </c>
      <c r="P111" s="9">
        <f>IF(IF(SelectedScope="All India",TRUE,'RAW_QUIZ'!$B110=SelectedScope),'RAW_QUIZ'!P110,"")</f>
        <v>0</v>
      </c>
      <c r="Q111" s="9">
        <f>IF(IF(SelectedScope="All India",TRUE,'RAW_QUIZ'!$B110=SelectedScope),'RAW_QUIZ'!Q110,"")</f>
        <v>0</v>
      </c>
    </row>
    <row r="112" spans="1:17" ht="15" customHeight="1" x14ac:dyDescent="0.3">
      <c r="A112" s="12">
        <f>IF(IF(SelectedScope="All India",TRUE,'RAW_QUIZ'!$B111=SelectedScope),'RAW_QUIZ'!A111,"")</f>
        <v>108</v>
      </c>
      <c r="B112" s="12" t="str">
        <f>IF(IF(SelectedScope="All India",TRUE,'RAW_QUIZ'!$B111=SelectedScope),'RAW_QUIZ'!B111,"")</f>
        <v>Gujarat</v>
      </c>
      <c r="C112" s="12" t="str">
        <f>IF(IF(SelectedScope="All India",TRUE,'RAW_QUIZ'!$B111=SelectedScope),'RAW_QUIZ'!C111,"")</f>
        <v>Physics</v>
      </c>
      <c r="D112" s="12" t="str">
        <f>IF(IF(SelectedScope="All India",TRUE,'RAW_QUIZ'!$B111=SelectedScope),'RAW_QUIZ'!D111,"")</f>
        <v>Class 10</v>
      </c>
      <c r="E112" s="12" t="str">
        <f>IF(IF(SelectedScope="All India",TRUE,'RAW_QUIZ'!$B111=SelectedScope),'RAW_QUIZ'!E111,"")</f>
        <v>Electricity — Unit Quiz</v>
      </c>
      <c r="F112" s="12">
        <f>IF(IF(SelectedScope="All India",TRUE,'RAW_QUIZ'!$B111=SelectedScope),'RAW_QUIZ'!F111,"")</f>
        <v>0</v>
      </c>
      <c r="G112" s="12" t="str">
        <f>IF(IF(SelectedScope="All India",TRUE,'RAW_QUIZ'!$B111=SelectedScope),'RAW_QUIZ'!G111,"")</f>
        <v>Active</v>
      </c>
      <c r="H112" s="12">
        <f>IF(IF(SelectedScope="All India",TRUE,'RAW_QUIZ'!$B111=SelectedScope),'RAW_QUIZ'!H111,"")</f>
        <v>0</v>
      </c>
      <c r="I112" s="12">
        <f>IF(IF(SelectedScope="All India",TRUE,'RAW_QUIZ'!$B111=SelectedScope),'RAW_QUIZ'!I111,"")</f>
        <v>0</v>
      </c>
      <c r="J112" s="12">
        <f>IF(IF(SelectedScope="All India",TRUE,'RAW_QUIZ'!$B111=SelectedScope),'RAW_QUIZ'!J111,"")</f>
        <v>0</v>
      </c>
      <c r="K112" s="12">
        <f>IF(IF(SelectedScope="All India",TRUE,'RAW_QUIZ'!$B111=SelectedScope),'RAW_QUIZ'!K111,"")</f>
        <v>0</v>
      </c>
      <c r="L112" s="12">
        <f>IF(IF(SelectedScope="All India",TRUE,'RAW_QUIZ'!$B111=SelectedScope),'RAW_QUIZ'!L111,"")</f>
        <v>0</v>
      </c>
      <c r="M112" s="12">
        <f>IF(IF(SelectedScope="All India",TRUE,'RAW_QUIZ'!$B111=SelectedScope),'RAW_QUIZ'!M111,"")</f>
        <v>0</v>
      </c>
      <c r="N112" s="12">
        <f>IF(IF(SelectedScope="All India",TRUE,'RAW_QUIZ'!$B111=SelectedScope),'RAW_QUIZ'!N111,"")</f>
        <v>0</v>
      </c>
      <c r="O112" s="12">
        <f>IF(IF(SelectedScope="All India",TRUE,'RAW_QUIZ'!$B111=SelectedScope),'RAW_QUIZ'!O111,"")</f>
        <v>0</v>
      </c>
      <c r="P112" s="12">
        <f>IF(IF(SelectedScope="All India",TRUE,'RAW_QUIZ'!$B111=SelectedScope),'RAW_QUIZ'!P111,"")</f>
        <v>0</v>
      </c>
      <c r="Q112" s="12">
        <f>IF(IF(SelectedScope="All India",TRUE,'RAW_QUIZ'!$B111=SelectedScope),'RAW_QUIZ'!Q111,"")</f>
        <v>0</v>
      </c>
    </row>
    <row r="113" spans="1:17" ht="15" customHeight="1" x14ac:dyDescent="0.3">
      <c r="A113" s="9">
        <f>IF(IF(SelectedScope="All India",TRUE,'RAW_QUIZ'!$B112=SelectedScope),'RAW_QUIZ'!A112,"")</f>
        <v>109</v>
      </c>
      <c r="B113" s="9" t="str">
        <f>IF(IF(SelectedScope="All India",TRUE,'RAW_QUIZ'!$B112=SelectedScope),'RAW_QUIZ'!B112,"")</f>
        <v>Gujarat</v>
      </c>
      <c r="C113" s="9" t="str">
        <f>IF(IF(SelectedScope="All India",TRUE,'RAW_QUIZ'!$B112=SelectedScope),'RAW_QUIZ'!C112,"")</f>
        <v>Civics</v>
      </c>
      <c r="D113" s="9" t="str">
        <f>IF(IF(SelectedScope="All India",TRUE,'RAW_QUIZ'!$B112=SelectedScope),'RAW_QUIZ'!D112,"")</f>
        <v>Class 9</v>
      </c>
      <c r="E113" s="9" t="str">
        <f>IF(IF(SelectedScope="All India",TRUE,'RAW_QUIZ'!$B112=SelectedScope),'RAW_QUIZ'!E112,"")</f>
        <v>Indian Constitution — Unit Quiz</v>
      </c>
      <c r="F113" s="9">
        <f>IF(IF(SelectedScope="All India",TRUE,'RAW_QUIZ'!$B112=SelectedScope),'RAW_QUIZ'!F112,"")</f>
        <v>0</v>
      </c>
      <c r="G113" s="9" t="str">
        <f>IF(IF(SelectedScope="All India",TRUE,'RAW_QUIZ'!$B112=SelectedScope),'RAW_QUIZ'!G112,"")</f>
        <v>Active</v>
      </c>
      <c r="H113" s="9">
        <f>IF(IF(SelectedScope="All India",TRUE,'RAW_QUIZ'!$B112=SelectedScope),'RAW_QUIZ'!H112,"")</f>
        <v>0</v>
      </c>
      <c r="I113" s="9">
        <f>IF(IF(SelectedScope="All India",TRUE,'RAW_QUIZ'!$B112=SelectedScope),'RAW_QUIZ'!I112,"")</f>
        <v>0</v>
      </c>
      <c r="J113" s="9">
        <f>IF(IF(SelectedScope="All India",TRUE,'RAW_QUIZ'!$B112=SelectedScope),'RAW_QUIZ'!J112,"")</f>
        <v>0</v>
      </c>
      <c r="K113" s="9">
        <f>IF(IF(SelectedScope="All India",TRUE,'RAW_QUIZ'!$B112=SelectedScope),'RAW_QUIZ'!K112,"")</f>
        <v>0</v>
      </c>
      <c r="L113" s="9">
        <f>IF(IF(SelectedScope="All India",TRUE,'RAW_QUIZ'!$B112=SelectedScope),'RAW_QUIZ'!L112,"")</f>
        <v>0</v>
      </c>
      <c r="M113" s="9">
        <f>IF(IF(SelectedScope="All India",TRUE,'RAW_QUIZ'!$B112=SelectedScope),'RAW_QUIZ'!M112,"")</f>
        <v>0</v>
      </c>
      <c r="N113" s="9">
        <f>IF(IF(SelectedScope="All India",TRUE,'RAW_QUIZ'!$B112=SelectedScope),'RAW_QUIZ'!N112,"")</f>
        <v>0</v>
      </c>
      <c r="O113" s="9">
        <f>IF(IF(SelectedScope="All India",TRUE,'RAW_QUIZ'!$B112=SelectedScope),'RAW_QUIZ'!O112,"")</f>
        <v>0</v>
      </c>
      <c r="P113" s="9">
        <f>IF(IF(SelectedScope="All India",TRUE,'RAW_QUIZ'!$B112=SelectedScope),'RAW_QUIZ'!P112,"")</f>
        <v>0</v>
      </c>
      <c r="Q113" s="9">
        <f>IF(IF(SelectedScope="All India",TRUE,'RAW_QUIZ'!$B112=SelectedScope),'RAW_QUIZ'!Q112,"")</f>
        <v>0</v>
      </c>
    </row>
    <row r="114" spans="1:17" ht="15" customHeight="1" x14ac:dyDescent="0.3">
      <c r="A114" s="12">
        <f>IF(IF(SelectedScope="All India",TRUE,'RAW_QUIZ'!$B113=SelectedScope),'RAW_QUIZ'!A113,"")</f>
        <v>110</v>
      </c>
      <c r="B114" s="12" t="str">
        <f>IF(IF(SelectedScope="All India",TRUE,'RAW_QUIZ'!$B113=SelectedScope),'RAW_QUIZ'!B113,"")</f>
        <v>Gujarat</v>
      </c>
      <c r="C114" s="12" t="str">
        <f>IF(IF(SelectedScope="All India",TRUE,'RAW_QUIZ'!$B113=SelectedScope),'RAW_QUIZ'!C113,"")</f>
        <v>Mathematics</v>
      </c>
      <c r="D114" s="12" t="str">
        <f>IF(IF(SelectedScope="All India",TRUE,'RAW_QUIZ'!$B113=SelectedScope),'RAW_QUIZ'!D113,"")</f>
        <v>Class 10</v>
      </c>
      <c r="E114" s="12" t="str">
        <f>IF(IF(SelectedScope="All India",TRUE,'RAW_QUIZ'!$B113=SelectedScope),'RAW_QUIZ'!E113,"")</f>
        <v>Quadratic Equations — Unit Quiz</v>
      </c>
      <c r="F114" s="12">
        <f>IF(IF(SelectedScope="All India",TRUE,'RAW_QUIZ'!$B113=SelectedScope),'RAW_QUIZ'!F113,"")</f>
        <v>0</v>
      </c>
      <c r="G114" s="12" t="str">
        <f>IF(IF(SelectedScope="All India",TRUE,'RAW_QUIZ'!$B113=SelectedScope),'RAW_QUIZ'!G113,"")</f>
        <v>Active</v>
      </c>
      <c r="H114" s="12">
        <f>IF(IF(SelectedScope="All India",TRUE,'RAW_QUIZ'!$B113=SelectedScope),'RAW_QUIZ'!H113,"")</f>
        <v>0</v>
      </c>
      <c r="I114" s="12">
        <f>IF(IF(SelectedScope="All India",TRUE,'RAW_QUIZ'!$B113=SelectedScope),'RAW_QUIZ'!I113,"")</f>
        <v>0</v>
      </c>
      <c r="J114" s="12">
        <f>IF(IF(SelectedScope="All India",TRUE,'RAW_QUIZ'!$B113=SelectedScope),'RAW_QUIZ'!J113,"")</f>
        <v>0</v>
      </c>
      <c r="K114" s="12">
        <f>IF(IF(SelectedScope="All India",TRUE,'RAW_QUIZ'!$B113=SelectedScope),'RAW_QUIZ'!K113,"")</f>
        <v>0</v>
      </c>
      <c r="L114" s="12">
        <f>IF(IF(SelectedScope="All India",TRUE,'RAW_QUIZ'!$B113=SelectedScope),'RAW_QUIZ'!L113,"")</f>
        <v>0</v>
      </c>
      <c r="M114" s="12">
        <f>IF(IF(SelectedScope="All India",TRUE,'RAW_QUIZ'!$B113=SelectedScope),'RAW_QUIZ'!M113,"")</f>
        <v>0</v>
      </c>
      <c r="N114" s="12">
        <f>IF(IF(SelectedScope="All India",TRUE,'RAW_QUIZ'!$B113=SelectedScope),'RAW_QUIZ'!N113,"")</f>
        <v>0</v>
      </c>
      <c r="O114" s="12">
        <f>IF(IF(SelectedScope="All India",TRUE,'RAW_QUIZ'!$B113=SelectedScope),'RAW_QUIZ'!O113,"")</f>
        <v>0</v>
      </c>
      <c r="P114" s="12">
        <f>IF(IF(SelectedScope="All India",TRUE,'RAW_QUIZ'!$B113=SelectedScope),'RAW_QUIZ'!P113,"")</f>
        <v>0</v>
      </c>
      <c r="Q114" s="12">
        <f>IF(IF(SelectedScope="All India",TRUE,'RAW_QUIZ'!$B113=SelectedScope),'RAW_QUIZ'!Q113,"")</f>
        <v>0</v>
      </c>
    </row>
    <row r="115" spans="1:17" ht="15" customHeight="1" x14ac:dyDescent="0.3">
      <c r="A115" s="9">
        <f>IF(IF(SelectedScope="All India",TRUE,'RAW_QUIZ'!$B114=SelectedScope),'RAW_QUIZ'!A114,"")</f>
        <v>111</v>
      </c>
      <c r="B115" s="9" t="str">
        <f>IF(IF(SelectedScope="All India",TRUE,'RAW_QUIZ'!$B114=SelectedScope),'RAW_QUIZ'!B114,"")</f>
        <v>Haryana</v>
      </c>
      <c r="C115" s="9" t="str">
        <f>IF(IF(SelectedScope="All India",TRUE,'RAW_QUIZ'!$B114=SelectedScope),'RAW_QUIZ'!C114,"")</f>
        <v>Science</v>
      </c>
      <c r="D115" s="9" t="str">
        <f>IF(IF(SelectedScope="All India",TRUE,'RAW_QUIZ'!$B114=SelectedScope),'RAW_QUIZ'!D114,"")</f>
        <v>Class 8</v>
      </c>
      <c r="E115" s="9" t="str">
        <f>IF(IF(SelectedScope="All India",TRUE,'RAW_QUIZ'!$B114=SelectedScope),'RAW_QUIZ'!E114,"")</f>
        <v>Solar System — Unit Quiz</v>
      </c>
      <c r="F115" s="9">
        <f>IF(IF(SelectedScope="All India",TRUE,'RAW_QUIZ'!$B114=SelectedScope),'RAW_QUIZ'!F114,"")</f>
        <v>0</v>
      </c>
      <c r="G115" s="9" t="str">
        <f>IF(IF(SelectedScope="All India",TRUE,'RAW_QUIZ'!$B114=SelectedScope),'RAW_QUIZ'!G114,"")</f>
        <v>Active</v>
      </c>
      <c r="H115" s="9">
        <f>IF(IF(SelectedScope="All India",TRUE,'RAW_QUIZ'!$B114=SelectedScope),'RAW_QUIZ'!H114,"")</f>
        <v>0</v>
      </c>
      <c r="I115" s="9">
        <f>IF(IF(SelectedScope="All India",TRUE,'RAW_QUIZ'!$B114=SelectedScope),'RAW_QUIZ'!I114,"")</f>
        <v>0</v>
      </c>
      <c r="J115" s="9">
        <f>IF(IF(SelectedScope="All India",TRUE,'RAW_QUIZ'!$B114=SelectedScope),'RAW_QUIZ'!J114,"")</f>
        <v>0</v>
      </c>
      <c r="K115" s="9">
        <f>IF(IF(SelectedScope="All India",TRUE,'RAW_QUIZ'!$B114=SelectedScope),'RAW_QUIZ'!K114,"")</f>
        <v>0</v>
      </c>
      <c r="L115" s="9">
        <f>IF(IF(SelectedScope="All India",TRUE,'RAW_QUIZ'!$B114=SelectedScope),'RAW_QUIZ'!L114,"")</f>
        <v>0</v>
      </c>
      <c r="M115" s="9">
        <f>IF(IF(SelectedScope="All India",TRUE,'RAW_QUIZ'!$B114=SelectedScope),'RAW_QUIZ'!M114,"")</f>
        <v>0</v>
      </c>
      <c r="N115" s="9">
        <f>IF(IF(SelectedScope="All India",TRUE,'RAW_QUIZ'!$B114=SelectedScope),'RAW_QUIZ'!N114,"")</f>
        <v>0</v>
      </c>
      <c r="O115" s="9">
        <f>IF(IF(SelectedScope="All India",TRUE,'RAW_QUIZ'!$B114=SelectedScope),'RAW_QUIZ'!O114,"")</f>
        <v>0</v>
      </c>
      <c r="P115" s="9">
        <f>IF(IF(SelectedScope="All India",TRUE,'RAW_QUIZ'!$B114=SelectedScope),'RAW_QUIZ'!P114,"")</f>
        <v>0</v>
      </c>
      <c r="Q115" s="9">
        <f>IF(IF(SelectedScope="All India",TRUE,'RAW_QUIZ'!$B114=SelectedScope),'RAW_QUIZ'!Q114,"")</f>
        <v>0</v>
      </c>
    </row>
    <row r="116" spans="1:17" ht="15" customHeight="1" x14ac:dyDescent="0.3">
      <c r="A116" s="12">
        <f>IF(IF(SelectedScope="All India",TRUE,'RAW_QUIZ'!$B115=SelectedScope),'RAW_QUIZ'!A115,"")</f>
        <v>112</v>
      </c>
      <c r="B116" s="12" t="str">
        <f>IF(IF(SelectedScope="All India",TRUE,'RAW_QUIZ'!$B115=SelectedScope),'RAW_QUIZ'!B115,"")</f>
        <v>Haryana</v>
      </c>
      <c r="C116" s="12" t="str">
        <f>IF(IF(SelectedScope="All India",TRUE,'RAW_QUIZ'!$B115=SelectedScope),'RAW_QUIZ'!C115,"")</f>
        <v>Biology</v>
      </c>
      <c r="D116" s="12" t="str">
        <f>IF(IF(SelectedScope="All India",TRUE,'RAW_QUIZ'!$B115=SelectedScope),'RAW_QUIZ'!D115,"")</f>
        <v>Class 9</v>
      </c>
      <c r="E116" s="12" t="str">
        <f>IF(IF(SelectedScope="All India",TRUE,'RAW_QUIZ'!$B115=SelectedScope),'RAW_QUIZ'!E115,"")</f>
        <v>Cell Division — Unit Quiz</v>
      </c>
      <c r="F116" s="12">
        <f>IF(IF(SelectedScope="All India",TRUE,'RAW_QUIZ'!$B115=SelectedScope),'RAW_QUIZ'!F115,"")</f>
        <v>0</v>
      </c>
      <c r="G116" s="12" t="str">
        <f>IF(IF(SelectedScope="All India",TRUE,'RAW_QUIZ'!$B115=SelectedScope),'RAW_QUIZ'!G115,"")</f>
        <v>Active</v>
      </c>
      <c r="H116" s="12">
        <f>IF(IF(SelectedScope="All India",TRUE,'RAW_QUIZ'!$B115=SelectedScope),'RAW_QUIZ'!H115,"")</f>
        <v>0</v>
      </c>
      <c r="I116" s="12">
        <f>IF(IF(SelectedScope="All India",TRUE,'RAW_QUIZ'!$B115=SelectedScope),'RAW_QUIZ'!I115,"")</f>
        <v>0</v>
      </c>
      <c r="J116" s="12">
        <f>IF(IF(SelectedScope="All India",TRUE,'RAW_QUIZ'!$B115=SelectedScope),'RAW_QUIZ'!J115,"")</f>
        <v>0</v>
      </c>
      <c r="K116" s="12">
        <f>IF(IF(SelectedScope="All India",TRUE,'RAW_QUIZ'!$B115=SelectedScope),'RAW_QUIZ'!K115,"")</f>
        <v>0</v>
      </c>
      <c r="L116" s="12">
        <f>IF(IF(SelectedScope="All India",TRUE,'RAW_QUIZ'!$B115=SelectedScope),'RAW_QUIZ'!L115,"")</f>
        <v>0</v>
      </c>
      <c r="M116" s="12">
        <f>IF(IF(SelectedScope="All India",TRUE,'RAW_QUIZ'!$B115=SelectedScope),'RAW_QUIZ'!M115,"")</f>
        <v>0</v>
      </c>
      <c r="N116" s="12">
        <f>IF(IF(SelectedScope="All India",TRUE,'RAW_QUIZ'!$B115=SelectedScope),'RAW_QUIZ'!N115,"")</f>
        <v>0</v>
      </c>
      <c r="O116" s="12">
        <f>IF(IF(SelectedScope="All India",TRUE,'RAW_QUIZ'!$B115=SelectedScope),'RAW_QUIZ'!O115,"")</f>
        <v>0</v>
      </c>
      <c r="P116" s="12">
        <f>IF(IF(SelectedScope="All India",TRUE,'RAW_QUIZ'!$B115=SelectedScope),'RAW_QUIZ'!P115,"")</f>
        <v>0</v>
      </c>
      <c r="Q116" s="12">
        <f>IF(IF(SelectedScope="All India",TRUE,'RAW_QUIZ'!$B115=SelectedScope),'RAW_QUIZ'!Q115,"")</f>
        <v>0</v>
      </c>
    </row>
    <row r="117" spans="1:17" ht="15" customHeight="1" x14ac:dyDescent="0.3">
      <c r="A117" s="9">
        <f>IF(IF(SelectedScope="All India",TRUE,'RAW_QUIZ'!$B116=SelectedScope),'RAW_QUIZ'!A116,"")</f>
        <v>113</v>
      </c>
      <c r="B117" s="9" t="str">
        <f>IF(IF(SelectedScope="All India",TRUE,'RAW_QUIZ'!$B116=SelectedScope),'RAW_QUIZ'!B116,"")</f>
        <v>Haryana</v>
      </c>
      <c r="C117" s="9" t="str">
        <f>IF(IF(SelectedScope="All India",TRUE,'RAW_QUIZ'!$B116=SelectedScope),'RAW_QUIZ'!C116,"")</f>
        <v>Chemistry</v>
      </c>
      <c r="D117" s="9" t="str">
        <f>IF(IF(SelectedScope="All India",TRUE,'RAW_QUIZ'!$B116=SelectedScope),'RAW_QUIZ'!D116,"")</f>
        <v>Class 9</v>
      </c>
      <c r="E117" s="9" t="str">
        <f>IF(IF(SelectedScope="All India",TRUE,'RAW_QUIZ'!$B116=SelectedScope),'RAW_QUIZ'!E116,"")</f>
        <v>Atoms and Molecules — Unit Quiz</v>
      </c>
      <c r="F117" s="9">
        <f>IF(IF(SelectedScope="All India",TRUE,'RAW_QUIZ'!$B116=SelectedScope),'RAW_QUIZ'!F116,"")</f>
        <v>0</v>
      </c>
      <c r="G117" s="9" t="str">
        <f>IF(IF(SelectedScope="All India",TRUE,'RAW_QUIZ'!$B116=SelectedScope),'RAW_QUIZ'!G116,"")</f>
        <v>Active</v>
      </c>
      <c r="H117" s="9">
        <f>IF(IF(SelectedScope="All India",TRUE,'RAW_QUIZ'!$B116=SelectedScope),'RAW_QUIZ'!H116,"")</f>
        <v>0</v>
      </c>
      <c r="I117" s="9">
        <f>IF(IF(SelectedScope="All India",TRUE,'RAW_QUIZ'!$B116=SelectedScope),'RAW_QUIZ'!I116,"")</f>
        <v>0</v>
      </c>
      <c r="J117" s="9">
        <f>IF(IF(SelectedScope="All India",TRUE,'RAW_QUIZ'!$B116=SelectedScope),'RAW_QUIZ'!J116,"")</f>
        <v>0</v>
      </c>
      <c r="K117" s="9">
        <f>IF(IF(SelectedScope="All India",TRUE,'RAW_QUIZ'!$B116=SelectedScope),'RAW_QUIZ'!K116,"")</f>
        <v>0</v>
      </c>
      <c r="L117" s="9">
        <f>IF(IF(SelectedScope="All India",TRUE,'RAW_QUIZ'!$B116=SelectedScope),'RAW_QUIZ'!L116,"")</f>
        <v>0</v>
      </c>
      <c r="M117" s="9">
        <f>IF(IF(SelectedScope="All India",TRUE,'RAW_QUIZ'!$B116=SelectedScope),'RAW_QUIZ'!M116,"")</f>
        <v>0</v>
      </c>
      <c r="N117" s="9">
        <f>IF(IF(SelectedScope="All India",TRUE,'RAW_QUIZ'!$B116=SelectedScope),'RAW_QUIZ'!N116,"")</f>
        <v>0</v>
      </c>
      <c r="O117" s="9">
        <f>IF(IF(SelectedScope="All India",TRUE,'RAW_QUIZ'!$B116=SelectedScope),'RAW_QUIZ'!O116,"")</f>
        <v>0</v>
      </c>
      <c r="P117" s="9">
        <f>IF(IF(SelectedScope="All India",TRUE,'RAW_QUIZ'!$B116=SelectedScope),'RAW_QUIZ'!P116,"")</f>
        <v>0</v>
      </c>
      <c r="Q117" s="9">
        <f>IF(IF(SelectedScope="All India",TRUE,'RAW_QUIZ'!$B116=SelectedScope),'RAW_QUIZ'!Q116,"")</f>
        <v>0</v>
      </c>
    </row>
    <row r="118" spans="1:17" ht="15" customHeight="1" x14ac:dyDescent="0.3">
      <c r="A118" s="12">
        <f>IF(IF(SelectedScope="All India",TRUE,'RAW_QUIZ'!$B117=SelectedScope),'RAW_QUIZ'!A117,"")</f>
        <v>114</v>
      </c>
      <c r="B118" s="12" t="str">
        <f>IF(IF(SelectedScope="All India",TRUE,'RAW_QUIZ'!$B117=SelectedScope),'RAW_QUIZ'!B117,"")</f>
        <v>Haryana</v>
      </c>
      <c r="C118" s="12" t="str">
        <f>IF(IF(SelectedScope="All India",TRUE,'RAW_QUIZ'!$B117=SelectedScope),'RAW_QUIZ'!C117,"")</f>
        <v>Mathematics</v>
      </c>
      <c r="D118" s="12" t="str">
        <f>IF(IF(SelectedScope="All India",TRUE,'RAW_QUIZ'!$B117=SelectedScope),'RAW_QUIZ'!D117,"")</f>
        <v>Class 7</v>
      </c>
      <c r="E118" s="12" t="str">
        <f>IF(IF(SelectedScope="All India",TRUE,'RAW_QUIZ'!$B117=SelectedScope),'RAW_QUIZ'!E117,"")</f>
        <v>Fractions — Unit Quiz</v>
      </c>
      <c r="F118" s="12">
        <f>IF(IF(SelectedScope="All India",TRUE,'RAW_QUIZ'!$B117=SelectedScope),'RAW_QUIZ'!F117,"")</f>
        <v>0</v>
      </c>
      <c r="G118" s="12" t="str">
        <f>IF(IF(SelectedScope="All India",TRUE,'RAW_QUIZ'!$B117=SelectedScope),'RAW_QUIZ'!G117,"")</f>
        <v>Active</v>
      </c>
      <c r="H118" s="12">
        <f>IF(IF(SelectedScope="All India",TRUE,'RAW_QUIZ'!$B117=SelectedScope),'RAW_QUIZ'!H117,"")</f>
        <v>0</v>
      </c>
      <c r="I118" s="12">
        <f>IF(IF(SelectedScope="All India",TRUE,'RAW_QUIZ'!$B117=SelectedScope),'RAW_QUIZ'!I117,"")</f>
        <v>0</v>
      </c>
      <c r="J118" s="12">
        <f>IF(IF(SelectedScope="All India",TRUE,'RAW_QUIZ'!$B117=SelectedScope),'RAW_QUIZ'!J117,"")</f>
        <v>0</v>
      </c>
      <c r="K118" s="12">
        <f>IF(IF(SelectedScope="All India",TRUE,'RAW_QUIZ'!$B117=SelectedScope),'RAW_QUIZ'!K117,"")</f>
        <v>0</v>
      </c>
      <c r="L118" s="12">
        <f>IF(IF(SelectedScope="All India",TRUE,'RAW_QUIZ'!$B117=SelectedScope),'RAW_QUIZ'!L117,"")</f>
        <v>0</v>
      </c>
      <c r="M118" s="12">
        <f>IF(IF(SelectedScope="All India",TRUE,'RAW_QUIZ'!$B117=SelectedScope),'RAW_QUIZ'!M117,"")</f>
        <v>0</v>
      </c>
      <c r="N118" s="12">
        <f>IF(IF(SelectedScope="All India",TRUE,'RAW_QUIZ'!$B117=SelectedScope),'RAW_QUIZ'!N117,"")</f>
        <v>0</v>
      </c>
      <c r="O118" s="12">
        <f>IF(IF(SelectedScope="All India",TRUE,'RAW_QUIZ'!$B117=SelectedScope),'RAW_QUIZ'!O117,"")</f>
        <v>0</v>
      </c>
      <c r="P118" s="12">
        <f>IF(IF(SelectedScope="All India",TRUE,'RAW_QUIZ'!$B117=SelectedScope),'RAW_QUIZ'!P117,"")</f>
        <v>0</v>
      </c>
      <c r="Q118" s="12">
        <f>IF(IF(SelectedScope="All India",TRUE,'RAW_QUIZ'!$B117=SelectedScope),'RAW_QUIZ'!Q117,"")</f>
        <v>0</v>
      </c>
    </row>
    <row r="119" spans="1:17" ht="15" customHeight="1" x14ac:dyDescent="0.3">
      <c r="A119" s="9">
        <f>IF(IF(SelectedScope="All India",TRUE,'RAW_QUIZ'!$B118=SelectedScope),'RAW_QUIZ'!A118,"")</f>
        <v>115</v>
      </c>
      <c r="B119" s="9" t="str">
        <f>IF(IF(SelectedScope="All India",TRUE,'RAW_QUIZ'!$B118=SelectedScope),'RAW_QUIZ'!B118,"")</f>
        <v>Haryana</v>
      </c>
      <c r="C119" s="9" t="str">
        <f>IF(IF(SelectedScope="All India",TRUE,'RAW_QUIZ'!$B118=SelectedScope),'RAW_QUIZ'!C118,"")</f>
        <v>Mathematics</v>
      </c>
      <c r="D119" s="9" t="str">
        <f>IF(IF(SelectedScope="All India",TRUE,'RAW_QUIZ'!$B118=SelectedScope),'RAW_QUIZ'!D118,"")</f>
        <v>Class 10</v>
      </c>
      <c r="E119" s="9" t="str">
        <f>IF(IF(SelectedScope="All India",TRUE,'RAW_QUIZ'!$B118=SelectedScope),'RAW_QUIZ'!E118,"")</f>
        <v>Trigonometry — Unit Quiz</v>
      </c>
      <c r="F119" s="9">
        <f>IF(IF(SelectedScope="All India",TRUE,'RAW_QUIZ'!$B118=SelectedScope),'RAW_QUIZ'!F118,"")</f>
        <v>0</v>
      </c>
      <c r="G119" s="9" t="str">
        <f>IF(IF(SelectedScope="All India",TRUE,'RAW_QUIZ'!$B118=SelectedScope),'RAW_QUIZ'!G118,"")</f>
        <v>Active</v>
      </c>
      <c r="H119" s="9">
        <f>IF(IF(SelectedScope="All India",TRUE,'RAW_QUIZ'!$B118=SelectedScope),'RAW_QUIZ'!H118,"")</f>
        <v>0</v>
      </c>
      <c r="I119" s="9">
        <f>IF(IF(SelectedScope="All India",TRUE,'RAW_QUIZ'!$B118=SelectedScope),'RAW_QUIZ'!I118,"")</f>
        <v>0</v>
      </c>
      <c r="J119" s="9">
        <f>IF(IF(SelectedScope="All India",TRUE,'RAW_QUIZ'!$B118=SelectedScope),'RAW_QUIZ'!J118,"")</f>
        <v>0</v>
      </c>
      <c r="K119" s="9">
        <f>IF(IF(SelectedScope="All India",TRUE,'RAW_QUIZ'!$B118=SelectedScope),'RAW_QUIZ'!K118,"")</f>
        <v>0</v>
      </c>
      <c r="L119" s="9">
        <f>IF(IF(SelectedScope="All India",TRUE,'RAW_QUIZ'!$B118=SelectedScope),'RAW_QUIZ'!L118,"")</f>
        <v>0</v>
      </c>
      <c r="M119" s="9">
        <f>IF(IF(SelectedScope="All India",TRUE,'RAW_QUIZ'!$B118=SelectedScope),'RAW_QUIZ'!M118,"")</f>
        <v>0</v>
      </c>
      <c r="N119" s="9">
        <f>IF(IF(SelectedScope="All India",TRUE,'RAW_QUIZ'!$B118=SelectedScope),'RAW_QUIZ'!N118,"")</f>
        <v>0</v>
      </c>
      <c r="O119" s="9">
        <f>IF(IF(SelectedScope="All India",TRUE,'RAW_QUIZ'!$B118=SelectedScope),'RAW_QUIZ'!O118,"")</f>
        <v>0</v>
      </c>
      <c r="P119" s="9">
        <f>IF(IF(SelectedScope="All India",TRUE,'RAW_QUIZ'!$B118=SelectedScope),'RAW_QUIZ'!P118,"")</f>
        <v>0</v>
      </c>
      <c r="Q119" s="9">
        <f>IF(IF(SelectedScope="All India",TRUE,'RAW_QUIZ'!$B118=SelectedScope),'RAW_QUIZ'!Q118,"")</f>
        <v>0</v>
      </c>
    </row>
    <row r="120" spans="1:17" ht="15" customHeight="1" x14ac:dyDescent="0.3">
      <c r="A120" s="12">
        <f>IF(IF(SelectedScope="All India",TRUE,'RAW_QUIZ'!$B119=SelectedScope),'RAW_QUIZ'!A119,"")</f>
        <v>116</v>
      </c>
      <c r="B120" s="12" t="str">
        <f>IF(IF(SelectedScope="All India",TRUE,'RAW_QUIZ'!$B119=SelectedScope),'RAW_QUIZ'!B119,"")</f>
        <v>Haryana</v>
      </c>
      <c r="C120" s="12" t="str">
        <f>IF(IF(SelectedScope="All India",TRUE,'RAW_QUIZ'!$B119=SelectedScope),'RAW_QUIZ'!C119,"")</f>
        <v>History</v>
      </c>
      <c r="D120" s="12" t="str">
        <f>IF(IF(SelectedScope="All India",TRUE,'RAW_QUIZ'!$B119=SelectedScope),'RAW_QUIZ'!D119,"")</f>
        <v>Class 10</v>
      </c>
      <c r="E120" s="12" t="str">
        <f>IF(IF(SelectedScope="All India",TRUE,'RAW_QUIZ'!$B119=SelectedScope),'RAW_QUIZ'!E119,"")</f>
        <v>Mughal Empire — Unit Quiz</v>
      </c>
      <c r="F120" s="12">
        <f>IF(IF(SelectedScope="All India",TRUE,'RAW_QUIZ'!$B119=SelectedScope),'RAW_QUIZ'!F119,"")</f>
        <v>0</v>
      </c>
      <c r="G120" s="12" t="str">
        <f>IF(IF(SelectedScope="All India",TRUE,'RAW_QUIZ'!$B119=SelectedScope),'RAW_QUIZ'!G119,"")</f>
        <v>Active</v>
      </c>
      <c r="H120" s="12">
        <f>IF(IF(SelectedScope="All India",TRUE,'RAW_QUIZ'!$B119=SelectedScope),'RAW_QUIZ'!H119,"")</f>
        <v>0</v>
      </c>
      <c r="I120" s="12">
        <f>IF(IF(SelectedScope="All India",TRUE,'RAW_QUIZ'!$B119=SelectedScope),'RAW_QUIZ'!I119,"")</f>
        <v>0</v>
      </c>
      <c r="J120" s="12">
        <f>IF(IF(SelectedScope="All India",TRUE,'RAW_QUIZ'!$B119=SelectedScope),'RAW_QUIZ'!J119,"")</f>
        <v>0</v>
      </c>
      <c r="K120" s="12">
        <f>IF(IF(SelectedScope="All India",TRUE,'RAW_QUIZ'!$B119=SelectedScope),'RAW_QUIZ'!K119,"")</f>
        <v>0</v>
      </c>
      <c r="L120" s="12">
        <f>IF(IF(SelectedScope="All India",TRUE,'RAW_QUIZ'!$B119=SelectedScope),'RAW_QUIZ'!L119,"")</f>
        <v>0</v>
      </c>
      <c r="M120" s="12">
        <f>IF(IF(SelectedScope="All India",TRUE,'RAW_QUIZ'!$B119=SelectedScope),'RAW_QUIZ'!M119,"")</f>
        <v>0</v>
      </c>
      <c r="N120" s="12">
        <f>IF(IF(SelectedScope="All India",TRUE,'RAW_QUIZ'!$B119=SelectedScope),'RAW_QUIZ'!N119,"")</f>
        <v>0</v>
      </c>
      <c r="O120" s="12">
        <f>IF(IF(SelectedScope="All India",TRUE,'RAW_QUIZ'!$B119=SelectedScope),'RAW_QUIZ'!O119,"")</f>
        <v>0</v>
      </c>
      <c r="P120" s="12">
        <f>IF(IF(SelectedScope="All India",TRUE,'RAW_QUIZ'!$B119=SelectedScope),'RAW_QUIZ'!P119,"")</f>
        <v>0</v>
      </c>
      <c r="Q120" s="12">
        <f>IF(IF(SelectedScope="All India",TRUE,'RAW_QUIZ'!$B119=SelectedScope),'RAW_QUIZ'!Q119,"")</f>
        <v>0</v>
      </c>
    </row>
    <row r="121" spans="1:17" ht="15" customHeight="1" x14ac:dyDescent="0.3">
      <c r="A121" s="9">
        <f>IF(IF(SelectedScope="All India",TRUE,'RAW_QUIZ'!$B120=SelectedScope),'RAW_QUIZ'!A120,"")</f>
        <v>117</v>
      </c>
      <c r="B121" s="9" t="str">
        <f>IF(IF(SelectedScope="All India",TRUE,'RAW_QUIZ'!$B120=SelectedScope),'RAW_QUIZ'!B120,"")</f>
        <v>Haryana</v>
      </c>
      <c r="C121" s="9" t="str">
        <f>IF(IF(SelectedScope="All India",TRUE,'RAW_QUIZ'!$B120=SelectedScope),'RAW_QUIZ'!C120,"")</f>
        <v>Physics</v>
      </c>
      <c r="D121" s="9" t="str">
        <f>IF(IF(SelectedScope="All India",TRUE,'RAW_QUIZ'!$B120=SelectedScope),'RAW_QUIZ'!D120,"")</f>
        <v>Class 9</v>
      </c>
      <c r="E121" s="9" t="str">
        <f>IF(IF(SelectedScope="All India",TRUE,'RAW_QUIZ'!$B120=SelectedScope),'RAW_QUIZ'!E120,"")</f>
        <v>Laws of Motion — Unit Quiz</v>
      </c>
      <c r="F121" s="9">
        <f>IF(IF(SelectedScope="All India",TRUE,'RAW_QUIZ'!$B120=SelectedScope),'RAW_QUIZ'!F120,"")</f>
        <v>0</v>
      </c>
      <c r="G121" s="9" t="str">
        <f>IF(IF(SelectedScope="All India",TRUE,'RAW_QUIZ'!$B120=SelectedScope),'RAW_QUIZ'!G120,"")</f>
        <v>Active</v>
      </c>
      <c r="H121" s="9">
        <f>IF(IF(SelectedScope="All India",TRUE,'RAW_QUIZ'!$B120=SelectedScope),'RAW_QUIZ'!H120,"")</f>
        <v>0</v>
      </c>
      <c r="I121" s="9">
        <f>IF(IF(SelectedScope="All India",TRUE,'RAW_QUIZ'!$B120=SelectedScope),'RAW_QUIZ'!I120,"")</f>
        <v>0</v>
      </c>
      <c r="J121" s="9">
        <f>IF(IF(SelectedScope="All India",TRUE,'RAW_QUIZ'!$B120=SelectedScope),'RAW_QUIZ'!J120,"")</f>
        <v>0</v>
      </c>
      <c r="K121" s="9">
        <f>IF(IF(SelectedScope="All India",TRUE,'RAW_QUIZ'!$B120=SelectedScope),'RAW_QUIZ'!K120,"")</f>
        <v>0</v>
      </c>
      <c r="L121" s="9">
        <f>IF(IF(SelectedScope="All India",TRUE,'RAW_QUIZ'!$B120=SelectedScope),'RAW_QUIZ'!L120,"")</f>
        <v>0</v>
      </c>
      <c r="M121" s="9">
        <f>IF(IF(SelectedScope="All India",TRUE,'RAW_QUIZ'!$B120=SelectedScope),'RAW_QUIZ'!M120,"")</f>
        <v>0</v>
      </c>
      <c r="N121" s="9">
        <f>IF(IF(SelectedScope="All India",TRUE,'RAW_QUIZ'!$B120=SelectedScope),'RAW_QUIZ'!N120,"")</f>
        <v>0</v>
      </c>
      <c r="O121" s="9">
        <f>IF(IF(SelectedScope="All India",TRUE,'RAW_QUIZ'!$B120=SelectedScope),'RAW_QUIZ'!O120,"")</f>
        <v>0</v>
      </c>
      <c r="P121" s="9">
        <f>IF(IF(SelectedScope="All India",TRUE,'RAW_QUIZ'!$B120=SelectedScope),'RAW_QUIZ'!P120,"")</f>
        <v>0</v>
      </c>
      <c r="Q121" s="9">
        <f>IF(IF(SelectedScope="All India",TRUE,'RAW_QUIZ'!$B120=SelectedScope),'RAW_QUIZ'!Q120,"")</f>
        <v>0</v>
      </c>
    </row>
    <row r="122" spans="1:17" ht="15" customHeight="1" x14ac:dyDescent="0.3">
      <c r="A122" s="12">
        <f>IF(IF(SelectedScope="All India",TRUE,'RAW_QUIZ'!$B121=SelectedScope),'RAW_QUIZ'!A121,"")</f>
        <v>118</v>
      </c>
      <c r="B122" s="12" t="str">
        <f>IF(IF(SelectedScope="All India",TRUE,'RAW_QUIZ'!$B121=SelectedScope),'RAW_QUIZ'!B121,"")</f>
        <v>Haryana</v>
      </c>
      <c r="C122" s="12" t="str">
        <f>IF(IF(SelectedScope="All India",TRUE,'RAW_QUIZ'!$B121=SelectedScope),'RAW_QUIZ'!C121,"")</f>
        <v>Physics</v>
      </c>
      <c r="D122" s="12" t="str">
        <f>IF(IF(SelectedScope="All India",TRUE,'RAW_QUIZ'!$B121=SelectedScope),'RAW_QUIZ'!D121,"")</f>
        <v>Class 10</v>
      </c>
      <c r="E122" s="12" t="str">
        <f>IF(IF(SelectedScope="All India",TRUE,'RAW_QUIZ'!$B121=SelectedScope),'RAW_QUIZ'!E121,"")</f>
        <v>Electricity — Unit Quiz</v>
      </c>
      <c r="F122" s="12">
        <f>IF(IF(SelectedScope="All India",TRUE,'RAW_QUIZ'!$B121=SelectedScope),'RAW_QUIZ'!F121,"")</f>
        <v>0</v>
      </c>
      <c r="G122" s="12" t="str">
        <f>IF(IF(SelectedScope="All India",TRUE,'RAW_QUIZ'!$B121=SelectedScope),'RAW_QUIZ'!G121,"")</f>
        <v>Active</v>
      </c>
      <c r="H122" s="12">
        <f>IF(IF(SelectedScope="All India",TRUE,'RAW_QUIZ'!$B121=SelectedScope),'RAW_QUIZ'!H121,"")</f>
        <v>0</v>
      </c>
      <c r="I122" s="12">
        <f>IF(IF(SelectedScope="All India",TRUE,'RAW_QUIZ'!$B121=SelectedScope),'RAW_QUIZ'!I121,"")</f>
        <v>0</v>
      </c>
      <c r="J122" s="12">
        <f>IF(IF(SelectedScope="All India",TRUE,'RAW_QUIZ'!$B121=SelectedScope),'RAW_QUIZ'!J121,"")</f>
        <v>0</v>
      </c>
      <c r="K122" s="12">
        <f>IF(IF(SelectedScope="All India",TRUE,'RAW_QUIZ'!$B121=SelectedScope),'RAW_QUIZ'!K121,"")</f>
        <v>0</v>
      </c>
      <c r="L122" s="12">
        <f>IF(IF(SelectedScope="All India",TRUE,'RAW_QUIZ'!$B121=SelectedScope),'RAW_QUIZ'!L121,"")</f>
        <v>0</v>
      </c>
      <c r="M122" s="12">
        <f>IF(IF(SelectedScope="All India",TRUE,'RAW_QUIZ'!$B121=SelectedScope),'RAW_QUIZ'!M121,"")</f>
        <v>0</v>
      </c>
      <c r="N122" s="12">
        <f>IF(IF(SelectedScope="All India",TRUE,'RAW_QUIZ'!$B121=SelectedScope),'RAW_QUIZ'!N121,"")</f>
        <v>0</v>
      </c>
      <c r="O122" s="12">
        <f>IF(IF(SelectedScope="All India",TRUE,'RAW_QUIZ'!$B121=SelectedScope),'RAW_QUIZ'!O121,"")</f>
        <v>0</v>
      </c>
      <c r="P122" s="12">
        <f>IF(IF(SelectedScope="All India",TRUE,'RAW_QUIZ'!$B121=SelectedScope),'RAW_QUIZ'!P121,"")</f>
        <v>0</v>
      </c>
      <c r="Q122" s="12">
        <f>IF(IF(SelectedScope="All India",TRUE,'RAW_QUIZ'!$B121=SelectedScope),'RAW_QUIZ'!Q121,"")</f>
        <v>0</v>
      </c>
    </row>
    <row r="123" spans="1:17" ht="15" customHeight="1" x14ac:dyDescent="0.3">
      <c r="A123" s="9">
        <f>IF(IF(SelectedScope="All India",TRUE,'RAW_QUIZ'!$B122=SelectedScope),'RAW_QUIZ'!A122,"")</f>
        <v>119</v>
      </c>
      <c r="B123" s="9" t="str">
        <f>IF(IF(SelectedScope="All India",TRUE,'RAW_QUIZ'!$B122=SelectedScope),'RAW_QUIZ'!B122,"")</f>
        <v>Haryana</v>
      </c>
      <c r="C123" s="9" t="str">
        <f>IF(IF(SelectedScope="All India",TRUE,'RAW_QUIZ'!$B122=SelectedScope),'RAW_QUIZ'!C122,"")</f>
        <v>Civics</v>
      </c>
      <c r="D123" s="9" t="str">
        <f>IF(IF(SelectedScope="All India",TRUE,'RAW_QUIZ'!$B122=SelectedScope),'RAW_QUIZ'!D122,"")</f>
        <v>Class 9</v>
      </c>
      <c r="E123" s="9" t="str">
        <f>IF(IF(SelectedScope="All India",TRUE,'RAW_QUIZ'!$B122=SelectedScope),'RAW_QUIZ'!E122,"")</f>
        <v>Indian Constitution — Unit Quiz</v>
      </c>
      <c r="F123" s="9">
        <f>IF(IF(SelectedScope="All India",TRUE,'RAW_QUIZ'!$B122=SelectedScope),'RAW_QUIZ'!F122,"")</f>
        <v>0</v>
      </c>
      <c r="G123" s="9" t="str">
        <f>IF(IF(SelectedScope="All India",TRUE,'RAW_QUIZ'!$B122=SelectedScope),'RAW_QUIZ'!G122,"")</f>
        <v>Active</v>
      </c>
      <c r="H123" s="9">
        <f>IF(IF(SelectedScope="All India",TRUE,'RAW_QUIZ'!$B122=SelectedScope),'RAW_QUIZ'!H122,"")</f>
        <v>0</v>
      </c>
      <c r="I123" s="9">
        <f>IF(IF(SelectedScope="All India",TRUE,'RAW_QUIZ'!$B122=SelectedScope),'RAW_QUIZ'!I122,"")</f>
        <v>0</v>
      </c>
      <c r="J123" s="9">
        <f>IF(IF(SelectedScope="All India",TRUE,'RAW_QUIZ'!$B122=SelectedScope),'RAW_QUIZ'!J122,"")</f>
        <v>0</v>
      </c>
      <c r="K123" s="9">
        <f>IF(IF(SelectedScope="All India",TRUE,'RAW_QUIZ'!$B122=SelectedScope),'RAW_QUIZ'!K122,"")</f>
        <v>0</v>
      </c>
      <c r="L123" s="9">
        <f>IF(IF(SelectedScope="All India",TRUE,'RAW_QUIZ'!$B122=SelectedScope),'RAW_QUIZ'!L122,"")</f>
        <v>0</v>
      </c>
      <c r="M123" s="9">
        <f>IF(IF(SelectedScope="All India",TRUE,'RAW_QUIZ'!$B122=SelectedScope),'RAW_QUIZ'!M122,"")</f>
        <v>0</v>
      </c>
      <c r="N123" s="9">
        <f>IF(IF(SelectedScope="All India",TRUE,'RAW_QUIZ'!$B122=SelectedScope),'RAW_QUIZ'!N122,"")</f>
        <v>0</v>
      </c>
      <c r="O123" s="9">
        <f>IF(IF(SelectedScope="All India",TRUE,'RAW_QUIZ'!$B122=SelectedScope),'RAW_QUIZ'!O122,"")</f>
        <v>0</v>
      </c>
      <c r="P123" s="9">
        <f>IF(IF(SelectedScope="All India",TRUE,'RAW_QUIZ'!$B122=SelectedScope),'RAW_QUIZ'!P122,"")</f>
        <v>0</v>
      </c>
      <c r="Q123" s="9">
        <f>IF(IF(SelectedScope="All India",TRUE,'RAW_QUIZ'!$B122=SelectedScope),'RAW_QUIZ'!Q122,"")</f>
        <v>0</v>
      </c>
    </row>
    <row r="124" spans="1:17" ht="15" customHeight="1" x14ac:dyDescent="0.3">
      <c r="A124" s="12">
        <f>IF(IF(SelectedScope="All India",TRUE,'RAW_QUIZ'!$B123=SelectedScope),'RAW_QUIZ'!A123,"")</f>
        <v>120</v>
      </c>
      <c r="B124" s="12" t="str">
        <f>IF(IF(SelectedScope="All India",TRUE,'RAW_QUIZ'!$B123=SelectedScope),'RAW_QUIZ'!B123,"")</f>
        <v>Haryana</v>
      </c>
      <c r="C124" s="12" t="str">
        <f>IF(IF(SelectedScope="All India",TRUE,'RAW_QUIZ'!$B123=SelectedScope),'RAW_QUIZ'!C123,"")</f>
        <v>Mathematics</v>
      </c>
      <c r="D124" s="12" t="str">
        <f>IF(IF(SelectedScope="All India",TRUE,'RAW_QUIZ'!$B123=SelectedScope),'RAW_QUIZ'!D123,"")</f>
        <v>Class 10</v>
      </c>
      <c r="E124" s="12" t="str">
        <f>IF(IF(SelectedScope="All India",TRUE,'RAW_QUIZ'!$B123=SelectedScope),'RAW_QUIZ'!E123,"")</f>
        <v>Quadratic Equations — Unit Quiz</v>
      </c>
      <c r="F124" s="12">
        <f>IF(IF(SelectedScope="All India",TRUE,'RAW_QUIZ'!$B123=SelectedScope),'RAW_QUIZ'!F123,"")</f>
        <v>0</v>
      </c>
      <c r="G124" s="12" t="str">
        <f>IF(IF(SelectedScope="All India",TRUE,'RAW_QUIZ'!$B123=SelectedScope),'RAW_QUIZ'!G123,"")</f>
        <v>Active</v>
      </c>
      <c r="H124" s="12">
        <f>IF(IF(SelectedScope="All India",TRUE,'RAW_QUIZ'!$B123=SelectedScope),'RAW_QUIZ'!H123,"")</f>
        <v>0</v>
      </c>
      <c r="I124" s="12">
        <f>IF(IF(SelectedScope="All India",TRUE,'RAW_QUIZ'!$B123=SelectedScope),'RAW_QUIZ'!I123,"")</f>
        <v>0</v>
      </c>
      <c r="J124" s="12">
        <f>IF(IF(SelectedScope="All India",TRUE,'RAW_QUIZ'!$B123=SelectedScope),'RAW_QUIZ'!J123,"")</f>
        <v>0</v>
      </c>
      <c r="K124" s="12">
        <f>IF(IF(SelectedScope="All India",TRUE,'RAW_QUIZ'!$B123=SelectedScope),'RAW_QUIZ'!K123,"")</f>
        <v>0</v>
      </c>
      <c r="L124" s="12">
        <f>IF(IF(SelectedScope="All India",TRUE,'RAW_QUIZ'!$B123=SelectedScope),'RAW_QUIZ'!L123,"")</f>
        <v>0</v>
      </c>
      <c r="M124" s="12">
        <f>IF(IF(SelectedScope="All India",TRUE,'RAW_QUIZ'!$B123=SelectedScope),'RAW_QUIZ'!M123,"")</f>
        <v>0</v>
      </c>
      <c r="N124" s="12">
        <f>IF(IF(SelectedScope="All India",TRUE,'RAW_QUIZ'!$B123=SelectedScope),'RAW_QUIZ'!N123,"")</f>
        <v>0</v>
      </c>
      <c r="O124" s="12">
        <f>IF(IF(SelectedScope="All India",TRUE,'RAW_QUIZ'!$B123=SelectedScope),'RAW_QUIZ'!O123,"")</f>
        <v>0</v>
      </c>
      <c r="P124" s="12">
        <f>IF(IF(SelectedScope="All India",TRUE,'RAW_QUIZ'!$B123=SelectedScope),'RAW_QUIZ'!P123,"")</f>
        <v>0</v>
      </c>
      <c r="Q124" s="12">
        <f>IF(IF(SelectedScope="All India",TRUE,'RAW_QUIZ'!$B123=SelectedScope),'RAW_QUIZ'!Q123,"")</f>
        <v>0</v>
      </c>
    </row>
    <row r="125" spans="1:17" ht="15" customHeight="1" x14ac:dyDescent="0.3">
      <c r="A125" s="9">
        <f>IF(IF(SelectedScope="All India",TRUE,'RAW_QUIZ'!$B124=SelectedScope),'RAW_QUIZ'!A124,"")</f>
        <v>121</v>
      </c>
      <c r="B125" s="9" t="str">
        <f>IF(IF(SelectedScope="All India",TRUE,'RAW_QUIZ'!$B124=SelectedScope),'RAW_QUIZ'!B124,"")</f>
        <v>Himachal Pradesh</v>
      </c>
      <c r="C125" s="9" t="str">
        <f>IF(IF(SelectedScope="All India",TRUE,'RAW_QUIZ'!$B124=SelectedScope),'RAW_QUIZ'!C124,"")</f>
        <v>Science</v>
      </c>
      <c r="D125" s="9" t="str">
        <f>IF(IF(SelectedScope="All India",TRUE,'RAW_QUIZ'!$B124=SelectedScope),'RAW_QUIZ'!D124,"")</f>
        <v>Class 8</v>
      </c>
      <c r="E125" s="9" t="str">
        <f>IF(IF(SelectedScope="All India",TRUE,'RAW_QUIZ'!$B124=SelectedScope),'RAW_QUIZ'!E124,"")</f>
        <v>Solar System — Unit Quiz</v>
      </c>
      <c r="F125" s="9">
        <f>IF(IF(SelectedScope="All India",TRUE,'RAW_QUIZ'!$B124=SelectedScope),'RAW_QUIZ'!F124,"")</f>
        <v>0</v>
      </c>
      <c r="G125" s="9" t="str">
        <f>IF(IF(SelectedScope="All India",TRUE,'RAW_QUIZ'!$B124=SelectedScope),'RAW_QUIZ'!G124,"")</f>
        <v>Active</v>
      </c>
      <c r="H125" s="9">
        <f>IF(IF(SelectedScope="All India",TRUE,'RAW_QUIZ'!$B124=SelectedScope),'RAW_QUIZ'!H124,"")</f>
        <v>0</v>
      </c>
      <c r="I125" s="9">
        <f>IF(IF(SelectedScope="All India",TRUE,'RAW_QUIZ'!$B124=SelectedScope),'RAW_QUIZ'!I124,"")</f>
        <v>0</v>
      </c>
      <c r="J125" s="9">
        <f>IF(IF(SelectedScope="All India",TRUE,'RAW_QUIZ'!$B124=SelectedScope),'RAW_QUIZ'!J124,"")</f>
        <v>0</v>
      </c>
      <c r="K125" s="9">
        <f>IF(IF(SelectedScope="All India",TRUE,'RAW_QUIZ'!$B124=SelectedScope),'RAW_QUIZ'!K124,"")</f>
        <v>0</v>
      </c>
      <c r="L125" s="9">
        <f>IF(IF(SelectedScope="All India",TRUE,'RAW_QUIZ'!$B124=SelectedScope),'RAW_QUIZ'!L124,"")</f>
        <v>0</v>
      </c>
      <c r="M125" s="9">
        <f>IF(IF(SelectedScope="All India",TRUE,'RAW_QUIZ'!$B124=SelectedScope),'RAW_QUIZ'!M124,"")</f>
        <v>0</v>
      </c>
      <c r="N125" s="9">
        <f>IF(IF(SelectedScope="All India",TRUE,'RAW_QUIZ'!$B124=SelectedScope),'RAW_QUIZ'!N124,"")</f>
        <v>0</v>
      </c>
      <c r="O125" s="9">
        <f>IF(IF(SelectedScope="All India",TRUE,'RAW_QUIZ'!$B124=SelectedScope),'RAW_QUIZ'!O124,"")</f>
        <v>0</v>
      </c>
      <c r="P125" s="9">
        <f>IF(IF(SelectedScope="All India",TRUE,'RAW_QUIZ'!$B124=SelectedScope),'RAW_QUIZ'!P124,"")</f>
        <v>0</v>
      </c>
      <c r="Q125" s="9">
        <f>IF(IF(SelectedScope="All India",TRUE,'RAW_QUIZ'!$B124=SelectedScope),'RAW_QUIZ'!Q124,"")</f>
        <v>0</v>
      </c>
    </row>
    <row r="126" spans="1:17" ht="15" customHeight="1" x14ac:dyDescent="0.3">
      <c r="A126" s="12">
        <f>IF(IF(SelectedScope="All India",TRUE,'RAW_QUIZ'!$B125=SelectedScope),'RAW_QUIZ'!A125,"")</f>
        <v>122</v>
      </c>
      <c r="B126" s="12" t="str">
        <f>IF(IF(SelectedScope="All India",TRUE,'RAW_QUIZ'!$B125=SelectedScope),'RAW_QUIZ'!B125,"")</f>
        <v>Himachal Pradesh</v>
      </c>
      <c r="C126" s="12" t="str">
        <f>IF(IF(SelectedScope="All India",TRUE,'RAW_QUIZ'!$B125=SelectedScope),'RAW_QUIZ'!C125,"")</f>
        <v>Biology</v>
      </c>
      <c r="D126" s="12" t="str">
        <f>IF(IF(SelectedScope="All India",TRUE,'RAW_QUIZ'!$B125=SelectedScope),'RAW_QUIZ'!D125,"")</f>
        <v>Class 9</v>
      </c>
      <c r="E126" s="12" t="str">
        <f>IF(IF(SelectedScope="All India",TRUE,'RAW_QUIZ'!$B125=SelectedScope),'RAW_QUIZ'!E125,"")</f>
        <v>Cell Division — Unit Quiz</v>
      </c>
      <c r="F126" s="12">
        <f>IF(IF(SelectedScope="All India",TRUE,'RAW_QUIZ'!$B125=SelectedScope),'RAW_QUIZ'!F125,"")</f>
        <v>0</v>
      </c>
      <c r="G126" s="12" t="str">
        <f>IF(IF(SelectedScope="All India",TRUE,'RAW_QUIZ'!$B125=SelectedScope),'RAW_QUIZ'!G125,"")</f>
        <v>Active</v>
      </c>
      <c r="H126" s="12">
        <f>IF(IF(SelectedScope="All India",TRUE,'RAW_QUIZ'!$B125=SelectedScope),'RAW_QUIZ'!H125,"")</f>
        <v>0</v>
      </c>
      <c r="I126" s="12">
        <f>IF(IF(SelectedScope="All India",TRUE,'RAW_QUIZ'!$B125=SelectedScope),'RAW_QUIZ'!I125,"")</f>
        <v>0</v>
      </c>
      <c r="J126" s="12">
        <f>IF(IF(SelectedScope="All India",TRUE,'RAW_QUIZ'!$B125=SelectedScope),'RAW_QUIZ'!J125,"")</f>
        <v>0</v>
      </c>
      <c r="K126" s="12">
        <f>IF(IF(SelectedScope="All India",TRUE,'RAW_QUIZ'!$B125=SelectedScope),'RAW_QUIZ'!K125,"")</f>
        <v>0</v>
      </c>
      <c r="L126" s="12">
        <f>IF(IF(SelectedScope="All India",TRUE,'RAW_QUIZ'!$B125=SelectedScope),'RAW_QUIZ'!L125,"")</f>
        <v>0</v>
      </c>
      <c r="M126" s="12">
        <f>IF(IF(SelectedScope="All India",TRUE,'RAW_QUIZ'!$B125=SelectedScope),'RAW_QUIZ'!M125,"")</f>
        <v>0</v>
      </c>
      <c r="N126" s="12">
        <f>IF(IF(SelectedScope="All India",TRUE,'RAW_QUIZ'!$B125=SelectedScope),'RAW_QUIZ'!N125,"")</f>
        <v>0</v>
      </c>
      <c r="O126" s="12">
        <f>IF(IF(SelectedScope="All India",TRUE,'RAW_QUIZ'!$B125=SelectedScope),'RAW_QUIZ'!O125,"")</f>
        <v>0</v>
      </c>
      <c r="P126" s="12">
        <f>IF(IF(SelectedScope="All India",TRUE,'RAW_QUIZ'!$B125=SelectedScope),'RAW_QUIZ'!P125,"")</f>
        <v>0</v>
      </c>
      <c r="Q126" s="12">
        <f>IF(IF(SelectedScope="All India",TRUE,'RAW_QUIZ'!$B125=SelectedScope),'RAW_QUIZ'!Q125,"")</f>
        <v>0</v>
      </c>
    </row>
    <row r="127" spans="1:17" ht="15" customHeight="1" x14ac:dyDescent="0.3">
      <c r="A127" s="9">
        <f>IF(IF(SelectedScope="All India",TRUE,'RAW_QUIZ'!$B126=SelectedScope),'RAW_QUIZ'!A126,"")</f>
        <v>123</v>
      </c>
      <c r="B127" s="9" t="str">
        <f>IF(IF(SelectedScope="All India",TRUE,'RAW_QUIZ'!$B126=SelectedScope),'RAW_QUIZ'!B126,"")</f>
        <v>Himachal Pradesh</v>
      </c>
      <c r="C127" s="9" t="str">
        <f>IF(IF(SelectedScope="All India",TRUE,'RAW_QUIZ'!$B126=SelectedScope),'RAW_QUIZ'!C126,"")</f>
        <v>Chemistry</v>
      </c>
      <c r="D127" s="9" t="str">
        <f>IF(IF(SelectedScope="All India",TRUE,'RAW_QUIZ'!$B126=SelectedScope),'RAW_QUIZ'!D126,"")</f>
        <v>Class 9</v>
      </c>
      <c r="E127" s="9" t="str">
        <f>IF(IF(SelectedScope="All India",TRUE,'RAW_QUIZ'!$B126=SelectedScope),'RAW_QUIZ'!E126,"")</f>
        <v>Atoms and Molecules — Unit Quiz</v>
      </c>
      <c r="F127" s="9">
        <f>IF(IF(SelectedScope="All India",TRUE,'RAW_QUIZ'!$B126=SelectedScope),'RAW_QUIZ'!F126,"")</f>
        <v>0</v>
      </c>
      <c r="G127" s="9" t="str">
        <f>IF(IF(SelectedScope="All India",TRUE,'RAW_QUIZ'!$B126=SelectedScope),'RAW_QUIZ'!G126,"")</f>
        <v>Active</v>
      </c>
      <c r="H127" s="9">
        <f>IF(IF(SelectedScope="All India",TRUE,'RAW_QUIZ'!$B126=SelectedScope),'RAW_QUIZ'!H126,"")</f>
        <v>0</v>
      </c>
      <c r="I127" s="9">
        <f>IF(IF(SelectedScope="All India",TRUE,'RAW_QUIZ'!$B126=SelectedScope),'RAW_QUIZ'!I126,"")</f>
        <v>0</v>
      </c>
      <c r="J127" s="9">
        <f>IF(IF(SelectedScope="All India",TRUE,'RAW_QUIZ'!$B126=SelectedScope),'RAW_QUIZ'!J126,"")</f>
        <v>0</v>
      </c>
      <c r="K127" s="9">
        <f>IF(IF(SelectedScope="All India",TRUE,'RAW_QUIZ'!$B126=SelectedScope),'RAW_QUIZ'!K126,"")</f>
        <v>0</v>
      </c>
      <c r="L127" s="9">
        <f>IF(IF(SelectedScope="All India",TRUE,'RAW_QUIZ'!$B126=SelectedScope),'RAW_QUIZ'!L126,"")</f>
        <v>0</v>
      </c>
      <c r="M127" s="9">
        <f>IF(IF(SelectedScope="All India",TRUE,'RAW_QUIZ'!$B126=SelectedScope),'RAW_QUIZ'!M126,"")</f>
        <v>0</v>
      </c>
      <c r="N127" s="9">
        <f>IF(IF(SelectedScope="All India",TRUE,'RAW_QUIZ'!$B126=SelectedScope),'RAW_QUIZ'!N126,"")</f>
        <v>0</v>
      </c>
      <c r="O127" s="9">
        <f>IF(IF(SelectedScope="All India",TRUE,'RAW_QUIZ'!$B126=SelectedScope),'RAW_QUIZ'!O126,"")</f>
        <v>0</v>
      </c>
      <c r="P127" s="9">
        <f>IF(IF(SelectedScope="All India",TRUE,'RAW_QUIZ'!$B126=SelectedScope),'RAW_QUIZ'!P126,"")</f>
        <v>0</v>
      </c>
      <c r="Q127" s="9">
        <f>IF(IF(SelectedScope="All India",TRUE,'RAW_QUIZ'!$B126=SelectedScope),'RAW_QUIZ'!Q126,"")</f>
        <v>0</v>
      </c>
    </row>
    <row r="128" spans="1:17" ht="15" customHeight="1" x14ac:dyDescent="0.3">
      <c r="A128" s="12">
        <f>IF(IF(SelectedScope="All India",TRUE,'RAW_QUIZ'!$B127=SelectedScope),'RAW_QUIZ'!A127,"")</f>
        <v>124</v>
      </c>
      <c r="B128" s="12" t="str">
        <f>IF(IF(SelectedScope="All India",TRUE,'RAW_QUIZ'!$B127=SelectedScope),'RAW_QUIZ'!B127,"")</f>
        <v>Himachal Pradesh</v>
      </c>
      <c r="C128" s="12" t="str">
        <f>IF(IF(SelectedScope="All India",TRUE,'RAW_QUIZ'!$B127=SelectedScope),'RAW_QUIZ'!C127,"")</f>
        <v>Mathematics</v>
      </c>
      <c r="D128" s="12" t="str">
        <f>IF(IF(SelectedScope="All India",TRUE,'RAW_QUIZ'!$B127=SelectedScope),'RAW_QUIZ'!D127,"")</f>
        <v>Class 7</v>
      </c>
      <c r="E128" s="12" t="str">
        <f>IF(IF(SelectedScope="All India",TRUE,'RAW_QUIZ'!$B127=SelectedScope),'RAW_QUIZ'!E127,"")</f>
        <v>Fractions — Unit Quiz</v>
      </c>
      <c r="F128" s="12">
        <f>IF(IF(SelectedScope="All India",TRUE,'RAW_QUIZ'!$B127=SelectedScope),'RAW_QUIZ'!F127,"")</f>
        <v>0</v>
      </c>
      <c r="G128" s="12" t="str">
        <f>IF(IF(SelectedScope="All India",TRUE,'RAW_QUIZ'!$B127=SelectedScope),'RAW_QUIZ'!G127,"")</f>
        <v>Active</v>
      </c>
      <c r="H128" s="12">
        <f>IF(IF(SelectedScope="All India",TRUE,'RAW_QUIZ'!$B127=SelectedScope),'RAW_QUIZ'!H127,"")</f>
        <v>0</v>
      </c>
      <c r="I128" s="12">
        <f>IF(IF(SelectedScope="All India",TRUE,'RAW_QUIZ'!$B127=SelectedScope),'RAW_QUIZ'!I127,"")</f>
        <v>0</v>
      </c>
      <c r="J128" s="12">
        <f>IF(IF(SelectedScope="All India",TRUE,'RAW_QUIZ'!$B127=SelectedScope),'RAW_QUIZ'!J127,"")</f>
        <v>0</v>
      </c>
      <c r="K128" s="12">
        <f>IF(IF(SelectedScope="All India",TRUE,'RAW_QUIZ'!$B127=SelectedScope),'RAW_QUIZ'!K127,"")</f>
        <v>0</v>
      </c>
      <c r="L128" s="12">
        <f>IF(IF(SelectedScope="All India",TRUE,'RAW_QUIZ'!$B127=SelectedScope),'RAW_QUIZ'!L127,"")</f>
        <v>0</v>
      </c>
      <c r="M128" s="12">
        <f>IF(IF(SelectedScope="All India",TRUE,'RAW_QUIZ'!$B127=SelectedScope),'RAW_QUIZ'!M127,"")</f>
        <v>0</v>
      </c>
      <c r="N128" s="12">
        <f>IF(IF(SelectedScope="All India",TRUE,'RAW_QUIZ'!$B127=SelectedScope),'RAW_QUIZ'!N127,"")</f>
        <v>0</v>
      </c>
      <c r="O128" s="12">
        <f>IF(IF(SelectedScope="All India",TRUE,'RAW_QUIZ'!$B127=SelectedScope),'RAW_QUIZ'!O127,"")</f>
        <v>0</v>
      </c>
      <c r="P128" s="12">
        <f>IF(IF(SelectedScope="All India",TRUE,'RAW_QUIZ'!$B127=SelectedScope),'RAW_QUIZ'!P127,"")</f>
        <v>0</v>
      </c>
      <c r="Q128" s="12">
        <f>IF(IF(SelectedScope="All India",TRUE,'RAW_QUIZ'!$B127=SelectedScope),'RAW_QUIZ'!Q127,"")</f>
        <v>0</v>
      </c>
    </row>
    <row r="129" spans="1:17" ht="15" customHeight="1" x14ac:dyDescent="0.3">
      <c r="A129" s="9">
        <f>IF(IF(SelectedScope="All India",TRUE,'RAW_QUIZ'!$B128=SelectedScope),'RAW_QUIZ'!A128,"")</f>
        <v>125</v>
      </c>
      <c r="B129" s="9" t="str">
        <f>IF(IF(SelectedScope="All India",TRUE,'RAW_QUIZ'!$B128=SelectedScope),'RAW_QUIZ'!B128,"")</f>
        <v>Himachal Pradesh</v>
      </c>
      <c r="C129" s="9" t="str">
        <f>IF(IF(SelectedScope="All India",TRUE,'RAW_QUIZ'!$B128=SelectedScope),'RAW_QUIZ'!C128,"")</f>
        <v>Mathematics</v>
      </c>
      <c r="D129" s="9" t="str">
        <f>IF(IF(SelectedScope="All India",TRUE,'RAW_QUIZ'!$B128=SelectedScope),'RAW_QUIZ'!D128,"")</f>
        <v>Class 10</v>
      </c>
      <c r="E129" s="9" t="str">
        <f>IF(IF(SelectedScope="All India",TRUE,'RAW_QUIZ'!$B128=SelectedScope),'RAW_QUIZ'!E128,"")</f>
        <v>Trigonometry — Unit Quiz</v>
      </c>
      <c r="F129" s="9">
        <f>IF(IF(SelectedScope="All India",TRUE,'RAW_QUIZ'!$B128=SelectedScope),'RAW_QUIZ'!F128,"")</f>
        <v>0</v>
      </c>
      <c r="G129" s="9" t="str">
        <f>IF(IF(SelectedScope="All India",TRUE,'RAW_QUIZ'!$B128=SelectedScope),'RAW_QUIZ'!G128,"")</f>
        <v>Active</v>
      </c>
      <c r="H129" s="9">
        <f>IF(IF(SelectedScope="All India",TRUE,'RAW_QUIZ'!$B128=SelectedScope),'RAW_QUIZ'!H128,"")</f>
        <v>0</v>
      </c>
      <c r="I129" s="9">
        <f>IF(IF(SelectedScope="All India",TRUE,'RAW_QUIZ'!$B128=SelectedScope),'RAW_QUIZ'!I128,"")</f>
        <v>0</v>
      </c>
      <c r="J129" s="9">
        <f>IF(IF(SelectedScope="All India",TRUE,'RAW_QUIZ'!$B128=SelectedScope),'RAW_QUIZ'!J128,"")</f>
        <v>0</v>
      </c>
      <c r="K129" s="9">
        <f>IF(IF(SelectedScope="All India",TRUE,'RAW_QUIZ'!$B128=SelectedScope),'RAW_QUIZ'!K128,"")</f>
        <v>0</v>
      </c>
      <c r="L129" s="9">
        <f>IF(IF(SelectedScope="All India",TRUE,'RAW_QUIZ'!$B128=SelectedScope),'RAW_QUIZ'!L128,"")</f>
        <v>0</v>
      </c>
      <c r="M129" s="9">
        <f>IF(IF(SelectedScope="All India",TRUE,'RAW_QUIZ'!$B128=SelectedScope),'RAW_QUIZ'!M128,"")</f>
        <v>0</v>
      </c>
      <c r="N129" s="9">
        <f>IF(IF(SelectedScope="All India",TRUE,'RAW_QUIZ'!$B128=SelectedScope),'RAW_QUIZ'!N128,"")</f>
        <v>0</v>
      </c>
      <c r="O129" s="9">
        <f>IF(IF(SelectedScope="All India",TRUE,'RAW_QUIZ'!$B128=SelectedScope),'RAW_QUIZ'!O128,"")</f>
        <v>0</v>
      </c>
      <c r="P129" s="9">
        <f>IF(IF(SelectedScope="All India",TRUE,'RAW_QUIZ'!$B128=SelectedScope),'RAW_QUIZ'!P128,"")</f>
        <v>0</v>
      </c>
      <c r="Q129" s="9">
        <f>IF(IF(SelectedScope="All India",TRUE,'RAW_QUIZ'!$B128=SelectedScope),'RAW_QUIZ'!Q128,"")</f>
        <v>0</v>
      </c>
    </row>
    <row r="130" spans="1:17" ht="15" customHeight="1" x14ac:dyDescent="0.3">
      <c r="A130" s="12">
        <f>IF(IF(SelectedScope="All India",TRUE,'RAW_QUIZ'!$B129=SelectedScope),'RAW_QUIZ'!A129,"")</f>
        <v>126</v>
      </c>
      <c r="B130" s="12" t="str">
        <f>IF(IF(SelectedScope="All India",TRUE,'RAW_QUIZ'!$B129=SelectedScope),'RAW_QUIZ'!B129,"")</f>
        <v>Himachal Pradesh</v>
      </c>
      <c r="C130" s="12" t="str">
        <f>IF(IF(SelectedScope="All India",TRUE,'RAW_QUIZ'!$B129=SelectedScope),'RAW_QUIZ'!C129,"")</f>
        <v>History</v>
      </c>
      <c r="D130" s="12" t="str">
        <f>IF(IF(SelectedScope="All India",TRUE,'RAW_QUIZ'!$B129=SelectedScope),'RAW_QUIZ'!D129,"")</f>
        <v>Class 10</v>
      </c>
      <c r="E130" s="12" t="str">
        <f>IF(IF(SelectedScope="All India",TRUE,'RAW_QUIZ'!$B129=SelectedScope),'RAW_QUIZ'!E129,"")</f>
        <v>Mughal Empire — Unit Quiz</v>
      </c>
      <c r="F130" s="12">
        <f>IF(IF(SelectedScope="All India",TRUE,'RAW_QUIZ'!$B129=SelectedScope),'RAW_QUIZ'!F129,"")</f>
        <v>0</v>
      </c>
      <c r="G130" s="12" t="str">
        <f>IF(IF(SelectedScope="All India",TRUE,'RAW_QUIZ'!$B129=SelectedScope),'RAW_QUIZ'!G129,"")</f>
        <v>Active</v>
      </c>
      <c r="H130" s="12">
        <f>IF(IF(SelectedScope="All India",TRUE,'RAW_QUIZ'!$B129=SelectedScope),'RAW_QUIZ'!H129,"")</f>
        <v>0</v>
      </c>
      <c r="I130" s="12">
        <f>IF(IF(SelectedScope="All India",TRUE,'RAW_QUIZ'!$B129=SelectedScope),'RAW_QUIZ'!I129,"")</f>
        <v>0</v>
      </c>
      <c r="J130" s="12">
        <f>IF(IF(SelectedScope="All India",TRUE,'RAW_QUIZ'!$B129=SelectedScope),'RAW_QUIZ'!J129,"")</f>
        <v>0</v>
      </c>
      <c r="K130" s="12">
        <f>IF(IF(SelectedScope="All India",TRUE,'RAW_QUIZ'!$B129=SelectedScope),'RAW_QUIZ'!K129,"")</f>
        <v>0</v>
      </c>
      <c r="L130" s="12">
        <f>IF(IF(SelectedScope="All India",TRUE,'RAW_QUIZ'!$B129=SelectedScope),'RAW_QUIZ'!L129,"")</f>
        <v>0</v>
      </c>
      <c r="M130" s="12">
        <f>IF(IF(SelectedScope="All India",TRUE,'RAW_QUIZ'!$B129=SelectedScope),'RAW_QUIZ'!M129,"")</f>
        <v>0</v>
      </c>
      <c r="N130" s="12">
        <f>IF(IF(SelectedScope="All India",TRUE,'RAW_QUIZ'!$B129=SelectedScope),'RAW_QUIZ'!N129,"")</f>
        <v>0</v>
      </c>
      <c r="O130" s="12">
        <f>IF(IF(SelectedScope="All India",TRUE,'RAW_QUIZ'!$B129=SelectedScope),'RAW_QUIZ'!O129,"")</f>
        <v>0</v>
      </c>
      <c r="P130" s="12">
        <f>IF(IF(SelectedScope="All India",TRUE,'RAW_QUIZ'!$B129=SelectedScope),'RAW_QUIZ'!P129,"")</f>
        <v>0</v>
      </c>
      <c r="Q130" s="12">
        <f>IF(IF(SelectedScope="All India",TRUE,'RAW_QUIZ'!$B129=SelectedScope),'RAW_QUIZ'!Q129,"")</f>
        <v>0</v>
      </c>
    </row>
    <row r="131" spans="1:17" ht="15" customHeight="1" x14ac:dyDescent="0.3">
      <c r="A131" s="9">
        <f>IF(IF(SelectedScope="All India",TRUE,'RAW_QUIZ'!$B130=SelectedScope),'RAW_QUIZ'!A130,"")</f>
        <v>127</v>
      </c>
      <c r="B131" s="9" t="str">
        <f>IF(IF(SelectedScope="All India",TRUE,'RAW_QUIZ'!$B130=SelectedScope),'RAW_QUIZ'!B130,"")</f>
        <v>Himachal Pradesh</v>
      </c>
      <c r="C131" s="9" t="str">
        <f>IF(IF(SelectedScope="All India",TRUE,'RAW_QUIZ'!$B130=SelectedScope),'RAW_QUIZ'!C130,"")</f>
        <v>Physics</v>
      </c>
      <c r="D131" s="9" t="str">
        <f>IF(IF(SelectedScope="All India",TRUE,'RAW_QUIZ'!$B130=SelectedScope),'RAW_QUIZ'!D130,"")</f>
        <v>Class 9</v>
      </c>
      <c r="E131" s="9" t="str">
        <f>IF(IF(SelectedScope="All India",TRUE,'RAW_QUIZ'!$B130=SelectedScope),'RAW_QUIZ'!E130,"")</f>
        <v>Laws of Motion — Unit Quiz</v>
      </c>
      <c r="F131" s="9">
        <f>IF(IF(SelectedScope="All India",TRUE,'RAW_QUIZ'!$B130=SelectedScope),'RAW_QUIZ'!F130,"")</f>
        <v>0</v>
      </c>
      <c r="G131" s="9" t="str">
        <f>IF(IF(SelectedScope="All India",TRUE,'RAW_QUIZ'!$B130=SelectedScope),'RAW_QUIZ'!G130,"")</f>
        <v>Active</v>
      </c>
      <c r="H131" s="9">
        <f>IF(IF(SelectedScope="All India",TRUE,'RAW_QUIZ'!$B130=SelectedScope),'RAW_QUIZ'!H130,"")</f>
        <v>0</v>
      </c>
      <c r="I131" s="9">
        <f>IF(IF(SelectedScope="All India",TRUE,'RAW_QUIZ'!$B130=SelectedScope),'RAW_QUIZ'!I130,"")</f>
        <v>0</v>
      </c>
      <c r="J131" s="9">
        <f>IF(IF(SelectedScope="All India",TRUE,'RAW_QUIZ'!$B130=SelectedScope),'RAW_QUIZ'!J130,"")</f>
        <v>0</v>
      </c>
      <c r="K131" s="9">
        <f>IF(IF(SelectedScope="All India",TRUE,'RAW_QUIZ'!$B130=SelectedScope),'RAW_QUIZ'!K130,"")</f>
        <v>0</v>
      </c>
      <c r="L131" s="9">
        <f>IF(IF(SelectedScope="All India",TRUE,'RAW_QUIZ'!$B130=SelectedScope),'RAW_QUIZ'!L130,"")</f>
        <v>0</v>
      </c>
      <c r="M131" s="9">
        <f>IF(IF(SelectedScope="All India",TRUE,'RAW_QUIZ'!$B130=SelectedScope),'RAW_QUIZ'!M130,"")</f>
        <v>0</v>
      </c>
      <c r="N131" s="9">
        <f>IF(IF(SelectedScope="All India",TRUE,'RAW_QUIZ'!$B130=SelectedScope),'RAW_QUIZ'!N130,"")</f>
        <v>0</v>
      </c>
      <c r="O131" s="9">
        <f>IF(IF(SelectedScope="All India",TRUE,'RAW_QUIZ'!$B130=SelectedScope),'RAW_QUIZ'!O130,"")</f>
        <v>0</v>
      </c>
      <c r="P131" s="9">
        <f>IF(IF(SelectedScope="All India",TRUE,'RAW_QUIZ'!$B130=SelectedScope),'RAW_QUIZ'!P130,"")</f>
        <v>0</v>
      </c>
      <c r="Q131" s="9">
        <f>IF(IF(SelectedScope="All India",TRUE,'RAW_QUIZ'!$B130=SelectedScope),'RAW_QUIZ'!Q130,"")</f>
        <v>0</v>
      </c>
    </row>
    <row r="132" spans="1:17" ht="15" customHeight="1" x14ac:dyDescent="0.3">
      <c r="A132" s="12">
        <f>IF(IF(SelectedScope="All India",TRUE,'RAW_QUIZ'!$B131=SelectedScope),'RAW_QUIZ'!A131,"")</f>
        <v>128</v>
      </c>
      <c r="B132" s="12" t="str">
        <f>IF(IF(SelectedScope="All India",TRUE,'RAW_QUIZ'!$B131=SelectedScope),'RAW_QUIZ'!B131,"")</f>
        <v>Himachal Pradesh</v>
      </c>
      <c r="C132" s="12" t="str">
        <f>IF(IF(SelectedScope="All India",TRUE,'RAW_QUIZ'!$B131=SelectedScope),'RAW_QUIZ'!C131,"")</f>
        <v>Physics</v>
      </c>
      <c r="D132" s="12" t="str">
        <f>IF(IF(SelectedScope="All India",TRUE,'RAW_QUIZ'!$B131=SelectedScope),'RAW_QUIZ'!D131,"")</f>
        <v>Class 10</v>
      </c>
      <c r="E132" s="12" t="str">
        <f>IF(IF(SelectedScope="All India",TRUE,'RAW_QUIZ'!$B131=SelectedScope),'RAW_QUIZ'!E131,"")</f>
        <v>Electricity — Unit Quiz</v>
      </c>
      <c r="F132" s="12">
        <f>IF(IF(SelectedScope="All India",TRUE,'RAW_QUIZ'!$B131=SelectedScope),'RAW_QUIZ'!F131,"")</f>
        <v>0</v>
      </c>
      <c r="G132" s="12" t="str">
        <f>IF(IF(SelectedScope="All India",TRUE,'RAW_QUIZ'!$B131=SelectedScope),'RAW_QUIZ'!G131,"")</f>
        <v>Active</v>
      </c>
      <c r="H132" s="12">
        <f>IF(IF(SelectedScope="All India",TRUE,'RAW_QUIZ'!$B131=SelectedScope),'RAW_QUIZ'!H131,"")</f>
        <v>0</v>
      </c>
      <c r="I132" s="12">
        <f>IF(IF(SelectedScope="All India",TRUE,'RAW_QUIZ'!$B131=SelectedScope),'RAW_QUIZ'!I131,"")</f>
        <v>0</v>
      </c>
      <c r="J132" s="12">
        <f>IF(IF(SelectedScope="All India",TRUE,'RAW_QUIZ'!$B131=SelectedScope),'RAW_QUIZ'!J131,"")</f>
        <v>0</v>
      </c>
      <c r="K132" s="12">
        <f>IF(IF(SelectedScope="All India",TRUE,'RAW_QUIZ'!$B131=SelectedScope),'RAW_QUIZ'!K131,"")</f>
        <v>0</v>
      </c>
      <c r="L132" s="12">
        <f>IF(IF(SelectedScope="All India",TRUE,'RAW_QUIZ'!$B131=SelectedScope),'RAW_QUIZ'!L131,"")</f>
        <v>0</v>
      </c>
      <c r="M132" s="12">
        <f>IF(IF(SelectedScope="All India",TRUE,'RAW_QUIZ'!$B131=SelectedScope),'RAW_QUIZ'!M131,"")</f>
        <v>0</v>
      </c>
      <c r="N132" s="12">
        <f>IF(IF(SelectedScope="All India",TRUE,'RAW_QUIZ'!$B131=SelectedScope),'RAW_QUIZ'!N131,"")</f>
        <v>0</v>
      </c>
      <c r="O132" s="12">
        <f>IF(IF(SelectedScope="All India",TRUE,'RAW_QUIZ'!$B131=SelectedScope),'RAW_QUIZ'!O131,"")</f>
        <v>0</v>
      </c>
      <c r="P132" s="12">
        <f>IF(IF(SelectedScope="All India",TRUE,'RAW_QUIZ'!$B131=SelectedScope),'RAW_QUIZ'!P131,"")</f>
        <v>0</v>
      </c>
      <c r="Q132" s="12">
        <f>IF(IF(SelectedScope="All India",TRUE,'RAW_QUIZ'!$B131=SelectedScope),'RAW_QUIZ'!Q131,"")</f>
        <v>0</v>
      </c>
    </row>
    <row r="133" spans="1:17" ht="15" customHeight="1" x14ac:dyDescent="0.3">
      <c r="A133" s="9">
        <f>IF(IF(SelectedScope="All India",TRUE,'RAW_QUIZ'!$B132=SelectedScope),'RAW_QUIZ'!A132,"")</f>
        <v>129</v>
      </c>
      <c r="B133" s="9" t="str">
        <f>IF(IF(SelectedScope="All India",TRUE,'RAW_QUIZ'!$B132=SelectedScope),'RAW_QUIZ'!B132,"")</f>
        <v>Himachal Pradesh</v>
      </c>
      <c r="C133" s="9" t="str">
        <f>IF(IF(SelectedScope="All India",TRUE,'RAW_QUIZ'!$B132=SelectedScope),'RAW_QUIZ'!C132,"")</f>
        <v>Civics</v>
      </c>
      <c r="D133" s="9" t="str">
        <f>IF(IF(SelectedScope="All India",TRUE,'RAW_QUIZ'!$B132=SelectedScope),'RAW_QUIZ'!D132,"")</f>
        <v>Class 9</v>
      </c>
      <c r="E133" s="9" t="str">
        <f>IF(IF(SelectedScope="All India",TRUE,'RAW_QUIZ'!$B132=SelectedScope),'RAW_QUIZ'!E132,"")</f>
        <v>Indian Constitution — Unit Quiz</v>
      </c>
      <c r="F133" s="9">
        <f>IF(IF(SelectedScope="All India",TRUE,'RAW_QUIZ'!$B132=SelectedScope),'RAW_QUIZ'!F132,"")</f>
        <v>0</v>
      </c>
      <c r="G133" s="9" t="str">
        <f>IF(IF(SelectedScope="All India",TRUE,'RAW_QUIZ'!$B132=SelectedScope),'RAW_QUIZ'!G132,"")</f>
        <v>Active</v>
      </c>
      <c r="H133" s="9">
        <f>IF(IF(SelectedScope="All India",TRUE,'RAW_QUIZ'!$B132=SelectedScope),'RAW_QUIZ'!H132,"")</f>
        <v>0</v>
      </c>
      <c r="I133" s="9">
        <f>IF(IF(SelectedScope="All India",TRUE,'RAW_QUIZ'!$B132=SelectedScope),'RAW_QUIZ'!I132,"")</f>
        <v>0</v>
      </c>
      <c r="J133" s="9">
        <f>IF(IF(SelectedScope="All India",TRUE,'RAW_QUIZ'!$B132=SelectedScope),'RAW_QUIZ'!J132,"")</f>
        <v>0</v>
      </c>
      <c r="K133" s="9">
        <f>IF(IF(SelectedScope="All India",TRUE,'RAW_QUIZ'!$B132=SelectedScope),'RAW_QUIZ'!K132,"")</f>
        <v>0</v>
      </c>
      <c r="L133" s="9">
        <f>IF(IF(SelectedScope="All India",TRUE,'RAW_QUIZ'!$B132=SelectedScope),'RAW_QUIZ'!L132,"")</f>
        <v>0</v>
      </c>
      <c r="M133" s="9">
        <f>IF(IF(SelectedScope="All India",TRUE,'RAW_QUIZ'!$B132=SelectedScope),'RAW_QUIZ'!M132,"")</f>
        <v>0</v>
      </c>
      <c r="N133" s="9">
        <f>IF(IF(SelectedScope="All India",TRUE,'RAW_QUIZ'!$B132=SelectedScope),'RAW_QUIZ'!N132,"")</f>
        <v>0</v>
      </c>
      <c r="O133" s="9">
        <f>IF(IF(SelectedScope="All India",TRUE,'RAW_QUIZ'!$B132=SelectedScope),'RAW_QUIZ'!O132,"")</f>
        <v>0</v>
      </c>
      <c r="P133" s="9">
        <f>IF(IF(SelectedScope="All India",TRUE,'RAW_QUIZ'!$B132=SelectedScope),'RAW_QUIZ'!P132,"")</f>
        <v>0</v>
      </c>
      <c r="Q133" s="9">
        <f>IF(IF(SelectedScope="All India",TRUE,'RAW_QUIZ'!$B132=SelectedScope),'RAW_QUIZ'!Q132,"")</f>
        <v>0</v>
      </c>
    </row>
    <row r="134" spans="1:17" ht="15" customHeight="1" x14ac:dyDescent="0.3">
      <c r="A134" s="12">
        <f>IF(IF(SelectedScope="All India",TRUE,'RAW_QUIZ'!$B133=SelectedScope),'RAW_QUIZ'!A133,"")</f>
        <v>130</v>
      </c>
      <c r="B134" s="12" t="str">
        <f>IF(IF(SelectedScope="All India",TRUE,'RAW_QUIZ'!$B133=SelectedScope),'RAW_QUIZ'!B133,"")</f>
        <v>Himachal Pradesh</v>
      </c>
      <c r="C134" s="12" t="str">
        <f>IF(IF(SelectedScope="All India",TRUE,'RAW_QUIZ'!$B133=SelectedScope),'RAW_QUIZ'!C133,"")</f>
        <v>Mathematics</v>
      </c>
      <c r="D134" s="12" t="str">
        <f>IF(IF(SelectedScope="All India",TRUE,'RAW_QUIZ'!$B133=SelectedScope),'RAW_QUIZ'!D133,"")</f>
        <v>Class 10</v>
      </c>
      <c r="E134" s="12" t="str">
        <f>IF(IF(SelectedScope="All India",TRUE,'RAW_QUIZ'!$B133=SelectedScope),'RAW_QUIZ'!E133,"")</f>
        <v>Quadratic Equations — Unit Quiz</v>
      </c>
      <c r="F134" s="12">
        <f>IF(IF(SelectedScope="All India",TRUE,'RAW_QUIZ'!$B133=SelectedScope),'RAW_QUIZ'!F133,"")</f>
        <v>0</v>
      </c>
      <c r="G134" s="12" t="str">
        <f>IF(IF(SelectedScope="All India",TRUE,'RAW_QUIZ'!$B133=SelectedScope),'RAW_QUIZ'!G133,"")</f>
        <v>Active</v>
      </c>
      <c r="H134" s="12">
        <f>IF(IF(SelectedScope="All India",TRUE,'RAW_QUIZ'!$B133=SelectedScope),'RAW_QUIZ'!H133,"")</f>
        <v>0</v>
      </c>
      <c r="I134" s="12">
        <f>IF(IF(SelectedScope="All India",TRUE,'RAW_QUIZ'!$B133=SelectedScope),'RAW_QUIZ'!I133,"")</f>
        <v>0</v>
      </c>
      <c r="J134" s="12">
        <f>IF(IF(SelectedScope="All India",TRUE,'RAW_QUIZ'!$B133=SelectedScope),'RAW_QUIZ'!J133,"")</f>
        <v>0</v>
      </c>
      <c r="K134" s="12">
        <f>IF(IF(SelectedScope="All India",TRUE,'RAW_QUIZ'!$B133=SelectedScope),'RAW_QUIZ'!K133,"")</f>
        <v>0</v>
      </c>
      <c r="L134" s="12">
        <f>IF(IF(SelectedScope="All India",TRUE,'RAW_QUIZ'!$B133=SelectedScope),'RAW_QUIZ'!L133,"")</f>
        <v>0</v>
      </c>
      <c r="M134" s="12">
        <f>IF(IF(SelectedScope="All India",TRUE,'RAW_QUIZ'!$B133=SelectedScope),'RAW_QUIZ'!M133,"")</f>
        <v>0</v>
      </c>
      <c r="N134" s="12">
        <f>IF(IF(SelectedScope="All India",TRUE,'RAW_QUIZ'!$B133=SelectedScope),'RAW_QUIZ'!N133,"")</f>
        <v>0</v>
      </c>
      <c r="O134" s="12">
        <f>IF(IF(SelectedScope="All India",TRUE,'RAW_QUIZ'!$B133=SelectedScope),'RAW_QUIZ'!O133,"")</f>
        <v>0</v>
      </c>
      <c r="P134" s="12">
        <f>IF(IF(SelectedScope="All India",TRUE,'RAW_QUIZ'!$B133=SelectedScope),'RAW_QUIZ'!P133,"")</f>
        <v>0</v>
      </c>
      <c r="Q134" s="12">
        <f>IF(IF(SelectedScope="All India",TRUE,'RAW_QUIZ'!$B133=SelectedScope),'RAW_QUIZ'!Q133,"")</f>
        <v>0</v>
      </c>
    </row>
    <row r="135" spans="1:17" ht="15" customHeight="1" x14ac:dyDescent="0.3">
      <c r="A135" s="9">
        <f>IF(IF(SelectedScope="All India",TRUE,'RAW_QUIZ'!$B134=SelectedScope),'RAW_QUIZ'!A134,"")</f>
        <v>131</v>
      </c>
      <c r="B135" s="9" t="str">
        <f>IF(IF(SelectedScope="All India",TRUE,'RAW_QUIZ'!$B134=SelectedScope),'RAW_QUIZ'!B134,"")</f>
        <v>Jammu and Kashmir</v>
      </c>
      <c r="C135" s="9" t="str">
        <f>IF(IF(SelectedScope="All India",TRUE,'RAW_QUIZ'!$B134=SelectedScope),'RAW_QUIZ'!C134,"")</f>
        <v>Science</v>
      </c>
      <c r="D135" s="9" t="str">
        <f>IF(IF(SelectedScope="All India",TRUE,'RAW_QUIZ'!$B134=SelectedScope),'RAW_QUIZ'!D134,"")</f>
        <v>Class 8</v>
      </c>
      <c r="E135" s="9" t="str">
        <f>IF(IF(SelectedScope="All India",TRUE,'RAW_QUIZ'!$B134=SelectedScope),'RAW_QUIZ'!E134,"")</f>
        <v>Solar System — Unit Quiz</v>
      </c>
      <c r="F135" s="9">
        <f>IF(IF(SelectedScope="All India",TRUE,'RAW_QUIZ'!$B134=SelectedScope),'RAW_QUIZ'!F134,"")</f>
        <v>0</v>
      </c>
      <c r="G135" s="9" t="str">
        <f>IF(IF(SelectedScope="All India",TRUE,'RAW_QUIZ'!$B134=SelectedScope),'RAW_QUIZ'!G134,"")</f>
        <v>Active</v>
      </c>
      <c r="H135" s="9">
        <f>IF(IF(SelectedScope="All India",TRUE,'RAW_QUIZ'!$B134=SelectedScope),'RAW_QUIZ'!H134,"")</f>
        <v>0</v>
      </c>
      <c r="I135" s="9">
        <f>IF(IF(SelectedScope="All India",TRUE,'RAW_QUIZ'!$B134=SelectedScope),'RAW_QUIZ'!I134,"")</f>
        <v>0</v>
      </c>
      <c r="J135" s="9">
        <f>IF(IF(SelectedScope="All India",TRUE,'RAW_QUIZ'!$B134=SelectedScope),'RAW_QUIZ'!J134,"")</f>
        <v>0</v>
      </c>
      <c r="K135" s="9">
        <f>IF(IF(SelectedScope="All India",TRUE,'RAW_QUIZ'!$B134=SelectedScope),'RAW_QUIZ'!K134,"")</f>
        <v>0</v>
      </c>
      <c r="L135" s="9">
        <f>IF(IF(SelectedScope="All India",TRUE,'RAW_QUIZ'!$B134=SelectedScope),'RAW_QUIZ'!L134,"")</f>
        <v>0</v>
      </c>
      <c r="M135" s="9">
        <f>IF(IF(SelectedScope="All India",TRUE,'RAW_QUIZ'!$B134=SelectedScope),'RAW_QUIZ'!M134,"")</f>
        <v>0</v>
      </c>
      <c r="N135" s="9">
        <f>IF(IF(SelectedScope="All India",TRUE,'RAW_QUIZ'!$B134=SelectedScope),'RAW_QUIZ'!N134,"")</f>
        <v>0</v>
      </c>
      <c r="O135" s="9">
        <f>IF(IF(SelectedScope="All India",TRUE,'RAW_QUIZ'!$B134=SelectedScope),'RAW_QUIZ'!O134,"")</f>
        <v>0</v>
      </c>
      <c r="P135" s="9">
        <f>IF(IF(SelectedScope="All India",TRUE,'RAW_QUIZ'!$B134=SelectedScope),'RAW_QUIZ'!P134,"")</f>
        <v>0</v>
      </c>
      <c r="Q135" s="9">
        <f>IF(IF(SelectedScope="All India",TRUE,'RAW_QUIZ'!$B134=SelectedScope),'RAW_QUIZ'!Q134,"")</f>
        <v>0</v>
      </c>
    </row>
    <row r="136" spans="1:17" ht="15" customHeight="1" x14ac:dyDescent="0.3">
      <c r="A136" s="12">
        <f>IF(IF(SelectedScope="All India",TRUE,'RAW_QUIZ'!$B135=SelectedScope),'RAW_QUIZ'!A135,"")</f>
        <v>132</v>
      </c>
      <c r="B136" s="12" t="str">
        <f>IF(IF(SelectedScope="All India",TRUE,'RAW_QUIZ'!$B135=SelectedScope),'RAW_QUIZ'!B135,"")</f>
        <v>Jammu and Kashmir</v>
      </c>
      <c r="C136" s="12" t="str">
        <f>IF(IF(SelectedScope="All India",TRUE,'RAW_QUIZ'!$B135=SelectedScope),'RAW_QUIZ'!C135,"")</f>
        <v>Biology</v>
      </c>
      <c r="D136" s="12" t="str">
        <f>IF(IF(SelectedScope="All India",TRUE,'RAW_QUIZ'!$B135=SelectedScope),'RAW_QUIZ'!D135,"")</f>
        <v>Class 9</v>
      </c>
      <c r="E136" s="12" t="str">
        <f>IF(IF(SelectedScope="All India",TRUE,'RAW_QUIZ'!$B135=SelectedScope),'RAW_QUIZ'!E135,"")</f>
        <v>Cell Division — Unit Quiz</v>
      </c>
      <c r="F136" s="12">
        <f>IF(IF(SelectedScope="All India",TRUE,'RAW_QUIZ'!$B135=SelectedScope),'RAW_QUIZ'!F135,"")</f>
        <v>0</v>
      </c>
      <c r="G136" s="12" t="str">
        <f>IF(IF(SelectedScope="All India",TRUE,'RAW_QUIZ'!$B135=SelectedScope),'RAW_QUIZ'!G135,"")</f>
        <v>Active</v>
      </c>
      <c r="H136" s="12">
        <f>IF(IF(SelectedScope="All India",TRUE,'RAW_QUIZ'!$B135=SelectedScope),'RAW_QUIZ'!H135,"")</f>
        <v>0</v>
      </c>
      <c r="I136" s="12">
        <f>IF(IF(SelectedScope="All India",TRUE,'RAW_QUIZ'!$B135=SelectedScope),'RAW_QUIZ'!I135,"")</f>
        <v>0</v>
      </c>
      <c r="J136" s="12">
        <f>IF(IF(SelectedScope="All India",TRUE,'RAW_QUIZ'!$B135=SelectedScope),'RAW_QUIZ'!J135,"")</f>
        <v>0</v>
      </c>
      <c r="K136" s="12">
        <f>IF(IF(SelectedScope="All India",TRUE,'RAW_QUIZ'!$B135=SelectedScope),'RAW_QUIZ'!K135,"")</f>
        <v>0</v>
      </c>
      <c r="L136" s="12">
        <f>IF(IF(SelectedScope="All India",TRUE,'RAW_QUIZ'!$B135=SelectedScope),'RAW_QUIZ'!L135,"")</f>
        <v>0</v>
      </c>
      <c r="M136" s="12">
        <f>IF(IF(SelectedScope="All India",TRUE,'RAW_QUIZ'!$B135=SelectedScope),'RAW_QUIZ'!M135,"")</f>
        <v>0</v>
      </c>
      <c r="N136" s="12">
        <f>IF(IF(SelectedScope="All India",TRUE,'RAW_QUIZ'!$B135=SelectedScope),'RAW_QUIZ'!N135,"")</f>
        <v>0</v>
      </c>
      <c r="O136" s="12">
        <f>IF(IF(SelectedScope="All India",TRUE,'RAW_QUIZ'!$B135=SelectedScope),'RAW_QUIZ'!O135,"")</f>
        <v>0</v>
      </c>
      <c r="P136" s="12">
        <f>IF(IF(SelectedScope="All India",TRUE,'RAW_QUIZ'!$B135=SelectedScope),'RAW_QUIZ'!P135,"")</f>
        <v>0</v>
      </c>
      <c r="Q136" s="12">
        <f>IF(IF(SelectedScope="All India",TRUE,'RAW_QUIZ'!$B135=SelectedScope),'RAW_QUIZ'!Q135,"")</f>
        <v>0</v>
      </c>
    </row>
    <row r="137" spans="1:17" ht="15" customHeight="1" x14ac:dyDescent="0.3">
      <c r="A137" s="9">
        <f>IF(IF(SelectedScope="All India",TRUE,'RAW_QUIZ'!$B136=SelectedScope),'RAW_QUIZ'!A136,"")</f>
        <v>133</v>
      </c>
      <c r="B137" s="9" t="str">
        <f>IF(IF(SelectedScope="All India",TRUE,'RAW_QUIZ'!$B136=SelectedScope),'RAW_QUIZ'!B136,"")</f>
        <v>Jammu and Kashmir</v>
      </c>
      <c r="C137" s="9" t="str">
        <f>IF(IF(SelectedScope="All India",TRUE,'RAW_QUIZ'!$B136=SelectedScope),'RAW_QUIZ'!C136,"")</f>
        <v>Chemistry</v>
      </c>
      <c r="D137" s="9" t="str">
        <f>IF(IF(SelectedScope="All India",TRUE,'RAW_QUIZ'!$B136=SelectedScope),'RAW_QUIZ'!D136,"")</f>
        <v>Class 9</v>
      </c>
      <c r="E137" s="9" t="str">
        <f>IF(IF(SelectedScope="All India",TRUE,'RAW_QUIZ'!$B136=SelectedScope),'RAW_QUIZ'!E136,"")</f>
        <v>Atoms and Molecules — Unit Quiz</v>
      </c>
      <c r="F137" s="9">
        <f>IF(IF(SelectedScope="All India",TRUE,'RAW_QUIZ'!$B136=SelectedScope),'RAW_QUIZ'!F136,"")</f>
        <v>0</v>
      </c>
      <c r="G137" s="9" t="str">
        <f>IF(IF(SelectedScope="All India",TRUE,'RAW_QUIZ'!$B136=SelectedScope),'RAW_QUIZ'!G136,"")</f>
        <v>Active</v>
      </c>
      <c r="H137" s="9">
        <f>IF(IF(SelectedScope="All India",TRUE,'RAW_QUIZ'!$B136=SelectedScope),'RAW_QUIZ'!H136,"")</f>
        <v>0</v>
      </c>
      <c r="I137" s="9">
        <f>IF(IF(SelectedScope="All India",TRUE,'RAW_QUIZ'!$B136=SelectedScope),'RAW_QUIZ'!I136,"")</f>
        <v>0</v>
      </c>
      <c r="J137" s="9">
        <f>IF(IF(SelectedScope="All India",TRUE,'RAW_QUIZ'!$B136=SelectedScope),'RAW_QUIZ'!J136,"")</f>
        <v>0</v>
      </c>
      <c r="K137" s="9">
        <f>IF(IF(SelectedScope="All India",TRUE,'RAW_QUIZ'!$B136=SelectedScope),'RAW_QUIZ'!K136,"")</f>
        <v>0</v>
      </c>
      <c r="L137" s="9">
        <f>IF(IF(SelectedScope="All India",TRUE,'RAW_QUIZ'!$B136=SelectedScope),'RAW_QUIZ'!L136,"")</f>
        <v>0</v>
      </c>
      <c r="M137" s="9">
        <f>IF(IF(SelectedScope="All India",TRUE,'RAW_QUIZ'!$B136=SelectedScope),'RAW_QUIZ'!M136,"")</f>
        <v>0</v>
      </c>
      <c r="N137" s="9">
        <f>IF(IF(SelectedScope="All India",TRUE,'RAW_QUIZ'!$B136=SelectedScope),'RAW_QUIZ'!N136,"")</f>
        <v>0</v>
      </c>
      <c r="O137" s="9">
        <f>IF(IF(SelectedScope="All India",TRUE,'RAW_QUIZ'!$B136=SelectedScope),'RAW_QUIZ'!O136,"")</f>
        <v>0</v>
      </c>
      <c r="P137" s="9">
        <f>IF(IF(SelectedScope="All India",TRUE,'RAW_QUIZ'!$B136=SelectedScope),'RAW_QUIZ'!P136,"")</f>
        <v>0</v>
      </c>
      <c r="Q137" s="9">
        <f>IF(IF(SelectedScope="All India",TRUE,'RAW_QUIZ'!$B136=SelectedScope),'RAW_QUIZ'!Q136,"")</f>
        <v>0</v>
      </c>
    </row>
    <row r="138" spans="1:17" ht="15" customHeight="1" x14ac:dyDescent="0.3">
      <c r="A138" s="12">
        <f>IF(IF(SelectedScope="All India",TRUE,'RAW_QUIZ'!$B137=SelectedScope),'RAW_QUIZ'!A137,"")</f>
        <v>134</v>
      </c>
      <c r="B138" s="12" t="str">
        <f>IF(IF(SelectedScope="All India",TRUE,'RAW_QUIZ'!$B137=SelectedScope),'RAW_QUIZ'!B137,"")</f>
        <v>Jammu and Kashmir</v>
      </c>
      <c r="C138" s="12" t="str">
        <f>IF(IF(SelectedScope="All India",TRUE,'RAW_QUIZ'!$B137=SelectedScope),'RAW_QUIZ'!C137,"")</f>
        <v>Mathematics</v>
      </c>
      <c r="D138" s="12" t="str">
        <f>IF(IF(SelectedScope="All India",TRUE,'RAW_QUIZ'!$B137=SelectedScope),'RAW_QUIZ'!D137,"")</f>
        <v>Class 7</v>
      </c>
      <c r="E138" s="12" t="str">
        <f>IF(IF(SelectedScope="All India",TRUE,'RAW_QUIZ'!$B137=SelectedScope),'RAW_QUIZ'!E137,"")</f>
        <v>Fractions — Unit Quiz</v>
      </c>
      <c r="F138" s="12">
        <f>IF(IF(SelectedScope="All India",TRUE,'RAW_QUIZ'!$B137=SelectedScope),'RAW_QUIZ'!F137,"")</f>
        <v>0</v>
      </c>
      <c r="G138" s="12" t="str">
        <f>IF(IF(SelectedScope="All India",TRUE,'RAW_QUIZ'!$B137=SelectedScope),'RAW_QUIZ'!G137,"")</f>
        <v>Active</v>
      </c>
      <c r="H138" s="12">
        <f>IF(IF(SelectedScope="All India",TRUE,'RAW_QUIZ'!$B137=SelectedScope),'RAW_QUIZ'!H137,"")</f>
        <v>0</v>
      </c>
      <c r="I138" s="12">
        <f>IF(IF(SelectedScope="All India",TRUE,'RAW_QUIZ'!$B137=SelectedScope),'RAW_QUIZ'!I137,"")</f>
        <v>0</v>
      </c>
      <c r="J138" s="12">
        <f>IF(IF(SelectedScope="All India",TRUE,'RAW_QUIZ'!$B137=SelectedScope),'RAW_QUIZ'!J137,"")</f>
        <v>0</v>
      </c>
      <c r="K138" s="12">
        <f>IF(IF(SelectedScope="All India",TRUE,'RAW_QUIZ'!$B137=SelectedScope),'RAW_QUIZ'!K137,"")</f>
        <v>0</v>
      </c>
      <c r="L138" s="12">
        <f>IF(IF(SelectedScope="All India",TRUE,'RAW_QUIZ'!$B137=SelectedScope),'RAW_QUIZ'!L137,"")</f>
        <v>0</v>
      </c>
      <c r="M138" s="12">
        <f>IF(IF(SelectedScope="All India",TRUE,'RAW_QUIZ'!$B137=SelectedScope),'RAW_QUIZ'!M137,"")</f>
        <v>0</v>
      </c>
      <c r="N138" s="12">
        <f>IF(IF(SelectedScope="All India",TRUE,'RAW_QUIZ'!$B137=SelectedScope),'RAW_QUIZ'!N137,"")</f>
        <v>0</v>
      </c>
      <c r="O138" s="12">
        <f>IF(IF(SelectedScope="All India",TRUE,'RAW_QUIZ'!$B137=SelectedScope),'RAW_QUIZ'!O137,"")</f>
        <v>0</v>
      </c>
      <c r="P138" s="12">
        <f>IF(IF(SelectedScope="All India",TRUE,'RAW_QUIZ'!$B137=SelectedScope),'RAW_QUIZ'!P137,"")</f>
        <v>0</v>
      </c>
      <c r="Q138" s="12">
        <f>IF(IF(SelectedScope="All India",TRUE,'RAW_QUIZ'!$B137=SelectedScope),'RAW_QUIZ'!Q137,"")</f>
        <v>0</v>
      </c>
    </row>
    <row r="139" spans="1:17" ht="15" customHeight="1" x14ac:dyDescent="0.3">
      <c r="A139" s="9">
        <f>IF(IF(SelectedScope="All India",TRUE,'RAW_QUIZ'!$B138=SelectedScope),'RAW_QUIZ'!A138,"")</f>
        <v>135</v>
      </c>
      <c r="B139" s="9" t="str">
        <f>IF(IF(SelectedScope="All India",TRUE,'RAW_QUIZ'!$B138=SelectedScope),'RAW_QUIZ'!B138,"")</f>
        <v>Jammu and Kashmir</v>
      </c>
      <c r="C139" s="9" t="str">
        <f>IF(IF(SelectedScope="All India",TRUE,'RAW_QUIZ'!$B138=SelectedScope),'RAW_QUIZ'!C138,"")</f>
        <v>Mathematics</v>
      </c>
      <c r="D139" s="9" t="str">
        <f>IF(IF(SelectedScope="All India",TRUE,'RAW_QUIZ'!$B138=SelectedScope),'RAW_QUIZ'!D138,"")</f>
        <v>Class 10</v>
      </c>
      <c r="E139" s="9" t="str">
        <f>IF(IF(SelectedScope="All India",TRUE,'RAW_QUIZ'!$B138=SelectedScope),'RAW_QUIZ'!E138,"")</f>
        <v>Trigonometry — Unit Quiz</v>
      </c>
      <c r="F139" s="9">
        <f>IF(IF(SelectedScope="All India",TRUE,'RAW_QUIZ'!$B138=SelectedScope),'RAW_QUIZ'!F138,"")</f>
        <v>0</v>
      </c>
      <c r="G139" s="9" t="str">
        <f>IF(IF(SelectedScope="All India",TRUE,'RAW_QUIZ'!$B138=SelectedScope),'RAW_QUIZ'!G138,"")</f>
        <v>Active</v>
      </c>
      <c r="H139" s="9">
        <f>IF(IF(SelectedScope="All India",TRUE,'RAW_QUIZ'!$B138=SelectedScope),'RAW_QUIZ'!H138,"")</f>
        <v>0</v>
      </c>
      <c r="I139" s="9">
        <f>IF(IF(SelectedScope="All India",TRUE,'RAW_QUIZ'!$B138=SelectedScope),'RAW_QUIZ'!I138,"")</f>
        <v>0</v>
      </c>
      <c r="J139" s="9">
        <f>IF(IF(SelectedScope="All India",TRUE,'RAW_QUIZ'!$B138=SelectedScope),'RAW_QUIZ'!J138,"")</f>
        <v>0</v>
      </c>
      <c r="K139" s="9">
        <f>IF(IF(SelectedScope="All India",TRUE,'RAW_QUIZ'!$B138=SelectedScope),'RAW_QUIZ'!K138,"")</f>
        <v>0</v>
      </c>
      <c r="L139" s="9">
        <f>IF(IF(SelectedScope="All India",TRUE,'RAW_QUIZ'!$B138=SelectedScope),'RAW_QUIZ'!L138,"")</f>
        <v>0</v>
      </c>
      <c r="M139" s="9">
        <f>IF(IF(SelectedScope="All India",TRUE,'RAW_QUIZ'!$B138=SelectedScope),'RAW_QUIZ'!M138,"")</f>
        <v>0</v>
      </c>
      <c r="N139" s="9">
        <f>IF(IF(SelectedScope="All India",TRUE,'RAW_QUIZ'!$B138=SelectedScope),'RAW_QUIZ'!N138,"")</f>
        <v>0</v>
      </c>
      <c r="O139" s="9">
        <f>IF(IF(SelectedScope="All India",TRUE,'RAW_QUIZ'!$B138=SelectedScope),'RAW_QUIZ'!O138,"")</f>
        <v>0</v>
      </c>
      <c r="P139" s="9">
        <f>IF(IF(SelectedScope="All India",TRUE,'RAW_QUIZ'!$B138=SelectedScope),'RAW_QUIZ'!P138,"")</f>
        <v>0</v>
      </c>
      <c r="Q139" s="9">
        <f>IF(IF(SelectedScope="All India",TRUE,'RAW_QUIZ'!$B138=SelectedScope),'RAW_QUIZ'!Q138,"")</f>
        <v>0</v>
      </c>
    </row>
    <row r="140" spans="1:17" ht="15" customHeight="1" x14ac:dyDescent="0.3">
      <c r="A140" s="12">
        <f>IF(IF(SelectedScope="All India",TRUE,'RAW_QUIZ'!$B139=SelectedScope),'RAW_QUIZ'!A139,"")</f>
        <v>136</v>
      </c>
      <c r="B140" s="12" t="str">
        <f>IF(IF(SelectedScope="All India",TRUE,'RAW_QUIZ'!$B139=SelectedScope),'RAW_QUIZ'!B139,"")</f>
        <v>Jammu and Kashmir</v>
      </c>
      <c r="C140" s="12" t="str">
        <f>IF(IF(SelectedScope="All India",TRUE,'RAW_QUIZ'!$B139=SelectedScope),'RAW_QUIZ'!C139,"")</f>
        <v>History</v>
      </c>
      <c r="D140" s="12" t="str">
        <f>IF(IF(SelectedScope="All India",TRUE,'RAW_QUIZ'!$B139=SelectedScope),'RAW_QUIZ'!D139,"")</f>
        <v>Class 10</v>
      </c>
      <c r="E140" s="12" t="str">
        <f>IF(IF(SelectedScope="All India",TRUE,'RAW_QUIZ'!$B139=SelectedScope),'RAW_QUIZ'!E139,"")</f>
        <v>Mughal Empire — Unit Quiz</v>
      </c>
      <c r="F140" s="12">
        <f>IF(IF(SelectedScope="All India",TRUE,'RAW_QUIZ'!$B139=SelectedScope),'RAW_QUIZ'!F139,"")</f>
        <v>0</v>
      </c>
      <c r="G140" s="12" t="str">
        <f>IF(IF(SelectedScope="All India",TRUE,'RAW_QUIZ'!$B139=SelectedScope),'RAW_QUIZ'!G139,"")</f>
        <v>Active</v>
      </c>
      <c r="H140" s="12">
        <f>IF(IF(SelectedScope="All India",TRUE,'RAW_QUIZ'!$B139=SelectedScope),'RAW_QUIZ'!H139,"")</f>
        <v>0</v>
      </c>
      <c r="I140" s="12">
        <f>IF(IF(SelectedScope="All India",TRUE,'RAW_QUIZ'!$B139=SelectedScope),'RAW_QUIZ'!I139,"")</f>
        <v>0</v>
      </c>
      <c r="J140" s="12">
        <f>IF(IF(SelectedScope="All India",TRUE,'RAW_QUIZ'!$B139=SelectedScope),'RAW_QUIZ'!J139,"")</f>
        <v>0</v>
      </c>
      <c r="K140" s="12">
        <f>IF(IF(SelectedScope="All India",TRUE,'RAW_QUIZ'!$B139=SelectedScope),'RAW_QUIZ'!K139,"")</f>
        <v>0</v>
      </c>
      <c r="L140" s="12">
        <f>IF(IF(SelectedScope="All India",TRUE,'RAW_QUIZ'!$B139=SelectedScope),'RAW_QUIZ'!L139,"")</f>
        <v>0</v>
      </c>
      <c r="M140" s="12">
        <f>IF(IF(SelectedScope="All India",TRUE,'RAW_QUIZ'!$B139=SelectedScope),'RAW_QUIZ'!M139,"")</f>
        <v>0</v>
      </c>
      <c r="N140" s="12">
        <f>IF(IF(SelectedScope="All India",TRUE,'RAW_QUIZ'!$B139=SelectedScope),'RAW_QUIZ'!N139,"")</f>
        <v>0</v>
      </c>
      <c r="O140" s="12">
        <f>IF(IF(SelectedScope="All India",TRUE,'RAW_QUIZ'!$B139=SelectedScope),'RAW_QUIZ'!O139,"")</f>
        <v>0</v>
      </c>
      <c r="P140" s="12">
        <f>IF(IF(SelectedScope="All India",TRUE,'RAW_QUIZ'!$B139=SelectedScope),'RAW_QUIZ'!P139,"")</f>
        <v>0</v>
      </c>
      <c r="Q140" s="12">
        <f>IF(IF(SelectedScope="All India",TRUE,'RAW_QUIZ'!$B139=SelectedScope),'RAW_QUIZ'!Q139,"")</f>
        <v>0</v>
      </c>
    </row>
    <row r="141" spans="1:17" ht="15" customHeight="1" x14ac:dyDescent="0.3">
      <c r="A141" s="9">
        <f>IF(IF(SelectedScope="All India",TRUE,'RAW_QUIZ'!$B140=SelectedScope),'RAW_QUIZ'!A140,"")</f>
        <v>137</v>
      </c>
      <c r="B141" s="9" t="str">
        <f>IF(IF(SelectedScope="All India",TRUE,'RAW_QUIZ'!$B140=SelectedScope),'RAW_QUIZ'!B140,"")</f>
        <v>Jammu and Kashmir</v>
      </c>
      <c r="C141" s="9" t="str">
        <f>IF(IF(SelectedScope="All India",TRUE,'RAW_QUIZ'!$B140=SelectedScope),'RAW_QUIZ'!C140,"")</f>
        <v>Physics</v>
      </c>
      <c r="D141" s="9" t="str">
        <f>IF(IF(SelectedScope="All India",TRUE,'RAW_QUIZ'!$B140=SelectedScope),'RAW_QUIZ'!D140,"")</f>
        <v>Class 9</v>
      </c>
      <c r="E141" s="9" t="str">
        <f>IF(IF(SelectedScope="All India",TRUE,'RAW_QUIZ'!$B140=SelectedScope),'RAW_QUIZ'!E140,"")</f>
        <v>Laws of Motion — Unit Quiz</v>
      </c>
      <c r="F141" s="9">
        <f>IF(IF(SelectedScope="All India",TRUE,'RAW_QUIZ'!$B140=SelectedScope),'RAW_QUIZ'!F140,"")</f>
        <v>0</v>
      </c>
      <c r="G141" s="9" t="str">
        <f>IF(IF(SelectedScope="All India",TRUE,'RAW_QUIZ'!$B140=SelectedScope),'RAW_QUIZ'!G140,"")</f>
        <v>Active</v>
      </c>
      <c r="H141" s="9">
        <f>IF(IF(SelectedScope="All India",TRUE,'RAW_QUIZ'!$B140=SelectedScope),'RAW_QUIZ'!H140,"")</f>
        <v>0</v>
      </c>
      <c r="I141" s="9">
        <f>IF(IF(SelectedScope="All India",TRUE,'RAW_QUIZ'!$B140=SelectedScope),'RAW_QUIZ'!I140,"")</f>
        <v>0</v>
      </c>
      <c r="J141" s="9">
        <f>IF(IF(SelectedScope="All India",TRUE,'RAW_QUIZ'!$B140=SelectedScope),'RAW_QUIZ'!J140,"")</f>
        <v>0</v>
      </c>
      <c r="K141" s="9">
        <f>IF(IF(SelectedScope="All India",TRUE,'RAW_QUIZ'!$B140=SelectedScope),'RAW_QUIZ'!K140,"")</f>
        <v>0</v>
      </c>
      <c r="L141" s="9">
        <f>IF(IF(SelectedScope="All India",TRUE,'RAW_QUIZ'!$B140=SelectedScope),'RAW_QUIZ'!L140,"")</f>
        <v>0</v>
      </c>
      <c r="M141" s="9">
        <f>IF(IF(SelectedScope="All India",TRUE,'RAW_QUIZ'!$B140=SelectedScope),'RAW_QUIZ'!M140,"")</f>
        <v>0</v>
      </c>
      <c r="N141" s="9">
        <f>IF(IF(SelectedScope="All India",TRUE,'RAW_QUIZ'!$B140=SelectedScope),'RAW_QUIZ'!N140,"")</f>
        <v>0</v>
      </c>
      <c r="O141" s="9">
        <f>IF(IF(SelectedScope="All India",TRUE,'RAW_QUIZ'!$B140=SelectedScope),'RAW_QUIZ'!O140,"")</f>
        <v>0</v>
      </c>
      <c r="P141" s="9">
        <f>IF(IF(SelectedScope="All India",TRUE,'RAW_QUIZ'!$B140=SelectedScope),'RAW_QUIZ'!P140,"")</f>
        <v>0</v>
      </c>
      <c r="Q141" s="9">
        <f>IF(IF(SelectedScope="All India",TRUE,'RAW_QUIZ'!$B140=SelectedScope),'RAW_QUIZ'!Q140,"")</f>
        <v>0</v>
      </c>
    </row>
    <row r="142" spans="1:17" ht="15" customHeight="1" x14ac:dyDescent="0.3">
      <c r="A142" s="12">
        <f>IF(IF(SelectedScope="All India",TRUE,'RAW_QUIZ'!$B141=SelectedScope),'RAW_QUIZ'!A141,"")</f>
        <v>138</v>
      </c>
      <c r="B142" s="12" t="str">
        <f>IF(IF(SelectedScope="All India",TRUE,'RAW_QUIZ'!$B141=SelectedScope),'RAW_QUIZ'!B141,"")</f>
        <v>Jammu and Kashmir</v>
      </c>
      <c r="C142" s="12" t="str">
        <f>IF(IF(SelectedScope="All India",TRUE,'RAW_QUIZ'!$B141=SelectedScope),'RAW_QUIZ'!C141,"")</f>
        <v>Physics</v>
      </c>
      <c r="D142" s="12" t="str">
        <f>IF(IF(SelectedScope="All India",TRUE,'RAW_QUIZ'!$B141=SelectedScope),'RAW_QUIZ'!D141,"")</f>
        <v>Class 10</v>
      </c>
      <c r="E142" s="12" t="str">
        <f>IF(IF(SelectedScope="All India",TRUE,'RAW_QUIZ'!$B141=SelectedScope),'RAW_QUIZ'!E141,"")</f>
        <v>Electricity — Unit Quiz</v>
      </c>
      <c r="F142" s="12">
        <f>IF(IF(SelectedScope="All India",TRUE,'RAW_QUIZ'!$B141=SelectedScope),'RAW_QUIZ'!F141,"")</f>
        <v>0</v>
      </c>
      <c r="G142" s="12" t="str">
        <f>IF(IF(SelectedScope="All India",TRUE,'RAW_QUIZ'!$B141=SelectedScope),'RAW_QUIZ'!G141,"")</f>
        <v>Active</v>
      </c>
      <c r="H142" s="12">
        <f>IF(IF(SelectedScope="All India",TRUE,'RAW_QUIZ'!$B141=SelectedScope),'RAW_QUIZ'!H141,"")</f>
        <v>0</v>
      </c>
      <c r="I142" s="12">
        <f>IF(IF(SelectedScope="All India",TRUE,'RAW_QUIZ'!$B141=SelectedScope),'RAW_QUIZ'!I141,"")</f>
        <v>0</v>
      </c>
      <c r="J142" s="12">
        <f>IF(IF(SelectedScope="All India",TRUE,'RAW_QUIZ'!$B141=SelectedScope),'RAW_QUIZ'!J141,"")</f>
        <v>0</v>
      </c>
      <c r="K142" s="12">
        <f>IF(IF(SelectedScope="All India",TRUE,'RAW_QUIZ'!$B141=SelectedScope),'RAW_QUIZ'!K141,"")</f>
        <v>0</v>
      </c>
      <c r="L142" s="12">
        <f>IF(IF(SelectedScope="All India",TRUE,'RAW_QUIZ'!$B141=SelectedScope),'RAW_QUIZ'!L141,"")</f>
        <v>0</v>
      </c>
      <c r="M142" s="12">
        <f>IF(IF(SelectedScope="All India",TRUE,'RAW_QUIZ'!$B141=SelectedScope),'RAW_QUIZ'!M141,"")</f>
        <v>0</v>
      </c>
      <c r="N142" s="12">
        <f>IF(IF(SelectedScope="All India",TRUE,'RAW_QUIZ'!$B141=SelectedScope),'RAW_QUIZ'!N141,"")</f>
        <v>0</v>
      </c>
      <c r="O142" s="12">
        <f>IF(IF(SelectedScope="All India",TRUE,'RAW_QUIZ'!$B141=SelectedScope),'RAW_QUIZ'!O141,"")</f>
        <v>0</v>
      </c>
      <c r="P142" s="12">
        <f>IF(IF(SelectedScope="All India",TRUE,'RAW_QUIZ'!$B141=SelectedScope),'RAW_QUIZ'!P141,"")</f>
        <v>0</v>
      </c>
      <c r="Q142" s="12">
        <f>IF(IF(SelectedScope="All India",TRUE,'RAW_QUIZ'!$B141=SelectedScope),'RAW_QUIZ'!Q141,"")</f>
        <v>0</v>
      </c>
    </row>
    <row r="143" spans="1:17" ht="15" customHeight="1" x14ac:dyDescent="0.3">
      <c r="A143" s="9">
        <f>IF(IF(SelectedScope="All India",TRUE,'RAW_QUIZ'!$B142=SelectedScope),'RAW_QUIZ'!A142,"")</f>
        <v>139</v>
      </c>
      <c r="B143" s="9" t="str">
        <f>IF(IF(SelectedScope="All India",TRUE,'RAW_QUIZ'!$B142=SelectedScope),'RAW_QUIZ'!B142,"")</f>
        <v>Jammu and Kashmir</v>
      </c>
      <c r="C143" s="9" t="str">
        <f>IF(IF(SelectedScope="All India",TRUE,'RAW_QUIZ'!$B142=SelectedScope),'RAW_QUIZ'!C142,"")</f>
        <v>Civics</v>
      </c>
      <c r="D143" s="9" t="str">
        <f>IF(IF(SelectedScope="All India",TRUE,'RAW_QUIZ'!$B142=SelectedScope),'RAW_QUIZ'!D142,"")</f>
        <v>Class 9</v>
      </c>
      <c r="E143" s="9" t="str">
        <f>IF(IF(SelectedScope="All India",TRUE,'RAW_QUIZ'!$B142=SelectedScope),'RAW_QUIZ'!E142,"")</f>
        <v>Indian Constitution — Unit Quiz</v>
      </c>
      <c r="F143" s="9">
        <f>IF(IF(SelectedScope="All India",TRUE,'RAW_QUIZ'!$B142=SelectedScope),'RAW_QUIZ'!F142,"")</f>
        <v>0</v>
      </c>
      <c r="G143" s="9" t="str">
        <f>IF(IF(SelectedScope="All India",TRUE,'RAW_QUIZ'!$B142=SelectedScope),'RAW_QUIZ'!G142,"")</f>
        <v>Active</v>
      </c>
      <c r="H143" s="9">
        <f>IF(IF(SelectedScope="All India",TRUE,'RAW_QUIZ'!$B142=SelectedScope),'RAW_QUIZ'!H142,"")</f>
        <v>0</v>
      </c>
      <c r="I143" s="9">
        <f>IF(IF(SelectedScope="All India",TRUE,'RAW_QUIZ'!$B142=SelectedScope),'RAW_QUIZ'!I142,"")</f>
        <v>0</v>
      </c>
      <c r="J143" s="9">
        <f>IF(IF(SelectedScope="All India",TRUE,'RAW_QUIZ'!$B142=SelectedScope),'RAW_QUIZ'!J142,"")</f>
        <v>0</v>
      </c>
      <c r="K143" s="9">
        <f>IF(IF(SelectedScope="All India",TRUE,'RAW_QUIZ'!$B142=SelectedScope),'RAW_QUIZ'!K142,"")</f>
        <v>0</v>
      </c>
      <c r="L143" s="9">
        <f>IF(IF(SelectedScope="All India",TRUE,'RAW_QUIZ'!$B142=SelectedScope),'RAW_QUIZ'!L142,"")</f>
        <v>0</v>
      </c>
      <c r="M143" s="9">
        <f>IF(IF(SelectedScope="All India",TRUE,'RAW_QUIZ'!$B142=SelectedScope),'RAW_QUIZ'!M142,"")</f>
        <v>0</v>
      </c>
      <c r="N143" s="9">
        <f>IF(IF(SelectedScope="All India",TRUE,'RAW_QUIZ'!$B142=SelectedScope),'RAW_QUIZ'!N142,"")</f>
        <v>0</v>
      </c>
      <c r="O143" s="9">
        <f>IF(IF(SelectedScope="All India",TRUE,'RAW_QUIZ'!$B142=SelectedScope),'RAW_QUIZ'!O142,"")</f>
        <v>0</v>
      </c>
      <c r="P143" s="9">
        <f>IF(IF(SelectedScope="All India",TRUE,'RAW_QUIZ'!$B142=SelectedScope),'RAW_QUIZ'!P142,"")</f>
        <v>0</v>
      </c>
      <c r="Q143" s="9">
        <f>IF(IF(SelectedScope="All India",TRUE,'RAW_QUIZ'!$B142=SelectedScope),'RAW_QUIZ'!Q142,"")</f>
        <v>0</v>
      </c>
    </row>
    <row r="144" spans="1:17" ht="15" customHeight="1" x14ac:dyDescent="0.3">
      <c r="A144" s="12">
        <f>IF(IF(SelectedScope="All India",TRUE,'RAW_QUIZ'!$B143=SelectedScope),'RAW_QUIZ'!A143,"")</f>
        <v>140</v>
      </c>
      <c r="B144" s="12" t="str">
        <f>IF(IF(SelectedScope="All India",TRUE,'RAW_QUIZ'!$B143=SelectedScope),'RAW_QUIZ'!B143,"")</f>
        <v>Jammu and Kashmir</v>
      </c>
      <c r="C144" s="12" t="str">
        <f>IF(IF(SelectedScope="All India",TRUE,'RAW_QUIZ'!$B143=SelectedScope),'RAW_QUIZ'!C143,"")</f>
        <v>Mathematics</v>
      </c>
      <c r="D144" s="12" t="str">
        <f>IF(IF(SelectedScope="All India",TRUE,'RAW_QUIZ'!$B143=SelectedScope),'RAW_QUIZ'!D143,"")</f>
        <v>Class 10</v>
      </c>
      <c r="E144" s="12" t="str">
        <f>IF(IF(SelectedScope="All India",TRUE,'RAW_QUIZ'!$B143=SelectedScope),'RAW_QUIZ'!E143,"")</f>
        <v>Quadratic Equations — Unit Quiz</v>
      </c>
      <c r="F144" s="12">
        <f>IF(IF(SelectedScope="All India",TRUE,'RAW_QUIZ'!$B143=SelectedScope),'RAW_QUIZ'!F143,"")</f>
        <v>0</v>
      </c>
      <c r="G144" s="12" t="str">
        <f>IF(IF(SelectedScope="All India",TRUE,'RAW_QUIZ'!$B143=SelectedScope),'RAW_QUIZ'!G143,"")</f>
        <v>Active</v>
      </c>
      <c r="H144" s="12">
        <f>IF(IF(SelectedScope="All India",TRUE,'RAW_QUIZ'!$B143=SelectedScope),'RAW_QUIZ'!H143,"")</f>
        <v>0</v>
      </c>
      <c r="I144" s="12">
        <f>IF(IF(SelectedScope="All India",TRUE,'RAW_QUIZ'!$B143=SelectedScope),'RAW_QUIZ'!I143,"")</f>
        <v>0</v>
      </c>
      <c r="J144" s="12">
        <f>IF(IF(SelectedScope="All India",TRUE,'RAW_QUIZ'!$B143=SelectedScope),'RAW_QUIZ'!J143,"")</f>
        <v>0</v>
      </c>
      <c r="K144" s="12">
        <f>IF(IF(SelectedScope="All India",TRUE,'RAW_QUIZ'!$B143=SelectedScope),'RAW_QUIZ'!K143,"")</f>
        <v>0</v>
      </c>
      <c r="L144" s="12">
        <f>IF(IF(SelectedScope="All India",TRUE,'RAW_QUIZ'!$B143=SelectedScope),'RAW_QUIZ'!L143,"")</f>
        <v>0</v>
      </c>
      <c r="M144" s="12">
        <f>IF(IF(SelectedScope="All India",TRUE,'RAW_QUIZ'!$B143=SelectedScope),'RAW_QUIZ'!M143,"")</f>
        <v>0</v>
      </c>
      <c r="N144" s="12">
        <f>IF(IF(SelectedScope="All India",TRUE,'RAW_QUIZ'!$B143=SelectedScope),'RAW_QUIZ'!N143,"")</f>
        <v>0</v>
      </c>
      <c r="O144" s="12">
        <f>IF(IF(SelectedScope="All India",TRUE,'RAW_QUIZ'!$B143=SelectedScope),'RAW_QUIZ'!O143,"")</f>
        <v>0</v>
      </c>
      <c r="P144" s="12">
        <f>IF(IF(SelectedScope="All India",TRUE,'RAW_QUIZ'!$B143=SelectedScope),'RAW_QUIZ'!P143,"")</f>
        <v>0</v>
      </c>
      <c r="Q144" s="12">
        <f>IF(IF(SelectedScope="All India",TRUE,'RAW_QUIZ'!$B143=SelectedScope),'RAW_QUIZ'!Q143,"")</f>
        <v>0</v>
      </c>
    </row>
    <row r="145" spans="1:17" ht="15" customHeight="1" x14ac:dyDescent="0.3">
      <c r="A145" s="9">
        <f>IF(IF(SelectedScope="All India",TRUE,'RAW_QUIZ'!$B144=SelectedScope),'RAW_QUIZ'!A144,"")</f>
        <v>141</v>
      </c>
      <c r="B145" s="9" t="str">
        <f>IF(IF(SelectedScope="All India",TRUE,'RAW_QUIZ'!$B144=SelectedScope),'RAW_QUIZ'!B144,"")</f>
        <v>Jharkhand</v>
      </c>
      <c r="C145" s="9" t="str">
        <f>IF(IF(SelectedScope="All India",TRUE,'RAW_QUIZ'!$B144=SelectedScope),'RAW_QUIZ'!C144,"")</f>
        <v>Science</v>
      </c>
      <c r="D145" s="9" t="str">
        <f>IF(IF(SelectedScope="All India",TRUE,'RAW_QUIZ'!$B144=SelectedScope),'RAW_QUIZ'!D144,"")</f>
        <v>Class 8</v>
      </c>
      <c r="E145" s="9" t="str">
        <f>IF(IF(SelectedScope="All India",TRUE,'RAW_QUIZ'!$B144=SelectedScope),'RAW_QUIZ'!E144,"")</f>
        <v>Solar System — Unit Quiz</v>
      </c>
      <c r="F145" s="9">
        <f>IF(IF(SelectedScope="All India",TRUE,'RAW_QUIZ'!$B144=SelectedScope),'RAW_QUIZ'!F144,"")</f>
        <v>0</v>
      </c>
      <c r="G145" s="9" t="str">
        <f>IF(IF(SelectedScope="All India",TRUE,'RAW_QUIZ'!$B144=SelectedScope),'RAW_QUIZ'!G144,"")</f>
        <v>Active</v>
      </c>
      <c r="H145" s="9">
        <f>IF(IF(SelectedScope="All India",TRUE,'RAW_QUIZ'!$B144=SelectedScope),'RAW_QUIZ'!H144,"")</f>
        <v>0</v>
      </c>
      <c r="I145" s="9">
        <f>IF(IF(SelectedScope="All India",TRUE,'RAW_QUIZ'!$B144=SelectedScope),'RAW_QUIZ'!I144,"")</f>
        <v>0</v>
      </c>
      <c r="J145" s="9">
        <f>IF(IF(SelectedScope="All India",TRUE,'RAW_QUIZ'!$B144=SelectedScope),'RAW_QUIZ'!J144,"")</f>
        <v>0</v>
      </c>
      <c r="K145" s="9">
        <f>IF(IF(SelectedScope="All India",TRUE,'RAW_QUIZ'!$B144=SelectedScope),'RAW_QUIZ'!K144,"")</f>
        <v>0</v>
      </c>
      <c r="L145" s="9">
        <f>IF(IF(SelectedScope="All India",TRUE,'RAW_QUIZ'!$B144=SelectedScope),'RAW_QUIZ'!L144,"")</f>
        <v>0</v>
      </c>
      <c r="M145" s="9">
        <f>IF(IF(SelectedScope="All India",TRUE,'RAW_QUIZ'!$B144=SelectedScope),'RAW_QUIZ'!M144,"")</f>
        <v>0</v>
      </c>
      <c r="N145" s="9">
        <f>IF(IF(SelectedScope="All India",TRUE,'RAW_QUIZ'!$B144=SelectedScope),'RAW_QUIZ'!N144,"")</f>
        <v>0</v>
      </c>
      <c r="O145" s="9">
        <f>IF(IF(SelectedScope="All India",TRUE,'RAW_QUIZ'!$B144=SelectedScope),'RAW_QUIZ'!O144,"")</f>
        <v>0</v>
      </c>
      <c r="P145" s="9">
        <f>IF(IF(SelectedScope="All India",TRUE,'RAW_QUIZ'!$B144=SelectedScope),'RAW_QUIZ'!P144,"")</f>
        <v>0</v>
      </c>
      <c r="Q145" s="9">
        <f>IF(IF(SelectedScope="All India",TRUE,'RAW_QUIZ'!$B144=SelectedScope),'RAW_QUIZ'!Q144,"")</f>
        <v>0</v>
      </c>
    </row>
    <row r="146" spans="1:17" ht="15" customHeight="1" x14ac:dyDescent="0.3">
      <c r="A146" s="12">
        <f>IF(IF(SelectedScope="All India",TRUE,'RAW_QUIZ'!$B145=SelectedScope),'RAW_QUIZ'!A145,"")</f>
        <v>142</v>
      </c>
      <c r="B146" s="12" t="str">
        <f>IF(IF(SelectedScope="All India",TRUE,'RAW_QUIZ'!$B145=SelectedScope),'RAW_QUIZ'!B145,"")</f>
        <v>Jharkhand</v>
      </c>
      <c r="C146" s="12" t="str">
        <f>IF(IF(SelectedScope="All India",TRUE,'RAW_QUIZ'!$B145=SelectedScope),'RAW_QUIZ'!C145,"")</f>
        <v>Biology</v>
      </c>
      <c r="D146" s="12" t="str">
        <f>IF(IF(SelectedScope="All India",TRUE,'RAW_QUIZ'!$B145=SelectedScope),'RAW_QUIZ'!D145,"")</f>
        <v>Class 9</v>
      </c>
      <c r="E146" s="12" t="str">
        <f>IF(IF(SelectedScope="All India",TRUE,'RAW_QUIZ'!$B145=SelectedScope),'RAW_QUIZ'!E145,"")</f>
        <v>Cell Division — Unit Quiz</v>
      </c>
      <c r="F146" s="12">
        <f>IF(IF(SelectedScope="All India",TRUE,'RAW_QUIZ'!$B145=SelectedScope),'RAW_QUIZ'!F145,"")</f>
        <v>0</v>
      </c>
      <c r="G146" s="12" t="str">
        <f>IF(IF(SelectedScope="All India",TRUE,'RAW_QUIZ'!$B145=SelectedScope),'RAW_QUIZ'!G145,"")</f>
        <v>Active</v>
      </c>
      <c r="H146" s="12">
        <f>IF(IF(SelectedScope="All India",TRUE,'RAW_QUIZ'!$B145=SelectedScope),'RAW_QUIZ'!H145,"")</f>
        <v>0</v>
      </c>
      <c r="I146" s="12">
        <f>IF(IF(SelectedScope="All India",TRUE,'RAW_QUIZ'!$B145=SelectedScope),'RAW_QUIZ'!I145,"")</f>
        <v>0</v>
      </c>
      <c r="J146" s="12">
        <f>IF(IF(SelectedScope="All India",TRUE,'RAW_QUIZ'!$B145=SelectedScope),'RAW_QUIZ'!J145,"")</f>
        <v>0</v>
      </c>
      <c r="K146" s="12">
        <f>IF(IF(SelectedScope="All India",TRUE,'RAW_QUIZ'!$B145=SelectedScope),'RAW_QUIZ'!K145,"")</f>
        <v>0</v>
      </c>
      <c r="L146" s="12">
        <f>IF(IF(SelectedScope="All India",TRUE,'RAW_QUIZ'!$B145=SelectedScope),'RAW_QUIZ'!L145,"")</f>
        <v>0</v>
      </c>
      <c r="M146" s="12">
        <f>IF(IF(SelectedScope="All India",TRUE,'RAW_QUIZ'!$B145=SelectedScope),'RAW_QUIZ'!M145,"")</f>
        <v>0</v>
      </c>
      <c r="N146" s="12">
        <f>IF(IF(SelectedScope="All India",TRUE,'RAW_QUIZ'!$B145=SelectedScope),'RAW_QUIZ'!N145,"")</f>
        <v>0</v>
      </c>
      <c r="O146" s="12">
        <f>IF(IF(SelectedScope="All India",TRUE,'RAW_QUIZ'!$B145=SelectedScope),'RAW_QUIZ'!O145,"")</f>
        <v>0</v>
      </c>
      <c r="P146" s="12">
        <f>IF(IF(SelectedScope="All India",TRUE,'RAW_QUIZ'!$B145=SelectedScope),'RAW_QUIZ'!P145,"")</f>
        <v>0</v>
      </c>
      <c r="Q146" s="12">
        <f>IF(IF(SelectedScope="All India",TRUE,'RAW_QUIZ'!$B145=SelectedScope),'RAW_QUIZ'!Q145,"")</f>
        <v>0</v>
      </c>
    </row>
    <row r="147" spans="1:17" ht="15" customHeight="1" x14ac:dyDescent="0.3">
      <c r="A147" s="9">
        <f>IF(IF(SelectedScope="All India",TRUE,'RAW_QUIZ'!$B146=SelectedScope),'RAW_QUIZ'!A146,"")</f>
        <v>143</v>
      </c>
      <c r="B147" s="9" t="str">
        <f>IF(IF(SelectedScope="All India",TRUE,'RAW_QUIZ'!$B146=SelectedScope),'RAW_QUIZ'!B146,"")</f>
        <v>Jharkhand</v>
      </c>
      <c r="C147" s="9" t="str">
        <f>IF(IF(SelectedScope="All India",TRUE,'RAW_QUIZ'!$B146=SelectedScope),'RAW_QUIZ'!C146,"")</f>
        <v>Chemistry</v>
      </c>
      <c r="D147" s="9" t="str">
        <f>IF(IF(SelectedScope="All India",TRUE,'RAW_QUIZ'!$B146=SelectedScope),'RAW_QUIZ'!D146,"")</f>
        <v>Class 9</v>
      </c>
      <c r="E147" s="9" t="str">
        <f>IF(IF(SelectedScope="All India",TRUE,'RAW_QUIZ'!$B146=SelectedScope),'RAW_QUIZ'!E146,"")</f>
        <v>Atoms and Molecules — Unit Quiz</v>
      </c>
      <c r="F147" s="9">
        <f>IF(IF(SelectedScope="All India",TRUE,'RAW_QUIZ'!$B146=SelectedScope),'RAW_QUIZ'!F146,"")</f>
        <v>0</v>
      </c>
      <c r="G147" s="9" t="str">
        <f>IF(IF(SelectedScope="All India",TRUE,'RAW_QUIZ'!$B146=SelectedScope),'RAW_QUIZ'!G146,"")</f>
        <v>Active</v>
      </c>
      <c r="H147" s="9">
        <f>IF(IF(SelectedScope="All India",TRUE,'RAW_QUIZ'!$B146=SelectedScope),'RAW_QUIZ'!H146,"")</f>
        <v>0</v>
      </c>
      <c r="I147" s="9">
        <f>IF(IF(SelectedScope="All India",TRUE,'RAW_QUIZ'!$B146=SelectedScope),'RAW_QUIZ'!I146,"")</f>
        <v>0</v>
      </c>
      <c r="J147" s="9">
        <f>IF(IF(SelectedScope="All India",TRUE,'RAW_QUIZ'!$B146=SelectedScope),'RAW_QUIZ'!J146,"")</f>
        <v>0</v>
      </c>
      <c r="K147" s="9">
        <f>IF(IF(SelectedScope="All India",TRUE,'RAW_QUIZ'!$B146=SelectedScope),'RAW_QUIZ'!K146,"")</f>
        <v>0</v>
      </c>
      <c r="L147" s="9">
        <f>IF(IF(SelectedScope="All India",TRUE,'RAW_QUIZ'!$B146=SelectedScope),'RAW_QUIZ'!L146,"")</f>
        <v>0</v>
      </c>
      <c r="M147" s="9">
        <f>IF(IF(SelectedScope="All India",TRUE,'RAW_QUIZ'!$B146=SelectedScope),'RAW_QUIZ'!M146,"")</f>
        <v>0</v>
      </c>
      <c r="N147" s="9">
        <f>IF(IF(SelectedScope="All India",TRUE,'RAW_QUIZ'!$B146=SelectedScope),'RAW_QUIZ'!N146,"")</f>
        <v>0</v>
      </c>
      <c r="O147" s="9">
        <f>IF(IF(SelectedScope="All India",TRUE,'RAW_QUIZ'!$B146=SelectedScope),'RAW_QUIZ'!O146,"")</f>
        <v>0</v>
      </c>
      <c r="P147" s="9">
        <f>IF(IF(SelectedScope="All India",TRUE,'RAW_QUIZ'!$B146=SelectedScope),'RAW_QUIZ'!P146,"")</f>
        <v>0</v>
      </c>
      <c r="Q147" s="9">
        <f>IF(IF(SelectedScope="All India",TRUE,'RAW_QUIZ'!$B146=SelectedScope),'RAW_QUIZ'!Q146,"")</f>
        <v>0</v>
      </c>
    </row>
    <row r="148" spans="1:17" ht="15" customHeight="1" x14ac:dyDescent="0.3">
      <c r="A148" s="12">
        <f>IF(IF(SelectedScope="All India",TRUE,'RAW_QUIZ'!$B147=SelectedScope),'RAW_QUIZ'!A147,"")</f>
        <v>144</v>
      </c>
      <c r="B148" s="12" t="str">
        <f>IF(IF(SelectedScope="All India",TRUE,'RAW_QUIZ'!$B147=SelectedScope),'RAW_QUIZ'!B147,"")</f>
        <v>Jharkhand</v>
      </c>
      <c r="C148" s="12" t="str">
        <f>IF(IF(SelectedScope="All India",TRUE,'RAW_QUIZ'!$B147=SelectedScope),'RAW_QUIZ'!C147,"")</f>
        <v>Mathematics</v>
      </c>
      <c r="D148" s="12" t="str">
        <f>IF(IF(SelectedScope="All India",TRUE,'RAW_QUIZ'!$B147=SelectedScope),'RAW_QUIZ'!D147,"")</f>
        <v>Class 7</v>
      </c>
      <c r="E148" s="12" t="str">
        <f>IF(IF(SelectedScope="All India",TRUE,'RAW_QUIZ'!$B147=SelectedScope),'RAW_QUIZ'!E147,"")</f>
        <v>Fractions — Unit Quiz</v>
      </c>
      <c r="F148" s="12">
        <f>IF(IF(SelectedScope="All India",TRUE,'RAW_QUIZ'!$B147=SelectedScope),'RAW_QUIZ'!F147,"")</f>
        <v>0</v>
      </c>
      <c r="G148" s="12" t="str">
        <f>IF(IF(SelectedScope="All India",TRUE,'RAW_QUIZ'!$B147=SelectedScope),'RAW_QUIZ'!G147,"")</f>
        <v>Active</v>
      </c>
      <c r="H148" s="12">
        <f>IF(IF(SelectedScope="All India",TRUE,'RAW_QUIZ'!$B147=SelectedScope),'RAW_QUIZ'!H147,"")</f>
        <v>0</v>
      </c>
      <c r="I148" s="12">
        <f>IF(IF(SelectedScope="All India",TRUE,'RAW_QUIZ'!$B147=SelectedScope),'RAW_QUIZ'!I147,"")</f>
        <v>0</v>
      </c>
      <c r="J148" s="12">
        <f>IF(IF(SelectedScope="All India",TRUE,'RAW_QUIZ'!$B147=SelectedScope),'RAW_QUIZ'!J147,"")</f>
        <v>0</v>
      </c>
      <c r="K148" s="12">
        <f>IF(IF(SelectedScope="All India",TRUE,'RAW_QUIZ'!$B147=SelectedScope),'RAW_QUIZ'!K147,"")</f>
        <v>0</v>
      </c>
      <c r="L148" s="12">
        <f>IF(IF(SelectedScope="All India",TRUE,'RAW_QUIZ'!$B147=SelectedScope),'RAW_QUIZ'!L147,"")</f>
        <v>0</v>
      </c>
      <c r="M148" s="12">
        <f>IF(IF(SelectedScope="All India",TRUE,'RAW_QUIZ'!$B147=SelectedScope),'RAW_QUIZ'!M147,"")</f>
        <v>0</v>
      </c>
      <c r="N148" s="12">
        <f>IF(IF(SelectedScope="All India",TRUE,'RAW_QUIZ'!$B147=SelectedScope),'RAW_QUIZ'!N147,"")</f>
        <v>0</v>
      </c>
      <c r="O148" s="12">
        <f>IF(IF(SelectedScope="All India",TRUE,'RAW_QUIZ'!$B147=SelectedScope),'RAW_QUIZ'!O147,"")</f>
        <v>0</v>
      </c>
      <c r="P148" s="12">
        <f>IF(IF(SelectedScope="All India",TRUE,'RAW_QUIZ'!$B147=SelectedScope),'RAW_QUIZ'!P147,"")</f>
        <v>0</v>
      </c>
      <c r="Q148" s="12">
        <f>IF(IF(SelectedScope="All India",TRUE,'RAW_QUIZ'!$B147=SelectedScope),'RAW_QUIZ'!Q147,"")</f>
        <v>0</v>
      </c>
    </row>
    <row r="149" spans="1:17" ht="15" customHeight="1" x14ac:dyDescent="0.3">
      <c r="A149" s="9">
        <f>IF(IF(SelectedScope="All India",TRUE,'RAW_QUIZ'!$B148=SelectedScope),'RAW_QUIZ'!A148,"")</f>
        <v>145</v>
      </c>
      <c r="B149" s="9" t="str">
        <f>IF(IF(SelectedScope="All India",TRUE,'RAW_QUIZ'!$B148=SelectedScope),'RAW_QUIZ'!B148,"")</f>
        <v>Jharkhand</v>
      </c>
      <c r="C149" s="9" t="str">
        <f>IF(IF(SelectedScope="All India",TRUE,'RAW_QUIZ'!$B148=SelectedScope),'RAW_QUIZ'!C148,"")</f>
        <v>Mathematics</v>
      </c>
      <c r="D149" s="9" t="str">
        <f>IF(IF(SelectedScope="All India",TRUE,'RAW_QUIZ'!$B148=SelectedScope),'RAW_QUIZ'!D148,"")</f>
        <v>Class 10</v>
      </c>
      <c r="E149" s="9" t="str">
        <f>IF(IF(SelectedScope="All India",TRUE,'RAW_QUIZ'!$B148=SelectedScope),'RAW_QUIZ'!E148,"")</f>
        <v>Trigonometry — Unit Quiz</v>
      </c>
      <c r="F149" s="9">
        <f>IF(IF(SelectedScope="All India",TRUE,'RAW_QUIZ'!$B148=SelectedScope),'RAW_QUIZ'!F148,"")</f>
        <v>0</v>
      </c>
      <c r="G149" s="9" t="str">
        <f>IF(IF(SelectedScope="All India",TRUE,'RAW_QUIZ'!$B148=SelectedScope),'RAW_QUIZ'!G148,"")</f>
        <v>Active</v>
      </c>
      <c r="H149" s="9">
        <f>IF(IF(SelectedScope="All India",TRUE,'RAW_QUIZ'!$B148=SelectedScope),'RAW_QUIZ'!H148,"")</f>
        <v>0</v>
      </c>
      <c r="I149" s="9">
        <f>IF(IF(SelectedScope="All India",TRUE,'RAW_QUIZ'!$B148=SelectedScope),'RAW_QUIZ'!I148,"")</f>
        <v>0</v>
      </c>
      <c r="J149" s="9">
        <f>IF(IF(SelectedScope="All India",TRUE,'RAW_QUIZ'!$B148=SelectedScope),'RAW_QUIZ'!J148,"")</f>
        <v>0</v>
      </c>
      <c r="K149" s="9">
        <f>IF(IF(SelectedScope="All India",TRUE,'RAW_QUIZ'!$B148=SelectedScope),'RAW_QUIZ'!K148,"")</f>
        <v>0</v>
      </c>
      <c r="L149" s="9">
        <f>IF(IF(SelectedScope="All India",TRUE,'RAW_QUIZ'!$B148=SelectedScope),'RAW_QUIZ'!L148,"")</f>
        <v>0</v>
      </c>
      <c r="M149" s="9">
        <f>IF(IF(SelectedScope="All India",TRUE,'RAW_QUIZ'!$B148=SelectedScope),'RAW_QUIZ'!M148,"")</f>
        <v>0</v>
      </c>
      <c r="N149" s="9">
        <f>IF(IF(SelectedScope="All India",TRUE,'RAW_QUIZ'!$B148=SelectedScope),'RAW_QUIZ'!N148,"")</f>
        <v>0</v>
      </c>
      <c r="O149" s="9">
        <f>IF(IF(SelectedScope="All India",TRUE,'RAW_QUIZ'!$B148=SelectedScope),'RAW_QUIZ'!O148,"")</f>
        <v>0</v>
      </c>
      <c r="P149" s="9">
        <f>IF(IF(SelectedScope="All India",TRUE,'RAW_QUIZ'!$B148=SelectedScope),'RAW_QUIZ'!P148,"")</f>
        <v>0</v>
      </c>
      <c r="Q149" s="9">
        <f>IF(IF(SelectedScope="All India",TRUE,'RAW_QUIZ'!$B148=SelectedScope),'RAW_QUIZ'!Q148,"")</f>
        <v>0</v>
      </c>
    </row>
    <row r="150" spans="1:17" ht="15" customHeight="1" x14ac:dyDescent="0.3">
      <c r="A150" s="12">
        <f>IF(IF(SelectedScope="All India",TRUE,'RAW_QUIZ'!$B149=SelectedScope),'RAW_QUIZ'!A149,"")</f>
        <v>146</v>
      </c>
      <c r="B150" s="12" t="str">
        <f>IF(IF(SelectedScope="All India",TRUE,'RAW_QUIZ'!$B149=SelectedScope),'RAW_QUIZ'!B149,"")</f>
        <v>Jharkhand</v>
      </c>
      <c r="C150" s="12" t="str">
        <f>IF(IF(SelectedScope="All India",TRUE,'RAW_QUIZ'!$B149=SelectedScope),'RAW_QUIZ'!C149,"")</f>
        <v>History</v>
      </c>
      <c r="D150" s="12" t="str">
        <f>IF(IF(SelectedScope="All India",TRUE,'RAW_QUIZ'!$B149=SelectedScope),'RAW_QUIZ'!D149,"")</f>
        <v>Class 10</v>
      </c>
      <c r="E150" s="12" t="str">
        <f>IF(IF(SelectedScope="All India",TRUE,'RAW_QUIZ'!$B149=SelectedScope),'RAW_QUIZ'!E149,"")</f>
        <v>Mughal Empire — Unit Quiz</v>
      </c>
      <c r="F150" s="12">
        <f>IF(IF(SelectedScope="All India",TRUE,'RAW_QUIZ'!$B149=SelectedScope),'RAW_QUIZ'!F149,"")</f>
        <v>0</v>
      </c>
      <c r="G150" s="12" t="str">
        <f>IF(IF(SelectedScope="All India",TRUE,'RAW_QUIZ'!$B149=SelectedScope),'RAW_QUIZ'!G149,"")</f>
        <v>Active</v>
      </c>
      <c r="H150" s="12">
        <f>IF(IF(SelectedScope="All India",TRUE,'RAW_QUIZ'!$B149=SelectedScope),'RAW_QUIZ'!H149,"")</f>
        <v>0</v>
      </c>
      <c r="I150" s="12">
        <f>IF(IF(SelectedScope="All India",TRUE,'RAW_QUIZ'!$B149=SelectedScope),'RAW_QUIZ'!I149,"")</f>
        <v>0</v>
      </c>
      <c r="J150" s="12">
        <f>IF(IF(SelectedScope="All India",TRUE,'RAW_QUIZ'!$B149=SelectedScope),'RAW_QUIZ'!J149,"")</f>
        <v>0</v>
      </c>
      <c r="K150" s="12">
        <f>IF(IF(SelectedScope="All India",TRUE,'RAW_QUIZ'!$B149=SelectedScope),'RAW_QUIZ'!K149,"")</f>
        <v>0</v>
      </c>
      <c r="L150" s="12">
        <f>IF(IF(SelectedScope="All India",TRUE,'RAW_QUIZ'!$B149=SelectedScope),'RAW_QUIZ'!L149,"")</f>
        <v>0</v>
      </c>
      <c r="M150" s="12">
        <f>IF(IF(SelectedScope="All India",TRUE,'RAW_QUIZ'!$B149=SelectedScope),'RAW_QUIZ'!M149,"")</f>
        <v>0</v>
      </c>
      <c r="N150" s="12">
        <f>IF(IF(SelectedScope="All India",TRUE,'RAW_QUIZ'!$B149=SelectedScope),'RAW_QUIZ'!N149,"")</f>
        <v>0</v>
      </c>
      <c r="O150" s="12">
        <f>IF(IF(SelectedScope="All India",TRUE,'RAW_QUIZ'!$B149=SelectedScope),'RAW_QUIZ'!O149,"")</f>
        <v>0</v>
      </c>
      <c r="P150" s="12">
        <f>IF(IF(SelectedScope="All India",TRUE,'RAW_QUIZ'!$B149=SelectedScope),'RAW_QUIZ'!P149,"")</f>
        <v>0</v>
      </c>
      <c r="Q150" s="12">
        <f>IF(IF(SelectedScope="All India",TRUE,'RAW_QUIZ'!$B149=SelectedScope),'RAW_QUIZ'!Q149,"")</f>
        <v>0</v>
      </c>
    </row>
    <row r="151" spans="1:17" ht="15" customHeight="1" x14ac:dyDescent="0.3">
      <c r="A151" s="9">
        <f>IF(IF(SelectedScope="All India",TRUE,'RAW_QUIZ'!$B150=SelectedScope),'RAW_QUIZ'!A150,"")</f>
        <v>147</v>
      </c>
      <c r="B151" s="9" t="str">
        <f>IF(IF(SelectedScope="All India",TRUE,'RAW_QUIZ'!$B150=SelectedScope),'RAW_QUIZ'!B150,"")</f>
        <v>Jharkhand</v>
      </c>
      <c r="C151" s="9" t="str">
        <f>IF(IF(SelectedScope="All India",TRUE,'RAW_QUIZ'!$B150=SelectedScope),'RAW_QUIZ'!C150,"")</f>
        <v>Physics</v>
      </c>
      <c r="D151" s="9" t="str">
        <f>IF(IF(SelectedScope="All India",TRUE,'RAW_QUIZ'!$B150=SelectedScope),'RAW_QUIZ'!D150,"")</f>
        <v>Class 9</v>
      </c>
      <c r="E151" s="9" t="str">
        <f>IF(IF(SelectedScope="All India",TRUE,'RAW_QUIZ'!$B150=SelectedScope),'RAW_QUIZ'!E150,"")</f>
        <v>Laws of Motion — Unit Quiz</v>
      </c>
      <c r="F151" s="9">
        <f>IF(IF(SelectedScope="All India",TRUE,'RAW_QUIZ'!$B150=SelectedScope),'RAW_QUIZ'!F150,"")</f>
        <v>0</v>
      </c>
      <c r="G151" s="9" t="str">
        <f>IF(IF(SelectedScope="All India",TRUE,'RAW_QUIZ'!$B150=SelectedScope),'RAW_QUIZ'!G150,"")</f>
        <v>Active</v>
      </c>
      <c r="H151" s="9">
        <f>IF(IF(SelectedScope="All India",TRUE,'RAW_QUIZ'!$B150=SelectedScope),'RAW_QUIZ'!H150,"")</f>
        <v>0</v>
      </c>
      <c r="I151" s="9">
        <f>IF(IF(SelectedScope="All India",TRUE,'RAW_QUIZ'!$B150=SelectedScope),'RAW_QUIZ'!I150,"")</f>
        <v>0</v>
      </c>
      <c r="J151" s="9">
        <f>IF(IF(SelectedScope="All India",TRUE,'RAW_QUIZ'!$B150=SelectedScope),'RAW_QUIZ'!J150,"")</f>
        <v>0</v>
      </c>
      <c r="K151" s="9">
        <f>IF(IF(SelectedScope="All India",TRUE,'RAW_QUIZ'!$B150=SelectedScope),'RAW_QUIZ'!K150,"")</f>
        <v>0</v>
      </c>
      <c r="L151" s="9">
        <f>IF(IF(SelectedScope="All India",TRUE,'RAW_QUIZ'!$B150=SelectedScope),'RAW_QUIZ'!L150,"")</f>
        <v>0</v>
      </c>
      <c r="M151" s="9">
        <f>IF(IF(SelectedScope="All India",TRUE,'RAW_QUIZ'!$B150=SelectedScope),'RAW_QUIZ'!M150,"")</f>
        <v>0</v>
      </c>
      <c r="N151" s="9">
        <f>IF(IF(SelectedScope="All India",TRUE,'RAW_QUIZ'!$B150=SelectedScope),'RAW_QUIZ'!N150,"")</f>
        <v>0</v>
      </c>
      <c r="O151" s="9">
        <f>IF(IF(SelectedScope="All India",TRUE,'RAW_QUIZ'!$B150=SelectedScope),'RAW_QUIZ'!O150,"")</f>
        <v>0</v>
      </c>
      <c r="P151" s="9">
        <f>IF(IF(SelectedScope="All India",TRUE,'RAW_QUIZ'!$B150=SelectedScope),'RAW_QUIZ'!P150,"")</f>
        <v>0</v>
      </c>
      <c r="Q151" s="9">
        <f>IF(IF(SelectedScope="All India",TRUE,'RAW_QUIZ'!$B150=SelectedScope),'RAW_QUIZ'!Q150,"")</f>
        <v>0</v>
      </c>
    </row>
    <row r="152" spans="1:17" ht="15" customHeight="1" x14ac:dyDescent="0.3">
      <c r="A152" s="12">
        <f>IF(IF(SelectedScope="All India",TRUE,'RAW_QUIZ'!$B151=SelectedScope),'RAW_QUIZ'!A151,"")</f>
        <v>148</v>
      </c>
      <c r="B152" s="12" t="str">
        <f>IF(IF(SelectedScope="All India",TRUE,'RAW_QUIZ'!$B151=SelectedScope),'RAW_QUIZ'!B151,"")</f>
        <v>Jharkhand</v>
      </c>
      <c r="C152" s="12" t="str">
        <f>IF(IF(SelectedScope="All India",TRUE,'RAW_QUIZ'!$B151=SelectedScope),'RAW_QUIZ'!C151,"")</f>
        <v>Physics</v>
      </c>
      <c r="D152" s="12" t="str">
        <f>IF(IF(SelectedScope="All India",TRUE,'RAW_QUIZ'!$B151=SelectedScope),'RAW_QUIZ'!D151,"")</f>
        <v>Class 10</v>
      </c>
      <c r="E152" s="12" t="str">
        <f>IF(IF(SelectedScope="All India",TRUE,'RAW_QUIZ'!$B151=SelectedScope),'RAW_QUIZ'!E151,"")</f>
        <v>Electricity — Unit Quiz</v>
      </c>
      <c r="F152" s="12">
        <f>IF(IF(SelectedScope="All India",TRUE,'RAW_QUIZ'!$B151=SelectedScope),'RAW_QUIZ'!F151,"")</f>
        <v>0</v>
      </c>
      <c r="G152" s="12" t="str">
        <f>IF(IF(SelectedScope="All India",TRUE,'RAW_QUIZ'!$B151=SelectedScope),'RAW_QUIZ'!G151,"")</f>
        <v>Active</v>
      </c>
      <c r="H152" s="12">
        <f>IF(IF(SelectedScope="All India",TRUE,'RAW_QUIZ'!$B151=SelectedScope),'RAW_QUIZ'!H151,"")</f>
        <v>0</v>
      </c>
      <c r="I152" s="12">
        <f>IF(IF(SelectedScope="All India",TRUE,'RAW_QUIZ'!$B151=SelectedScope),'RAW_QUIZ'!I151,"")</f>
        <v>0</v>
      </c>
      <c r="J152" s="12">
        <f>IF(IF(SelectedScope="All India",TRUE,'RAW_QUIZ'!$B151=SelectedScope),'RAW_QUIZ'!J151,"")</f>
        <v>0</v>
      </c>
      <c r="K152" s="12">
        <f>IF(IF(SelectedScope="All India",TRUE,'RAW_QUIZ'!$B151=SelectedScope),'RAW_QUIZ'!K151,"")</f>
        <v>0</v>
      </c>
      <c r="L152" s="12">
        <f>IF(IF(SelectedScope="All India",TRUE,'RAW_QUIZ'!$B151=SelectedScope),'RAW_QUIZ'!L151,"")</f>
        <v>0</v>
      </c>
      <c r="M152" s="12">
        <f>IF(IF(SelectedScope="All India",TRUE,'RAW_QUIZ'!$B151=SelectedScope),'RAW_QUIZ'!M151,"")</f>
        <v>0</v>
      </c>
      <c r="N152" s="12">
        <f>IF(IF(SelectedScope="All India",TRUE,'RAW_QUIZ'!$B151=SelectedScope),'RAW_QUIZ'!N151,"")</f>
        <v>0</v>
      </c>
      <c r="O152" s="12">
        <f>IF(IF(SelectedScope="All India",TRUE,'RAW_QUIZ'!$B151=SelectedScope),'RAW_QUIZ'!O151,"")</f>
        <v>0</v>
      </c>
      <c r="P152" s="12">
        <f>IF(IF(SelectedScope="All India",TRUE,'RAW_QUIZ'!$B151=SelectedScope),'RAW_QUIZ'!P151,"")</f>
        <v>0</v>
      </c>
      <c r="Q152" s="12">
        <f>IF(IF(SelectedScope="All India",TRUE,'RAW_QUIZ'!$B151=SelectedScope),'RAW_QUIZ'!Q151,"")</f>
        <v>0</v>
      </c>
    </row>
    <row r="153" spans="1:17" ht="15" customHeight="1" x14ac:dyDescent="0.3">
      <c r="A153" s="9">
        <f>IF(IF(SelectedScope="All India",TRUE,'RAW_QUIZ'!$B152=SelectedScope),'RAW_QUIZ'!A152,"")</f>
        <v>149</v>
      </c>
      <c r="B153" s="9" t="str">
        <f>IF(IF(SelectedScope="All India",TRUE,'RAW_QUIZ'!$B152=SelectedScope),'RAW_QUIZ'!B152,"")</f>
        <v>Jharkhand</v>
      </c>
      <c r="C153" s="9" t="str">
        <f>IF(IF(SelectedScope="All India",TRUE,'RAW_QUIZ'!$B152=SelectedScope),'RAW_QUIZ'!C152,"")</f>
        <v>Civics</v>
      </c>
      <c r="D153" s="9" t="str">
        <f>IF(IF(SelectedScope="All India",TRUE,'RAW_QUIZ'!$B152=SelectedScope),'RAW_QUIZ'!D152,"")</f>
        <v>Class 9</v>
      </c>
      <c r="E153" s="9" t="str">
        <f>IF(IF(SelectedScope="All India",TRUE,'RAW_QUIZ'!$B152=SelectedScope),'RAW_QUIZ'!E152,"")</f>
        <v>Indian Constitution — Unit Quiz</v>
      </c>
      <c r="F153" s="9">
        <f>IF(IF(SelectedScope="All India",TRUE,'RAW_QUIZ'!$B152=SelectedScope),'RAW_QUIZ'!F152,"")</f>
        <v>0</v>
      </c>
      <c r="G153" s="9" t="str">
        <f>IF(IF(SelectedScope="All India",TRUE,'RAW_QUIZ'!$B152=SelectedScope),'RAW_QUIZ'!G152,"")</f>
        <v>Active</v>
      </c>
      <c r="H153" s="9">
        <f>IF(IF(SelectedScope="All India",TRUE,'RAW_QUIZ'!$B152=SelectedScope),'RAW_QUIZ'!H152,"")</f>
        <v>0</v>
      </c>
      <c r="I153" s="9">
        <f>IF(IF(SelectedScope="All India",TRUE,'RAW_QUIZ'!$B152=SelectedScope),'RAW_QUIZ'!I152,"")</f>
        <v>0</v>
      </c>
      <c r="J153" s="9">
        <f>IF(IF(SelectedScope="All India",TRUE,'RAW_QUIZ'!$B152=SelectedScope),'RAW_QUIZ'!J152,"")</f>
        <v>0</v>
      </c>
      <c r="K153" s="9">
        <f>IF(IF(SelectedScope="All India",TRUE,'RAW_QUIZ'!$B152=SelectedScope),'RAW_QUIZ'!K152,"")</f>
        <v>0</v>
      </c>
      <c r="L153" s="9">
        <f>IF(IF(SelectedScope="All India",TRUE,'RAW_QUIZ'!$B152=SelectedScope),'RAW_QUIZ'!L152,"")</f>
        <v>0</v>
      </c>
      <c r="M153" s="9">
        <f>IF(IF(SelectedScope="All India",TRUE,'RAW_QUIZ'!$B152=SelectedScope),'RAW_QUIZ'!M152,"")</f>
        <v>0</v>
      </c>
      <c r="N153" s="9">
        <f>IF(IF(SelectedScope="All India",TRUE,'RAW_QUIZ'!$B152=SelectedScope),'RAW_QUIZ'!N152,"")</f>
        <v>0</v>
      </c>
      <c r="O153" s="9">
        <f>IF(IF(SelectedScope="All India",TRUE,'RAW_QUIZ'!$B152=SelectedScope),'RAW_QUIZ'!O152,"")</f>
        <v>0</v>
      </c>
      <c r="P153" s="9">
        <f>IF(IF(SelectedScope="All India",TRUE,'RAW_QUIZ'!$B152=SelectedScope),'RAW_QUIZ'!P152,"")</f>
        <v>0</v>
      </c>
      <c r="Q153" s="9">
        <f>IF(IF(SelectedScope="All India",TRUE,'RAW_QUIZ'!$B152=SelectedScope),'RAW_QUIZ'!Q152,"")</f>
        <v>0</v>
      </c>
    </row>
    <row r="154" spans="1:17" ht="15" customHeight="1" x14ac:dyDescent="0.3">
      <c r="A154" s="12">
        <f>IF(IF(SelectedScope="All India",TRUE,'RAW_QUIZ'!$B153=SelectedScope),'RAW_QUIZ'!A153,"")</f>
        <v>150</v>
      </c>
      <c r="B154" s="12" t="str">
        <f>IF(IF(SelectedScope="All India",TRUE,'RAW_QUIZ'!$B153=SelectedScope),'RAW_QUIZ'!B153,"")</f>
        <v>Jharkhand</v>
      </c>
      <c r="C154" s="12" t="str">
        <f>IF(IF(SelectedScope="All India",TRUE,'RAW_QUIZ'!$B153=SelectedScope),'RAW_QUIZ'!C153,"")</f>
        <v>Mathematics</v>
      </c>
      <c r="D154" s="12" t="str">
        <f>IF(IF(SelectedScope="All India",TRUE,'RAW_QUIZ'!$B153=SelectedScope),'RAW_QUIZ'!D153,"")</f>
        <v>Class 10</v>
      </c>
      <c r="E154" s="12" t="str">
        <f>IF(IF(SelectedScope="All India",TRUE,'RAW_QUIZ'!$B153=SelectedScope),'RAW_QUIZ'!E153,"")</f>
        <v>Quadratic Equations — Unit Quiz</v>
      </c>
      <c r="F154" s="12">
        <f>IF(IF(SelectedScope="All India",TRUE,'RAW_QUIZ'!$B153=SelectedScope),'RAW_QUIZ'!F153,"")</f>
        <v>0</v>
      </c>
      <c r="G154" s="12" t="str">
        <f>IF(IF(SelectedScope="All India",TRUE,'RAW_QUIZ'!$B153=SelectedScope),'RAW_QUIZ'!G153,"")</f>
        <v>Active</v>
      </c>
      <c r="H154" s="12">
        <f>IF(IF(SelectedScope="All India",TRUE,'RAW_QUIZ'!$B153=SelectedScope),'RAW_QUIZ'!H153,"")</f>
        <v>0</v>
      </c>
      <c r="I154" s="12">
        <f>IF(IF(SelectedScope="All India",TRUE,'RAW_QUIZ'!$B153=SelectedScope),'RAW_QUIZ'!I153,"")</f>
        <v>0</v>
      </c>
      <c r="J154" s="12">
        <f>IF(IF(SelectedScope="All India",TRUE,'RAW_QUIZ'!$B153=SelectedScope),'RAW_QUIZ'!J153,"")</f>
        <v>0</v>
      </c>
      <c r="K154" s="12">
        <f>IF(IF(SelectedScope="All India",TRUE,'RAW_QUIZ'!$B153=SelectedScope),'RAW_QUIZ'!K153,"")</f>
        <v>0</v>
      </c>
      <c r="L154" s="12">
        <f>IF(IF(SelectedScope="All India",TRUE,'RAW_QUIZ'!$B153=SelectedScope),'RAW_QUIZ'!L153,"")</f>
        <v>0</v>
      </c>
      <c r="M154" s="12">
        <f>IF(IF(SelectedScope="All India",TRUE,'RAW_QUIZ'!$B153=SelectedScope),'RAW_QUIZ'!M153,"")</f>
        <v>0</v>
      </c>
      <c r="N154" s="12">
        <f>IF(IF(SelectedScope="All India",TRUE,'RAW_QUIZ'!$B153=SelectedScope),'RAW_QUIZ'!N153,"")</f>
        <v>0</v>
      </c>
      <c r="O154" s="12">
        <f>IF(IF(SelectedScope="All India",TRUE,'RAW_QUIZ'!$B153=SelectedScope),'RAW_QUIZ'!O153,"")</f>
        <v>0</v>
      </c>
      <c r="P154" s="12">
        <f>IF(IF(SelectedScope="All India",TRUE,'RAW_QUIZ'!$B153=SelectedScope),'RAW_QUIZ'!P153,"")</f>
        <v>0</v>
      </c>
      <c r="Q154" s="12">
        <f>IF(IF(SelectedScope="All India",TRUE,'RAW_QUIZ'!$B153=SelectedScope),'RAW_QUIZ'!Q153,"")</f>
        <v>0</v>
      </c>
    </row>
    <row r="155" spans="1:17" ht="15" customHeight="1" x14ac:dyDescent="0.3">
      <c r="A155" s="9">
        <f>IF(IF(SelectedScope="All India",TRUE,'RAW_QUIZ'!$B154=SelectedScope),'RAW_QUIZ'!A154,"")</f>
        <v>151</v>
      </c>
      <c r="B155" s="9" t="str">
        <f>IF(IF(SelectedScope="All India",TRUE,'RAW_QUIZ'!$B154=SelectedScope),'RAW_QUIZ'!B154,"")</f>
        <v>Karnataka</v>
      </c>
      <c r="C155" s="9" t="str">
        <f>IF(IF(SelectedScope="All India",TRUE,'RAW_QUIZ'!$B154=SelectedScope),'RAW_QUIZ'!C154,"")</f>
        <v>Science</v>
      </c>
      <c r="D155" s="9" t="str">
        <f>IF(IF(SelectedScope="All India",TRUE,'RAW_QUIZ'!$B154=SelectedScope),'RAW_QUIZ'!D154,"")</f>
        <v>Class 8</v>
      </c>
      <c r="E155" s="9" t="str">
        <f>IF(IF(SelectedScope="All India",TRUE,'RAW_QUIZ'!$B154=SelectedScope),'RAW_QUIZ'!E154,"")</f>
        <v>Solar System — Unit Quiz</v>
      </c>
      <c r="F155" s="9">
        <f>IF(IF(SelectedScope="All India",TRUE,'RAW_QUIZ'!$B154=SelectedScope),'RAW_QUIZ'!F154,"")</f>
        <v>0</v>
      </c>
      <c r="G155" s="9" t="str">
        <f>IF(IF(SelectedScope="All India",TRUE,'RAW_QUIZ'!$B154=SelectedScope),'RAW_QUIZ'!G154,"")</f>
        <v>Active</v>
      </c>
      <c r="H155" s="9">
        <f>IF(IF(SelectedScope="All India",TRUE,'RAW_QUIZ'!$B154=SelectedScope),'RAW_QUIZ'!H154,"")</f>
        <v>0</v>
      </c>
      <c r="I155" s="9">
        <f>IF(IF(SelectedScope="All India",TRUE,'RAW_QUIZ'!$B154=SelectedScope),'RAW_QUIZ'!I154,"")</f>
        <v>0</v>
      </c>
      <c r="J155" s="9">
        <f>IF(IF(SelectedScope="All India",TRUE,'RAW_QUIZ'!$B154=SelectedScope),'RAW_QUIZ'!J154,"")</f>
        <v>0</v>
      </c>
      <c r="K155" s="9">
        <f>IF(IF(SelectedScope="All India",TRUE,'RAW_QUIZ'!$B154=SelectedScope),'RAW_QUIZ'!K154,"")</f>
        <v>0</v>
      </c>
      <c r="L155" s="9">
        <f>IF(IF(SelectedScope="All India",TRUE,'RAW_QUIZ'!$B154=SelectedScope),'RAW_QUIZ'!L154,"")</f>
        <v>0</v>
      </c>
      <c r="M155" s="9">
        <f>IF(IF(SelectedScope="All India",TRUE,'RAW_QUIZ'!$B154=SelectedScope),'RAW_QUIZ'!M154,"")</f>
        <v>0</v>
      </c>
      <c r="N155" s="9">
        <f>IF(IF(SelectedScope="All India",TRUE,'RAW_QUIZ'!$B154=SelectedScope),'RAW_QUIZ'!N154,"")</f>
        <v>0</v>
      </c>
      <c r="O155" s="9">
        <f>IF(IF(SelectedScope="All India",TRUE,'RAW_QUIZ'!$B154=SelectedScope),'RAW_QUIZ'!O154,"")</f>
        <v>0</v>
      </c>
      <c r="P155" s="9">
        <f>IF(IF(SelectedScope="All India",TRUE,'RAW_QUIZ'!$B154=SelectedScope),'RAW_QUIZ'!P154,"")</f>
        <v>0</v>
      </c>
      <c r="Q155" s="9">
        <f>IF(IF(SelectedScope="All India",TRUE,'RAW_QUIZ'!$B154=SelectedScope),'RAW_QUIZ'!Q154,"")</f>
        <v>0</v>
      </c>
    </row>
    <row r="156" spans="1:17" ht="15" customHeight="1" x14ac:dyDescent="0.3">
      <c r="A156" s="12">
        <f>IF(IF(SelectedScope="All India",TRUE,'RAW_QUIZ'!$B155=SelectedScope),'RAW_QUIZ'!A155,"")</f>
        <v>152</v>
      </c>
      <c r="B156" s="12" t="str">
        <f>IF(IF(SelectedScope="All India",TRUE,'RAW_QUIZ'!$B155=SelectedScope),'RAW_QUIZ'!B155,"")</f>
        <v>Karnataka</v>
      </c>
      <c r="C156" s="12" t="str">
        <f>IF(IF(SelectedScope="All India",TRUE,'RAW_QUIZ'!$B155=SelectedScope),'RAW_QUIZ'!C155,"")</f>
        <v>Biology</v>
      </c>
      <c r="D156" s="12" t="str">
        <f>IF(IF(SelectedScope="All India",TRUE,'RAW_QUIZ'!$B155=SelectedScope),'RAW_QUIZ'!D155,"")</f>
        <v>Class 9</v>
      </c>
      <c r="E156" s="12" t="str">
        <f>IF(IF(SelectedScope="All India",TRUE,'RAW_QUIZ'!$B155=SelectedScope),'RAW_QUIZ'!E155,"")</f>
        <v>Cell Division — Unit Quiz</v>
      </c>
      <c r="F156" s="12">
        <f>IF(IF(SelectedScope="All India",TRUE,'RAW_QUIZ'!$B155=SelectedScope),'RAW_QUIZ'!F155,"")</f>
        <v>0</v>
      </c>
      <c r="G156" s="12" t="str">
        <f>IF(IF(SelectedScope="All India",TRUE,'RAW_QUIZ'!$B155=SelectedScope),'RAW_QUIZ'!G155,"")</f>
        <v>Active</v>
      </c>
      <c r="H156" s="12">
        <f>IF(IF(SelectedScope="All India",TRUE,'RAW_QUIZ'!$B155=SelectedScope),'RAW_QUIZ'!H155,"")</f>
        <v>0</v>
      </c>
      <c r="I156" s="12">
        <f>IF(IF(SelectedScope="All India",TRUE,'RAW_QUIZ'!$B155=SelectedScope),'RAW_QUIZ'!I155,"")</f>
        <v>0</v>
      </c>
      <c r="J156" s="12">
        <f>IF(IF(SelectedScope="All India",TRUE,'RAW_QUIZ'!$B155=SelectedScope),'RAW_QUIZ'!J155,"")</f>
        <v>0</v>
      </c>
      <c r="K156" s="12">
        <f>IF(IF(SelectedScope="All India",TRUE,'RAW_QUIZ'!$B155=SelectedScope),'RAW_QUIZ'!K155,"")</f>
        <v>0</v>
      </c>
      <c r="L156" s="12">
        <f>IF(IF(SelectedScope="All India",TRUE,'RAW_QUIZ'!$B155=SelectedScope),'RAW_QUIZ'!L155,"")</f>
        <v>0</v>
      </c>
      <c r="M156" s="12">
        <f>IF(IF(SelectedScope="All India",TRUE,'RAW_QUIZ'!$B155=SelectedScope),'RAW_QUIZ'!M155,"")</f>
        <v>0</v>
      </c>
      <c r="N156" s="12">
        <f>IF(IF(SelectedScope="All India",TRUE,'RAW_QUIZ'!$B155=SelectedScope),'RAW_QUIZ'!N155,"")</f>
        <v>0</v>
      </c>
      <c r="O156" s="12">
        <f>IF(IF(SelectedScope="All India",TRUE,'RAW_QUIZ'!$B155=SelectedScope),'RAW_QUIZ'!O155,"")</f>
        <v>0</v>
      </c>
      <c r="P156" s="12">
        <f>IF(IF(SelectedScope="All India",TRUE,'RAW_QUIZ'!$B155=SelectedScope),'RAW_QUIZ'!P155,"")</f>
        <v>0</v>
      </c>
      <c r="Q156" s="12">
        <f>IF(IF(SelectedScope="All India",TRUE,'RAW_QUIZ'!$B155=SelectedScope),'RAW_QUIZ'!Q155,"")</f>
        <v>0</v>
      </c>
    </row>
    <row r="157" spans="1:17" ht="15" customHeight="1" x14ac:dyDescent="0.3">
      <c r="A157" s="9">
        <f>IF(IF(SelectedScope="All India",TRUE,'RAW_QUIZ'!$B156=SelectedScope),'RAW_QUIZ'!A156,"")</f>
        <v>153</v>
      </c>
      <c r="B157" s="9" t="str">
        <f>IF(IF(SelectedScope="All India",TRUE,'RAW_QUIZ'!$B156=SelectedScope),'RAW_QUIZ'!B156,"")</f>
        <v>Karnataka</v>
      </c>
      <c r="C157" s="9" t="str">
        <f>IF(IF(SelectedScope="All India",TRUE,'RAW_QUIZ'!$B156=SelectedScope),'RAW_QUIZ'!C156,"")</f>
        <v>Chemistry</v>
      </c>
      <c r="D157" s="9" t="str">
        <f>IF(IF(SelectedScope="All India",TRUE,'RAW_QUIZ'!$B156=SelectedScope),'RAW_QUIZ'!D156,"")</f>
        <v>Class 9</v>
      </c>
      <c r="E157" s="9" t="str">
        <f>IF(IF(SelectedScope="All India",TRUE,'RAW_QUIZ'!$B156=SelectedScope),'RAW_QUIZ'!E156,"")</f>
        <v>Atoms and Molecules — Unit Quiz</v>
      </c>
      <c r="F157" s="9">
        <f>IF(IF(SelectedScope="All India",TRUE,'RAW_QUIZ'!$B156=SelectedScope),'RAW_QUIZ'!F156,"")</f>
        <v>0</v>
      </c>
      <c r="G157" s="9" t="str">
        <f>IF(IF(SelectedScope="All India",TRUE,'RAW_QUIZ'!$B156=SelectedScope),'RAW_QUIZ'!G156,"")</f>
        <v>Active</v>
      </c>
      <c r="H157" s="9">
        <f>IF(IF(SelectedScope="All India",TRUE,'RAW_QUIZ'!$B156=SelectedScope),'RAW_QUIZ'!H156,"")</f>
        <v>0</v>
      </c>
      <c r="I157" s="9">
        <f>IF(IF(SelectedScope="All India",TRUE,'RAW_QUIZ'!$B156=SelectedScope),'RAW_QUIZ'!I156,"")</f>
        <v>0</v>
      </c>
      <c r="J157" s="9">
        <f>IF(IF(SelectedScope="All India",TRUE,'RAW_QUIZ'!$B156=SelectedScope),'RAW_QUIZ'!J156,"")</f>
        <v>0</v>
      </c>
      <c r="K157" s="9">
        <f>IF(IF(SelectedScope="All India",TRUE,'RAW_QUIZ'!$B156=SelectedScope),'RAW_QUIZ'!K156,"")</f>
        <v>0</v>
      </c>
      <c r="L157" s="9">
        <f>IF(IF(SelectedScope="All India",TRUE,'RAW_QUIZ'!$B156=SelectedScope),'RAW_QUIZ'!L156,"")</f>
        <v>0</v>
      </c>
      <c r="M157" s="9">
        <f>IF(IF(SelectedScope="All India",TRUE,'RAW_QUIZ'!$B156=SelectedScope),'RAW_QUIZ'!M156,"")</f>
        <v>0</v>
      </c>
      <c r="N157" s="9">
        <f>IF(IF(SelectedScope="All India",TRUE,'RAW_QUIZ'!$B156=SelectedScope),'RAW_QUIZ'!N156,"")</f>
        <v>0</v>
      </c>
      <c r="O157" s="9">
        <f>IF(IF(SelectedScope="All India",TRUE,'RAW_QUIZ'!$B156=SelectedScope),'RAW_QUIZ'!O156,"")</f>
        <v>0</v>
      </c>
      <c r="P157" s="9">
        <f>IF(IF(SelectedScope="All India",TRUE,'RAW_QUIZ'!$B156=SelectedScope),'RAW_QUIZ'!P156,"")</f>
        <v>0</v>
      </c>
      <c r="Q157" s="9">
        <f>IF(IF(SelectedScope="All India",TRUE,'RAW_QUIZ'!$B156=SelectedScope),'RAW_QUIZ'!Q156,"")</f>
        <v>0</v>
      </c>
    </row>
    <row r="158" spans="1:17" ht="15" customHeight="1" x14ac:dyDescent="0.3">
      <c r="A158" s="12">
        <f>IF(IF(SelectedScope="All India",TRUE,'RAW_QUIZ'!$B157=SelectedScope),'RAW_QUIZ'!A157,"")</f>
        <v>154</v>
      </c>
      <c r="B158" s="12" t="str">
        <f>IF(IF(SelectedScope="All India",TRUE,'RAW_QUIZ'!$B157=SelectedScope),'RAW_QUIZ'!B157,"")</f>
        <v>Karnataka</v>
      </c>
      <c r="C158" s="12" t="str">
        <f>IF(IF(SelectedScope="All India",TRUE,'RAW_QUIZ'!$B157=SelectedScope),'RAW_QUIZ'!C157,"")</f>
        <v>Mathematics</v>
      </c>
      <c r="D158" s="12" t="str">
        <f>IF(IF(SelectedScope="All India",TRUE,'RAW_QUIZ'!$B157=SelectedScope),'RAW_QUIZ'!D157,"")</f>
        <v>Class 7</v>
      </c>
      <c r="E158" s="12" t="str">
        <f>IF(IF(SelectedScope="All India",TRUE,'RAW_QUIZ'!$B157=SelectedScope),'RAW_QUIZ'!E157,"")</f>
        <v>Fractions — Unit Quiz</v>
      </c>
      <c r="F158" s="12">
        <f>IF(IF(SelectedScope="All India",TRUE,'RAW_QUIZ'!$B157=SelectedScope),'RAW_QUIZ'!F157,"")</f>
        <v>0</v>
      </c>
      <c r="G158" s="12" t="str">
        <f>IF(IF(SelectedScope="All India",TRUE,'RAW_QUIZ'!$B157=SelectedScope),'RAW_QUIZ'!G157,"")</f>
        <v>Active</v>
      </c>
      <c r="H158" s="12">
        <f>IF(IF(SelectedScope="All India",TRUE,'RAW_QUIZ'!$B157=SelectedScope),'RAW_QUIZ'!H157,"")</f>
        <v>0</v>
      </c>
      <c r="I158" s="12">
        <f>IF(IF(SelectedScope="All India",TRUE,'RAW_QUIZ'!$B157=SelectedScope),'RAW_QUIZ'!I157,"")</f>
        <v>0</v>
      </c>
      <c r="J158" s="12">
        <f>IF(IF(SelectedScope="All India",TRUE,'RAW_QUIZ'!$B157=SelectedScope),'RAW_QUIZ'!J157,"")</f>
        <v>0</v>
      </c>
      <c r="K158" s="12">
        <f>IF(IF(SelectedScope="All India",TRUE,'RAW_QUIZ'!$B157=SelectedScope),'RAW_QUIZ'!K157,"")</f>
        <v>0</v>
      </c>
      <c r="L158" s="12">
        <f>IF(IF(SelectedScope="All India",TRUE,'RAW_QUIZ'!$B157=SelectedScope),'RAW_QUIZ'!L157,"")</f>
        <v>0</v>
      </c>
      <c r="M158" s="12">
        <f>IF(IF(SelectedScope="All India",TRUE,'RAW_QUIZ'!$B157=SelectedScope),'RAW_QUIZ'!M157,"")</f>
        <v>0</v>
      </c>
      <c r="N158" s="12">
        <f>IF(IF(SelectedScope="All India",TRUE,'RAW_QUIZ'!$B157=SelectedScope),'RAW_QUIZ'!N157,"")</f>
        <v>0</v>
      </c>
      <c r="O158" s="12">
        <f>IF(IF(SelectedScope="All India",TRUE,'RAW_QUIZ'!$B157=SelectedScope),'RAW_QUIZ'!O157,"")</f>
        <v>0</v>
      </c>
      <c r="P158" s="12">
        <f>IF(IF(SelectedScope="All India",TRUE,'RAW_QUIZ'!$B157=SelectedScope),'RAW_QUIZ'!P157,"")</f>
        <v>0</v>
      </c>
      <c r="Q158" s="12">
        <f>IF(IF(SelectedScope="All India",TRUE,'RAW_QUIZ'!$B157=SelectedScope),'RAW_QUIZ'!Q157,"")</f>
        <v>0</v>
      </c>
    </row>
    <row r="159" spans="1:17" ht="15" customHeight="1" x14ac:dyDescent="0.3">
      <c r="A159" s="9">
        <f>IF(IF(SelectedScope="All India",TRUE,'RAW_QUIZ'!$B158=SelectedScope),'RAW_QUIZ'!A158,"")</f>
        <v>155</v>
      </c>
      <c r="B159" s="9" t="str">
        <f>IF(IF(SelectedScope="All India",TRUE,'RAW_QUIZ'!$B158=SelectedScope),'RAW_QUIZ'!B158,"")</f>
        <v>Karnataka</v>
      </c>
      <c r="C159" s="9" t="str">
        <f>IF(IF(SelectedScope="All India",TRUE,'RAW_QUIZ'!$B158=SelectedScope),'RAW_QUIZ'!C158,"")</f>
        <v>Mathematics</v>
      </c>
      <c r="D159" s="9" t="str">
        <f>IF(IF(SelectedScope="All India",TRUE,'RAW_QUIZ'!$B158=SelectedScope),'RAW_QUIZ'!D158,"")</f>
        <v>Class 10</v>
      </c>
      <c r="E159" s="9" t="str">
        <f>IF(IF(SelectedScope="All India",TRUE,'RAW_QUIZ'!$B158=SelectedScope),'RAW_QUIZ'!E158,"")</f>
        <v>Trigonometry — Unit Quiz</v>
      </c>
      <c r="F159" s="9">
        <f>IF(IF(SelectedScope="All India",TRUE,'RAW_QUIZ'!$B158=SelectedScope),'RAW_QUIZ'!F158,"")</f>
        <v>0</v>
      </c>
      <c r="G159" s="9" t="str">
        <f>IF(IF(SelectedScope="All India",TRUE,'RAW_QUIZ'!$B158=SelectedScope),'RAW_QUIZ'!G158,"")</f>
        <v>Active</v>
      </c>
      <c r="H159" s="9">
        <f>IF(IF(SelectedScope="All India",TRUE,'RAW_QUIZ'!$B158=SelectedScope),'RAW_QUIZ'!H158,"")</f>
        <v>0</v>
      </c>
      <c r="I159" s="9">
        <f>IF(IF(SelectedScope="All India",TRUE,'RAW_QUIZ'!$B158=SelectedScope),'RAW_QUIZ'!I158,"")</f>
        <v>0</v>
      </c>
      <c r="J159" s="9">
        <f>IF(IF(SelectedScope="All India",TRUE,'RAW_QUIZ'!$B158=SelectedScope),'RAW_QUIZ'!J158,"")</f>
        <v>0</v>
      </c>
      <c r="K159" s="9">
        <f>IF(IF(SelectedScope="All India",TRUE,'RAW_QUIZ'!$B158=SelectedScope),'RAW_QUIZ'!K158,"")</f>
        <v>0</v>
      </c>
      <c r="L159" s="9">
        <f>IF(IF(SelectedScope="All India",TRUE,'RAW_QUIZ'!$B158=SelectedScope),'RAW_QUIZ'!L158,"")</f>
        <v>0</v>
      </c>
      <c r="M159" s="9">
        <f>IF(IF(SelectedScope="All India",TRUE,'RAW_QUIZ'!$B158=SelectedScope),'RAW_QUIZ'!M158,"")</f>
        <v>0</v>
      </c>
      <c r="N159" s="9">
        <f>IF(IF(SelectedScope="All India",TRUE,'RAW_QUIZ'!$B158=SelectedScope),'RAW_QUIZ'!N158,"")</f>
        <v>0</v>
      </c>
      <c r="O159" s="9">
        <f>IF(IF(SelectedScope="All India",TRUE,'RAW_QUIZ'!$B158=SelectedScope),'RAW_QUIZ'!O158,"")</f>
        <v>0</v>
      </c>
      <c r="P159" s="9">
        <f>IF(IF(SelectedScope="All India",TRUE,'RAW_QUIZ'!$B158=SelectedScope),'RAW_QUIZ'!P158,"")</f>
        <v>0</v>
      </c>
      <c r="Q159" s="9">
        <f>IF(IF(SelectedScope="All India",TRUE,'RAW_QUIZ'!$B158=SelectedScope),'RAW_QUIZ'!Q158,"")</f>
        <v>0</v>
      </c>
    </row>
    <row r="160" spans="1:17" ht="15" customHeight="1" x14ac:dyDescent="0.3">
      <c r="A160" s="12">
        <f>IF(IF(SelectedScope="All India",TRUE,'RAW_QUIZ'!$B159=SelectedScope),'RAW_QUIZ'!A159,"")</f>
        <v>156</v>
      </c>
      <c r="B160" s="12" t="str">
        <f>IF(IF(SelectedScope="All India",TRUE,'RAW_QUIZ'!$B159=SelectedScope),'RAW_QUIZ'!B159,"")</f>
        <v>Karnataka</v>
      </c>
      <c r="C160" s="12" t="str">
        <f>IF(IF(SelectedScope="All India",TRUE,'RAW_QUIZ'!$B159=SelectedScope),'RAW_QUIZ'!C159,"")</f>
        <v>History</v>
      </c>
      <c r="D160" s="12" t="str">
        <f>IF(IF(SelectedScope="All India",TRUE,'RAW_QUIZ'!$B159=SelectedScope),'RAW_QUIZ'!D159,"")</f>
        <v>Class 10</v>
      </c>
      <c r="E160" s="12" t="str">
        <f>IF(IF(SelectedScope="All India",TRUE,'RAW_QUIZ'!$B159=SelectedScope),'RAW_QUIZ'!E159,"")</f>
        <v>Mughal Empire — Unit Quiz</v>
      </c>
      <c r="F160" s="12">
        <f>IF(IF(SelectedScope="All India",TRUE,'RAW_QUIZ'!$B159=SelectedScope),'RAW_QUIZ'!F159,"")</f>
        <v>0</v>
      </c>
      <c r="G160" s="12" t="str">
        <f>IF(IF(SelectedScope="All India",TRUE,'RAW_QUIZ'!$B159=SelectedScope),'RAW_QUIZ'!G159,"")</f>
        <v>Active</v>
      </c>
      <c r="H160" s="12">
        <f>IF(IF(SelectedScope="All India",TRUE,'RAW_QUIZ'!$B159=SelectedScope),'RAW_QUIZ'!H159,"")</f>
        <v>0</v>
      </c>
      <c r="I160" s="12">
        <f>IF(IF(SelectedScope="All India",TRUE,'RAW_QUIZ'!$B159=SelectedScope),'RAW_QUIZ'!I159,"")</f>
        <v>0</v>
      </c>
      <c r="J160" s="12">
        <f>IF(IF(SelectedScope="All India",TRUE,'RAW_QUIZ'!$B159=SelectedScope),'RAW_QUIZ'!J159,"")</f>
        <v>0</v>
      </c>
      <c r="K160" s="12">
        <f>IF(IF(SelectedScope="All India",TRUE,'RAW_QUIZ'!$B159=SelectedScope),'RAW_QUIZ'!K159,"")</f>
        <v>0</v>
      </c>
      <c r="L160" s="12">
        <f>IF(IF(SelectedScope="All India",TRUE,'RAW_QUIZ'!$B159=SelectedScope),'RAW_QUIZ'!L159,"")</f>
        <v>0</v>
      </c>
      <c r="M160" s="12">
        <f>IF(IF(SelectedScope="All India",TRUE,'RAW_QUIZ'!$B159=SelectedScope),'RAW_QUIZ'!M159,"")</f>
        <v>0</v>
      </c>
      <c r="N160" s="12">
        <f>IF(IF(SelectedScope="All India",TRUE,'RAW_QUIZ'!$B159=SelectedScope),'RAW_QUIZ'!N159,"")</f>
        <v>0</v>
      </c>
      <c r="O160" s="12">
        <f>IF(IF(SelectedScope="All India",TRUE,'RAW_QUIZ'!$B159=SelectedScope),'RAW_QUIZ'!O159,"")</f>
        <v>0</v>
      </c>
      <c r="P160" s="12">
        <f>IF(IF(SelectedScope="All India",TRUE,'RAW_QUIZ'!$B159=SelectedScope),'RAW_QUIZ'!P159,"")</f>
        <v>0</v>
      </c>
      <c r="Q160" s="12">
        <f>IF(IF(SelectedScope="All India",TRUE,'RAW_QUIZ'!$B159=SelectedScope),'RAW_QUIZ'!Q159,"")</f>
        <v>0</v>
      </c>
    </row>
    <row r="161" spans="1:17" ht="15" customHeight="1" x14ac:dyDescent="0.3">
      <c r="A161" s="9">
        <f>IF(IF(SelectedScope="All India",TRUE,'RAW_QUIZ'!$B160=SelectedScope),'RAW_QUIZ'!A160,"")</f>
        <v>157</v>
      </c>
      <c r="B161" s="9" t="str">
        <f>IF(IF(SelectedScope="All India",TRUE,'RAW_QUIZ'!$B160=SelectedScope),'RAW_QUIZ'!B160,"")</f>
        <v>Karnataka</v>
      </c>
      <c r="C161" s="9" t="str">
        <f>IF(IF(SelectedScope="All India",TRUE,'RAW_QUIZ'!$B160=SelectedScope),'RAW_QUIZ'!C160,"")</f>
        <v>Physics</v>
      </c>
      <c r="D161" s="9" t="str">
        <f>IF(IF(SelectedScope="All India",TRUE,'RAW_QUIZ'!$B160=SelectedScope),'RAW_QUIZ'!D160,"")</f>
        <v>Class 9</v>
      </c>
      <c r="E161" s="9" t="str">
        <f>IF(IF(SelectedScope="All India",TRUE,'RAW_QUIZ'!$B160=SelectedScope),'RAW_QUIZ'!E160,"")</f>
        <v>Laws of Motion — Unit Quiz</v>
      </c>
      <c r="F161" s="9">
        <f>IF(IF(SelectedScope="All India",TRUE,'RAW_QUIZ'!$B160=SelectedScope),'RAW_QUIZ'!F160,"")</f>
        <v>0</v>
      </c>
      <c r="G161" s="9" t="str">
        <f>IF(IF(SelectedScope="All India",TRUE,'RAW_QUIZ'!$B160=SelectedScope),'RAW_QUIZ'!G160,"")</f>
        <v>Active</v>
      </c>
      <c r="H161" s="9">
        <f>IF(IF(SelectedScope="All India",TRUE,'RAW_QUIZ'!$B160=SelectedScope),'RAW_QUIZ'!H160,"")</f>
        <v>0</v>
      </c>
      <c r="I161" s="9">
        <f>IF(IF(SelectedScope="All India",TRUE,'RAW_QUIZ'!$B160=SelectedScope),'RAW_QUIZ'!I160,"")</f>
        <v>0</v>
      </c>
      <c r="J161" s="9">
        <f>IF(IF(SelectedScope="All India",TRUE,'RAW_QUIZ'!$B160=SelectedScope),'RAW_QUIZ'!J160,"")</f>
        <v>0</v>
      </c>
      <c r="K161" s="9">
        <f>IF(IF(SelectedScope="All India",TRUE,'RAW_QUIZ'!$B160=SelectedScope),'RAW_QUIZ'!K160,"")</f>
        <v>0</v>
      </c>
      <c r="L161" s="9">
        <f>IF(IF(SelectedScope="All India",TRUE,'RAW_QUIZ'!$B160=SelectedScope),'RAW_QUIZ'!L160,"")</f>
        <v>0</v>
      </c>
      <c r="M161" s="9">
        <f>IF(IF(SelectedScope="All India",TRUE,'RAW_QUIZ'!$B160=SelectedScope),'RAW_QUIZ'!M160,"")</f>
        <v>0</v>
      </c>
      <c r="N161" s="9">
        <f>IF(IF(SelectedScope="All India",TRUE,'RAW_QUIZ'!$B160=SelectedScope),'RAW_QUIZ'!N160,"")</f>
        <v>0</v>
      </c>
      <c r="O161" s="9">
        <f>IF(IF(SelectedScope="All India",TRUE,'RAW_QUIZ'!$B160=SelectedScope),'RAW_QUIZ'!O160,"")</f>
        <v>0</v>
      </c>
      <c r="P161" s="9">
        <f>IF(IF(SelectedScope="All India",TRUE,'RAW_QUIZ'!$B160=SelectedScope),'RAW_QUIZ'!P160,"")</f>
        <v>0</v>
      </c>
      <c r="Q161" s="9">
        <f>IF(IF(SelectedScope="All India",TRUE,'RAW_QUIZ'!$B160=SelectedScope),'RAW_QUIZ'!Q160,"")</f>
        <v>0</v>
      </c>
    </row>
    <row r="162" spans="1:17" ht="15" customHeight="1" x14ac:dyDescent="0.3">
      <c r="A162" s="12">
        <f>IF(IF(SelectedScope="All India",TRUE,'RAW_QUIZ'!$B161=SelectedScope),'RAW_QUIZ'!A161,"")</f>
        <v>158</v>
      </c>
      <c r="B162" s="12" t="str">
        <f>IF(IF(SelectedScope="All India",TRUE,'RAW_QUIZ'!$B161=SelectedScope),'RAW_QUIZ'!B161,"")</f>
        <v>Karnataka</v>
      </c>
      <c r="C162" s="12" t="str">
        <f>IF(IF(SelectedScope="All India",TRUE,'RAW_QUIZ'!$B161=SelectedScope),'RAW_QUIZ'!C161,"")</f>
        <v>Physics</v>
      </c>
      <c r="D162" s="12" t="str">
        <f>IF(IF(SelectedScope="All India",TRUE,'RAW_QUIZ'!$B161=SelectedScope),'RAW_QUIZ'!D161,"")</f>
        <v>Class 10</v>
      </c>
      <c r="E162" s="12" t="str">
        <f>IF(IF(SelectedScope="All India",TRUE,'RAW_QUIZ'!$B161=SelectedScope),'RAW_QUIZ'!E161,"")</f>
        <v>Electricity — Unit Quiz</v>
      </c>
      <c r="F162" s="12">
        <f>IF(IF(SelectedScope="All India",TRUE,'RAW_QUIZ'!$B161=SelectedScope),'RAW_QUIZ'!F161,"")</f>
        <v>0</v>
      </c>
      <c r="G162" s="12" t="str">
        <f>IF(IF(SelectedScope="All India",TRUE,'RAW_QUIZ'!$B161=SelectedScope),'RAW_QUIZ'!G161,"")</f>
        <v>Active</v>
      </c>
      <c r="H162" s="12">
        <f>IF(IF(SelectedScope="All India",TRUE,'RAW_QUIZ'!$B161=SelectedScope),'RAW_QUIZ'!H161,"")</f>
        <v>0</v>
      </c>
      <c r="I162" s="12">
        <f>IF(IF(SelectedScope="All India",TRUE,'RAW_QUIZ'!$B161=SelectedScope),'RAW_QUIZ'!I161,"")</f>
        <v>0</v>
      </c>
      <c r="J162" s="12">
        <f>IF(IF(SelectedScope="All India",TRUE,'RAW_QUIZ'!$B161=SelectedScope),'RAW_QUIZ'!J161,"")</f>
        <v>0</v>
      </c>
      <c r="K162" s="12">
        <f>IF(IF(SelectedScope="All India",TRUE,'RAW_QUIZ'!$B161=SelectedScope),'RAW_QUIZ'!K161,"")</f>
        <v>0</v>
      </c>
      <c r="L162" s="12">
        <f>IF(IF(SelectedScope="All India",TRUE,'RAW_QUIZ'!$B161=SelectedScope),'RAW_QUIZ'!L161,"")</f>
        <v>0</v>
      </c>
      <c r="M162" s="12">
        <f>IF(IF(SelectedScope="All India",TRUE,'RAW_QUIZ'!$B161=SelectedScope),'RAW_QUIZ'!M161,"")</f>
        <v>0</v>
      </c>
      <c r="N162" s="12">
        <f>IF(IF(SelectedScope="All India",TRUE,'RAW_QUIZ'!$B161=SelectedScope),'RAW_QUIZ'!N161,"")</f>
        <v>0</v>
      </c>
      <c r="O162" s="12">
        <f>IF(IF(SelectedScope="All India",TRUE,'RAW_QUIZ'!$B161=SelectedScope),'RAW_QUIZ'!O161,"")</f>
        <v>0</v>
      </c>
      <c r="P162" s="12">
        <f>IF(IF(SelectedScope="All India",TRUE,'RAW_QUIZ'!$B161=SelectedScope),'RAW_QUIZ'!P161,"")</f>
        <v>0</v>
      </c>
      <c r="Q162" s="12">
        <f>IF(IF(SelectedScope="All India",TRUE,'RAW_QUIZ'!$B161=SelectedScope),'RAW_QUIZ'!Q161,"")</f>
        <v>0</v>
      </c>
    </row>
    <row r="163" spans="1:17" ht="15" customHeight="1" x14ac:dyDescent="0.3">
      <c r="A163" s="9">
        <f>IF(IF(SelectedScope="All India",TRUE,'RAW_QUIZ'!$B162=SelectedScope),'RAW_QUIZ'!A162,"")</f>
        <v>159</v>
      </c>
      <c r="B163" s="9" t="str">
        <f>IF(IF(SelectedScope="All India",TRUE,'RAW_QUIZ'!$B162=SelectedScope),'RAW_QUIZ'!B162,"")</f>
        <v>Karnataka</v>
      </c>
      <c r="C163" s="9" t="str">
        <f>IF(IF(SelectedScope="All India",TRUE,'RAW_QUIZ'!$B162=SelectedScope),'RAW_QUIZ'!C162,"")</f>
        <v>Civics</v>
      </c>
      <c r="D163" s="9" t="str">
        <f>IF(IF(SelectedScope="All India",TRUE,'RAW_QUIZ'!$B162=SelectedScope),'RAW_QUIZ'!D162,"")</f>
        <v>Class 9</v>
      </c>
      <c r="E163" s="9" t="str">
        <f>IF(IF(SelectedScope="All India",TRUE,'RAW_QUIZ'!$B162=SelectedScope),'RAW_QUIZ'!E162,"")</f>
        <v>Indian Constitution — Unit Quiz</v>
      </c>
      <c r="F163" s="9">
        <f>IF(IF(SelectedScope="All India",TRUE,'RAW_QUIZ'!$B162=SelectedScope),'RAW_QUIZ'!F162,"")</f>
        <v>0</v>
      </c>
      <c r="G163" s="9" t="str">
        <f>IF(IF(SelectedScope="All India",TRUE,'RAW_QUIZ'!$B162=SelectedScope),'RAW_QUIZ'!G162,"")</f>
        <v>Active</v>
      </c>
      <c r="H163" s="9">
        <f>IF(IF(SelectedScope="All India",TRUE,'RAW_QUIZ'!$B162=SelectedScope),'RAW_QUIZ'!H162,"")</f>
        <v>0</v>
      </c>
      <c r="I163" s="9">
        <f>IF(IF(SelectedScope="All India",TRUE,'RAW_QUIZ'!$B162=SelectedScope),'RAW_QUIZ'!I162,"")</f>
        <v>0</v>
      </c>
      <c r="J163" s="9">
        <f>IF(IF(SelectedScope="All India",TRUE,'RAW_QUIZ'!$B162=SelectedScope),'RAW_QUIZ'!J162,"")</f>
        <v>0</v>
      </c>
      <c r="K163" s="9">
        <f>IF(IF(SelectedScope="All India",TRUE,'RAW_QUIZ'!$B162=SelectedScope),'RAW_QUIZ'!K162,"")</f>
        <v>0</v>
      </c>
      <c r="L163" s="9">
        <f>IF(IF(SelectedScope="All India",TRUE,'RAW_QUIZ'!$B162=SelectedScope),'RAW_QUIZ'!L162,"")</f>
        <v>0</v>
      </c>
      <c r="M163" s="9">
        <f>IF(IF(SelectedScope="All India",TRUE,'RAW_QUIZ'!$B162=SelectedScope),'RAW_QUIZ'!M162,"")</f>
        <v>0</v>
      </c>
      <c r="N163" s="9">
        <f>IF(IF(SelectedScope="All India",TRUE,'RAW_QUIZ'!$B162=SelectedScope),'RAW_QUIZ'!N162,"")</f>
        <v>0</v>
      </c>
      <c r="O163" s="9">
        <f>IF(IF(SelectedScope="All India",TRUE,'RAW_QUIZ'!$B162=SelectedScope),'RAW_QUIZ'!O162,"")</f>
        <v>0</v>
      </c>
      <c r="P163" s="9">
        <f>IF(IF(SelectedScope="All India",TRUE,'RAW_QUIZ'!$B162=SelectedScope),'RAW_QUIZ'!P162,"")</f>
        <v>0</v>
      </c>
      <c r="Q163" s="9">
        <f>IF(IF(SelectedScope="All India",TRUE,'RAW_QUIZ'!$B162=SelectedScope),'RAW_QUIZ'!Q162,"")</f>
        <v>0</v>
      </c>
    </row>
    <row r="164" spans="1:17" ht="15" customHeight="1" x14ac:dyDescent="0.3">
      <c r="A164" s="12">
        <f>IF(IF(SelectedScope="All India",TRUE,'RAW_QUIZ'!$B163=SelectedScope),'RAW_QUIZ'!A163,"")</f>
        <v>160</v>
      </c>
      <c r="B164" s="12" t="str">
        <f>IF(IF(SelectedScope="All India",TRUE,'RAW_QUIZ'!$B163=SelectedScope),'RAW_QUIZ'!B163,"")</f>
        <v>Karnataka</v>
      </c>
      <c r="C164" s="12" t="str">
        <f>IF(IF(SelectedScope="All India",TRUE,'RAW_QUIZ'!$B163=SelectedScope),'RAW_QUIZ'!C163,"")</f>
        <v>Mathematics</v>
      </c>
      <c r="D164" s="12" t="str">
        <f>IF(IF(SelectedScope="All India",TRUE,'RAW_QUIZ'!$B163=SelectedScope),'RAW_QUIZ'!D163,"")</f>
        <v>Class 10</v>
      </c>
      <c r="E164" s="12" t="str">
        <f>IF(IF(SelectedScope="All India",TRUE,'RAW_QUIZ'!$B163=SelectedScope),'RAW_QUIZ'!E163,"")</f>
        <v>Quadratic Equations — Unit Quiz</v>
      </c>
      <c r="F164" s="12">
        <f>IF(IF(SelectedScope="All India",TRUE,'RAW_QUIZ'!$B163=SelectedScope),'RAW_QUIZ'!F163,"")</f>
        <v>0</v>
      </c>
      <c r="G164" s="12" t="str">
        <f>IF(IF(SelectedScope="All India",TRUE,'RAW_QUIZ'!$B163=SelectedScope),'RAW_QUIZ'!G163,"")</f>
        <v>Active</v>
      </c>
      <c r="H164" s="12">
        <f>IF(IF(SelectedScope="All India",TRUE,'RAW_QUIZ'!$B163=SelectedScope),'RAW_QUIZ'!H163,"")</f>
        <v>0</v>
      </c>
      <c r="I164" s="12">
        <f>IF(IF(SelectedScope="All India",TRUE,'RAW_QUIZ'!$B163=SelectedScope),'RAW_QUIZ'!I163,"")</f>
        <v>0</v>
      </c>
      <c r="J164" s="12">
        <f>IF(IF(SelectedScope="All India",TRUE,'RAW_QUIZ'!$B163=SelectedScope),'RAW_QUIZ'!J163,"")</f>
        <v>0</v>
      </c>
      <c r="K164" s="12">
        <f>IF(IF(SelectedScope="All India",TRUE,'RAW_QUIZ'!$B163=SelectedScope),'RAW_QUIZ'!K163,"")</f>
        <v>0</v>
      </c>
      <c r="L164" s="12">
        <f>IF(IF(SelectedScope="All India",TRUE,'RAW_QUIZ'!$B163=SelectedScope),'RAW_QUIZ'!L163,"")</f>
        <v>0</v>
      </c>
      <c r="M164" s="12">
        <f>IF(IF(SelectedScope="All India",TRUE,'RAW_QUIZ'!$B163=SelectedScope),'RAW_QUIZ'!M163,"")</f>
        <v>0</v>
      </c>
      <c r="N164" s="12">
        <f>IF(IF(SelectedScope="All India",TRUE,'RAW_QUIZ'!$B163=SelectedScope),'RAW_QUIZ'!N163,"")</f>
        <v>0</v>
      </c>
      <c r="O164" s="12">
        <f>IF(IF(SelectedScope="All India",TRUE,'RAW_QUIZ'!$B163=SelectedScope),'RAW_QUIZ'!O163,"")</f>
        <v>0</v>
      </c>
      <c r="P164" s="12">
        <f>IF(IF(SelectedScope="All India",TRUE,'RAW_QUIZ'!$B163=SelectedScope),'RAW_QUIZ'!P163,"")</f>
        <v>0</v>
      </c>
      <c r="Q164" s="12">
        <f>IF(IF(SelectedScope="All India",TRUE,'RAW_QUIZ'!$B163=SelectedScope),'RAW_QUIZ'!Q163,"")</f>
        <v>0</v>
      </c>
    </row>
    <row r="165" spans="1:17" ht="15" customHeight="1" x14ac:dyDescent="0.3">
      <c r="A165" s="9">
        <f>IF(IF(SelectedScope="All India",TRUE,'RAW_QUIZ'!$B164=SelectedScope),'RAW_QUIZ'!A164,"")</f>
        <v>161</v>
      </c>
      <c r="B165" s="9" t="str">
        <f>IF(IF(SelectedScope="All India",TRUE,'RAW_QUIZ'!$B164=SelectedScope),'RAW_QUIZ'!B164,"")</f>
        <v>Kerala</v>
      </c>
      <c r="C165" s="9" t="str">
        <f>IF(IF(SelectedScope="All India",TRUE,'RAW_QUIZ'!$B164=SelectedScope),'RAW_QUIZ'!C164,"")</f>
        <v>Science</v>
      </c>
      <c r="D165" s="9" t="str">
        <f>IF(IF(SelectedScope="All India",TRUE,'RAW_QUIZ'!$B164=SelectedScope),'RAW_QUIZ'!D164,"")</f>
        <v>Class 8</v>
      </c>
      <c r="E165" s="9" t="str">
        <f>IF(IF(SelectedScope="All India",TRUE,'RAW_QUIZ'!$B164=SelectedScope),'RAW_QUIZ'!E164,"")</f>
        <v>Solar System — Unit Quiz</v>
      </c>
      <c r="F165" s="9">
        <f>IF(IF(SelectedScope="All India",TRUE,'RAW_QUIZ'!$B164=SelectedScope),'RAW_QUIZ'!F164,"")</f>
        <v>0</v>
      </c>
      <c r="G165" s="9" t="str">
        <f>IF(IF(SelectedScope="All India",TRUE,'RAW_QUIZ'!$B164=SelectedScope),'RAW_QUIZ'!G164,"")</f>
        <v>Active</v>
      </c>
      <c r="H165" s="9">
        <f>IF(IF(SelectedScope="All India",TRUE,'RAW_QUIZ'!$B164=SelectedScope),'RAW_QUIZ'!H164,"")</f>
        <v>0</v>
      </c>
      <c r="I165" s="9">
        <f>IF(IF(SelectedScope="All India",TRUE,'RAW_QUIZ'!$B164=SelectedScope),'RAW_QUIZ'!I164,"")</f>
        <v>0</v>
      </c>
      <c r="J165" s="9">
        <f>IF(IF(SelectedScope="All India",TRUE,'RAW_QUIZ'!$B164=SelectedScope),'RAW_QUIZ'!J164,"")</f>
        <v>0</v>
      </c>
      <c r="K165" s="9">
        <f>IF(IF(SelectedScope="All India",TRUE,'RAW_QUIZ'!$B164=SelectedScope),'RAW_QUIZ'!K164,"")</f>
        <v>0</v>
      </c>
      <c r="L165" s="9">
        <f>IF(IF(SelectedScope="All India",TRUE,'RAW_QUIZ'!$B164=SelectedScope),'RAW_QUIZ'!L164,"")</f>
        <v>0</v>
      </c>
      <c r="M165" s="9">
        <f>IF(IF(SelectedScope="All India",TRUE,'RAW_QUIZ'!$B164=SelectedScope),'RAW_QUIZ'!M164,"")</f>
        <v>0</v>
      </c>
      <c r="N165" s="9">
        <f>IF(IF(SelectedScope="All India",TRUE,'RAW_QUIZ'!$B164=SelectedScope),'RAW_QUIZ'!N164,"")</f>
        <v>0</v>
      </c>
      <c r="O165" s="9">
        <f>IF(IF(SelectedScope="All India",TRUE,'RAW_QUIZ'!$B164=SelectedScope),'RAW_QUIZ'!O164,"")</f>
        <v>0</v>
      </c>
      <c r="P165" s="9">
        <f>IF(IF(SelectedScope="All India",TRUE,'RAW_QUIZ'!$B164=SelectedScope),'RAW_QUIZ'!P164,"")</f>
        <v>0</v>
      </c>
      <c r="Q165" s="9">
        <f>IF(IF(SelectedScope="All India",TRUE,'RAW_QUIZ'!$B164=SelectedScope),'RAW_QUIZ'!Q164,"")</f>
        <v>0</v>
      </c>
    </row>
    <row r="166" spans="1:17" ht="15" customHeight="1" x14ac:dyDescent="0.3">
      <c r="A166" s="12">
        <f>IF(IF(SelectedScope="All India",TRUE,'RAW_QUIZ'!$B165=SelectedScope),'RAW_QUIZ'!A165,"")</f>
        <v>162</v>
      </c>
      <c r="B166" s="12" t="str">
        <f>IF(IF(SelectedScope="All India",TRUE,'RAW_QUIZ'!$B165=SelectedScope),'RAW_QUIZ'!B165,"")</f>
        <v>Kerala</v>
      </c>
      <c r="C166" s="12" t="str">
        <f>IF(IF(SelectedScope="All India",TRUE,'RAW_QUIZ'!$B165=SelectedScope),'RAW_QUIZ'!C165,"")</f>
        <v>Biology</v>
      </c>
      <c r="D166" s="12" t="str">
        <f>IF(IF(SelectedScope="All India",TRUE,'RAW_QUIZ'!$B165=SelectedScope),'RAW_QUIZ'!D165,"")</f>
        <v>Class 9</v>
      </c>
      <c r="E166" s="12" t="str">
        <f>IF(IF(SelectedScope="All India",TRUE,'RAW_QUIZ'!$B165=SelectedScope),'RAW_QUIZ'!E165,"")</f>
        <v>Cell Division — Unit Quiz</v>
      </c>
      <c r="F166" s="12">
        <f>IF(IF(SelectedScope="All India",TRUE,'RAW_QUIZ'!$B165=SelectedScope),'RAW_QUIZ'!F165,"")</f>
        <v>0</v>
      </c>
      <c r="G166" s="12" t="str">
        <f>IF(IF(SelectedScope="All India",TRUE,'RAW_QUIZ'!$B165=SelectedScope),'RAW_QUIZ'!G165,"")</f>
        <v>Active</v>
      </c>
      <c r="H166" s="12">
        <f>IF(IF(SelectedScope="All India",TRUE,'RAW_QUIZ'!$B165=SelectedScope),'RAW_QUIZ'!H165,"")</f>
        <v>0</v>
      </c>
      <c r="I166" s="12">
        <f>IF(IF(SelectedScope="All India",TRUE,'RAW_QUIZ'!$B165=SelectedScope),'RAW_QUIZ'!I165,"")</f>
        <v>0</v>
      </c>
      <c r="J166" s="12">
        <f>IF(IF(SelectedScope="All India",TRUE,'RAW_QUIZ'!$B165=SelectedScope),'RAW_QUIZ'!J165,"")</f>
        <v>0</v>
      </c>
      <c r="K166" s="12">
        <f>IF(IF(SelectedScope="All India",TRUE,'RAW_QUIZ'!$B165=SelectedScope),'RAW_QUIZ'!K165,"")</f>
        <v>0</v>
      </c>
      <c r="L166" s="12">
        <f>IF(IF(SelectedScope="All India",TRUE,'RAW_QUIZ'!$B165=SelectedScope),'RAW_QUIZ'!L165,"")</f>
        <v>0</v>
      </c>
      <c r="M166" s="12">
        <f>IF(IF(SelectedScope="All India",TRUE,'RAW_QUIZ'!$B165=SelectedScope),'RAW_QUIZ'!M165,"")</f>
        <v>0</v>
      </c>
      <c r="N166" s="12">
        <f>IF(IF(SelectedScope="All India",TRUE,'RAW_QUIZ'!$B165=SelectedScope),'RAW_QUIZ'!N165,"")</f>
        <v>0</v>
      </c>
      <c r="O166" s="12">
        <f>IF(IF(SelectedScope="All India",TRUE,'RAW_QUIZ'!$B165=SelectedScope),'RAW_QUIZ'!O165,"")</f>
        <v>0</v>
      </c>
      <c r="P166" s="12">
        <f>IF(IF(SelectedScope="All India",TRUE,'RAW_QUIZ'!$B165=SelectedScope),'RAW_QUIZ'!P165,"")</f>
        <v>0</v>
      </c>
      <c r="Q166" s="12">
        <f>IF(IF(SelectedScope="All India",TRUE,'RAW_QUIZ'!$B165=SelectedScope),'RAW_QUIZ'!Q165,"")</f>
        <v>0</v>
      </c>
    </row>
    <row r="167" spans="1:17" ht="15" customHeight="1" x14ac:dyDescent="0.3">
      <c r="A167" s="9">
        <f>IF(IF(SelectedScope="All India",TRUE,'RAW_QUIZ'!$B166=SelectedScope),'RAW_QUIZ'!A166,"")</f>
        <v>163</v>
      </c>
      <c r="B167" s="9" t="str">
        <f>IF(IF(SelectedScope="All India",TRUE,'RAW_QUIZ'!$B166=SelectedScope),'RAW_QUIZ'!B166,"")</f>
        <v>Kerala</v>
      </c>
      <c r="C167" s="9" t="str">
        <f>IF(IF(SelectedScope="All India",TRUE,'RAW_QUIZ'!$B166=SelectedScope),'RAW_QUIZ'!C166,"")</f>
        <v>Chemistry</v>
      </c>
      <c r="D167" s="9" t="str">
        <f>IF(IF(SelectedScope="All India",TRUE,'RAW_QUIZ'!$B166=SelectedScope),'RAW_QUIZ'!D166,"")</f>
        <v>Class 9</v>
      </c>
      <c r="E167" s="9" t="str">
        <f>IF(IF(SelectedScope="All India",TRUE,'RAW_QUIZ'!$B166=SelectedScope),'RAW_QUIZ'!E166,"")</f>
        <v>Atoms and Molecules — Unit Quiz</v>
      </c>
      <c r="F167" s="9">
        <f>IF(IF(SelectedScope="All India",TRUE,'RAW_QUIZ'!$B166=SelectedScope),'RAW_QUIZ'!F166,"")</f>
        <v>0</v>
      </c>
      <c r="G167" s="9" t="str">
        <f>IF(IF(SelectedScope="All India",TRUE,'RAW_QUIZ'!$B166=SelectedScope),'RAW_QUIZ'!G166,"")</f>
        <v>Active</v>
      </c>
      <c r="H167" s="9">
        <f>IF(IF(SelectedScope="All India",TRUE,'RAW_QUIZ'!$B166=SelectedScope),'RAW_QUIZ'!H166,"")</f>
        <v>0</v>
      </c>
      <c r="I167" s="9">
        <f>IF(IF(SelectedScope="All India",TRUE,'RAW_QUIZ'!$B166=SelectedScope),'RAW_QUIZ'!I166,"")</f>
        <v>0</v>
      </c>
      <c r="J167" s="9">
        <f>IF(IF(SelectedScope="All India",TRUE,'RAW_QUIZ'!$B166=SelectedScope),'RAW_QUIZ'!J166,"")</f>
        <v>0</v>
      </c>
      <c r="K167" s="9">
        <f>IF(IF(SelectedScope="All India",TRUE,'RAW_QUIZ'!$B166=SelectedScope),'RAW_QUIZ'!K166,"")</f>
        <v>0</v>
      </c>
      <c r="L167" s="9">
        <f>IF(IF(SelectedScope="All India",TRUE,'RAW_QUIZ'!$B166=SelectedScope),'RAW_QUIZ'!L166,"")</f>
        <v>0</v>
      </c>
      <c r="M167" s="9">
        <f>IF(IF(SelectedScope="All India",TRUE,'RAW_QUIZ'!$B166=SelectedScope),'RAW_QUIZ'!M166,"")</f>
        <v>0</v>
      </c>
      <c r="N167" s="9">
        <f>IF(IF(SelectedScope="All India",TRUE,'RAW_QUIZ'!$B166=SelectedScope),'RAW_QUIZ'!N166,"")</f>
        <v>0</v>
      </c>
      <c r="O167" s="9">
        <f>IF(IF(SelectedScope="All India",TRUE,'RAW_QUIZ'!$B166=SelectedScope),'RAW_QUIZ'!O166,"")</f>
        <v>0</v>
      </c>
      <c r="P167" s="9">
        <f>IF(IF(SelectedScope="All India",TRUE,'RAW_QUIZ'!$B166=SelectedScope),'RAW_QUIZ'!P166,"")</f>
        <v>0</v>
      </c>
      <c r="Q167" s="9">
        <f>IF(IF(SelectedScope="All India",TRUE,'RAW_QUIZ'!$B166=SelectedScope),'RAW_QUIZ'!Q166,"")</f>
        <v>0</v>
      </c>
    </row>
    <row r="168" spans="1:17" ht="15" customHeight="1" x14ac:dyDescent="0.3">
      <c r="A168" s="12">
        <f>IF(IF(SelectedScope="All India",TRUE,'RAW_QUIZ'!$B167=SelectedScope),'RAW_QUIZ'!A167,"")</f>
        <v>164</v>
      </c>
      <c r="B168" s="12" t="str">
        <f>IF(IF(SelectedScope="All India",TRUE,'RAW_QUIZ'!$B167=SelectedScope),'RAW_QUIZ'!B167,"")</f>
        <v>Kerala</v>
      </c>
      <c r="C168" s="12" t="str">
        <f>IF(IF(SelectedScope="All India",TRUE,'RAW_QUIZ'!$B167=SelectedScope),'RAW_QUIZ'!C167,"")</f>
        <v>Mathematics</v>
      </c>
      <c r="D168" s="12" t="str">
        <f>IF(IF(SelectedScope="All India",TRUE,'RAW_QUIZ'!$B167=SelectedScope),'RAW_QUIZ'!D167,"")</f>
        <v>Class 7</v>
      </c>
      <c r="E168" s="12" t="str">
        <f>IF(IF(SelectedScope="All India",TRUE,'RAW_QUIZ'!$B167=SelectedScope),'RAW_QUIZ'!E167,"")</f>
        <v>Fractions — Unit Quiz</v>
      </c>
      <c r="F168" s="12">
        <f>IF(IF(SelectedScope="All India",TRUE,'RAW_QUIZ'!$B167=SelectedScope),'RAW_QUIZ'!F167,"")</f>
        <v>0</v>
      </c>
      <c r="G168" s="12" t="str">
        <f>IF(IF(SelectedScope="All India",TRUE,'RAW_QUIZ'!$B167=SelectedScope),'RAW_QUIZ'!G167,"")</f>
        <v>Active</v>
      </c>
      <c r="H168" s="12">
        <f>IF(IF(SelectedScope="All India",TRUE,'RAW_QUIZ'!$B167=SelectedScope),'RAW_QUIZ'!H167,"")</f>
        <v>0</v>
      </c>
      <c r="I168" s="12">
        <f>IF(IF(SelectedScope="All India",TRUE,'RAW_QUIZ'!$B167=SelectedScope),'RAW_QUIZ'!I167,"")</f>
        <v>0</v>
      </c>
      <c r="J168" s="12">
        <f>IF(IF(SelectedScope="All India",TRUE,'RAW_QUIZ'!$B167=SelectedScope),'RAW_QUIZ'!J167,"")</f>
        <v>0</v>
      </c>
      <c r="K168" s="12">
        <f>IF(IF(SelectedScope="All India",TRUE,'RAW_QUIZ'!$B167=SelectedScope),'RAW_QUIZ'!K167,"")</f>
        <v>0</v>
      </c>
      <c r="L168" s="12">
        <f>IF(IF(SelectedScope="All India",TRUE,'RAW_QUIZ'!$B167=SelectedScope),'RAW_QUIZ'!L167,"")</f>
        <v>0</v>
      </c>
      <c r="M168" s="12">
        <f>IF(IF(SelectedScope="All India",TRUE,'RAW_QUIZ'!$B167=SelectedScope),'RAW_QUIZ'!M167,"")</f>
        <v>0</v>
      </c>
      <c r="N168" s="12">
        <f>IF(IF(SelectedScope="All India",TRUE,'RAW_QUIZ'!$B167=SelectedScope),'RAW_QUIZ'!N167,"")</f>
        <v>0</v>
      </c>
      <c r="O168" s="12">
        <f>IF(IF(SelectedScope="All India",TRUE,'RAW_QUIZ'!$B167=SelectedScope),'RAW_QUIZ'!O167,"")</f>
        <v>0</v>
      </c>
      <c r="P168" s="12">
        <f>IF(IF(SelectedScope="All India",TRUE,'RAW_QUIZ'!$B167=SelectedScope),'RAW_QUIZ'!P167,"")</f>
        <v>0</v>
      </c>
      <c r="Q168" s="12">
        <f>IF(IF(SelectedScope="All India",TRUE,'RAW_QUIZ'!$B167=SelectedScope),'RAW_QUIZ'!Q167,"")</f>
        <v>0</v>
      </c>
    </row>
    <row r="169" spans="1:17" ht="15" customHeight="1" x14ac:dyDescent="0.3">
      <c r="A169" s="9">
        <f>IF(IF(SelectedScope="All India",TRUE,'RAW_QUIZ'!$B168=SelectedScope),'RAW_QUIZ'!A168,"")</f>
        <v>165</v>
      </c>
      <c r="B169" s="9" t="str">
        <f>IF(IF(SelectedScope="All India",TRUE,'RAW_QUIZ'!$B168=SelectedScope),'RAW_QUIZ'!B168,"")</f>
        <v>Kerala</v>
      </c>
      <c r="C169" s="9" t="str">
        <f>IF(IF(SelectedScope="All India",TRUE,'RAW_QUIZ'!$B168=SelectedScope),'RAW_QUIZ'!C168,"")</f>
        <v>Mathematics</v>
      </c>
      <c r="D169" s="9" t="str">
        <f>IF(IF(SelectedScope="All India",TRUE,'RAW_QUIZ'!$B168=SelectedScope),'RAW_QUIZ'!D168,"")</f>
        <v>Class 10</v>
      </c>
      <c r="E169" s="9" t="str">
        <f>IF(IF(SelectedScope="All India",TRUE,'RAW_QUIZ'!$B168=SelectedScope),'RAW_QUIZ'!E168,"")</f>
        <v>Trigonometry — Unit Quiz</v>
      </c>
      <c r="F169" s="9">
        <f>IF(IF(SelectedScope="All India",TRUE,'RAW_QUIZ'!$B168=SelectedScope),'RAW_QUIZ'!F168,"")</f>
        <v>0</v>
      </c>
      <c r="G169" s="9" t="str">
        <f>IF(IF(SelectedScope="All India",TRUE,'RAW_QUIZ'!$B168=SelectedScope),'RAW_QUIZ'!G168,"")</f>
        <v>Active</v>
      </c>
      <c r="H169" s="9">
        <f>IF(IF(SelectedScope="All India",TRUE,'RAW_QUIZ'!$B168=SelectedScope),'RAW_QUIZ'!H168,"")</f>
        <v>0</v>
      </c>
      <c r="I169" s="9">
        <f>IF(IF(SelectedScope="All India",TRUE,'RAW_QUIZ'!$B168=SelectedScope),'RAW_QUIZ'!I168,"")</f>
        <v>0</v>
      </c>
      <c r="J169" s="9">
        <f>IF(IF(SelectedScope="All India",TRUE,'RAW_QUIZ'!$B168=SelectedScope),'RAW_QUIZ'!J168,"")</f>
        <v>0</v>
      </c>
      <c r="K169" s="9">
        <f>IF(IF(SelectedScope="All India",TRUE,'RAW_QUIZ'!$B168=SelectedScope),'RAW_QUIZ'!K168,"")</f>
        <v>0</v>
      </c>
      <c r="L169" s="9">
        <f>IF(IF(SelectedScope="All India",TRUE,'RAW_QUIZ'!$B168=SelectedScope),'RAW_QUIZ'!L168,"")</f>
        <v>0</v>
      </c>
      <c r="M169" s="9">
        <f>IF(IF(SelectedScope="All India",TRUE,'RAW_QUIZ'!$B168=SelectedScope),'RAW_QUIZ'!M168,"")</f>
        <v>0</v>
      </c>
      <c r="N169" s="9">
        <f>IF(IF(SelectedScope="All India",TRUE,'RAW_QUIZ'!$B168=SelectedScope),'RAW_QUIZ'!N168,"")</f>
        <v>0</v>
      </c>
      <c r="O169" s="9">
        <f>IF(IF(SelectedScope="All India",TRUE,'RAW_QUIZ'!$B168=SelectedScope),'RAW_QUIZ'!O168,"")</f>
        <v>0</v>
      </c>
      <c r="P169" s="9">
        <f>IF(IF(SelectedScope="All India",TRUE,'RAW_QUIZ'!$B168=SelectedScope),'RAW_QUIZ'!P168,"")</f>
        <v>0</v>
      </c>
      <c r="Q169" s="9">
        <f>IF(IF(SelectedScope="All India",TRUE,'RAW_QUIZ'!$B168=SelectedScope),'RAW_QUIZ'!Q168,"")</f>
        <v>0</v>
      </c>
    </row>
    <row r="170" spans="1:17" ht="15" customHeight="1" x14ac:dyDescent="0.3">
      <c r="A170" s="12">
        <f>IF(IF(SelectedScope="All India",TRUE,'RAW_QUIZ'!$B169=SelectedScope),'RAW_QUIZ'!A169,"")</f>
        <v>166</v>
      </c>
      <c r="B170" s="12" t="str">
        <f>IF(IF(SelectedScope="All India",TRUE,'RAW_QUIZ'!$B169=SelectedScope),'RAW_QUIZ'!B169,"")</f>
        <v>Kerala</v>
      </c>
      <c r="C170" s="12" t="str">
        <f>IF(IF(SelectedScope="All India",TRUE,'RAW_QUIZ'!$B169=SelectedScope),'RAW_QUIZ'!C169,"")</f>
        <v>History</v>
      </c>
      <c r="D170" s="12" t="str">
        <f>IF(IF(SelectedScope="All India",TRUE,'RAW_QUIZ'!$B169=SelectedScope),'RAW_QUIZ'!D169,"")</f>
        <v>Class 10</v>
      </c>
      <c r="E170" s="12" t="str">
        <f>IF(IF(SelectedScope="All India",TRUE,'RAW_QUIZ'!$B169=SelectedScope),'RAW_QUIZ'!E169,"")</f>
        <v>Mughal Empire — Unit Quiz</v>
      </c>
      <c r="F170" s="12">
        <f>IF(IF(SelectedScope="All India",TRUE,'RAW_QUIZ'!$B169=SelectedScope),'RAW_QUIZ'!F169,"")</f>
        <v>0</v>
      </c>
      <c r="G170" s="12" t="str">
        <f>IF(IF(SelectedScope="All India",TRUE,'RAW_QUIZ'!$B169=SelectedScope),'RAW_QUIZ'!G169,"")</f>
        <v>Active</v>
      </c>
      <c r="H170" s="12">
        <f>IF(IF(SelectedScope="All India",TRUE,'RAW_QUIZ'!$B169=SelectedScope),'RAW_QUIZ'!H169,"")</f>
        <v>0</v>
      </c>
      <c r="I170" s="12">
        <f>IF(IF(SelectedScope="All India",TRUE,'RAW_QUIZ'!$B169=SelectedScope),'RAW_QUIZ'!I169,"")</f>
        <v>0</v>
      </c>
      <c r="J170" s="12">
        <f>IF(IF(SelectedScope="All India",TRUE,'RAW_QUIZ'!$B169=SelectedScope),'RAW_QUIZ'!J169,"")</f>
        <v>0</v>
      </c>
      <c r="K170" s="12">
        <f>IF(IF(SelectedScope="All India",TRUE,'RAW_QUIZ'!$B169=SelectedScope),'RAW_QUIZ'!K169,"")</f>
        <v>0</v>
      </c>
      <c r="L170" s="12">
        <f>IF(IF(SelectedScope="All India",TRUE,'RAW_QUIZ'!$B169=SelectedScope),'RAW_QUIZ'!L169,"")</f>
        <v>0</v>
      </c>
      <c r="M170" s="12">
        <f>IF(IF(SelectedScope="All India",TRUE,'RAW_QUIZ'!$B169=SelectedScope),'RAW_QUIZ'!M169,"")</f>
        <v>0</v>
      </c>
      <c r="N170" s="12">
        <f>IF(IF(SelectedScope="All India",TRUE,'RAW_QUIZ'!$B169=SelectedScope),'RAW_QUIZ'!N169,"")</f>
        <v>0</v>
      </c>
      <c r="O170" s="12">
        <f>IF(IF(SelectedScope="All India",TRUE,'RAW_QUIZ'!$B169=SelectedScope),'RAW_QUIZ'!O169,"")</f>
        <v>0</v>
      </c>
      <c r="P170" s="12">
        <f>IF(IF(SelectedScope="All India",TRUE,'RAW_QUIZ'!$B169=SelectedScope),'RAW_QUIZ'!P169,"")</f>
        <v>0</v>
      </c>
      <c r="Q170" s="12">
        <f>IF(IF(SelectedScope="All India",TRUE,'RAW_QUIZ'!$B169=SelectedScope),'RAW_QUIZ'!Q169,"")</f>
        <v>0</v>
      </c>
    </row>
    <row r="171" spans="1:17" ht="15" customHeight="1" x14ac:dyDescent="0.3">
      <c r="A171" s="9">
        <f>IF(IF(SelectedScope="All India",TRUE,'RAW_QUIZ'!$B170=SelectedScope),'RAW_QUIZ'!A170,"")</f>
        <v>167</v>
      </c>
      <c r="B171" s="9" t="str">
        <f>IF(IF(SelectedScope="All India",TRUE,'RAW_QUIZ'!$B170=SelectedScope),'RAW_QUIZ'!B170,"")</f>
        <v>Kerala</v>
      </c>
      <c r="C171" s="9" t="str">
        <f>IF(IF(SelectedScope="All India",TRUE,'RAW_QUIZ'!$B170=SelectedScope),'RAW_QUIZ'!C170,"")</f>
        <v>Physics</v>
      </c>
      <c r="D171" s="9" t="str">
        <f>IF(IF(SelectedScope="All India",TRUE,'RAW_QUIZ'!$B170=SelectedScope),'RAW_QUIZ'!D170,"")</f>
        <v>Class 9</v>
      </c>
      <c r="E171" s="9" t="str">
        <f>IF(IF(SelectedScope="All India",TRUE,'RAW_QUIZ'!$B170=SelectedScope),'RAW_QUIZ'!E170,"")</f>
        <v>Laws of Motion — Unit Quiz</v>
      </c>
      <c r="F171" s="9">
        <f>IF(IF(SelectedScope="All India",TRUE,'RAW_QUIZ'!$B170=SelectedScope),'RAW_QUIZ'!F170,"")</f>
        <v>0</v>
      </c>
      <c r="G171" s="9" t="str">
        <f>IF(IF(SelectedScope="All India",TRUE,'RAW_QUIZ'!$B170=SelectedScope),'RAW_QUIZ'!G170,"")</f>
        <v>Active</v>
      </c>
      <c r="H171" s="9">
        <f>IF(IF(SelectedScope="All India",TRUE,'RAW_QUIZ'!$B170=SelectedScope),'RAW_QUIZ'!H170,"")</f>
        <v>0</v>
      </c>
      <c r="I171" s="9">
        <f>IF(IF(SelectedScope="All India",TRUE,'RAW_QUIZ'!$B170=SelectedScope),'RAW_QUIZ'!I170,"")</f>
        <v>0</v>
      </c>
      <c r="J171" s="9">
        <f>IF(IF(SelectedScope="All India",TRUE,'RAW_QUIZ'!$B170=SelectedScope),'RAW_QUIZ'!J170,"")</f>
        <v>0</v>
      </c>
      <c r="K171" s="9">
        <f>IF(IF(SelectedScope="All India",TRUE,'RAW_QUIZ'!$B170=SelectedScope),'RAW_QUIZ'!K170,"")</f>
        <v>0</v>
      </c>
      <c r="L171" s="9">
        <f>IF(IF(SelectedScope="All India",TRUE,'RAW_QUIZ'!$B170=SelectedScope),'RAW_QUIZ'!L170,"")</f>
        <v>0</v>
      </c>
      <c r="M171" s="9">
        <f>IF(IF(SelectedScope="All India",TRUE,'RAW_QUIZ'!$B170=SelectedScope),'RAW_QUIZ'!M170,"")</f>
        <v>0</v>
      </c>
      <c r="N171" s="9">
        <f>IF(IF(SelectedScope="All India",TRUE,'RAW_QUIZ'!$B170=SelectedScope),'RAW_QUIZ'!N170,"")</f>
        <v>0</v>
      </c>
      <c r="O171" s="9">
        <f>IF(IF(SelectedScope="All India",TRUE,'RAW_QUIZ'!$B170=SelectedScope),'RAW_QUIZ'!O170,"")</f>
        <v>0</v>
      </c>
      <c r="P171" s="9">
        <f>IF(IF(SelectedScope="All India",TRUE,'RAW_QUIZ'!$B170=SelectedScope),'RAW_QUIZ'!P170,"")</f>
        <v>0</v>
      </c>
      <c r="Q171" s="9">
        <f>IF(IF(SelectedScope="All India",TRUE,'RAW_QUIZ'!$B170=SelectedScope),'RAW_QUIZ'!Q170,"")</f>
        <v>0</v>
      </c>
    </row>
    <row r="172" spans="1:17" ht="15" customHeight="1" x14ac:dyDescent="0.3">
      <c r="A172" s="12">
        <f>IF(IF(SelectedScope="All India",TRUE,'RAW_QUIZ'!$B171=SelectedScope),'RAW_QUIZ'!A171,"")</f>
        <v>168</v>
      </c>
      <c r="B172" s="12" t="str">
        <f>IF(IF(SelectedScope="All India",TRUE,'RAW_QUIZ'!$B171=SelectedScope),'RAW_QUIZ'!B171,"")</f>
        <v>Kerala</v>
      </c>
      <c r="C172" s="12" t="str">
        <f>IF(IF(SelectedScope="All India",TRUE,'RAW_QUIZ'!$B171=SelectedScope),'RAW_QUIZ'!C171,"")</f>
        <v>Physics</v>
      </c>
      <c r="D172" s="12" t="str">
        <f>IF(IF(SelectedScope="All India",TRUE,'RAW_QUIZ'!$B171=SelectedScope),'RAW_QUIZ'!D171,"")</f>
        <v>Class 10</v>
      </c>
      <c r="E172" s="12" t="str">
        <f>IF(IF(SelectedScope="All India",TRUE,'RAW_QUIZ'!$B171=SelectedScope),'RAW_QUIZ'!E171,"")</f>
        <v>Electricity — Unit Quiz</v>
      </c>
      <c r="F172" s="12">
        <f>IF(IF(SelectedScope="All India",TRUE,'RAW_QUIZ'!$B171=SelectedScope),'RAW_QUIZ'!F171,"")</f>
        <v>0</v>
      </c>
      <c r="G172" s="12" t="str">
        <f>IF(IF(SelectedScope="All India",TRUE,'RAW_QUIZ'!$B171=SelectedScope),'RAW_QUIZ'!G171,"")</f>
        <v>Active</v>
      </c>
      <c r="H172" s="12">
        <f>IF(IF(SelectedScope="All India",TRUE,'RAW_QUIZ'!$B171=SelectedScope),'RAW_QUIZ'!H171,"")</f>
        <v>0</v>
      </c>
      <c r="I172" s="12">
        <f>IF(IF(SelectedScope="All India",TRUE,'RAW_QUIZ'!$B171=SelectedScope),'RAW_QUIZ'!I171,"")</f>
        <v>0</v>
      </c>
      <c r="J172" s="12">
        <f>IF(IF(SelectedScope="All India",TRUE,'RAW_QUIZ'!$B171=SelectedScope),'RAW_QUIZ'!J171,"")</f>
        <v>0</v>
      </c>
      <c r="K172" s="12">
        <f>IF(IF(SelectedScope="All India",TRUE,'RAW_QUIZ'!$B171=SelectedScope),'RAW_QUIZ'!K171,"")</f>
        <v>0</v>
      </c>
      <c r="L172" s="12">
        <f>IF(IF(SelectedScope="All India",TRUE,'RAW_QUIZ'!$B171=SelectedScope),'RAW_QUIZ'!L171,"")</f>
        <v>0</v>
      </c>
      <c r="M172" s="12">
        <f>IF(IF(SelectedScope="All India",TRUE,'RAW_QUIZ'!$B171=SelectedScope),'RAW_QUIZ'!M171,"")</f>
        <v>0</v>
      </c>
      <c r="N172" s="12">
        <f>IF(IF(SelectedScope="All India",TRUE,'RAW_QUIZ'!$B171=SelectedScope),'RAW_QUIZ'!N171,"")</f>
        <v>0</v>
      </c>
      <c r="O172" s="12">
        <f>IF(IF(SelectedScope="All India",TRUE,'RAW_QUIZ'!$B171=SelectedScope),'RAW_QUIZ'!O171,"")</f>
        <v>0</v>
      </c>
      <c r="P172" s="12">
        <f>IF(IF(SelectedScope="All India",TRUE,'RAW_QUIZ'!$B171=SelectedScope),'RAW_QUIZ'!P171,"")</f>
        <v>0</v>
      </c>
      <c r="Q172" s="12">
        <f>IF(IF(SelectedScope="All India",TRUE,'RAW_QUIZ'!$B171=SelectedScope),'RAW_QUIZ'!Q171,"")</f>
        <v>0</v>
      </c>
    </row>
    <row r="173" spans="1:17" ht="15" customHeight="1" x14ac:dyDescent="0.3">
      <c r="A173" s="9">
        <f>IF(IF(SelectedScope="All India",TRUE,'RAW_QUIZ'!$B172=SelectedScope),'RAW_QUIZ'!A172,"")</f>
        <v>169</v>
      </c>
      <c r="B173" s="9" t="str">
        <f>IF(IF(SelectedScope="All India",TRUE,'RAW_QUIZ'!$B172=SelectedScope),'RAW_QUIZ'!B172,"")</f>
        <v>Kerala</v>
      </c>
      <c r="C173" s="9" t="str">
        <f>IF(IF(SelectedScope="All India",TRUE,'RAW_QUIZ'!$B172=SelectedScope),'RAW_QUIZ'!C172,"")</f>
        <v>Civics</v>
      </c>
      <c r="D173" s="9" t="str">
        <f>IF(IF(SelectedScope="All India",TRUE,'RAW_QUIZ'!$B172=SelectedScope),'RAW_QUIZ'!D172,"")</f>
        <v>Class 9</v>
      </c>
      <c r="E173" s="9" t="str">
        <f>IF(IF(SelectedScope="All India",TRUE,'RAW_QUIZ'!$B172=SelectedScope),'RAW_QUIZ'!E172,"")</f>
        <v>Indian Constitution — Unit Quiz</v>
      </c>
      <c r="F173" s="9">
        <f>IF(IF(SelectedScope="All India",TRUE,'RAW_QUIZ'!$B172=SelectedScope),'RAW_QUIZ'!F172,"")</f>
        <v>0</v>
      </c>
      <c r="G173" s="9" t="str">
        <f>IF(IF(SelectedScope="All India",TRUE,'RAW_QUIZ'!$B172=SelectedScope),'RAW_QUIZ'!G172,"")</f>
        <v>Active</v>
      </c>
      <c r="H173" s="9">
        <f>IF(IF(SelectedScope="All India",TRUE,'RAW_QUIZ'!$B172=SelectedScope),'RAW_QUIZ'!H172,"")</f>
        <v>0</v>
      </c>
      <c r="I173" s="9">
        <f>IF(IF(SelectedScope="All India",TRUE,'RAW_QUIZ'!$B172=SelectedScope),'RAW_QUIZ'!I172,"")</f>
        <v>0</v>
      </c>
      <c r="J173" s="9">
        <f>IF(IF(SelectedScope="All India",TRUE,'RAW_QUIZ'!$B172=SelectedScope),'RAW_QUIZ'!J172,"")</f>
        <v>0</v>
      </c>
      <c r="K173" s="9">
        <f>IF(IF(SelectedScope="All India",TRUE,'RAW_QUIZ'!$B172=SelectedScope),'RAW_QUIZ'!K172,"")</f>
        <v>0</v>
      </c>
      <c r="L173" s="9">
        <f>IF(IF(SelectedScope="All India",TRUE,'RAW_QUIZ'!$B172=SelectedScope),'RAW_QUIZ'!L172,"")</f>
        <v>0</v>
      </c>
      <c r="M173" s="9">
        <f>IF(IF(SelectedScope="All India",TRUE,'RAW_QUIZ'!$B172=SelectedScope),'RAW_QUIZ'!M172,"")</f>
        <v>0</v>
      </c>
      <c r="N173" s="9">
        <f>IF(IF(SelectedScope="All India",TRUE,'RAW_QUIZ'!$B172=SelectedScope),'RAW_QUIZ'!N172,"")</f>
        <v>0</v>
      </c>
      <c r="O173" s="9">
        <f>IF(IF(SelectedScope="All India",TRUE,'RAW_QUIZ'!$B172=SelectedScope),'RAW_QUIZ'!O172,"")</f>
        <v>0</v>
      </c>
      <c r="P173" s="9">
        <f>IF(IF(SelectedScope="All India",TRUE,'RAW_QUIZ'!$B172=SelectedScope),'RAW_QUIZ'!P172,"")</f>
        <v>0</v>
      </c>
      <c r="Q173" s="9">
        <f>IF(IF(SelectedScope="All India",TRUE,'RAW_QUIZ'!$B172=SelectedScope),'RAW_QUIZ'!Q172,"")</f>
        <v>0</v>
      </c>
    </row>
    <row r="174" spans="1:17" ht="15" customHeight="1" x14ac:dyDescent="0.3">
      <c r="A174" s="12">
        <f>IF(IF(SelectedScope="All India",TRUE,'RAW_QUIZ'!$B173=SelectedScope),'RAW_QUIZ'!A173,"")</f>
        <v>170</v>
      </c>
      <c r="B174" s="12" t="str">
        <f>IF(IF(SelectedScope="All India",TRUE,'RAW_QUIZ'!$B173=SelectedScope),'RAW_QUIZ'!B173,"")</f>
        <v>Kerala</v>
      </c>
      <c r="C174" s="12" t="str">
        <f>IF(IF(SelectedScope="All India",TRUE,'RAW_QUIZ'!$B173=SelectedScope),'RAW_QUIZ'!C173,"")</f>
        <v>Mathematics</v>
      </c>
      <c r="D174" s="12" t="str">
        <f>IF(IF(SelectedScope="All India",TRUE,'RAW_QUIZ'!$B173=SelectedScope),'RAW_QUIZ'!D173,"")</f>
        <v>Class 10</v>
      </c>
      <c r="E174" s="12" t="str">
        <f>IF(IF(SelectedScope="All India",TRUE,'RAW_QUIZ'!$B173=SelectedScope),'RAW_QUIZ'!E173,"")</f>
        <v>Quadratic Equations — Unit Quiz</v>
      </c>
      <c r="F174" s="12">
        <f>IF(IF(SelectedScope="All India",TRUE,'RAW_QUIZ'!$B173=SelectedScope),'RAW_QUIZ'!F173,"")</f>
        <v>0</v>
      </c>
      <c r="G174" s="12" t="str">
        <f>IF(IF(SelectedScope="All India",TRUE,'RAW_QUIZ'!$B173=SelectedScope),'RAW_QUIZ'!G173,"")</f>
        <v>Active</v>
      </c>
      <c r="H174" s="12">
        <f>IF(IF(SelectedScope="All India",TRUE,'RAW_QUIZ'!$B173=SelectedScope),'RAW_QUIZ'!H173,"")</f>
        <v>0</v>
      </c>
      <c r="I174" s="12">
        <f>IF(IF(SelectedScope="All India",TRUE,'RAW_QUIZ'!$B173=SelectedScope),'RAW_QUIZ'!I173,"")</f>
        <v>0</v>
      </c>
      <c r="J174" s="12">
        <f>IF(IF(SelectedScope="All India",TRUE,'RAW_QUIZ'!$B173=SelectedScope),'RAW_QUIZ'!J173,"")</f>
        <v>0</v>
      </c>
      <c r="K174" s="12">
        <f>IF(IF(SelectedScope="All India",TRUE,'RAW_QUIZ'!$B173=SelectedScope),'RAW_QUIZ'!K173,"")</f>
        <v>0</v>
      </c>
      <c r="L174" s="12">
        <f>IF(IF(SelectedScope="All India",TRUE,'RAW_QUIZ'!$B173=SelectedScope),'RAW_QUIZ'!L173,"")</f>
        <v>0</v>
      </c>
      <c r="M174" s="12">
        <f>IF(IF(SelectedScope="All India",TRUE,'RAW_QUIZ'!$B173=SelectedScope),'RAW_QUIZ'!M173,"")</f>
        <v>0</v>
      </c>
      <c r="N174" s="12">
        <f>IF(IF(SelectedScope="All India",TRUE,'RAW_QUIZ'!$B173=SelectedScope),'RAW_QUIZ'!N173,"")</f>
        <v>0</v>
      </c>
      <c r="O174" s="12">
        <f>IF(IF(SelectedScope="All India",TRUE,'RAW_QUIZ'!$B173=SelectedScope),'RAW_QUIZ'!O173,"")</f>
        <v>0</v>
      </c>
      <c r="P174" s="12">
        <f>IF(IF(SelectedScope="All India",TRUE,'RAW_QUIZ'!$B173=SelectedScope),'RAW_QUIZ'!P173,"")</f>
        <v>0</v>
      </c>
      <c r="Q174" s="12">
        <f>IF(IF(SelectedScope="All India",TRUE,'RAW_QUIZ'!$B173=SelectedScope),'RAW_QUIZ'!Q173,"")</f>
        <v>0</v>
      </c>
    </row>
    <row r="175" spans="1:17" ht="15" customHeight="1" x14ac:dyDescent="0.3">
      <c r="A175" s="9">
        <f>IF(IF(SelectedScope="All India",TRUE,'RAW_QUIZ'!$B174=SelectedScope),'RAW_QUIZ'!A174,"")</f>
        <v>171</v>
      </c>
      <c r="B175" s="9" t="str">
        <f>IF(IF(SelectedScope="All India",TRUE,'RAW_QUIZ'!$B174=SelectedScope),'RAW_QUIZ'!B174,"")</f>
        <v>Ladakh</v>
      </c>
      <c r="C175" s="9" t="str">
        <f>IF(IF(SelectedScope="All India",TRUE,'RAW_QUIZ'!$B174=SelectedScope),'RAW_QUIZ'!C174,"")</f>
        <v>Science</v>
      </c>
      <c r="D175" s="9" t="str">
        <f>IF(IF(SelectedScope="All India",TRUE,'RAW_QUIZ'!$B174=SelectedScope),'RAW_QUIZ'!D174,"")</f>
        <v>Class 8</v>
      </c>
      <c r="E175" s="9" t="str">
        <f>IF(IF(SelectedScope="All India",TRUE,'RAW_QUIZ'!$B174=SelectedScope),'RAW_QUIZ'!E174,"")</f>
        <v>Solar System — Unit Quiz</v>
      </c>
      <c r="F175" s="9">
        <f>IF(IF(SelectedScope="All India",TRUE,'RAW_QUIZ'!$B174=SelectedScope),'RAW_QUIZ'!F174,"")</f>
        <v>0</v>
      </c>
      <c r="G175" s="9" t="str">
        <f>IF(IF(SelectedScope="All India",TRUE,'RAW_QUIZ'!$B174=SelectedScope),'RAW_QUIZ'!G174,"")</f>
        <v>Active</v>
      </c>
      <c r="H175" s="9">
        <f>IF(IF(SelectedScope="All India",TRUE,'RAW_QUIZ'!$B174=SelectedScope),'RAW_QUIZ'!H174,"")</f>
        <v>0</v>
      </c>
      <c r="I175" s="9">
        <f>IF(IF(SelectedScope="All India",TRUE,'RAW_QUIZ'!$B174=SelectedScope),'RAW_QUIZ'!I174,"")</f>
        <v>0</v>
      </c>
      <c r="J175" s="9">
        <f>IF(IF(SelectedScope="All India",TRUE,'RAW_QUIZ'!$B174=SelectedScope),'RAW_QUIZ'!J174,"")</f>
        <v>0</v>
      </c>
      <c r="K175" s="9">
        <f>IF(IF(SelectedScope="All India",TRUE,'RAW_QUIZ'!$B174=SelectedScope),'RAW_QUIZ'!K174,"")</f>
        <v>0</v>
      </c>
      <c r="L175" s="9">
        <f>IF(IF(SelectedScope="All India",TRUE,'RAW_QUIZ'!$B174=SelectedScope),'RAW_QUIZ'!L174,"")</f>
        <v>0</v>
      </c>
      <c r="M175" s="9">
        <f>IF(IF(SelectedScope="All India",TRUE,'RAW_QUIZ'!$B174=SelectedScope),'RAW_QUIZ'!M174,"")</f>
        <v>0</v>
      </c>
      <c r="N175" s="9">
        <f>IF(IF(SelectedScope="All India",TRUE,'RAW_QUIZ'!$B174=SelectedScope),'RAW_QUIZ'!N174,"")</f>
        <v>0</v>
      </c>
      <c r="O175" s="9">
        <f>IF(IF(SelectedScope="All India",TRUE,'RAW_QUIZ'!$B174=SelectedScope),'RAW_QUIZ'!O174,"")</f>
        <v>0</v>
      </c>
      <c r="P175" s="9">
        <f>IF(IF(SelectedScope="All India",TRUE,'RAW_QUIZ'!$B174=SelectedScope),'RAW_QUIZ'!P174,"")</f>
        <v>0</v>
      </c>
      <c r="Q175" s="9">
        <f>IF(IF(SelectedScope="All India",TRUE,'RAW_QUIZ'!$B174=SelectedScope),'RAW_QUIZ'!Q174,"")</f>
        <v>0</v>
      </c>
    </row>
    <row r="176" spans="1:17" ht="15" customHeight="1" x14ac:dyDescent="0.3">
      <c r="A176" s="12">
        <f>IF(IF(SelectedScope="All India",TRUE,'RAW_QUIZ'!$B175=SelectedScope),'RAW_QUIZ'!A175,"")</f>
        <v>172</v>
      </c>
      <c r="B176" s="12" t="str">
        <f>IF(IF(SelectedScope="All India",TRUE,'RAW_QUIZ'!$B175=SelectedScope),'RAW_QUIZ'!B175,"")</f>
        <v>Ladakh</v>
      </c>
      <c r="C176" s="12" t="str">
        <f>IF(IF(SelectedScope="All India",TRUE,'RAW_QUIZ'!$B175=SelectedScope),'RAW_QUIZ'!C175,"")</f>
        <v>Biology</v>
      </c>
      <c r="D176" s="12" t="str">
        <f>IF(IF(SelectedScope="All India",TRUE,'RAW_QUIZ'!$B175=SelectedScope),'RAW_QUIZ'!D175,"")</f>
        <v>Class 9</v>
      </c>
      <c r="E176" s="12" t="str">
        <f>IF(IF(SelectedScope="All India",TRUE,'RAW_QUIZ'!$B175=SelectedScope),'RAW_QUIZ'!E175,"")</f>
        <v>Cell Division — Unit Quiz</v>
      </c>
      <c r="F176" s="12">
        <f>IF(IF(SelectedScope="All India",TRUE,'RAW_QUIZ'!$B175=SelectedScope),'RAW_QUIZ'!F175,"")</f>
        <v>0</v>
      </c>
      <c r="G176" s="12" t="str">
        <f>IF(IF(SelectedScope="All India",TRUE,'RAW_QUIZ'!$B175=SelectedScope),'RAW_QUIZ'!G175,"")</f>
        <v>Active</v>
      </c>
      <c r="H176" s="12">
        <f>IF(IF(SelectedScope="All India",TRUE,'RAW_QUIZ'!$B175=SelectedScope),'RAW_QUIZ'!H175,"")</f>
        <v>0</v>
      </c>
      <c r="I176" s="12">
        <f>IF(IF(SelectedScope="All India",TRUE,'RAW_QUIZ'!$B175=SelectedScope),'RAW_QUIZ'!I175,"")</f>
        <v>0</v>
      </c>
      <c r="J176" s="12">
        <f>IF(IF(SelectedScope="All India",TRUE,'RAW_QUIZ'!$B175=SelectedScope),'RAW_QUIZ'!J175,"")</f>
        <v>0</v>
      </c>
      <c r="K176" s="12">
        <f>IF(IF(SelectedScope="All India",TRUE,'RAW_QUIZ'!$B175=SelectedScope),'RAW_QUIZ'!K175,"")</f>
        <v>0</v>
      </c>
      <c r="L176" s="12">
        <f>IF(IF(SelectedScope="All India",TRUE,'RAW_QUIZ'!$B175=SelectedScope),'RAW_QUIZ'!L175,"")</f>
        <v>0</v>
      </c>
      <c r="M176" s="12">
        <f>IF(IF(SelectedScope="All India",TRUE,'RAW_QUIZ'!$B175=SelectedScope),'RAW_QUIZ'!M175,"")</f>
        <v>0</v>
      </c>
      <c r="N176" s="12">
        <f>IF(IF(SelectedScope="All India",TRUE,'RAW_QUIZ'!$B175=SelectedScope),'RAW_QUIZ'!N175,"")</f>
        <v>0</v>
      </c>
      <c r="O176" s="12">
        <f>IF(IF(SelectedScope="All India",TRUE,'RAW_QUIZ'!$B175=SelectedScope),'RAW_QUIZ'!O175,"")</f>
        <v>0</v>
      </c>
      <c r="P176" s="12">
        <f>IF(IF(SelectedScope="All India",TRUE,'RAW_QUIZ'!$B175=SelectedScope),'RAW_QUIZ'!P175,"")</f>
        <v>0</v>
      </c>
      <c r="Q176" s="12">
        <f>IF(IF(SelectedScope="All India",TRUE,'RAW_QUIZ'!$B175=SelectedScope),'RAW_QUIZ'!Q175,"")</f>
        <v>0</v>
      </c>
    </row>
    <row r="177" spans="1:17" ht="15" customHeight="1" x14ac:dyDescent="0.3">
      <c r="A177" s="9">
        <f>IF(IF(SelectedScope="All India",TRUE,'RAW_QUIZ'!$B176=SelectedScope),'RAW_QUIZ'!A176,"")</f>
        <v>173</v>
      </c>
      <c r="B177" s="9" t="str">
        <f>IF(IF(SelectedScope="All India",TRUE,'RAW_QUIZ'!$B176=SelectedScope),'RAW_QUIZ'!B176,"")</f>
        <v>Ladakh</v>
      </c>
      <c r="C177" s="9" t="str">
        <f>IF(IF(SelectedScope="All India",TRUE,'RAW_QUIZ'!$B176=SelectedScope),'RAW_QUIZ'!C176,"")</f>
        <v>Chemistry</v>
      </c>
      <c r="D177" s="9" t="str">
        <f>IF(IF(SelectedScope="All India",TRUE,'RAW_QUIZ'!$B176=SelectedScope),'RAW_QUIZ'!D176,"")</f>
        <v>Class 9</v>
      </c>
      <c r="E177" s="9" t="str">
        <f>IF(IF(SelectedScope="All India",TRUE,'RAW_QUIZ'!$B176=SelectedScope),'RAW_QUIZ'!E176,"")</f>
        <v>Atoms and Molecules — Unit Quiz</v>
      </c>
      <c r="F177" s="9">
        <f>IF(IF(SelectedScope="All India",TRUE,'RAW_QUIZ'!$B176=SelectedScope),'RAW_QUIZ'!F176,"")</f>
        <v>0</v>
      </c>
      <c r="G177" s="9" t="str">
        <f>IF(IF(SelectedScope="All India",TRUE,'RAW_QUIZ'!$B176=SelectedScope),'RAW_QUIZ'!G176,"")</f>
        <v>Active</v>
      </c>
      <c r="H177" s="9">
        <f>IF(IF(SelectedScope="All India",TRUE,'RAW_QUIZ'!$B176=SelectedScope),'RAW_QUIZ'!H176,"")</f>
        <v>0</v>
      </c>
      <c r="I177" s="9">
        <f>IF(IF(SelectedScope="All India",TRUE,'RAW_QUIZ'!$B176=SelectedScope),'RAW_QUIZ'!I176,"")</f>
        <v>0</v>
      </c>
      <c r="J177" s="9">
        <f>IF(IF(SelectedScope="All India",TRUE,'RAW_QUIZ'!$B176=SelectedScope),'RAW_QUIZ'!J176,"")</f>
        <v>0</v>
      </c>
      <c r="K177" s="9">
        <f>IF(IF(SelectedScope="All India",TRUE,'RAW_QUIZ'!$B176=SelectedScope),'RAW_QUIZ'!K176,"")</f>
        <v>0</v>
      </c>
      <c r="L177" s="9">
        <f>IF(IF(SelectedScope="All India",TRUE,'RAW_QUIZ'!$B176=SelectedScope),'RAW_QUIZ'!L176,"")</f>
        <v>0</v>
      </c>
      <c r="M177" s="9">
        <f>IF(IF(SelectedScope="All India",TRUE,'RAW_QUIZ'!$B176=SelectedScope),'RAW_QUIZ'!M176,"")</f>
        <v>0</v>
      </c>
      <c r="N177" s="9">
        <f>IF(IF(SelectedScope="All India",TRUE,'RAW_QUIZ'!$B176=SelectedScope),'RAW_QUIZ'!N176,"")</f>
        <v>0</v>
      </c>
      <c r="O177" s="9">
        <f>IF(IF(SelectedScope="All India",TRUE,'RAW_QUIZ'!$B176=SelectedScope),'RAW_QUIZ'!O176,"")</f>
        <v>0</v>
      </c>
      <c r="P177" s="9">
        <f>IF(IF(SelectedScope="All India",TRUE,'RAW_QUIZ'!$B176=SelectedScope),'RAW_QUIZ'!P176,"")</f>
        <v>0</v>
      </c>
      <c r="Q177" s="9">
        <f>IF(IF(SelectedScope="All India",TRUE,'RAW_QUIZ'!$B176=SelectedScope),'RAW_QUIZ'!Q176,"")</f>
        <v>0</v>
      </c>
    </row>
    <row r="178" spans="1:17" ht="15" customHeight="1" x14ac:dyDescent="0.3">
      <c r="A178" s="12">
        <f>IF(IF(SelectedScope="All India",TRUE,'RAW_QUIZ'!$B177=SelectedScope),'RAW_QUIZ'!A177,"")</f>
        <v>174</v>
      </c>
      <c r="B178" s="12" t="str">
        <f>IF(IF(SelectedScope="All India",TRUE,'RAW_QUIZ'!$B177=SelectedScope),'RAW_QUIZ'!B177,"")</f>
        <v>Ladakh</v>
      </c>
      <c r="C178" s="12" t="str">
        <f>IF(IF(SelectedScope="All India",TRUE,'RAW_QUIZ'!$B177=SelectedScope),'RAW_QUIZ'!C177,"")</f>
        <v>Mathematics</v>
      </c>
      <c r="D178" s="12" t="str">
        <f>IF(IF(SelectedScope="All India",TRUE,'RAW_QUIZ'!$B177=SelectedScope),'RAW_QUIZ'!D177,"")</f>
        <v>Class 7</v>
      </c>
      <c r="E178" s="12" t="str">
        <f>IF(IF(SelectedScope="All India",TRUE,'RAW_QUIZ'!$B177=SelectedScope),'RAW_QUIZ'!E177,"")</f>
        <v>Fractions — Unit Quiz</v>
      </c>
      <c r="F178" s="12">
        <f>IF(IF(SelectedScope="All India",TRUE,'RAW_QUIZ'!$B177=SelectedScope),'RAW_QUIZ'!F177,"")</f>
        <v>0</v>
      </c>
      <c r="G178" s="12" t="str">
        <f>IF(IF(SelectedScope="All India",TRUE,'RAW_QUIZ'!$B177=SelectedScope),'RAW_QUIZ'!G177,"")</f>
        <v>Active</v>
      </c>
      <c r="H178" s="12">
        <f>IF(IF(SelectedScope="All India",TRUE,'RAW_QUIZ'!$B177=SelectedScope),'RAW_QUIZ'!H177,"")</f>
        <v>0</v>
      </c>
      <c r="I178" s="12">
        <f>IF(IF(SelectedScope="All India",TRUE,'RAW_QUIZ'!$B177=SelectedScope),'RAW_QUIZ'!I177,"")</f>
        <v>0</v>
      </c>
      <c r="J178" s="12">
        <f>IF(IF(SelectedScope="All India",TRUE,'RAW_QUIZ'!$B177=SelectedScope),'RAW_QUIZ'!J177,"")</f>
        <v>0</v>
      </c>
      <c r="K178" s="12">
        <f>IF(IF(SelectedScope="All India",TRUE,'RAW_QUIZ'!$B177=SelectedScope),'RAW_QUIZ'!K177,"")</f>
        <v>0</v>
      </c>
      <c r="L178" s="12">
        <f>IF(IF(SelectedScope="All India",TRUE,'RAW_QUIZ'!$B177=SelectedScope),'RAW_QUIZ'!L177,"")</f>
        <v>0</v>
      </c>
      <c r="M178" s="12">
        <f>IF(IF(SelectedScope="All India",TRUE,'RAW_QUIZ'!$B177=SelectedScope),'RAW_QUIZ'!M177,"")</f>
        <v>0</v>
      </c>
      <c r="N178" s="12">
        <f>IF(IF(SelectedScope="All India",TRUE,'RAW_QUIZ'!$B177=SelectedScope),'RAW_QUIZ'!N177,"")</f>
        <v>0</v>
      </c>
      <c r="O178" s="12">
        <f>IF(IF(SelectedScope="All India",TRUE,'RAW_QUIZ'!$B177=SelectedScope),'RAW_QUIZ'!O177,"")</f>
        <v>0</v>
      </c>
      <c r="P178" s="12">
        <f>IF(IF(SelectedScope="All India",TRUE,'RAW_QUIZ'!$B177=SelectedScope),'RAW_QUIZ'!P177,"")</f>
        <v>0</v>
      </c>
      <c r="Q178" s="12">
        <f>IF(IF(SelectedScope="All India",TRUE,'RAW_QUIZ'!$B177=SelectedScope),'RAW_QUIZ'!Q177,"")</f>
        <v>0</v>
      </c>
    </row>
    <row r="179" spans="1:17" ht="15" customHeight="1" x14ac:dyDescent="0.3">
      <c r="A179" s="9">
        <f>IF(IF(SelectedScope="All India",TRUE,'RAW_QUIZ'!$B178=SelectedScope),'RAW_QUIZ'!A178,"")</f>
        <v>175</v>
      </c>
      <c r="B179" s="9" t="str">
        <f>IF(IF(SelectedScope="All India",TRUE,'RAW_QUIZ'!$B178=SelectedScope),'RAW_QUIZ'!B178,"")</f>
        <v>Ladakh</v>
      </c>
      <c r="C179" s="9" t="str">
        <f>IF(IF(SelectedScope="All India",TRUE,'RAW_QUIZ'!$B178=SelectedScope),'RAW_QUIZ'!C178,"")</f>
        <v>Mathematics</v>
      </c>
      <c r="D179" s="9" t="str">
        <f>IF(IF(SelectedScope="All India",TRUE,'RAW_QUIZ'!$B178=SelectedScope),'RAW_QUIZ'!D178,"")</f>
        <v>Class 10</v>
      </c>
      <c r="E179" s="9" t="str">
        <f>IF(IF(SelectedScope="All India",TRUE,'RAW_QUIZ'!$B178=SelectedScope),'RAW_QUIZ'!E178,"")</f>
        <v>Trigonometry — Unit Quiz</v>
      </c>
      <c r="F179" s="9">
        <f>IF(IF(SelectedScope="All India",TRUE,'RAW_QUIZ'!$B178=SelectedScope),'RAW_QUIZ'!F178,"")</f>
        <v>0</v>
      </c>
      <c r="G179" s="9" t="str">
        <f>IF(IF(SelectedScope="All India",TRUE,'RAW_QUIZ'!$B178=SelectedScope),'RAW_QUIZ'!G178,"")</f>
        <v>Active</v>
      </c>
      <c r="H179" s="9">
        <f>IF(IF(SelectedScope="All India",TRUE,'RAW_QUIZ'!$B178=SelectedScope),'RAW_QUIZ'!H178,"")</f>
        <v>0</v>
      </c>
      <c r="I179" s="9">
        <f>IF(IF(SelectedScope="All India",TRUE,'RAW_QUIZ'!$B178=SelectedScope),'RAW_QUIZ'!I178,"")</f>
        <v>0</v>
      </c>
      <c r="J179" s="9">
        <f>IF(IF(SelectedScope="All India",TRUE,'RAW_QUIZ'!$B178=SelectedScope),'RAW_QUIZ'!J178,"")</f>
        <v>0</v>
      </c>
      <c r="K179" s="9">
        <f>IF(IF(SelectedScope="All India",TRUE,'RAW_QUIZ'!$B178=SelectedScope),'RAW_QUIZ'!K178,"")</f>
        <v>0</v>
      </c>
      <c r="L179" s="9">
        <f>IF(IF(SelectedScope="All India",TRUE,'RAW_QUIZ'!$B178=SelectedScope),'RAW_QUIZ'!L178,"")</f>
        <v>0</v>
      </c>
      <c r="M179" s="9">
        <f>IF(IF(SelectedScope="All India",TRUE,'RAW_QUIZ'!$B178=SelectedScope),'RAW_QUIZ'!M178,"")</f>
        <v>0</v>
      </c>
      <c r="N179" s="9">
        <f>IF(IF(SelectedScope="All India",TRUE,'RAW_QUIZ'!$B178=SelectedScope),'RAW_QUIZ'!N178,"")</f>
        <v>0</v>
      </c>
      <c r="O179" s="9">
        <f>IF(IF(SelectedScope="All India",TRUE,'RAW_QUIZ'!$B178=SelectedScope),'RAW_QUIZ'!O178,"")</f>
        <v>0</v>
      </c>
      <c r="P179" s="9">
        <f>IF(IF(SelectedScope="All India",TRUE,'RAW_QUIZ'!$B178=SelectedScope),'RAW_QUIZ'!P178,"")</f>
        <v>0</v>
      </c>
      <c r="Q179" s="9">
        <f>IF(IF(SelectedScope="All India",TRUE,'RAW_QUIZ'!$B178=SelectedScope),'RAW_QUIZ'!Q178,"")</f>
        <v>0</v>
      </c>
    </row>
    <row r="180" spans="1:17" ht="15" customHeight="1" x14ac:dyDescent="0.3">
      <c r="A180" s="12">
        <f>IF(IF(SelectedScope="All India",TRUE,'RAW_QUIZ'!$B179=SelectedScope),'RAW_QUIZ'!A179,"")</f>
        <v>176</v>
      </c>
      <c r="B180" s="12" t="str">
        <f>IF(IF(SelectedScope="All India",TRUE,'RAW_QUIZ'!$B179=SelectedScope),'RAW_QUIZ'!B179,"")</f>
        <v>Ladakh</v>
      </c>
      <c r="C180" s="12" t="str">
        <f>IF(IF(SelectedScope="All India",TRUE,'RAW_QUIZ'!$B179=SelectedScope),'RAW_QUIZ'!C179,"")</f>
        <v>History</v>
      </c>
      <c r="D180" s="12" t="str">
        <f>IF(IF(SelectedScope="All India",TRUE,'RAW_QUIZ'!$B179=SelectedScope),'RAW_QUIZ'!D179,"")</f>
        <v>Class 10</v>
      </c>
      <c r="E180" s="12" t="str">
        <f>IF(IF(SelectedScope="All India",TRUE,'RAW_QUIZ'!$B179=SelectedScope),'RAW_QUIZ'!E179,"")</f>
        <v>Mughal Empire — Unit Quiz</v>
      </c>
      <c r="F180" s="12">
        <f>IF(IF(SelectedScope="All India",TRUE,'RAW_QUIZ'!$B179=SelectedScope),'RAW_QUIZ'!F179,"")</f>
        <v>0</v>
      </c>
      <c r="G180" s="12" t="str">
        <f>IF(IF(SelectedScope="All India",TRUE,'RAW_QUIZ'!$B179=SelectedScope),'RAW_QUIZ'!G179,"")</f>
        <v>Active</v>
      </c>
      <c r="H180" s="12">
        <f>IF(IF(SelectedScope="All India",TRUE,'RAW_QUIZ'!$B179=SelectedScope),'RAW_QUIZ'!H179,"")</f>
        <v>0</v>
      </c>
      <c r="I180" s="12">
        <f>IF(IF(SelectedScope="All India",TRUE,'RAW_QUIZ'!$B179=SelectedScope),'RAW_QUIZ'!I179,"")</f>
        <v>0</v>
      </c>
      <c r="J180" s="12">
        <f>IF(IF(SelectedScope="All India",TRUE,'RAW_QUIZ'!$B179=SelectedScope),'RAW_QUIZ'!J179,"")</f>
        <v>0</v>
      </c>
      <c r="K180" s="12">
        <f>IF(IF(SelectedScope="All India",TRUE,'RAW_QUIZ'!$B179=SelectedScope),'RAW_QUIZ'!K179,"")</f>
        <v>0</v>
      </c>
      <c r="L180" s="12">
        <f>IF(IF(SelectedScope="All India",TRUE,'RAW_QUIZ'!$B179=SelectedScope),'RAW_QUIZ'!L179,"")</f>
        <v>0</v>
      </c>
      <c r="M180" s="12">
        <f>IF(IF(SelectedScope="All India",TRUE,'RAW_QUIZ'!$B179=SelectedScope),'RAW_QUIZ'!M179,"")</f>
        <v>0</v>
      </c>
      <c r="N180" s="12">
        <f>IF(IF(SelectedScope="All India",TRUE,'RAW_QUIZ'!$B179=SelectedScope),'RAW_QUIZ'!N179,"")</f>
        <v>0</v>
      </c>
      <c r="O180" s="12">
        <f>IF(IF(SelectedScope="All India",TRUE,'RAW_QUIZ'!$B179=SelectedScope),'RAW_QUIZ'!O179,"")</f>
        <v>0</v>
      </c>
      <c r="P180" s="12">
        <f>IF(IF(SelectedScope="All India",TRUE,'RAW_QUIZ'!$B179=SelectedScope),'RAW_QUIZ'!P179,"")</f>
        <v>0</v>
      </c>
      <c r="Q180" s="12">
        <f>IF(IF(SelectedScope="All India",TRUE,'RAW_QUIZ'!$B179=SelectedScope),'RAW_QUIZ'!Q179,"")</f>
        <v>0</v>
      </c>
    </row>
    <row r="181" spans="1:17" ht="15" customHeight="1" x14ac:dyDescent="0.3">
      <c r="A181" s="9">
        <f>IF(IF(SelectedScope="All India",TRUE,'RAW_QUIZ'!$B180=SelectedScope),'RAW_QUIZ'!A180,"")</f>
        <v>177</v>
      </c>
      <c r="B181" s="9" t="str">
        <f>IF(IF(SelectedScope="All India",TRUE,'RAW_QUIZ'!$B180=SelectedScope),'RAW_QUIZ'!B180,"")</f>
        <v>Ladakh</v>
      </c>
      <c r="C181" s="9" t="str">
        <f>IF(IF(SelectedScope="All India",TRUE,'RAW_QUIZ'!$B180=SelectedScope),'RAW_QUIZ'!C180,"")</f>
        <v>Physics</v>
      </c>
      <c r="D181" s="9" t="str">
        <f>IF(IF(SelectedScope="All India",TRUE,'RAW_QUIZ'!$B180=SelectedScope),'RAW_QUIZ'!D180,"")</f>
        <v>Class 9</v>
      </c>
      <c r="E181" s="9" t="str">
        <f>IF(IF(SelectedScope="All India",TRUE,'RAW_QUIZ'!$B180=SelectedScope),'RAW_QUIZ'!E180,"")</f>
        <v>Laws of Motion — Unit Quiz</v>
      </c>
      <c r="F181" s="9">
        <f>IF(IF(SelectedScope="All India",TRUE,'RAW_QUIZ'!$B180=SelectedScope),'RAW_QUIZ'!F180,"")</f>
        <v>0</v>
      </c>
      <c r="G181" s="9" t="str">
        <f>IF(IF(SelectedScope="All India",TRUE,'RAW_QUIZ'!$B180=SelectedScope),'RAW_QUIZ'!G180,"")</f>
        <v>Active</v>
      </c>
      <c r="H181" s="9">
        <f>IF(IF(SelectedScope="All India",TRUE,'RAW_QUIZ'!$B180=SelectedScope),'RAW_QUIZ'!H180,"")</f>
        <v>0</v>
      </c>
      <c r="I181" s="9">
        <f>IF(IF(SelectedScope="All India",TRUE,'RAW_QUIZ'!$B180=SelectedScope),'RAW_QUIZ'!I180,"")</f>
        <v>0</v>
      </c>
      <c r="J181" s="9">
        <f>IF(IF(SelectedScope="All India",TRUE,'RAW_QUIZ'!$B180=SelectedScope),'RAW_QUIZ'!J180,"")</f>
        <v>0</v>
      </c>
      <c r="K181" s="9">
        <f>IF(IF(SelectedScope="All India",TRUE,'RAW_QUIZ'!$B180=SelectedScope),'RAW_QUIZ'!K180,"")</f>
        <v>0</v>
      </c>
      <c r="L181" s="9">
        <f>IF(IF(SelectedScope="All India",TRUE,'RAW_QUIZ'!$B180=SelectedScope),'RAW_QUIZ'!L180,"")</f>
        <v>0</v>
      </c>
      <c r="M181" s="9">
        <f>IF(IF(SelectedScope="All India",TRUE,'RAW_QUIZ'!$B180=SelectedScope),'RAW_QUIZ'!M180,"")</f>
        <v>0</v>
      </c>
      <c r="N181" s="9">
        <f>IF(IF(SelectedScope="All India",TRUE,'RAW_QUIZ'!$B180=SelectedScope),'RAW_QUIZ'!N180,"")</f>
        <v>0</v>
      </c>
      <c r="O181" s="9">
        <f>IF(IF(SelectedScope="All India",TRUE,'RAW_QUIZ'!$B180=SelectedScope),'RAW_QUIZ'!O180,"")</f>
        <v>0</v>
      </c>
      <c r="P181" s="9">
        <f>IF(IF(SelectedScope="All India",TRUE,'RAW_QUIZ'!$B180=SelectedScope),'RAW_QUIZ'!P180,"")</f>
        <v>0</v>
      </c>
      <c r="Q181" s="9">
        <f>IF(IF(SelectedScope="All India",TRUE,'RAW_QUIZ'!$B180=SelectedScope),'RAW_QUIZ'!Q180,"")</f>
        <v>0</v>
      </c>
    </row>
    <row r="182" spans="1:17" ht="15" customHeight="1" x14ac:dyDescent="0.3">
      <c r="A182" s="12">
        <f>IF(IF(SelectedScope="All India",TRUE,'RAW_QUIZ'!$B181=SelectedScope),'RAW_QUIZ'!A181,"")</f>
        <v>178</v>
      </c>
      <c r="B182" s="12" t="str">
        <f>IF(IF(SelectedScope="All India",TRUE,'RAW_QUIZ'!$B181=SelectedScope),'RAW_QUIZ'!B181,"")</f>
        <v>Ladakh</v>
      </c>
      <c r="C182" s="12" t="str">
        <f>IF(IF(SelectedScope="All India",TRUE,'RAW_QUIZ'!$B181=SelectedScope),'RAW_QUIZ'!C181,"")</f>
        <v>Physics</v>
      </c>
      <c r="D182" s="12" t="str">
        <f>IF(IF(SelectedScope="All India",TRUE,'RAW_QUIZ'!$B181=SelectedScope),'RAW_QUIZ'!D181,"")</f>
        <v>Class 10</v>
      </c>
      <c r="E182" s="12" t="str">
        <f>IF(IF(SelectedScope="All India",TRUE,'RAW_QUIZ'!$B181=SelectedScope),'RAW_QUIZ'!E181,"")</f>
        <v>Electricity — Unit Quiz</v>
      </c>
      <c r="F182" s="12">
        <f>IF(IF(SelectedScope="All India",TRUE,'RAW_QUIZ'!$B181=SelectedScope),'RAW_QUIZ'!F181,"")</f>
        <v>0</v>
      </c>
      <c r="G182" s="12" t="str">
        <f>IF(IF(SelectedScope="All India",TRUE,'RAW_QUIZ'!$B181=SelectedScope),'RAW_QUIZ'!G181,"")</f>
        <v>Active</v>
      </c>
      <c r="H182" s="12">
        <f>IF(IF(SelectedScope="All India",TRUE,'RAW_QUIZ'!$B181=SelectedScope),'RAW_QUIZ'!H181,"")</f>
        <v>0</v>
      </c>
      <c r="I182" s="12">
        <f>IF(IF(SelectedScope="All India",TRUE,'RAW_QUIZ'!$B181=SelectedScope),'RAW_QUIZ'!I181,"")</f>
        <v>0</v>
      </c>
      <c r="J182" s="12">
        <f>IF(IF(SelectedScope="All India",TRUE,'RAW_QUIZ'!$B181=SelectedScope),'RAW_QUIZ'!J181,"")</f>
        <v>0</v>
      </c>
      <c r="K182" s="12">
        <f>IF(IF(SelectedScope="All India",TRUE,'RAW_QUIZ'!$B181=SelectedScope),'RAW_QUIZ'!K181,"")</f>
        <v>0</v>
      </c>
      <c r="L182" s="12">
        <f>IF(IF(SelectedScope="All India",TRUE,'RAW_QUIZ'!$B181=SelectedScope),'RAW_QUIZ'!L181,"")</f>
        <v>0</v>
      </c>
      <c r="M182" s="12">
        <f>IF(IF(SelectedScope="All India",TRUE,'RAW_QUIZ'!$B181=SelectedScope),'RAW_QUIZ'!M181,"")</f>
        <v>0</v>
      </c>
      <c r="N182" s="12">
        <f>IF(IF(SelectedScope="All India",TRUE,'RAW_QUIZ'!$B181=SelectedScope),'RAW_QUIZ'!N181,"")</f>
        <v>0</v>
      </c>
      <c r="O182" s="12">
        <f>IF(IF(SelectedScope="All India",TRUE,'RAW_QUIZ'!$B181=SelectedScope),'RAW_QUIZ'!O181,"")</f>
        <v>0</v>
      </c>
      <c r="P182" s="12">
        <f>IF(IF(SelectedScope="All India",TRUE,'RAW_QUIZ'!$B181=SelectedScope),'RAW_QUIZ'!P181,"")</f>
        <v>0</v>
      </c>
      <c r="Q182" s="12">
        <f>IF(IF(SelectedScope="All India",TRUE,'RAW_QUIZ'!$B181=SelectedScope),'RAW_QUIZ'!Q181,"")</f>
        <v>0</v>
      </c>
    </row>
    <row r="183" spans="1:17" ht="15" customHeight="1" x14ac:dyDescent="0.3">
      <c r="A183" s="9">
        <f>IF(IF(SelectedScope="All India",TRUE,'RAW_QUIZ'!$B182=SelectedScope),'RAW_QUIZ'!A182,"")</f>
        <v>179</v>
      </c>
      <c r="B183" s="9" t="str">
        <f>IF(IF(SelectedScope="All India",TRUE,'RAW_QUIZ'!$B182=SelectedScope),'RAW_QUIZ'!B182,"")</f>
        <v>Ladakh</v>
      </c>
      <c r="C183" s="9" t="str">
        <f>IF(IF(SelectedScope="All India",TRUE,'RAW_QUIZ'!$B182=SelectedScope),'RAW_QUIZ'!C182,"")</f>
        <v>Civics</v>
      </c>
      <c r="D183" s="9" t="str">
        <f>IF(IF(SelectedScope="All India",TRUE,'RAW_QUIZ'!$B182=SelectedScope),'RAW_QUIZ'!D182,"")</f>
        <v>Class 9</v>
      </c>
      <c r="E183" s="9" t="str">
        <f>IF(IF(SelectedScope="All India",TRUE,'RAW_QUIZ'!$B182=SelectedScope),'RAW_QUIZ'!E182,"")</f>
        <v>Indian Constitution — Unit Quiz</v>
      </c>
      <c r="F183" s="9">
        <f>IF(IF(SelectedScope="All India",TRUE,'RAW_QUIZ'!$B182=SelectedScope),'RAW_QUIZ'!F182,"")</f>
        <v>0</v>
      </c>
      <c r="G183" s="9" t="str">
        <f>IF(IF(SelectedScope="All India",TRUE,'RAW_QUIZ'!$B182=SelectedScope),'RAW_QUIZ'!G182,"")</f>
        <v>Active</v>
      </c>
      <c r="H183" s="9">
        <f>IF(IF(SelectedScope="All India",TRUE,'RAW_QUIZ'!$B182=SelectedScope),'RAW_QUIZ'!H182,"")</f>
        <v>0</v>
      </c>
      <c r="I183" s="9">
        <f>IF(IF(SelectedScope="All India",TRUE,'RAW_QUIZ'!$B182=SelectedScope),'RAW_QUIZ'!I182,"")</f>
        <v>0</v>
      </c>
      <c r="J183" s="9">
        <f>IF(IF(SelectedScope="All India",TRUE,'RAW_QUIZ'!$B182=SelectedScope),'RAW_QUIZ'!J182,"")</f>
        <v>0</v>
      </c>
      <c r="K183" s="9">
        <f>IF(IF(SelectedScope="All India",TRUE,'RAW_QUIZ'!$B182=SelectedScope),'RAW_QUIZ'!K182,"")</f>
        <v>0</v>
      </c>
      <c r="L183" s="9">
        <f>IF(IF(SelectedScope="All India",TRUE,'RAW_QUIZ'!$B182=SelectedScope),'RAW_QUIZ'!L182,"")</f>
        <v>0</v>
      </c>
      <c r="M183" s="9">
        <f>IF(IF(SelectedScope="All India",TRUE,'RAW_QUIZ'!$B182=SelectedScope),'RAW_QUIZ'!M182,"")</f>
        <v>0</v>
      </c>
      <c r="N183" s="9">
        <f>IF(IF(SelectedScope="All India",TRUE,'RAW_QUIZ'!$B182=SelectedScope),'RAW_QUIZ'!N182,"")</f>
        <v>0</v>
      </c>
      <c r="O183" s="9">
        <f>IF(IF(SelectedScope="All India",TRUE,'RAW_QUIZ'!$B182=SelectedScope),'RAW_QUIZ'!O182,"")</f>
        <v>0</v>
      </c>
      <c r="P183" s="9">
        <f>IF(IF(SelectedScope="All India",TRUE,'RAW_QUIZ'!$B182=SelectedScope),'RAW_QUIZ'!P182,"")</f>
        <v>0</v>
      </c>
      <c r="Q183" s="9">
        <f>IF(IF(SelectedScope="All India",TRUE,'RAW_QUIZ'!$B182=SelectedScope),'RAW_QUIZ'!Q182,"")</f>
        <v>0</v>
      </c>
    </row>
    <row r="184" spans="1:17" ht="15" customHeight="1" x14ac:dyDescent="0.3">
      <c r="A184" s="12">
        <f>IF(IF(SelectedScope="All India",TRUE,'RAW_QUIZ'!$B183=SelectedScope),'RAW_QUIZ'!A183,"")</f>
        <v>180</v>
      </c>
      <c r="B184" s="12" t="str">
        <f>IF(IF(SelectedScope="All India",TRUE,'RAW_QUIZ'!$B183=SelectedScope),'RAW_QUIZ'!B183,"")</f>
        <v>Ladakh</v>
      </c>
      <c r="C184" s="12" t="str">
        <f>IF(IF(SelectedScope="All India",TRUE,'RAW_QUIZ'!$B183=SelectedScope),'RAW_QUIZ'!C183,"")</f>
        <v>Mathematics</v>
      </c>
      <c r="D184" s="12" t="str">
        <f>IF(IF(SelectedScope="All India",TRUE,'RAW_QUIZ'!$B183=SelectedScope),'RAW_QUIZ'!D183,"")</f>
        <v>Class 10</v>
      </c>
      <c r="E184" s="12" t="str">
        <f>IF(IF(SelectedScope="All India",TRUE,'RAW_QUIZ'!$B183=SelectedScope),'RAW_QUIZ'!E183,"")</f>
        <v>Quadratic Equations — Unit Quiz</v>
      </c>
      <c r="F184" s="12">
        <f>IF(IF(SelectedScope="All India",TRUE,'RAW_QUIZ'!$B183=SelectedScope),'RAW_QUIZ'!F183,"")</f>
        <v>0</v>
      </c>
      <c r="G184" s="12" t="str">
        <f>IF(IF(SelectedScope="All India",TRUE,'RAW_QUIZ'!$B183=SelectedScope),'RAW_QUIZ'!G183,"")</f>
        <v>Active</v>
      </c>
      <c r="H184" s="12">
        <f>IF(IF(SelectedScope="All India",TRUE,'RAW_QUIZ'!$B183=SelectedScope),'RAW_QUIZ'!H183,"")</f>
        <v>0</v>
      </c>
      <c r="I184" s="12">
        <f>IF(IF(SelectedScope="All India",TRUE,'RAW_QUIZ'!$B183=SelectedScope),'RAW_QUIZ'!I183,"")</f>
        <v>0</v>
      </c>
      <c r="J184" s="12">
        <f>IF(IF(SelectedScope="All India",TRUE,'RAW_QUIZ'!$B183=SelectedScope),'RAW_QUIZ'!J183,"")</f>
        <v>0</v>
      </c>
      <c r="K184" s="12">
        <f>IF(IF(SelectedScope="All India",TRUE,'RAW_QUIZ'!$B183=SelectedScope),'RAW_QUIZ'!K183,"")</f>
        <v>0</v>
      </c>
      <c r="L184" s="12">
        <f>IF(IF(SelectedScope="All India",TRUE,'RAW_QUIZ'!$B183=SelectedScope),'RAW_QUIZ'!L183,"")</f>
        <v>0</v>
      </c>
      <c r="M184" s="12">
        <f>IF(IF(SelectedScope="All India",TRUE,'RAW_QUIZ'!$B183=SelectedScope),'RAW_QUIZ'!M183,"")</f>
        <v>0</v>
      </c>
      <c r="N184" s="12">
        <f>IF(IF(SelectedScope="All India",TRUE,'RAW_QUIZ'!$B183=SelectedScope),'RAW_QUIZ'!N183,"")</f>
        <v>0</v>
      </c>
      <c r="O184" s="12">
        <f>IF(IF(SelectedScope="All India",TRUE,'RAW_QUIZ'!$B183=SelectedScope),'RAW_QUIZ'!O183,"")</f>
        <v>0</v>
      </c>
      <c r="P184" s="12">
        <f>IF(IF(SelectedScope="All India",TRUE,'RAW_QUIZ'!$B183=SelectedScope),'RAW_QUIZ'!P183,"")</f>
        <v>0</v>
      </c>
      <c r="Q184" s="12">
        <f>IF(IF(SelectedScope="All India",TRUE,'RAW_QUIZ'!$B183=SelectedScope),'RAW_QUIZ'!Q183,"")</f>
        <v>0</v>
      </c>
    </row>
    <row r="185" spans="1:17" ht="15" customHeight="1" x14ac:dyDescent="0.3">
      <c r="A185" s="9">
        <f>IF(IF(SelectedScope="All India",TRUE,'RAW_QUIZ'!$B184=SelectedScope),'RAW_QUIZ'!A184,"")</f>
        <v>181</v>
      </c>
      <c r="B185" s="9" t="str">
        <f>IF(IF(SelectedScope="All India",TRUE,'RAW_QUIZ'!$B184=SelectedScope),'RAW_QUIZ'!B184,"")</f>
        <v>Lakshadweep</v>
      </c>
      <c r="C185" s="9" t="str">
        <f>IF(IF(SelectedScope="All India",TRUE,'RAW_QUIZ'!$B184=SelectedScope),'RAW_QUIZ'!C184,"")</f>
        <v>Science</v>
      </c>
      <c r="D185" s="9" t="str">
        <f>IF(IF(SelectedScope="All India",TRUE,'RAW_QUIZ'!$B184=SelectedScope),'RAW_QUIZ'!D184,"")</f>
        <v>Class 8</v>
      </c>
      <c r="E185" s="9" t="str">
        <f>IF(IF(SelectedScope="All India",TRUE,'RAW_QUIZ'!$B184=SelectedScope),'RAW_QUIZ'!E184,"")</f>
        <v>Solar System — Unit Quiz</v>
      </c>
      <c r="F185" s="9">
        <f>IF(IF(SelectedScope="All India",TRUE,'RAW_QUIZ'!$B184=SelectedScope),'RAW_QUIZ'!F184,"")</f>
        <v>0</v>
      </c>
      <c r="G185" s="9" t="str">
        <f>IF(IF(SelectedScope="All India",TRUE,'RAW_QUIZ'!$B184=SelectedScope),'RAW_QUIZ'!G184,"")</f>
        <v>Active</v>
      </c>
      <c r="H185" s="9">
        <f>IF(IF(SelectedScope="All India",TRUE,'RAW_QUIZ'!$B184=SelectedScope),'RAW_QUIZ'!H184,"")</f>
        <v>0</v>
      </c>
      <c r="I185" s="9">
        <f>IF(IF(SelectedScope="All India",TRUE,'RAW_QUIZ'!$B184=SelectedScope),'RAW_QUIZ'!I184,"")</f>
        <v>0</v>
      </c>
      <c r="J185" s="9">
        <f>IF(IF(SelectedScope="All India",TRUE,'RAW_QUIZ'!$B184=SelectedScope),'RAW_QUIZ'!J184,"")</f>
        <v>0</v>
      </c>
      <c r="K185" s="9">
        <f>IF(IF(SelectedScope="All India",TRUE,'RAW_QUIZ'!$B184=SelectedScope),'RAW_QUIZ'!K184,"")</f>
        <v>0</v>
      </c>
      <c r="L185" s="9">
        <f>IF(IF(SelectedScope="All India",TRUE,'RAW_QUIZ'!$B184=SelectedScope),'RAW_QUIZ'!L184,"")</f>
        <v>0</v>
      </c>
      <c r="M185" s="9">
        <f>IF(IF(SelectedScope="All India",TRUE,'RAW_QUIZ'!$B184=SelectedScope),'RAW_QUIZ'!M184,"")</f>
        <v>0</v>
      </c>
      <c r="N185" s="9">
        <f>IF(IF(SelectedScope="All India",TRUE,'RAW_QUIZ'!$B184=SelectedScope),'RAW_QUIZ'!N184,"")</f>
        <v>0</v>
      </c>
      <c r="O185" s="9">
        <f>IF(IF(SelectedScope="All India",TRUE,'RAW_QUIZ'!$B184=SelectedScope),'RAW_QUIZ'!O184,"")</f>
        <v>0</v>
      </c>
      <c r="P185" s="9">
        <f>IF(IF(SelectedScope="All India",TRUE,'RAW_QUIZ'!$B184=SelectedScope),'RAW_QUIZ'!P184,"")</f>
        <v>0</v>
      </c>
      <c r="Q185" s="9">
        <f>IF(IF(SelectedScope="All India",TRUE,'RAW_QUIZ'!$B184=SelectedScope),'RAW_QUIZ'!Q184,"")</f>
        <v>0</v>
      </c>
    </row>
    <row r="186" spans="1:17" ht="15" customHeight="1" x14ac:dyDescent="0.3">
      <c r="A186" s="12">
        <f>IF(IF(SelectedScope="All India",TRUE,'RAW_QUIZ'!$B185=SelectedScope),'RAW_QUIZ'!A185,"")</f>
        <v>182</v>
      </c>
      <c r="B186" s="12" t="str">
        <f>IF(IF(SelectedScope="All India",TRUE,'RAW_QUIZ'!$B185=SelectedScope),'RAW_QUIZ'!B185,"")</f>
        <v>Lakshadweep</v>
      </c>
      <c r="C186" s="12" t="str">
        <f>IF(IF(SelectedScope="All India",TRUE,'RAW_QUIZ'!$B185=SelectedScope),'RAW_QUIZ'!C185,"")</f>
        <v>Biology</v>
      </c>
      <c r="D186" s="12" t="str">
        <f>IF(IF(SelectedScope="All India",TRUE,'RAW_QUIZ'!$B185=SelectedScope),'RAW_QUIZ'!D185,"")</f>
        <v>Class 9</v>
      </c>
      <c r="E186" s="12" t="str">
        <f>IF(IF(SelectedScope="All India",TRUE,'RAW_QUIZ'!$B185=SelectedScope),'RAW_QUIZ'!E185,"")</f>
        <v>Cell Division — Unit Quiz</v>
      </c>
      <c r="F186" s="12">
        <f>IF(IF(SelectedScope="All India",TRUE,'RAW_QUIZ'!$B185=SelectedScope),'RAW_QUIZ'!F185,"")</f>
        <v>0</v>
      </c>
      <c r="G186" s="12" t="str">
        <f>IF(IF(SelectedScope="All India",TRUE,'RAW_QUIZ'!$B185=SelectedScope),'RAW_QUIZ'!G185,"")</f>
        <v>Active</v>
      </c>
      <c r="H186" s="12">
        <f>IF(IF(SelectedScope="All India",TRUE,'RAW_QUIZ'!$B185=SelectedScope),'RAW_QUIZ'!H185,"")</f>
        <v>0</v>
      </c>
      <c r="I186" s="12">
        <f>IF(IF(SelectedScope="All India",TRUE,'RAW_QUIZ'!$B185=SelectedScope),'RAW_QUIZ'!I185,"")</f>
        <v>0</v>
      </c>
      <c r="J186" s="12">
        <f>IF(IF(SelectedScope="All India",TRUE,'RAW_QUIZ'!$B185=SelectedScope),'RAW_QUIZ'!J185,"")</f>
        <v>0</v>
      </c>
      <c r="K186" s="12">
        <f>IF(IF(SelectedScope="All India",TRUE,'RAW_QUIZ'!$B185=SelectedScope),'RAW_QUIZ'!K185,"")</f>
        <v>0</v>
      </c>
      <c r="L186" s="12">
        <f>IF(IF(SelectedScope="All India",TRUE,'RAW_QUIZ'!$B185=SelectedScope),'RAW_QUIZ'!L185,"")</f>
        <v>0</v>
      </c>
      <c r="M186" s="12">
        <f>IF(IF(SelectedScope="All India",TRUE,'RAW_QUIZ'!$B185=SelectedScope),'RAW_QUIZ'!M185,"")</f>
        <v>0</v>
      </c>
      <c r="N186" s="12">
        <f>IF(IF(SelectedScope="All India",TRUE,'RAW_QUIZ'!$B185=SelectedScope),'RAW_QUIZ'!N185,"")</f>
        <v>0</v>
      </c>
      <c r="O186" s="12">
        <f>IF(IF(SelectedScope="All India",TRUE,'RAW_QUIZ'!$B185=SelectedScope),'RAW_QUIZ'!O185,"")</f>
        <v>0</v>
      </c>
      <c r="P186" s="12">
        <f>IF(IF(SelectedScope="All India",TRUE,'RAW_QUIZ'!$B185=SelectedScope),'RAW_QUIZ'!P185,"")</f>
        <v>0</v>
      </c>
      <c r="Q186" s="12">
        <f>IF(IF(SelectedScope="All India",TRUE,'RAW_QUIZ'!$B185=SelectedScope),'RAW_QUIZ'!Q185,"")</f>
        <v>0</v>
      </c>
    </row>
    <row r="187" spans="1:17" ht="15" customHeight="1" x14ac:dyDescent="0.3">
      <c r="A187" s="9">
        <f>IF(IF(SelectedScope="All India",TRUE,'RAW_QUIZ'!$B186=SelectedScope),'RAW_QUIZ'!A186,"")</f>
        <v>183</v>
      </c>
      <c r="B187" s="9" t="str">
        <f>IF(IF(SelectedScope="All India",TRUE,'RAW_QUIZ'!$B186=SelectedScope),'RAW_QUIZ'!B186,"")</f>
        <v>Lakshadweep</v>
      </c>
      <c r="C187" s="9" t="str">
        <f>IF(IF(SelectedScope="All India",TRUE,'RAW_QUIZ'!$B186=SelectedScope),'RAW_QUIZ'!C186,"")</f>
        <v>Chemistry</v>
      </c>
      <c r="D187" s="9" t="str">
        <f>IF(IF(SelectedScope="All India",TRUE,'RAW_QUIZ'!$B186=SelectedScope),'RAW_QUIZ'!D186,"")</f>
        <v>Class 9</v>
      </c>
      <c r="E187" s="9" t="str">
        <f>IF(IF(SelectedScope="All India",TRUE,'RAW_QUIZ'!$B186=SelectedScope),'RAW_QUIZ'!E186,"")</f>
        <v>Atoms and Molecules — Unit Quiz</v>
      </c>
      <c r="F187" s="9">
        <f>IF(IF(SelectedScope="All India",TRUE,'RAW_QUIZ'!$B186=SelectedScope),'RAW_QUIZ'!F186,"")</f>
        <v>0</v>
      </c>
      <c r="G187" s="9" t="str">
        <f>IF(IF(SelectedScope="All India",TRUE,'RAW_QUIZ'!$B186=SelectedScope),'RAW_QUIZ'!G186,"")</f>
        <v>Active</v>
      </c>
      <c r="H187" s="9">
        <f>IF(IF(SelectedScope="All India",TRUE,'RAW_QUIZ'!$B186=SelectedScope),'RAW_QUIZ'!H186,"")</f>
        <v>0</v>
      </c>
      <c r="I187" s="9">
        <f>IF(IF(SelectedScope="All India",TRUE,'RAW_QUIZ'!$B186=SelectedScope),'RAW_QUIZ'!I186,"")</f>
        <v>0</v>
      </c>
      <c r="J187" s="9">
        <f>IF(IF(SelectedScope="All India",TRUE,'RAW_QUIZ'!$B186=SelectedScope),'RAW_QUIZ'!J186,"")</f>
        <v>0</v>
      </c>
      <c r="K187" s="9">
        <f>IF(IF(SelectedScope="All India",TRUE,'RAW_QUIZ'!$B186=SelectedScope),'RAW_QUIZ'!K186,"")</f>
        <v>0</v>
      </c>
      <c r="L187" s="9">
        <f>IF(IF(SelectedScope="All India",TRUE,'RAW_QUIZ'!$B186=SelectedScope),'RAW_QUIZ'!L186,"")</f>
        <v>0</v>
      </c>
      <c r="M187" s="9">
        <f>IF(IF(SelectedScope="All India",TRUE,'RAW_QUIZ'!$B186=SelectedScope),'RAW_QUIZ'!M186,"")</f>
        <v>0</v>
      </c>
      <c r="N187" s="9">
        <f>IF(IF(SelectedScope="All India",TRUE,'RAW_QUIZ'!$B186=SelectedScope),'RAW_QUIZ'!N186,"")</f>
        <v>0</v>
      </c>
      <c r="O187" s="9">
        <f>IF(IF(SelectedScope="All India",TRUE,'RAW_QUIZ'!$B186=SelectedScope),'RAW_QUIZ'!O186,"")</f>
        <v>0</v>
      </c>
      <c r="P187" s="9">
        <f>IF(IF(SelectedScope="All India",TRUE,'RAW_QUIZ'!$B186=SelectedScope),'RAW_QUIZ'!P186,"")</f>
        <v>0</v>
      </c>
      <c r="Q187" s="9">
        <f>IF(IF(SelectedScope="All India",TRUE,'RAW_QUIZ'!$B186=SelectedScope),'RAW_QUIZ'!Q186,"")</f>
        <v>0</v>
      </c>
    </row>
    <row r="188" spans="1:17" ht="15" customHeight="1" x14ac:dyDescent="0.3">
      <c r="A188" s="12">
        <f>IF(IF(SelectedScope="All India",TRUE,'RAW_QUIZ'!$B187=SelectedScope),'RAW_QUIZ'!A187,"")</f>
        <v>184</v>
      </c>
      <c r="B188" s="12" t="str">
        <f>IF(IF(SelectedScope="All India",TRUE,'RAW_QUIZ'!$B187=SelectedScope),'RAW_QUIZ'!B187,"")</f>
        <v>Lakshadweep</v>
      </c>
      <c r="C188" s="12" t="str">
        <f>IF(IF(SelectedScope="All India",TRUE,'RAW_QUIZ'!$B187=SelectedScope),'RAW_QUIZ'!C187,"")</f>
        <v>Mathematics</v>
      </c>
      <c r="D188" s="12" t="str">
        <f>IF(IF(SelectedScope="All India",TRUE,'RAW_QUIZ'!$B187=SelectedScope),'RAW_QUIZ'!D187,"")</f>
        <v>Class 7</v>
      </c>
      <c r="E188" s="12" t="str">
        <f>IF(IF(SelectedScope="All India",TRUE,'RAW_QUIZ'!$B187=SelectedScope),'RAW_QUIZ'!E187,"")</f>
        <v>Fractions — Unit Quiz</v>
      </c>
      <c r="F188" s="12">
        <f>IF(IF(SelectedScope="All India",TRUE,'RAW_QUIZ'!$B187=SelectedScope),'RAW_QUIZ'!F187,"")</f>
        <v>0</v>
      </c>
      <c r="G188" s="12" t="str">
        <f>IF(IF(SelectedScope="All India",TRUE,'RAW_QUIZ'!$B187=SelectedScope),'RAW_QUIZ'!G187,"")</f>
        <v>Active</v>
      </c>
      <c r="H188" s="12">
        <f>IF(IF(SelectedScope="All India",TRUE,'RAW_QUIZ'!$B187=SelectedScope),'RAW_QUIZ'!H187,"")</f>
        <v>0</v>
      </c>
      <c r="I188" s="12">
        <f>IF(IF(SelectedScope="All India",TRUE,'RAW_QUIZ'!$B187=SelectedScope),'RAW_QUIZ'!I187,"")</f>
        <v>0</v>
      </c>
      <c r="J188" s="12">
        <f>IF(IF(SelectedScope="All India",TRUE,'RAW_QUIZ'!$B187=SelectedScope),'RAW_QUIZ'!J187,"")</f>
        <v>0</v>
      </c>
      <c r="K188" s="12">
        <f>IF(IF(SelectedScope="All India",TRUE,'RAW_QUIZ'!$B187=SelectedScope),'RAW_QUIZ'!K187,"")</f>
        <v>0</v>
      </c>
      <c r="L188" s="12">
        <f>IF(IF(SelectedScope="All India",TRUE,'RAW_QUIZ'!$B187=SelectedScope),'RAW_QUIZ'!L187,"")</f>
        <v>0</v>
      </c>
      <c r="M188" s="12">
        <f>IF(IF(SelectedScope="All India",TRUE,'RAW_QUIZ'!$B187=SelectedScope),'RAW_QUIZ'!M187,"")</f>
        <v>0</v>
      </c>
      <c r="N188" s="12">
        <f>IF(IF(SelectedScope="All India",TRUE,'RAW_QUIZ'!$B187=SelectedScope),'RAW_QUIZ'!N187,"")</f>
        <v>0</v>
      </c>
      <c r="O188" s="12">
        <f>IF(IF(SelectedScope="All India",TRUE,'RAW_QUIZ'!$B187=SelectedScope),'RAW_QUIZ'!O187,"")</f>
        <v>0</v>
      </c>
      <c r="P188" s="12">
        <f>IF(IF(SelectedScope="All India",TRUE,'RAW_QUIZ'!$B187=SelectedScope),'RAW_QUIZ'!P187,"")</f>
        <v>0</v>
      </c>
      <c r="Q188" s="12">
        <f>IF(IF(SelectedScope="All India",TRUE,'RAW_QUIZ'!$B187=SelectedScope),'RAW_QUIZ'!Q187,"")</f>
        <v>0</v>
      </c>
    </row>
    <row r="189" spans="1:17" ht="15" customHeight="1" x14ac:dyDescent="0.3">
      <c r="A189" s="9">
        <f>IF(IF(SelectedScope="All India",TRUE,'RAW_QUIZ'!$B188=SelectedScope),'RAW_QUIZ'!A188,"")</f>
        <v>185</v>
      </c>
      <c r="B189" s="9" t="str">
        <f>IF(IF(SelectedScope="All India",TRUE,'RAW_QUIZ'!$B188=SelectedScope),'RAW_QUIZ'!B188,"")</f>
        <v>Lakshadweep</v>
      </c>
      <c r="C189" s="9" t="str">
        <f>IF(IF(SelectedScope="All India",TRUE,'RAW_QUIZ'!$B188=SelectedScope),'RAW_QUIZ'!C188,"")</f>
        <v>Mathematics</v>
      </c>
      <c r="D189" s="9" t="str">
        <f>IF(IF(SelectedScope="All India",TRUE,'RAW_QUIZ'!$B188=SelectedScope),'RAW_QUIZ'!D188,"")</f>
        <v>Class 10</v>
      </c>
      <c r="E189" s="9" t="str">
        <f>IF(IF(SelectedScope="All India",TRUE,'RAW_QUIZ'!$B188=SelectedScope),'RAW_QUIZ'!E188,"")</f>
        <v>Trigonometry — Unit Quiz</v>
      </c>
      <c r="F189" s="9">
        <f>IF(IF(SelectedScope="All India",TRUE,'RAW_QUIZ'!$B188=SelectedScope),'RAW_QUIZ'!F188,"")</f>
        <v>0</v>
      </c>
      <c r="G189" s="9" t="str">
        <f>IF(IF(SelectedScope="All India",TRUE,'RAW_QUIZ'!$B188=SelectedScope),'RAW_QUIZ'!G188,"")</f>
        <v>Active</v>
      </c>
      <c r="H189" s="9">
        <f>IF(IF(SelectedScope="All India",TRUE,'RAW_QUIZ'!$B188=SelectedScope),'RAW_QUIZ'!H188,"")</f>
        <v>0</v>
      </c>
      <c r="I189" s="9">
        <f>IF(IF(SelectedScope="All India",TRUE,'RAW_QUIZ'!$B188=SelectedScope),'RAW_QUIZ'!I188,"")</f>
        <v>0</v>
      </c>
      <c r="J189" s="9">
        <f>IF(IF(SelectedScope="All India",TRUE,'RAW_QUIZ'!$B188=SelectedScope),'RAW_QUIZ'!J188,"")</f>
        <v>0</v>
      </c>
      <c r="K189" s="9">
        <f>IF(IF(SelectedScope="All India",TRUE,'RAW_QUIZ'!$B188=SelectedScope),'RAW_QUIZ'!K188,"")</f>
        <v>0</v>
      </c>
      <c r="L189" s="9">
        <f>IF(IF(SelectedScope="All India",TRUE,'RAW_QUIZ'!$B188=SelectedScope),'RAW_QUIZ'!L188,"")</f>
        <v>0</v>
      </c>
      <c r="M189" s="9">
        <f>IF(IF(SelectedScope="All India",TRUE,'RAW_QUIZ'!$B188=SelectedScope),'RAW_QUIZ'!M188,"")</f>
        <v>0</v>
      </c>
      <c r="N189" s="9">
        <f>IF(IF(SelectedScope="All India",TRUE,'RAW_QUIZ'!$B188=SelectedScope),'RAW_QUIZ'!N188,"")</f>
        <v>0</v>
      </c>
      <c r="O189" s="9">
        <f>IF(IF(SelectedScope="All India",TRUE,'RAW_QUIZ'!$B188=SelectedScope),'RAW_QUIZ'!O188,"")</f>
        <v>0</v>
      </c>
      <c r="P189" s="9">
        <f>IF(IF(SelectedScope="All India",TRUE,'RAW_QUIZ'!$B188=SelectedScope),'RAW_QUIZ'!P188,"")</f>
        <v>0</v>
      </c>
      <c r="Q189" s="9">
        <f>IF(IF(SelectedScope="All India",TRUE,'RAW_QUIZ'!$B188=SelectedScope),'RAW_QUIZ'!Q188,"")</f>
        <v>0</v>
      </c>
    </row>
    <row r="190" spans="1:17" ht="15" customHeight="1" x14ac:dyDescent="0.3">
      <c r="A190" s="12">
        <f>IF(IF(SelectedScope="All India",TRUE,'RAW_QUIZ'!$B189=SelectedScope),'RAW_QUIZ'!A189,"")</f>
        <v>186</v>
      </c>
      <c r="B190" s="12" t="str">
        <f>IF(IF(SelectedScope="All India",TRUE,'RAW_QUIZ'!$B189=SelectedScope),'RAW_QUIZ'!B189,"")</f>
        <v>Lakshadweep</v>
      </c>
      <c r="C190" s="12" t="str">
        <f>IF(IF(SelectedScope="All India",TRUE,'RAW_QUIZ'!$B189=SelectedScope),'RAW_QUIZ'!C189,"")</f>
        <v>History</v>
      </c>
      <c r="D190" s="12" t="str">
        <f>IF(IF(SelectedScope="All India",TRUE,'RAW_QUIZ'!$B189=SelectedScope),'RAW_QUIZ'!D189,"")</f>
        <v>Class 10</v>
      </c>
      <c r="E190" s="12" t="str">
        <f>IF(IF(SelectedScope="All India",TRUE,'RAW_QUIZ'!$B189=SelectedScope),'RAW_QUIZ'!E189,"")</f>
        <v>Mughal Empire — Unit Quiz</v>
      </c>
      <c r="F190" s="12">
        <f>IF(IF(SelectedScope="All India",TRUE,'RAW_QUIZ'!$B189=SelectedScope),'RAW_QUIZ'!F189,"")</f>
        <v>0</v>
      </c>
      <c r="G190" s="12" t="str">
        <f>IF(IF(SelectedScope="All India",TRUE,'RAW_QUIZ'!$B189=SelectedScope),'RAW_QUIZ'!G189,"")</f>
        <v>Active</v>
      </c>
      <c r="H190" s="12">
        <f>IF(IF(SelectedScope="All India",TRUE,'RAW_QUIZ'!$B189=SelectedScope),'RAW_QUIZ'!H189,"")</f>
        <v>0</v>
      </c>
      <c r="I190" s="12">
        <f>IF(IF(SelectedScope="All India",TRUE,'RAW_QUIZ'!$B189=SelectedScope),'RAW_QUIZ'!I189,"")</f>
        <v>0</v>
      </c>
      <c r="J190" s="12">
        <f>IF(IF(SelectedScope="All India",TRUE,'RAW_QUIZ'!$B189=SelectedScope),'RAW_QUIZ'!J189,"")</f>
        <v>0</v>
      </c>
      <c r="K190" s="12">
        <f>IF(IF(SelectedScope="All India",TRUE,'RAW_QUIZ'!$B189=SelectedScope),'RAW_QUIZ'!K189,"")</f>
        <v>0</v>
      </c>
      <c r="L190" s="12">
        <f>IF(IF(SelectedScope="All India",TRUE,'RAW_QUIZ'!$B189=SelectedScope),'RAW_QUIZ'!L189,"")</f>
        <v>0</v>
      </c>
      <c r="M190" s="12">
        <f>IF(IF(SelectedScope="All India",TRUE,'RAW_QUIZ'!$B189=SelectedScope),'RAW_QUIZ'!M189,"")</f>
        <v>0</v>
      </c>
      <c r="N190" s="12">
        <f>IF(IF(SelectedScope="All India",TRUE,'RAW_QUIZ'!$B189=SelectedScope),'RAW_QUIZ'!N189,"")</f>
        <v>0</v>
      </c>
      <c r="O190" s="12">
        <f>IF(IF(SelectedScope="All India",TRUE,'RAW_QUIZ'!$B189=SelectedScope),'RAW_QUIZ'!O189,"")</f>
        <v>0</v>
      </c>
      <c r="P190" s="12">
        <f>IF(IF(SelectedScope="All India",TRUE,'RAW_QUIZ'!$B189=SelectedScope),'RAW_QUIZ'!P189,"")</f>
        <v>0</v>
      </c>
      <c r="Q190" s="12">
        <f>IF(IF(SelectedScope="All India",TRUE,'RAW_QUIZ'!$B189=SelectedScope),'RAW_QUIZ'!Q189,"")</f>
        <v>0</v>
      </c>
    </row>
    <row r="191" spans="1:17" ht="15" customHeight="1" x14ac:dyDescent="0.3">
      <c r="A191" s="9">
        <f>IF(IF(SelectedScope="All India",TRUE,'RAW_QUIZ'!$B190=SelectedScope),'RAW_QUIZ'!A190,"")</f>
        <v>187</v>
      </c>
      <c r="B191" s="9" t="str">
        <f>IF(IF(SelectedScope="All India",TRUE,'RAW_QUIZ'!$B190=SelectedScope),'RAW_QUIZ'!B190,"")</f>
        <v>Lakshadweep</v>
      </c>
      <c r="C191" s="9" t="str">
        <f>IF(IF(SelectedScope="All India",TRUE,'RAW_QUIZ'!$B190=SelectedScope),'RAW_QUIZ'!C190,"")</f>
        <v>Physics</v>
      </c>
      <c r="D191" s="9" t="str">
        <f>IF(IF(SelectedScope="All India",TRUE,'RAW_QUIZ'!$B190=SelectedScope),'RAW_QUIZ'!D190,"")</f>
        <v>Class 9</v>
      </c>
      <c r="E191" s="9" t="str">
        <f>IF(IF(SelectedScope="All India",TRUE,'RAW_QUIZ'!$B190=SelectedScope),'RAW_QUIZ'!E190,"")</f>
        <v>Laws of Motion — Unit Quiz</v>
      </c>
      <c r="F191" s="9">
        <f>IF(IF(SelectedScope="All India",TRUE,'RAW_QUIZ'!$B190=SelectedScope),'RAW_QUIZ'!F190,"")</f>
        <v>0</v>
      </c>
      <c r="G191" s="9" t="str">
        <f>IF(IF(SelectedScope="All India",TRUE,'RAW_QUIZ'!$B190=SelectedScope),'RAW_QUIZ'!G190,"")</f>
        <v>Active</v>
      </c>
      <c r="H191" s="9">
        <f>IF(IF(SelectedScope="All India",TRUE,'RAW_QUIZ'!$B190=SelectedScope),'RAW_QUIZ'!H190,"")</f>
        <v>0</v>
      </c>
      <c r="I191" s="9">
        <f>IF(IF(SelectedScope="All India",TRUE,'RAW_QUIZ'!$B190=SelectedScope),'RAW_QUIZ'!I190,"")</f>
        <v>0</v>
      </c>
      <c r="J191" s="9">
        <f>IF(IF(SelectedScope="All India",TRUE,'RAW_QUIZ'!$B190=SelectedScope),'RAW_QUIZ'!J190,"")</f>
        <v>0</v>
      </c>
      <c r="K191" s="9">
        <f>IF(IF(SelectedScope="All India",TRUE,'RAW_QUIZ'!$B190=SelectedScope),'RAW_QUIZ'!K190,"")</f>
        <v>0</v>
      </c>
      <c r="L191" s="9">
        <f>IF(IF(SelectedScope="All India",TRUE,'RAW_QUIZ'!$B190=SelectedScope),'RAW_QUIZ'!L190,"")</f>
        <v>0</v>
      </c>
      <c r="M191" s="9">
        <f>IF(IF(SelectedScope="All India",TRUE,'RAW_QUIZ'!$B190=SelectedScope),'RAW_QUIZ'!M190,"")</f>
        <v>0</v>
      </c>
      <c r="N191" s="9">
        <f>IF(IF(SelectedScope="All India",TRUE,'RAW_QUIZ'!$B190=SelectedScope),'RAW_QUIZ'!N190,"")</f>
        <v>0</v>
      </c>
      <c r="O191" s="9">
        <f>IF(IF(SelectedScope="All India",TRUE,'RAW_QUIZ'!$B190=SelectedScope),'RAW_QUIZ'!O190,"")</f>
        <v>0</v>
      </c>
      <c r="P191" s="9">
        <f>IF(IF(SelectedScope="All India",TRUE,'RAW_QUIZ'!$B190=SelectedScope),'RAW_QUIZ'!P190,"")</f>
        <v>0</v>
      </c>
      <c r="Q191" s="9">
        <f>IF(IF(SelectedScope="All India",TRUE,'RAW_QUIZ'!$B190=SelectedScope),'RAW_QUIZ'!Q190,"")</f>
        <v>0</v>
      </c>
    </row>
    <row r="192" spans="1:17" ht="15" customHeight="1" x14ac:dyDescent="0.3">
      <c r="A192" s="12">
        <f>IF(IF(SelectedScope="All India",TRUE,'RAW_QUIZ'!$B191=SelectedScope),'RAW_QUIZ'!A191,"")</f>
        <v>188</v>
      </c>
      <c r="B192" s="12" t="str">
        <f>IF(IF(SelectedScope="All India",TRUE,'RAW_QUIZ'!$B191=SelectedScope),'RAW_QUIZ'!B191,"")</f>
        <v>Lakshadweep</v>
      </c>
      <c r="C192" s="12" t="str">
        <f>IF(IF(SelectedScope="All India",TRUE,'RAW_QUIZ'!$B191=SelectedScope),'RAW_QUIZ'!C191,"")</f>
        <v>Physics</v>
      </c>
      <c r="D192" s="12" t="str">
        <f>IF(IF(SelectedScope="All India",TRUE,'RAW_QUIZ'!$B191=SelectedScope),'RAW_QUIZ'!D191,"")</f>
        <v>Class 10</v>
      </c>
      <c r="E192" s="12" t="str">
        <f>IF(IF(SelectedScope="All India",TRUE,'RAW_QUIZ'!$B191=SelectedScope),'RAW_QUIZ'!E191,"")</f>
        <v>Electricity — Unit Quiz</v>
      </c>
      <c r="F192" s="12">
        <f>IF(IF(SelectedScope="All India",TRUE,'RAW_QUIZ'!$B191=SelectedScope),'RAW_QUIZ'!F191,"")</f>
        <v>0</v>
      </c>
      <c r="G192" s="12" t="str">
        <f>IF(IF(SelectedScope="All India",TRUE,'RAW_QUIZ'!$B191=SelectedScope),'RAW_QUIZ'!G191,"")</f>
        <v>Active</v>
      </c>
      <c r="H192" s="12">
        <f>IF(IF(SelectedScope="All India",TRUE,'RAW_QUIZ'!$B191=SelectedScope),'RAW_QUIZ'!H191,"")</f>
        <v>0</v>
      </c>
      <c r="I192" s="12">
        <f>IF(IF(SelectedScope="All India",TRUE,'RAW_QUIZ'!$B191=SelectedScope),'RAW_QUIZ'!I191,"")</f>
        <v>0</v>
      </c>
      <c r="J192" s="12">
        <f>IF(IF(SelectedScope="All India",TRUE,'RAW_QUIZ'!$B191=SelectedScope),'RAW_QUIZ'!J191,"")</f>
        <v>0</v>
      </c>
      <c r="K192" s="12">
        <f>IF(IF(SelectedScope="All India",TRUE,'RAW_QUIZ'!$B191=SelectedScope),'RAW_QUIZ'!K191,"")</f>
        <v>0</v>
      </c>
      <c r="L192" s="12">
        <f>IF(IF(SelectedScope="All India",TRUE,'RAW_QUIZ'!$B191=SelectedScope),'RAW_QUIZ'!L191,"")</f>
        <v>0</v>
      </c>
      <c r="M192" s="12">
        <f>IF(IF(SelectedScope="All India",TRUE,'RAW_QUIZ'!$B191=SelectedScope),'RAW_QUIZ'!M191,"")</f>
        <v>0</v>
      </c>
      <c r="N192" s="12">
        <f>IF(IF(SelectedScope="All India",TRUE,'RAW_QUIZ'!$B191=SelectedScope),'RAW_QUIZ'!N191,"")</f>
        <v>0</v>
      </c>
      <c r="O192" s="12">
        <f>IF(IF(SelectedScope="All India",TRUE,'RAW_QUIZ'!$B191=SelectedScope),'RAW_QUIZ'!O191,"")</f>
        <v>0</v>
      </c>
      <c r="P192" s="12">
        <f>IF(IF(SelectedScope="All India",TRUE,'RAW_QUIZ'!$B191=SelectedScope),'RAW_QUIZ'!P191,"")</f>
        <v>0</v>
      </c>
      <c r="Q192" s="12">
        <f>IF(IF(SelectedScope="All India",TRUE,'RAW_QUIZ'!$B191=SelectedScope),'RAW_QUIZ'!Q191,"")</f>
        <v>0</v>
      </c>
    </row>
    <row r="193" spans="1:17" ht="15" customHeight="1" x14ac:dyDescent="0.3">
      <c r="A193" s="9">
        <f>IF(IF(SelectedScope="All India",TRUE,'RAW_QUIZ'!$B192=SelectedScope),'RAW_QUIZ'!A192,"")</f>
        <v>189</v>
      </c>
      <c r="B193" s="9" t="str">
        <f>IF(IF(SelectedScope="All India",TRUE,'RAW_QUIZ'!$B192=SelectedScope),'RAW_QUIZ'!B192,"")</f>
        <v>Lakshadweep</v>
      </c>
      <c r="C193" s="9" t="str">
        <f>IF(IF(SelectedScope="All India",TRUE,'RAW_QUIZ'!$B192=SelectedScope),'RAW_QUIZ'!C192,"")</f>
        <v>Civics</v>
      </c>
      <c r="D193" s="9" t="str">
        <f>IF(IF(SelectedScope="All India",TRUE,'RAW_QUIZ'!$B192=SelectedScope),'RAW_QUIZ'!D192,"")</f>
        <v>Class 9</v>
      </c>
      <c r="E193" s="9" t="str">
        <f>IF(IF(SelectedScope="All India",TRUE,'RAW_QUIZ'!$B192=SelectedScope),'RAW_QUIZ'!E192,"")</f>
        <v>Indian Constitution — Unit Quiz</v>
      </c>
      <c r="F193" s="9">
        <f>IF(IF(SelectedScope="All India",TRUE,'RAW_QUIZ'!$B192=SelectedScope),'RAW_QUIZ'!F192,"")</f>
        <v>0</v>
      </c>
      <c r="G193" s="9" t="str">
        <f>IF(IF(SelectedScope="All India",TRUE,'RAW_QUIZ'!$B192=SelectedScope),'RAW_QUIZ'!G192,"")</f>
        <v>Active</v>
      </c>
      <c r="H193" s="9">
        <f>IF(IF(SelectedScope="All India",TRUE,'RAW_QUIZ'!$B192=SelectedScope),'RAW_QUIZ'!H192,"")</f>
        <v>0</v>
      </c>
      <c r="I193" s="9">
        <f>IF(IF(SelectedScope="All India",TRUE,'RAW_QUIZ'!$B192=SelectedScope),'RAW_QUIZ'!I192,"")</f>
        <v>0</v>
      </c>
      <c r="J193" s="9">
        <f>IF(IF(SelectedScope="All India",TRUE,'RAW_QUIZ'!$B192=SelectedScope),'RAW_QUIZ'!J192,"")</f>
        <v>0</v>
      </c>
      <c r="K193" s="9">
        <f>IF(IF(SelectedScope="All India",TRUE,'RAW_QUIZ'!$B192=SelectedScope),'RAW_QUIZ'!K192,"")</f>
        <v>0</v>
      </c>
      <c r="L193" s="9">
        <f>IF(IF(SelectedScope="All India",TRUE,'RAW_QUIZ'!$B192=SelectedScope),'RAW_QUIZ'!L192,"")</f>
        <v>0</v>
      </c>
      <c r="M193" s="9">
        <f>IF(IF(SelectedScope="All India",TRUE,'RAW_QUIZ'!$B192=SelectedScope),'RAW_QUIZ'!M192,"")</f>
        <v>0</v>
      </c>
      <c r="N193" s="9">
        <f>IF(IF(SelectedScope="All India",TRUE,'RAW_QUIZ'!$B192=SelectedScope),'RAW_QUIZ'!N192,"")</f>
        <v>0</v>
      </c>
      <c r="O193" s="9">
        <f>IF(IF(SelectedScope="All India",TRUE,'RAW_QUIZ'!$B192=SelectedScope),'RAW_QUIZ'!O192,"")</f>
        <v>0</v>
      </c>
      <c r="P193" s="9">
        <f>IF(IF(SelectedScope="All India",TRUE,'RAW_QUIZ'!$B192=SelectedScope),'RAW_QUIZ'!P192,"")</f>
        <v>0</v>
      </c>
      <c r="Q193" s="9">
        <f>IF(IF(SelectedScope="All India",TRUE,'RAW_QUIZ'!$B192=SelectedScope),'RAW_QUIZ'!Q192,"")</f>
        <v>0</v>
      </c>
    </row>
    <row r="194" spans="1:17" ht="15" customHeight="1" x14ac:dyDescent="0.3">
      <c r="A194" s="12">
        <f>IF(IF(SelectedScope="All India",TRUE,'RAW_QUIZ'!$B193=SelectedScope),'RAW_QUIZ'!A193,"")</f>
        <v>190</v>
      </c>
      <c r="B194" s="12" t="str">
        <f>IF(IF(SelectedScope="All India",TRUE,'RAW_QUIZ'!$B193=SelectedScope),'RAW_QUIZ'!B193,"")</f>
        <v>Lakshadweep</v>
      </c>
      <c r="C194" s="12" t="str">
        <f>IF(IF(SelectedScope="All India",TRUE,'RAW_QUIZ'!$B193=SelectedScope),'RAW_QUIZ'!C193,"")</f>
        <v>Mathematics</v>
      </c>
      <c r="D194" s="12" t="str">
        <f>IF(IF(SelectedScope="All India",TRUE,'RAW_QUIZ'!$B193=SelectedScope),'RAW_QUIZ'!D193,"")</f>
        <v>Class 10</v>
      </c>
      <c r="E194" s="12" t="str">
        <f>IF(IF(SelectedScope="All India",TRUE,'RAW_QUIZ'!$B193=SelectedScope),'RAW_QUIZ'!E193,"")</f>
        <v>Quadratic Equations — Unit Quiz</v>
      </c>
      <c r="F194" s="12">
        <f>IF(IF(SelectedScope="All India",TRUE,'RAW_QUIZ'!$B193=SelectedScope),'RAW_QUIZ'!F193,"")</f>
        <v>0</v>
      </c>
      <c r="G194" s="12" t="str">
        <f>IF(IF(SelectedScope="All India",TRUE,'RAW_QUIZ'!$B193=SelectedScope),'RAW_QUIZ'!G193,"")</f>
        <v>Active</v>
      </c>
      <c r="H194" s="12">
        <f>IF(IF(SelectedScope="All India",TRUE,'RAW_QUIZ'!$B193=SelectedScope),'RAW_QUIZ'!H193,"")</f>
        <v>0</v>
      </c>
      <c r="I194" s="12">
        <f>IF(IF(SelectedScope="All India",TRUE,'RAW_QUIZ'!$B193=SelectedScope),'RAW_QUIZ'!I193,"")</f>
        <v>0</v>
      </c>
      <c r="J194" s="12">
        <f>IF(IF(SelectedScope="All India",TRUE,'RAW_QUIZ'!$B193=SelectedScope),'RAW_QUIZ'!J193,"")</f>
        <v>0</v>
      </c>
      <c r="K194" s="12">
        <f>IF(IF(SelectedScope="All India",TRUE,'RAW_QUIZ'!$B193=SelectedScope),'RAW_QUIZ'!K193,"")</f>
        <v>0</v>
      </c>
      <c r="L194" s="12">
        <f>IF(IF(SelectedScope="All India",TRUE,'RAW_QUIZ'!$B193=SelectedScope),'RAW_QUIZ'!L193,"")</f>
        <v>0</v>
      </c>
      <c r="M194" s="12">
        <f>IF(IF(SelectedScope="All India",TRUE,'RAW_QUIZ'!$B193=SelectedScope),'RAW_QUIZ'!M193,"")</f>
        <v>0</v>
      </c>
      <c r="N194" s="12">
        <f>IF(IF(SelectedScope="All India",TRUE,'RAW_QUIZ'!$B193=SelectedScope),'RAW_QUIZ'!N193,"")</f>
        <v>0</v>
      </c>
      <c r="O194" s="12">
        <f>IF(IF(SelectedScope="All India",TRUE,'RAW_QUIZ'!$B193=SelectedScope),'RAW_QUIZ'!O193,"")</f>
        <v>0</v>
      </c>
      <c r="P194" s="12">
        <f>IF(IF(SelectedScope="All India",TRUE,'RAW_QUIZ'!$B193=SelectedScope),'RAW_QUIZ'!P193,"")</f>
        <v>0</v>
      </c>
      <c r="Q194" s="12">
        <f>IF(IF(SelectedScope="All India",TRUE,'RAW_QUIZ'!$B193=SelectedScope),'RAW_QUIZ'!Q193,"")</f>
        <v>0</v>
      </c>
    </row>
    <row r="195" spans="1:17" ht="15" customHeight="1" x14ac:dyDescent="0.3">
      <c r="A195" s="9">
        <f>IF(IF(SelectedScope="All India",TRUE,'RAW_QUIZ'!$B194=SelectedScope),'RAW_QUIZ'!A194,"")</f>
        <v>191</v>
      </c>
      <c r="B195" s="9" t="str">
        <f>IF(IF(SelectedScope="All India",TRUE,'RAW_QUIZ'!$B194=SelectedScope),'RAW_QUIZ'!B194,"")</f>
        <v>Madhya Pradesh</v>
      </c>
      <c r="C195" s="9" t="str">
        <f>IF(IF(SelectedScope="All India",TRUE,'RAW_QUIZ'!$B194=SelectedScope),'RAW_QUIZ'!C194,"")</f>
        <v>Science</v>
      </c>
      <c r="D195" s="9" t="str">
        <f>IF(IF(SelectedScope="All India",TRUE,'RAW_QUIZ'!$B194=SelectedScope),'RAW_QUIZ'!D194,"")</f>
        <v>Class 8</v>
      </c>
      <c r="E195" s="9" t="str">
        <f>IF(IF(SelectedScope="All India",TRUE,'RAW_QUIZ'!$B194=SelectedScope),'RAW_QUIZ'!E194,"")</f>
        <v>Solar System — Unit Quiz</v>
      </c>
      <c r="F195" s="9">
        <f>IF(IF(SelectedScope="All India",TRUE,'RAW_QUIZ'!$B194=SelectedScope),'RAW_QUIZ'!F194,"")</f>
        <v>0</v>
      </c>
      <c r="G195" s="9" t="str">
        <f>IF(IF(SelectedScope="All India",TRUE,'RAW_QUIZ'!$B194=SelectedScope),'RAW_QUIZ'!G194,"")</f>
        <v>Active</v>
      </c>
      <c r="H195" s="9">
        <f>IF(IF(SelectedScope="All India",TRUE,'RAW_QUIZ'!$B194=SelectedScope),'RAW_QUIZ'!H194,"")</f>
        <v>0</v>
      </c>
      <c r="I195" s="9">
        <f>IF(IF(SelectedScope="All India",TRUE,'RAW_QUIZ'!$B194=SelectedScope),'RAW_QUIZ'!I194,"")</f>
        <v>0</v>
      </c>
      <c r="J195" s="9">
        <f>IF(IF(SelectedScope="All India",TRUE,'RAW_QUIZ'!$B194=SelectedScope),'RAW_QUIZ'!J194,"")</f>
        <v>0</v>
      </c>
      <c r="K195" s="9">
        <f>IF(IF(SelectedScope="All India",TRUE,'RAW_QUIZ'!$B194=SelectedScope),'RAW_QUIZ'!K194,"")</f>
        <v>0</v>
      </c>
      <c r="L195" s="9">
        <f>IF(IF(SelectedScope="All India",TRUE,'RAW_QUIZ'!$B194=SelectedScope),'RAW_QUIZ'!L194,"")</f>
        <v>0</v>
      </c>
      <c r="M195" s="9">
        <f>IF(IF(SelectedScope="All India",TRUE,'RAW_QUIZ'!$B194=SelectedScope),'RAW_QUIZ'!M194,"")</f>
        <v>0</v>
      </c>
      <c r="N195" s="9">
        <f>IF(IF(SelectedScope="All India",TRUE,'RAW_QUIZ'!$B194=SelectedScope),'RAW_QUIZ'!N194,"")</f>
        <v>0</v>
      </c>
      <c r="O195" s="9">
        <f>IF(IF(SelectedScope="All India",TRUE,'RAW_QUIZ'!$B194=SelectedScope),'RAW_QUIZ'!O194,"")</f>
        <v>0</v>
      </c>
      <c r="P195" s="9">
        <f>IF(IF(SelectedScope="All India",TRUE,'RAW_QUIZ'!$B194=SelectedScope),'RAW_QUIZ'!P194,"")</f>
        <v>0</v>
      </c>
      <c r="Q195" s="9">
        <f>IF(IF(SelectedScope="All India",TRUE,'RAW_QUIZ'!$B194=SelectedScope),'RAW_QUIZ'!Q194,"")</f>
        <v>0</v>
      </c>
    </row>
    <row r="196" spans="1:17" ht="15" customHeight="1" x14ac:dyDescent="0.3">
      <c r="A196" s="12">
        <f>IF(IF(SelectedScope="All India",TRUE,'RAW_QUIZ'!$B195=SelectedScope),'RAW_QUIZ'!A195,"")</f>
        <v>192</v>
      </c>
      <c r="B196" s="12" t="str">
        <f>IF(IF(SelectedScope="All India",TRUE,'RAW_QUIZ'!$B195=SelectedScope),'RAW_QUIZ'!B195,"")</f>
        <v>Madhya Pradesh</v>
      </c>
      <c r="C196" s="12" t="str">
        <f>IF(IF(SelectedScope="All India",TRUE,'RAW_QUIZ'!$B195=SelectedScope),'RAW_QUIZ'!C195,"")</f>
        <v>Biology</v>
      </c>
      <c r="D196" s="12" t="str">
        <f>IF(IF(SelectedScope="All India",TRUE,'RAW_QUIZ'!$B195=SelectedScope),'RAW_QUIZ'!D195,"")</f>
        <v>Class 9</v>
      </c>
      <c r="E196" s="12" t="str">
        <f>IF(IF(SelectedScope="All India",TRUE,'RAW_QUIZ'!$B195=SelectedScope),'RAW_QUIZ'!E195,"")</f>
        <v>Cell Division — Unit Quiz</v>
      </c>
      <c r="F196" s="12">
        <f>IF(IF(SelectedScope="All India",TRUE,'RAW_QUIZ'!$B195=SelectedScope),'RAW_QUIZ'!F195,"")</f>
        <v>0</v>
      </c>
      <c r="G196" s="12" t="str">
        <f>IF(IF(SelectedScope="All India",TRUE,'RAW_QUIZ'!$B195=SelectedScope),'RAW_QUIZ'!G195,"")</f>
        <v>Active</v>
      </c>
      <c r="H196" s="12">
        <f>IF(IF(SelectedScope="All India",TRUE,'RAW_QUIZ'!$B195=SelectedScope),'RAW_QUIZ'!H195,"")</f>
        <v>0</v>
      </c>
      <c r="I196" s="12">
        <f>IF(IF(SelectedScope="All India",TRUE,'RAW_QUIZ'!$B195=SelectedScope),'RAW_QUIZ'!I195,"")</f>
        <v>0</v>
      </c>
      <c r="J196" s="12">
        <f>IF(IF(SelectedScope="All India",TRUE,'RAW_QUIZ'!$B195=SelectedScope),'RAW_QUIZ'!J195,"")</f>
        <v>0</v>
      </c>
      <c r="K196" s="12">
        <f>IF(IF(SelectedScope="All India",TRUE,'RAW_QUIZ'!$B195=SelectedScope),'RAW_QUIZ'!K195,"")</f>
        <v>0</v>
      </c>
      <c r="L196" s="12">
        <f>IF(IF(SelectedScope="All India",TRUE,'RAW_QUIZ'!$B195=SelectedScope),'RAW_QUIZ'!L195,"")</f>
        <v>0</v>
      </c>
      <c r="M196" s="12">
        <f>IF(IF(SelectedScope="All India",TRUE,'RAW_QUIZ'!$B195=SelectedScope),'RAW_QUIZ'!M195,"")</f>
        <v>0</v>
      </c>
      <c r="N196" s="12">
        <f>IF(IF(SelectedScope="All India",TRUE,'RAW_QUIZ'!$B195=SelectedScope),'RAW_QUIZ'!N195,"")</f>
        <v>0</v>
      </c>
      <c r="O196" s="12">
        <f>IF(IF(SelectedScope="All India",TRUE,'RAW_QUIZ'!$B195=SelectedScope),'RAW_QUIZ'!O195,"")</f>
        <v>0</v>
      </c>
      <c r="P196" s="12">
        <f>IF(IF(SelectedScope="All India",TRUE,'RAW_QUIZ'!$B195=SelectedScope),'RAW_QUIZ'!P195,"")</f>
        <v>0</v>
      </c>
      <c r="Q196" s="12">
        <f>IF(IF(SelectedScope="All India",TRUE,'RAW_QUIZ'!$B195=SelectedScope),'RAW_QUIZ'!Q195,"")</f>
        <v>0</v>
      </c>
    </row>
    <row r="197" spans="1:17" ht="15" customHeight="1" x14ac:dyDescent="0.3">
      <c r="A197" s="9">
        <f>IF(IF(SelectedScope="All India",TRUE,'RAW_QUIZ'!$B196=SelectedScope),'RAW_QUIZ'!A196,"")</f>
        <v>193</v>
      </c>
      <c r="B197" s="9" t="str">
        <f>IF(IF(SelectedScope="All India",TRUE,'RAW_QUIZ'!$B196=SelectedScope),'RAW_QUIZ'!B196,"")</f>
        <v>Madhya Pradesh</v>
      </c>
      <c r="C197" s="9" t="str">
        <f>IF(IF(SelectedScope="All India",TRUE,'RAW_QUIZ'!$B196=SelectedScope),'RAW_QUIZ'!C196,"")</f>
        <v>Chemistry</v>
      </c>
      <c r="D197" s="9" t="str">
        <f>IF(IF(SelectedScope="All India",TRUE,'RAW_QUIZ'!$B196=SelectedScope),'RAW_QUIZ'!D196,"")</f>
        <v>Class 9</v>
      </c>
      <c r="E197" s="9" t="str">
        <f>IF(IF(SelectedScope="All India",TRUE,'RAW_QUIZ'!$B196=SelectedScope),'RAW_QUIZ'!E196,"")</f>
        <v>Atoms and Molecules — Unit Quiz</v>
      </c>
      <c r="F197" s="9">
        <f>IF(IF(SelectedScope="All India",TRUE,'RAW_QUIZ'!$B196=SelectedScope),'RAW_QUIZ'!F196,"")</f>
        <v>0</v>
      </c>
      <c r="G197" s="9" t="str">
        <f>IF(IF(SelectedScope="All India",TRUE,'RAW_QUIZ'!$B196=SelectedScope),'RAW_QUIZ'!G196,"")</f>
        <v>Active</v>
      </c>
      <c r="H197" s="9">
        <f>IF(IF(SelectedScope="All India",TRUE,'RAW_QUIZ'!$B196=SelectedScope),'RAW_QUIZ'!H196,"")</f>
        <v>0</v>
      </c>
      <c r="I197" s="9">
        <f>IF(IF(SelectedScope="All India",TRUE,'RAW_QUIZ'!$B196=SelectedScope),'RAW_QUIZ'!I196,"")</f>
        <v>0</v>
      </c>
      <c r="J197" s="9">
        <f>IF(IF(SelectedScope="All India",TRUE,'RAW_QUIZ'!$B196=SelectedScope),'RAW_QUIZ'!J196,"")</f>
        <v>0</v>
      </c>
      <c r="K197" s="9">
        <f>IF(IF(SelectedScope="All India",TRUE,'RAW_QUIZ'!$B196=SelectedScope),'RAW_QUIZ'!K196,"")</f>
        <v>0</v>
      </c>
      <c r="L197" s="9">
        <f>IF(IF(SelectedScope="All India",TRUE,'RAW_QUIZ'!$B196=SelectedScope),'RAW_QUIZ'!L196,"")</f>
        <v>0</v>
      </c>
      <c r="M197" s="9">
        <f>IF(IF(SelectedScope="All India",TRUE,'RAW_QUIZ'!$B196=SelectedScope),'RAW_QUIZ'!M196,"")</f>
        <v>0</v>
      </c>
      <c r="N197" s="9">
        <f>IF(IF(SelectedScope="All India",TRUE,'RAW_QUIZ'!$B196=SelectedScope),'RAW_QUIZ'!N196,"")</f>
        <v>0</v>
      </c>
      <c r="O197" s="9">
        <f>IF(IF(SelectedScope="All India",TRUE,'RAW_QUIZ'!$B196=SelectedScope),'RAW_QUIZ'!O196,"")</f>
        <v>0</v>
      </c>
      <c r="P197" s="9">
        <f>IF(IF(SelectedScope="All India",TRUE,'RAW_QUIZ'!$B196=SelectedScope),'RAW_QUIZ'!P196,"")</f>
        <v>0</v>
      </c>
      <c r="Q197" s="9">
        <f>IF(IF(SelectedScope="All India",TRUE,'RAW_QUIZ'!$B196=SelectedScope),'RAW_QUIZ'!Q196,"")</f>
        <v>0</v>
      </c>
    </row>
    <row r="198" spans="1:17" ht="15" customHeight="1" x14ac:dyDescent="0.3">
      <c r="A198" s="12">
        <f>IF(IF(SelectedScope="All India",TRUE,'RAW_QUIZ'!$B197=SelectedScope),'RAW_QUIZ'!A197,"")</f>
        <v>194</v>
      </c>
      <c r="B198" s="12" t="str">
        <f>IF(IF(SelectedScope="All India",TRUE,'RAW_QUIZ'!$B197=SelectedScope),'RAW_QUIZ'!B197,"")</f>
        <v>Madhya Pradesh</v>
      </c>
      <c r="C198" s="12" t="str">
        <f>IF(IF(SelectedScope="All India",TRUE,'RAW_QUIZ'!$B197=SelectedScope),'RAW_QUIZ'!C197,"")</f>
        <v>Mathematics</v>
      </c>
      <c r="D198" s="12" t="str">
        <f>IF(IF(SelectedScope="All India",TRUE,'RAW_QUIZ'!$B197=SelectedScope),'RAW_QUIZ'!D197,"")</f>
        <v>Class 7</v>
      </c>
      <c r="E198" s="12" t="str">
        <f>IF(IF(SelectedScope="All India",TRUE,'RAW_QUIZ'!$B197=SelectedScope),'RAW_QUIZ'!E197,"")</f>
        <v>Fractions — Unit Quiz</v>
      </c>
      <c r="F198" s="12">
        <f>IF(IF(SelectedScope="All India",TRUE,'RAW_QUIZ'!$B197=SelectedScope),'RAW_QUIZ'!F197,"")</f>
        <v>0</v>
      </c>
      <c r="G198" s="12" t="str">
        <f>IF(IF(SelectedScope="All India",TRUE,'RAW_QUIZ'!$B197=SelectedScope),'RAW_QUIZ'!G197,"")</f>
        <v>Active</v>
      </c>
      <c r="H198" s="12">
        <f>IF(IF(SelectedScope="All India",TRUE,'RAW_QUIZ'!$B197=SelectedScope),'RAW_QUIZ'!H197,"")</f>
        <v>0</v>
      </c>
      <c r="I198" s="12">
        <f>IF(IF(SelectedScope="All India",TRUE,'RAW_QUIZ'!$B197=SelectedScope),'RAW_QUIZ'!I197,"")</f>
        <v>0</v>
      </c>
      <c r="J198" s="12">
        <f>IF(IF(SelectedScope="All India",TRUE,'RAW_QUIZ'!$B197=SelectedScope),'RAW_QUIZ'!J197,"")</f>
        <v>0</v>
      </c>
      <c r="K198" s="12">
        <f>IF(IF(SelectedScope="All India",TRUE,'RAW_QUIZ'!$B197=SelectedScope),'RAW_QUIZ'!K197,"")</f>
        <v>0</v>
      </c>
      <c r="L198" s="12">
        <f>IF(IF(SelectedScope="All India",TRUE,'RAW_QUIZ'!$B197=SelectedScope),'RAW_QUIZ'!L197,"")</f>
        <v>0</v>
      </c>
      <c r="M198" s="12">
        <f>IF(IF(SelectedScope="All India",TRUE,'RAW_QUIZ'!$B197=SelectedScope),'RAW_QUIZ'!M197,"")</f>
        <v>0</v>
      </c>
      <c r="N198" s="12">
        <f>IF(IF(SelectedScope="All India",TRUE,'RAW_QUIZ'!$B197=SelectedScope),'RAW_QUIZ'!N197,"")</f>
        <v>0</v>
      </c>
      <c r="O198" s="12">
        <f>IF(IF(SelectedScope="All India",TRUE,'RAW_QUIZ'!$B197=SelectedScope),'RAW_QUIZ'!O197,"")</f>
        <v>0</v>
      </c>
      <c r="P198" s="12">
        <f>IF(IF(SelectedScope="All India",TRUE,'RAW_QUIZ'!$B197=SelectedScope),'RAW_QUIZ'!P197,"")</f>
        <v>0</v>
      </c>
      <c r="Q198" s="12">
        <f>IF(IF(SelectedScope="All India",TRUE,'RAW_QUIZ'!$B197=SelectedScope),'RAW_QUIZ'!Q197,"")</f>
        <v>0</v>
      </c>
    </row>
    <row r="199" spans="1:17" ht="15" customHeight="1" x14ac:dyDescent="0.3">
      <c r="A199" s="9">
        <f>IF(IF(SelectedScope="All India",TRUE,'RAW_QUIZ'!$B198=SelectedScope),'RAW_QUIZ'!A198,"")</f>
        <v>195</v>
      </c>
      <c r="B199" s="9" t="str">
        <f>IF(IF(SelectedScope="All India",TRUE,'RAW_QUIZ'!$B198=SelectedScope),'RAW_QUIZ'!B198,"")</f>
        <v>Madhya Pradesh</v>
      </c>
      <c r="C199" s="9" t="str">
        <f>IF(IF(SelectedScope="All India",TRUE,'RAW_QUIZ'!$B198=SelectedScope),'RAW_QUIZ'!C198,"")</f>
        <v>Mathematics</v>
      </c>
      <c r="D199" s="9" t="str">
        <f>IF(IF(SelectedScope="All India",TRUE,'RAW_QUIZ'!$B198=SelectedScope),'RAW_QUIZ'!D198,"")</f>
        <v>Class 10</v>
      </c>
      <c r="E199" s="9" t="str">
        <f>IF(IF(SelectedScope="All India",TRUE,'RAW_QUIZ'!$B198=SelectedScope),'RAW_QUIZ'!E198,"")</f>
        <v>Trigonometry — Unit Quiz</v>
      </c>
      <c r="F199" s="9">
        <f>IF(IF(SelectedScope="All India",TRUE,'RAW_QUIZ'!$B198=SelectedScope),'RAW_QUIZ'!F198,"")</f>
        <v>0</v>
      </c>
      <c r="G199" s="9" t="str">
        <f>IF(IF(SelectedScope="All India",TRUE,'RAW_QUIZ'!$B198=SelectedScope),'RAW_QUIZ'!G198,"")</f>
        <v>Active</v>
      </c>
      <c r="H199" s="9">
        <f>IF(IF(SelectedScope="All India",TRUE,'RAW_QUIZ'!$B198=SelectedScope),'RAW_QUIZ'!H198,"")</f>
        <v>0</v>
      </c>
      <c r="I199" s="9">
        <f>IF(IF(SelectedScope="All India",TRUE,'RAW_QUIZ'!$B198=SelectedScope),'RAW_QUIZ'!I198,"")</f>
        <v>0</v>
      </c>
      <c r="J199" s="9">
        <f>IF(IF(SelectedScope="All India",TRUE,'RAW_QUIZ'!$B198=SelectedScope),'RAW_QUIZ'!J198,"")</f>
        <v>0</v>
      </c>
      <c r="K199" s="9">
        <f>IF(IF(SelectedScope="All India",TRUE,'RAW_QUIZ'!$B198=SelectedScope),'RAW_QUIZ'!K198,"")</f>
        <v>0</v>
      </c>
      <c r="L199" s="9">
        <f>IF(IF(SelectedScope="All India",TRUE,'RAW_QUIZ'!$B198=SelectedScope),'RAW_QUIZ'!L198,"")</f>
        <v>0</v>
      </c>
      <c r="M199" s="9">
        <f>IF(IF(SelectedScope="All India",TRUE,'RAW_QUIZ'!$B198=SelectedScope),'RAW_QUIZ'!M198,"")</f>
        <v>0</v>
      </c>
      <c r="N199" s="9">
        <f>IF(IF(SelectedScope="All India",TRUE,'RAW_QUIZ'!$B198=SelectedScope),'RAW_QUIZ'!N198,"")</f>
        <v>0</v>
      </c>
      <c r="O199" s="9">
        <f>IF(IF(SelectedScope="All India",TRUE,'RAW_QUIZ'!$B198=SelectedScope),'RAW_QUIZ'!O198,"")</f>
        <v>0</v>
      </c>
      <c r="P199" s="9">
        <f>IF(IF(SelectedScope="All India",TRUE,'RAW_QUIZ'!$B198=SelectedScope),'RAW_QUIZ'!P198,"")</f>
        <v>0</v>
      </c>
      <c r="Q199" s="9">
        <f>IF(IF(SelectedScope="All India",TRUE,'RAW_QUIZ'!$B198=SelectedScope),'RAW_QUIZ'!Q198,"")</f>
        <v>0</v>
      </c>
    </row>
    <row r="200" spans="1:17" ht="15" customHeight="1" x14ac:dyDescent="0.3">
      <c r="A200" s="12">
        <f>IF(IF(SelectedScope="All India",TRUE,'RAW_QUIZ'!$B199=SelectedScope),'RAW_QUIZ'!A199,"")</f>
        <v>196</v>
      </c>
      <c r="B200" s="12" t="str">
        <f>IF(IF(SelectedScope="All India",TRUE,'RAW_QUIZ'!$B199=SelectedScope),'RAW_QUIZ'!B199,"")</f>
        <v>Madhya Pradesh</v>
      </c>
      <c r="C200" s="12" t="str">
        <f>IF(IF(SelectedScope="All India",TRUE,'RAW_QUIZ'!$B199=SelectedScope),'RAW_QUIZ'!C199,"")</f>
        <v>History</v>
      </c>
      <c r="D200" s="12" t="str">
        <f>IF(IF(SelectedScope="All India",TRUE,'RAW_QUIZ'!$B199=SelectedScope),'RAW_QUIZ'!D199,"")</f>
        <v>Class 10</v>
      </c>
      <c r="E200" s="12" t="str">
        <f>IF(IF(SelectedScope="All India",TRUE,'RAW_QUIZ'!$B199=SelectedScope),'RAW_QUIZ'!E199,"")</f>
        <v>Mughal Empire — Unit Quiz</v>
      </c>
      <c r="F200" s="12">
        <f>IF(IF(SelectedScope="All India",TRUE,'RAW_QUIZ'!$B199=SelectedScope),'RAW_QUIZ'!F199,"")</f>
        <v>0</v>
      </c>
      <c r="G200" s="12" t="str">
        <f>IF(IF(SelectedScope="All India",TRUE,'RAW_QUIZ'!$B199=SelectedScope),'RAW_QUIZ'!G199,"")</f>
        <v>Active</v>
      </c>
      <c r="H200" s="12">
        <f>IF(IF(SelectedScope="All India",TRUE,'RAW_QUIZ'!$B199=SelectedScope),'RAW_QUIZ'!H199,"")</f>
        <v>0</v>
      </c>
      <c r="I200" s="12">
        <f>IF(IF(SelectedScope="All India",TRUE,'RAW_QUIZ'!$B199=SelectedScope),'RAW_QUIZ'!I199,"")</f>
        <v>0</v>
      </c>
      <c r="J200" s="12">
        <f>IF(IF(SelectedScope="All India",TRUE,'RAW_QUIZ'!$B199=SelectedScope),'RAW_QUIZ'!J199,"")</f>
        <v>0</v>
      </c>
      <c r="K200" s="12">
        <f>IF(IF(SelectedScope="All India",TRUE,'RAW_QUIZ'!$B199=SelectedScope),'RAW_QUIZ'!K199,"")</f>
        <v>0</v>
      </c>
      <c r="L200" s="12">
        <f>IF(IF(SelectedScope="All India",TRUE,'RAW_QUIZ'!$B199=SelectedScope),'RAW_QUIZ'!L199,"")</f>
        <v>0</v>
      </c>
      <c r="M200" s="12">
        <f>IF(IF(SelectedScope="All India",TRUE,'RAW_QUIZ'!$B199=SelectedScope),'RAW_QUIZ'!M199,"")</f>
        <v>0</v>
      </c>
      <c r="N200" s="12">
        <f>IF(IF(SelectedScope="All India",TRUE,'RAW_QUIZ'!$B199=SelectedScope),'RAW_QUIZ'!N199,"")</f>
        <v>0</v>
      </c>
      <c r="O200" s="12">
        <f>IF(IF(SelectedScope="All India",TRUE,'RAW_QUIZ'!$B199=SelectedScope),'RAW_QUIZ'!O199,"")</f>
        <v>0</v>
      </c>
      <c r="P200" s="12">
        <f>IF(IF(SelectedScope="All India",TRUE,'RAW_QUIZ'!$B199=SelectedScope),'RAW_QUIZ'!P199,"")</f>
        <v>0</v>
      </c>
      <c r="Q200" s="12">
        <f>IF(IF(SelectedScope="All India",TRUE,'RAW_QUIZ'!$B199=SelectedScope),'RAW_QUIZ'!Q199,"")</f>
        <v>0</v>
      </c>
    </row>
    <row r="201" spans="1:17" ht="15" customHeight="1" x14ac:dyDescent="0.3">
      <c r="A201" s="9">
        <f>IF(IF(SelectedScope="All India",TRUE,'RAW_QUIZ'!$B200=SelectedScope),'RAW_QUIZ'!A200,"")</f>
        <v>197</v>
      </c>
      <c r="B201" s="9" t="str">
        <f>IF(IF(SelectedScope="All India",TRUE,'RAW_QUIZ'!$B200=SelectedScope),'RAW_QUIZ'!B200,"")</f>
        <v>Madhya Pradesh</v>
      </c>
      <c r="C201" s="9" t="str">
        <f>IF(IF(SelectedScope="All India",TRUE,'RAW_QUIZ'!$B200=SelectedScope),'RAW_QUIZ'!C200,"")</f>
        <v>Physics</v>
      </c>
      <c r="D201" s="9" t="str">
        <f>IF(IF(SelectedScope="All India",TRUE,'RAW_QUIZ'!$B200=SelectedScope),'RAW_QUIZ'!D200,"")</f>
        <v>Class 9</v>
      </c>
      <c r="E201" s="9" t="str">
        <f>IF(IF(SelectedScope="All India",TRUE,'RAW_QUIZ'!$B200=SelectedScope),'RAW_QUIZ'!E200,"")</f>
        <v>Laws of Motion — Unit Quiz</v>
      </c>
      <c r="F201" s="9">
        <f>IF(IF(SelectedScope="All India",TRUE,'RAW_QUIZ'!$B200=SelectedScope),'RAW_QUIZ'!F200,"")</f>
        <v>0</v>
      </c>
      <c r="G201" s="9" t="str">
        <f>IF(IF(SelectedScope="All India",TRUE,'RAW_QUIZ'!$B200=SelectedScope),'RAW_QUIZ'!G200,"")</f>
        <v>Active</v>
      </c>
      <c r="H201" s="9">
        <f>IF(IF(SelectedScope="All India",TRUE,'RAW_QUIZ'!$B200=SelectedScope),'RAW_QUIZ'!H200,"")</f>
        <v>0</v>
      </c>
      <c r="I201" s="9">
        <f>IF(IF(SelectedScope="All India",TRUE,'RAW_QUIZ'!$B200=SelectedScope),'RAW_QUIZ'!I200,"")</f>
        <v>0</v>
      </c>
      <c r="J201" s="9">
        <f>IF(IF(SelectedScope="All India",TRUE,'RAW_QUIZ'!$B200=SelectedScope),'RAW_QUIZ'!J200,"")</f>
        <v>0</v>
      </c>
      <c r="K201" s="9">
        <f>IF(IF(SelectedScope="All India",TRUE,'RAW_QUIZ'!$B200=SelectedScope),'RAW_QUIZ'!K200,"")</f>
        <v>0</v>
      </c>
      <c r="L201" s="9">
        <f>IF(IF(SelectedScope="All India",TRUE,'RAW_QUIZ'!$B200=SelectedScope),'RAW_QUIZ'!L200,"")</f>
        <v>0</v>
      </c>
      <c r="M201" s="9">
        <f>IF(IF(SelectedScope="All India",TRUE,'RAW_QUIZ'!$B200=SelectedScope),'RAW_QUIZ'!M200,"")</f>
        <v>0</v>
      </c>
      <c r="N201" s="9">
        <f>IF(IF(SelectedScope="All India",TRUE,'RAW_QUIZ'!$B200=SelectedScope),'RAW_QUIZ'!N200,"")</f>
        <v>0</v>
      </c>
      <c r="O201" s="9">
        <f>IF(IF(SelectedScope="All India",TRUE,'RAW_QUIZ'!$B200=SelectedScope),'RAW_QUIZ'!O200,"")</f>
        <v>0</v>
      </c>
      <c r="P201" s="9">
        <f>IF(IF(SelectedScope="All India",TRUE,'RAW_QUIZ'!$B200=SelectedScope),'RAW_QUIZ'!P200,"")</f>
        <v>0</v>
      </c>
      <c r="Q201" s="9">
        <f>IF(IF(SelectedScope="All India",TRUE,'RAW_QUIZ'!$B200=SelectedScope),'RAW_QUIZ'!Q200,"")</f>
        <v>0</v>
      </c>
    </row>
    <row r="202" spans="1:17" ht="15" customHeight="1" x14ac:dyDescent="0.3">
      <c r="A202" s="12">
        <f>IF(IF(SelectedScope="All India",TRUE,'RAW_QUIZ'!$B201=SelectedScope),'RAW_QUIZ'!A201,"")</f>
        <v>198</v>
      </c>
      <c r="B202" s="12" t="str">
        <f>IF(IF(SelectedScope="All India",TRUE,'RAW_QUIZ'!$B201=SelectedScope),'RAW_QUIZ'!B201,"")</f>
        <v>Madhya Pradesh</v>
      </c>
      <c r="C202" s="12" t="str">
        <f>IF(IF(SelectedScope="All India",TRUE,'RAW_QUIZ'!$B201=SelectedScope),'RAW_QUIZ'!C201,"")</f>
        <v>Physics</v>
      </c>
      <c r="D202" s="12" t="str">
        <f>IF(IF(SelectedScope="All India",TRUE,'RAW_QUIZ'!$B201=SelectedScope),'RAW_QUIZ'!D201,"")</f>
        <v>Class 10</v>
      </c>
      <c r="E202" s="12" t="str">
        <f>IF(IF(SelectedScope="All India",TRUE,'RAW_QUIZ'!$B201=SelectedScope),'RAW_QUIZ'!E201,"")</f>
        <v>Electricity — Unit Quiz</v>
      </c>
      <c r="F202" s="12">
        <f>IF(IF(SelectedScope="All India",TRUE,'RAW_QUIZ'!$B201=SelectedScope),'RAW_QUIZ'!F201,"")</f>
        <v>0</v>
      </c>
      <c r="G202" s="12" t="str">
        <f>IF(IF(SelectedScope="All India",TRUE,'RAW_QUIZ'!$B201=SelectedScope),'RAW_QUIZ'!G201,"")</f>
        <v>Active</v>
      </c>
      <c r="H202" s="12">
        <f>IF(IF(SelectedScope="All India",TRUE,'RAW_QUIZ'!$B201=SelectedScope),'RAW_QUIZ'!H201,"")</f>
        <v>0</v>
      </c>
      <c r="I202" s="12">
        <f>IF(IF(SelectedScope="All India",TRUE,'RAW_QUIZ'!$B201=SelectedScope),'RAW_QUIZ'!I201,"")</f>
        <v>0</v>
      </c>
      <c r="J202" s="12">
        <f>IF(IF(SelectedScope="All India",TRUE,'RAW_QUIZ'!$B201=SelectedScope),'RAW_QUIZ'!J201,"")</f>
        <v>0</v>
      </c>
      <c r="K202" s="12">
        <f>IF(IF(SelectedScope="All India",TRUE,'RAW_QUIZ'!$B201=SelectedScope),'RAW_QUIZ'!K201,"")</f>
        <v>0</v>
      </c>
      <c r="L202" s="12">
        <f>IF(IF(SelectedScope="All India",TRUE,'RAW_QUIZ'!$B201=SelectedScope),'RAW_QUIZ'!L201,"")</f>
        <v>0</v>
      </c>
      <c r="M202" s="12">
        <f>IF(IF(SelectedScope="All India",TRUE,'RAW_QUIZ'!$B201=SelectedScope),'RAW_QUIZ'!M201,"")</f>
        <v>0</v>
      </c>
      <c r="N202" s="12">
        <f>IF(IF(SelectedScope="All India",TRUE,'RAW_QUIZ'!$B201=SelectedScope),'RAW_QUIZ'!N201,"")</f>
        <v>0</v>
      </c>
      <c r="O202" s="12">
        <f>IF(IF(SelectedScope="All India",TRUE,'RAW_QUIZ'!$B201=SelectedScope),'RAW_QUIZ'!O201,"")</f>
        <v>0</v>
      </c>
      <c r="P202" s="12">
        <f>IF(IF(SelectedScope="All India",TRUE,'RAW_QUIZ'!$B201=SelectedScope),'RAW_QUIZ'!P201,"")</f>
        <v>0</v>
      </c>
      <c r="Q202" s="12">
        <f>IF(IF(SelectedScope="All India",TRUE,'RAW_QUIZ'!$B201=SelectedScope),'RAW_QUIZ'!Q201,"")</f>
        <v>0</v>
      </c>
    </row>
    <row r="203" spans="1:17" ht="15" customHeight="1" x14ac:dyDescent="0.3">
      <c r="A203" s="9">
        <f>IF(IF(SelectedScope="All India",TRUE,'RAW_QUIZ'!$B202=SelectedScope),'RAW_QUIZ'!A202,"")</f>
        <v>199</v>
      </c>
      <c r="B203" s="9" t="str">
        <f>IF(IF(SelectedScope="All India",TRUE,'RAW_QUIZ'!$B202=SelectedScope),'RAW_QUIZ'!B202,"")</f>
        <v>Madhya Pradesh</v>
      </c>
      <c r="C203" s="9" t="str">
        <f>IF(IF(SelectedScope="All India",TRUE,'RAW_QUIZ'!$B202=SelectedScope),'RAW_QUIZ'!C202,"")</f>
        <v>Civics</v>
      </c>
      <c r="D203" s="9" t="str">
        <f>IF(IF(SelectedScope="All India",TRUE,'RAW_QUIZ'!$B202=SelectedScope),'RAW_QUIZ'!D202,"")</f>
        <v>Class 9</v>
      </c>
      <c r="E203" s="9" t="str">
        <f>IF(IF(SelectedScope="All India",TRUE,'RAW_QUIZ'!$B202=SelectedScope),'RAW_QUIZ'!E202,"")</f>
        <v>Indian Constitution — Unit Quiz</v>
      </c>
      <c r="F203" s="9">
        <f>IF(IF(SelectedScope="All India",TRUE,'RAW_QUIZ'!$B202=SelectedScope),'RAW_QUIZ'!F202,"")</f>
        <v>0</v>
      </c>
      <c r="G203" s="9" t="str">
        <f>IF(IF(SelectedScope="All India",TRUE,'RAW_QUIZ'!$B202=SelectedScope),'RAW_QUIZ'!G202,"")</f>
        <v>Active</v>
      </c>
      <c r="H203" s="9">
        <f>IF(IF(SelectedScope="All India",TRUE,'RAW_QUIZ'!$B202=SelectedScope),'RAW_QUIZ'!H202,"")</f>
        <v>0</v>
      </c>
      <c r="I203" s="9">
        <f>IF(IF(SelectedScope="All India",TRUE,'RAW_QUIZ'!$B202=SelectedScope),'RAW_QUIZ'!I202,"")</f>
        <v>0</v>
      </c>
      <c r="J203" s="9">
        <f>IF(IF(SelectedScope="All India",TRUE,'RAW_QUIZ'!$B202=SelectedScope),'RAW_QUIZ'!J202,"")</f>
        <v>0</v>
      </c>
      <c r="K203" s="9">
        <f>IF(IF(SelectedScope="All India",TRUE,'RAW_QUIZ'!$B202=SelectedScope),'RAW_QUIZ'!K202,"")</f>
        <v>0</v>
      </c>
      <c r="L203" s="9">
        <f>IF(IF(SelectedScope="All India",TRUE,'RAW_QUIZ'!$B202=SelectedScope),'RAW_QUIZ'!L202,"")</f>
        <v>0</v>
      </c>
      <c r="M203" s="9">
        <f>IF(IF(SelectedScope="All India",TRUE,'RAW_QUIZ'!$B202=SelectedScope),'RAW_QUIZ'!M202,"")</f>
        <v>0</v>
      </c>
      <c r="N203" s="9">
        <f>IF(IF(SelectedScope="All India",TRUE,'RAW_QUIZ'!$B202=SelectedScope),'RAW_QUIZ'!N202,"")</f>
        <v>0</v>
      </c>
      <c r="O203" s="9">
        <f>IF(IF(SelectedScope="All India",TRUE,'RAW_QUIZ'!$B202=SelectedScope),'RAW_QUIZ'!O202,"")</f>
        <v>0</v>
      </c>
      <c r="P203" s="9">
        <f>IF(IF(SelectedScope="All India",TRUE,'RAW_QUIZ'!$B202=SelectedScope),'RAW_QUIZ'!P202,"")</f>
        <v>0</v>
      </c>
      <c r="Q203" s="9">
        <f>IF(IF(SelectedScope="All India",TRUE,'RAW_QUIZ'!$B202=SelectedScope),'RAW_QUIZ'!Q202,"")</f>
        <v>0</v>
      </c>
    </row>
    <row r="204" spans="1:17" ht="15" customHeight="1" x14ac:dyDescent="0.3">
      <c r="A204" s="12">
        <f>IF(IF(SelectedScope="All India",TRUE,'RAW_QUIZ'!$B203=SelectedScope),'RAW_QUIZ'!A203,"")</f>
        <v>200</v>
      </c>
      <c r="B204" s="12" t="str">
        <f>IF(IF(SelectedScope="All India",TRUE,'RAW_QUIZ'!$B203=SelectedScope),'RAW_QUIZ'!B203,"")</f>
        <v>Madhya Pradesh</v>
      </c>
      <c r="C204" s="12" t="str">
        <f>IF(IF(SelectedScope="All India",TRUE,'RAW_QUIZ'!$B203=SelectedScope),'RAW_QUIZ'!C203,"")</f>
        <v>Mathematics</v>
      </c>
      <c r="D204" s="12" t="str">
        <f>IF(IF(SelectedScope="All India",TRUE,'RAW_QUIZ'!$B203=SelectedScope),'RAW_QUIZ'!D203,"")</f>
        <v>Class 10</v>
      </c>
      <c r="E204" s="12" t="str">
        <f>IF(IF(SelectedScope="All India",TRUE,'RAW_QUIZ'!$B203=SelectedScope),'RAW_QUIZ'!E203,"")</f>
        <v>Quadratic Equations — Unit Quiz</v>
      </c>
      <c r="F204" s="12">
        <f>IF(IF(SelectedScope="All India",TRUE,'RAW_QUIZ'!$B203=SelectedScope),'RAW_QUIZ'!F203,"")</f>
        <v>0</v>
      </c>
      <c r="G204" s="12" t="str">
        <f>IF(IF(SelectedScope="All India",TRUE,'RAW_QUIZ'!$B203=SelectedScope),'RAW_QUIZ'!G203,"")</f>
        <v>Active</v>
      </c>
      <c r="H204" s="12">
        <f>IF(IF(SelectedScope="All India",TRUE,'RAW_QUIZ'!$B203=SelectedScope),'RAW_QUIZ'!H203,"")</f>
        <v>0</v>
      </c>
      <c r="I204" s="12">
        <f>IF(IF(SelectedScope="All India",TRUE,'RAW_QUIZ'!$B203=SelectedScope),'RAW_QUIZ'!I203,"")</f>
        <v>0</v>
      </c>
      <c r="J204" s="12">
        <f>IF(IF(SelectedScope="All India",TRUE,'RAW_QUIZ'!$B203=SelectedScope),'RAW_QUIZ'!J203,"")</f>
        <v>0</v>
      </c>
      <c r="K204" s="12">
        <f>IF(IF(SelectedScope="All India",TRUE,'RAW_QUIZ'!$B203=SelectedScope),'RAW_QUIZ'!K203,"")</f>
        <v>0</v>
      </c>
      <c r="L204" s="12">
        <f>IF(IF(SelectedScope="All India",TRUE,'RAW_QUIZ'!$B203=SelectedScope),'RAW_QUIZ'!L203,"")</f>
        <v>0</v>
      </c>
      <c r="M204" s="12">
        <f>IF(IF(SelectedScope="All India",TRUE,'RAW_QUIZ'!$B203=SelectedScope),'RAW_QUIZ'!M203,"")</f>
        <v>0</v>
      </c>
      <c r="N204" s="12">
        <f>IF(IF(SelectedScope="All India",TRUE,'RAW_QUIZ'!$B203=SelectedScope),'RAW_QUIZ'!N203,"")</f>
        <v>0</v>
      </c>
      <c r="O204" s="12">
        <f>IF(IF(SelectedScope="All India",TRUE,'RAW_QUIZ'!$B203=SelectedScope),'RAW_QUIZ'!O203,"")</f>
        <v>0</v>
      </c>
      <c r="P204" s="12">
        <f>IF(IF(SelectedScope="All India",TRUE,'RAW_QUIZ'!$B203=SelectedScope),'RAW_QUIZ'!P203,"")</f>
        <v>0</v>
      </c>
      <c r="Q204" s="12">
        <f>IF(IF(SelectedScope="All India",TRUE,'RAW_QUIZ'!$B203=SelectedScope),'RAW_QUIZ'!Q203,"")</f>
        <v>0</v>
      </c>
    </row>
    <row r="205" spans="1:17" ht="15" customHeight="1" x14ac:dyDescent="0.3">
      <c r="A205" s="9">
        <f>IF(IF(SelectedScope="All India",TRUE,'RAW_QUIZ'!$B204=SelectedScope),'RAW_QUIZ'!A204,"")</f>
        <v>201</v>
      </c>
      <c r="B205" s="9" t="str">
        <f>IF(IF(SelectedScope="All India",TRUE,'RAW_QUIZ'!$B204=SelectedScope),'RAW_QUIZ'!B204,"")</f>
        <v>Maharashtra</v>
      </c>
      <c r="C205" s="9" t="str">
        <f>IF(IF(SelectedScope="All India",TRUE,'RAW_QUIZ'!$B204=SelectedScope),'RAW_QUIZ'!C204,"")</f>
        <v>Science</v>
      </c>
      <c r="D205" s="9" t="str">
        <f>IF(IF(SelectedScope="All India",TRUE,'RAW_QUIZ'!$B204=SelectedScope),'RAW_QUIZ'!D204,"")</f>
        <v>Class 8</v>
      </c>
      <c r="E205" s="9" t="str">
        <f>IF(IF(SelectedScope="All India",TRUE,'RAW_QUIZ'!$B204=SelectedScope),'RAW_QUIZ'!E204,"")</f>
        <v>Solar System — Unit Quiz</v>
      </c>
      <c r="F205" s="9">
        <f>IF(IF(SelectedScope="All India",TRUE,'RAW_QUIZ'!$B204=SelectedScope),'RAW_QUIZ'!F204,"")</f>
        <v>0</v>
      </c>
      <c r="G205" s="9" t="str">
        <f>IF(IF(SelectedScope="All India",TRUE,'RAW_QUIZ'!$B204=SelectedScope),'RAW_QUIZ'!G204,"")</f>
        <v>Active</v>
      </c>
      <c r="H205" s="9">
        <f>IF(IF(SelectedScope="All India",TRUE,'RAW_QUIZ'!$B204=SelectedScope),'RAW_QUIZ'!H204,"")</f>
        <v>0</v>
      </c>
      <c r="I205" s="9">
        <f>IF(IF(SelectedScope="All India",TRUE,'RAW_QUIZ'!$B204=SelectedScope),'RAW_QUIZ'!I204,"")</f>
        <v>0</v>
      </c>
      <c r="J205" s="9">
        <f>IF(IF(SelectedScope="All India",TRUE,'RAW_QUIZ'!$B204=SelectedScope),'RAW_QUIZ'!J204,"")</f>
        <v>0</v>
      </c>
      <c r="K205" s="9">
        <f>IF(IF(SelectedScope="All India",TRUE,'RAW_QUIZ'!$B204=SelectedScope),'RAW_QUIZ'!K204,"")</f>
        <v>0</v>
      </c>
      <c r="L205" s="9">
        <f>IF(IF(SelectedScope="All India",TRUE,'RAW_QUIZ'!$B204=SelectedScope),'RAW_QUIZ'!L204,"")</f>
        <v>0</v>
      </c>
      <c r="M205" s="9">
        <f>IF(IF(SelectedScope="All India",TRUE,'RAW_QUIZ'!$B204=SelectedScope),'RAW_QUIZ'!M204,"")</f>
        <v>0</v>
      </c>
      <c r="N205" s="9">
        <f>IF(IF(SelectedScope="All India",TRUE,'RAW_QUIZ'!$B204=SelectedScope),'RAW_QUIZ'!N204,"")</f>
        <v>0</v>
      </c>
      <c r="O205" s="9">
        <f>IF(IF(SelectedScope="All India",TRUE,'RAW_QUIZ'!$B204=SelectedScope),'RAW_QUIZ'!O204,"")</f>
        <v>0</v>
      </c>
      <c r="P205" s="9">
        <f>IF(IF(SelectedScope="All India",TRUE,'RAW_QUIZ'!$B204=SelectedScope),'RAW_QUIZ'!P204,"")</f>
        <v>0</v>
      </c>
      <c r="Q205" s="9">
        <f>IF(IF(SelectedScope="All India",TRUE,'RAW_QUIZ'!$B204=SelectedScope),'RAW_QUIZ'!Q204,"")</f>
        <v>0</v>
      </c>
    </row>
    <row r="206" spans="1:17" ht="15" customHeight="1" x14ac:dyDescent="0.3">
      <c r="A206" s="12">
        <f>IF(IF(SelectedScope="All India",TRUE,'RAW_QUIZ'!$B205=SelectedScope),'RAW_QUIZ'!A205,"")</f>
        <v>202</v>
      </c>
      <c r="B206" s="12" t="str">
        <f>IF(IF(SelectedScope="All India",TRUE,'RAW_QUIZ'!$B205=SelectedScope),'RAW_QUIZ'!B205,"")</f>
        <v>Maharashtra</v>
      </c>
      <c r="C206" s="12" t="str">
        <f>IF(IF(SelectedScope="All India",TRUE,'RAW_QUIZ'!$B205=SelectedScope),'RAW_QUIZ'!C205,"")</f>
        <v>Biology</v>
      </c>
      <c r="D206" s="12" t="str">
        <f>IF(IF(SelectedScope="All India",TRUE,'RAW_QUIZ'!$B205=SelectedScope),'RAW_QUIZ'!D205,"")</f>
        <v>Class 9</v>
      </c>
      <c r="E206" s="12" t="str">
        <f>IF(IF(SelectedScope="All India",TRUE,'RAW_QUIZ'!$B205=SelectedScope),'RAW_QUIZ'!E205,"")</f>
        <v>Cell Division — Unit Quiz</v>
      </c>
      <c r="F206" s="12">
        <f>IF(IF(SelectedScope="All India",TRUE,'RAW_QUIZ'!$B205=SelectedScope),'RAW_QUIZ'!F205,"")</f>
        <v>0</v>
      </c>
      <c r="G206" s="12" t="str">
        <f>IF(IF(SelectedScope="All India",TRUE,'RAW_QUIZ'!$B205=SelectedScope),'RAW_QUIZ'!G205,"")</f>
        <v>Active</v>
      </c>
      <c r="H206" s="12">
        <f>IF(IF(SelectedScope="All India",TRUE,'RAW_QUIZ'!$B205=SelectedScope),'RAW_QUIZ'!H205,"")</f>
        <v>0</v>
      </c>
      <c r="I206" s="12">
        <f>IF(IF(SelectedScope="All India",TRUE,'RAW_QUIZ'!$B205=SelectedScope),'RAW_QUIZ'!I205,"")</f>
        <v>0</v>
      </c>
      <c r="J206" s="12">
        <f>IF(IF(SelectedScope="All India",TRUE,'RAW_QUIZ'!$B205=SelectedScope),'RAW_QUIZ'!J205,"")</f>
        <v>0</v>
      </c>
      <c r="K206" s="12">
        <f>IF(IF(SelectedScope="All India",TRUE,'RAW_QUIZ'!$B205=SelectedScope),'RAW_QUIZ'!K205,"")</f>
        <v>0</v>
      </c>
      <c r="L206" s="12">
        <f>IF(IF(SelectedScope="All India",TRUE,'RAW_QUIZ'!$B205=SelectedScope),'RAW_QUIZ'!L205,"")</f>
        <v>0</v>
      </c>
      <c r="M206" s="12">
        <f>IF(IF(SelectedScope="All India",TRUE,'RAW_QUIZ'!$B205=SelectedScope),'RAW_QUIZ'!M205,"")</f>
        <v>0</v>
      </c>
      <c r="N206" s="12">
        <f>IF(IF(SelectedScope="All India",TRUE,'RAW_QUIZ'!$B205=SelectedScope),'RAW_QUIZ'!N205,"")</f>
        <v>0</v>
      </c>
      <c r="O206" s="12">
        <f>IF(IF(SelectedScope="All India",TRUE,'RAW_QUIZ'!$B205=SelectedScope),'RAW_QUIZ'!O205,"")</f>
        <v>0</v>
      </c>
      <c r="P206" s="12">
        <f>IF(IF(SelectedScope="All India",TRUE,'RAW_QUIZ'!$B205=SelectedScope),'RAW_QUIZ'!P205,"")</f>
        <v>0</v>
      </c>
      <c r="Q206" s="12">
        <f>IF(IF(SelectedScope="All India",TRUE,'RAW_QUIZ'!$B205=SelectedScope),'RAW_QUIZ'!Q205,"")</f>
        <v>0</v>
      </c>
    </row>
    <row r="207" spans="1:17" ht="15" customHeight="1" x14ac:dyDescent="0.3">
      <c r="A207" s="9">
        <f>IF(IF(SelectedScope="All India",TRUE,'RAW_QUIZ'!$B206=SelectedScope),'RAW_QUIZ'!A206,"")</f>
        <v>203</v>
      </c>
      <c r="B207" s="9" t="str">
        <f>IF(IF(SelectedScope="All India",TRUE,'RAW_QUIZ'!$B206=SelectedScope),'RAW_QUIZ'!B206,"")</f>
        <v>Maharashtra</v>
      </c>
      <c r="C207" s="9" t="str">
        <f>IF(IF(SelectedScope="All India",TRUE,'RAW_QUIZ'!$B206=SelectedScope),'RAW_QUIZ'!C206,"")</f>
        <v>Chemistry</v>
      </c>
      <c r="D207" s="9" t="str">
        <f>IF(IF(SelectedScope="All India",TRUE,'RAW_QUIZ'!$B206=SelectedScope),'RAW_QUIZ'!D206,"")</f>
        <v>Class 9</v>
      </c>
      <c r="E207" s="9" t="str">
        <f>IF(IF(SelectedScope="All India",TRUE,'RAW_QUIZ'!$B206=SelectedScope),'RAW_QUIZ'!E206,"")</f>
        <v>Atoms and Molecules — Unit Quiz</v>
      </c>
      <c r="F207" s="9">
        <f>IF(IF(SelectedScope="All India",TRUE,'RAW_QUIZ'!$B206=SelectedScope),'RAW_QUIZ'!F206,"")</f>
        <v>0</v>
      </c>
      <c r="G207" s="9" t="str">
        <f>IF(IF(SelectedScope="All India",TRUE,'RAW_QUIZ'!$B206=SelectedScope),'RAW_QUIZ'!G206,"")</f>
        <v>Active</v>
      </c>
      <c r="H207" s="9">
        <f>IF(IF(SelectedScope="All India",TRUE,'RAW_QUIZ'!$B206=SelectedScope),'RAW_QUIZ'!H206,"")</f>
        <v>0</v>
      </c>
      <c r="I207" s="9">
        <f>IF(IF(SelectedScope="All India",TRUE,'RAW_QUIZ'!$B206=SelectedScope),'RAW_QUIZ'!I206,"")</f>
        <v>0</v>
      </c>
      <c r="J207" s="9">
        <f>IF(IF(SelectedScope="All India",TRUE,'RAW_QUIZ'!$B206=SelectedScope),'RAW_QUIZ'!J206,"")</f>
        <v>0</v>
      </c>
      <c r="K207" s="9">
        <f>IF(IF(SelectedScope="All India",TRUE,'RAW_QUIZ'!$B206=SelectedScope),'RAW_QUIZ'!K206,"")</f>
        <v>0</v>
      </c>
      <c r="L207" s="9">
        <f>IF(IF(SelectedScope="All India",TRUE,'RAW_QUIZ'!$B206=SelectedScope),'RAW_QUIZ'!L206,"")</f>
        <v>0</v>
      </c>
      <c r="M207" s="9">
        <f>IF(IF(SelectedScope="All India",TRUE,'RAW_QUIZ'!$B206=SelectedScope),'RAW_QUIZ'!M206,"")</f>
        <v>0</v>
      </c>
      <c r="N207" s="9">
        <f>IF(IF(SelectedScope="All India",TRUE,'RAW_QUIZ'!$B206=SelectedScope),'RAW_QUIZ'!N206,"")</f>
        <v>0</v>
      </c>
      <c r="O207" s="9">
        <f>IF(IF(SelectedScope="All India",TRUE,'RAW_QUIZ'!$B206=SelectedScope),'RAW_QUIZ'!O206,"")</f>
        <v>0</v>
      </c>
      <c r="P207" s="9">
        <f>IF(IF(SelectedScope="All India",TRUE,'RAW_QUIZ'!$B206=SelectedScope),'RAW_QUIZ'!P206,"")</f>
        <v>0</v>
      </c>
      <c r="Q207" s="9">
        <f>IF(IF(SelectedScope="All India",TRUE,'RAW_QUIZ'!$B206=SelectedScope),'RAW_QUIZ'!Q206,"")</f>
        <v>0</v>
      </c>
    </row>
    <row r="208" spans="1:17" ht="15" customHeight="1" x14ac:dyDescent="0.3">
      <c r="A208" s="12">
        <f>IF(IF(SelectedScope="All India",TRUE,'RAW_QUIZ'!$B207=SelectedScope),'RAW_QUIZ'!A207,"")</f>
        <v>204</v>
      </c>
      <c r="B208" s="12" t="str">
        <f>IF(IF(SelectedScope="All India",TRUE,'RAW_QUIZ'!$B207=SelectedScope),'RAW_QUIZ'!B207,"")</f>
        <v>Maharashtra</v>
      </c>
      <c r="C208" s="12" t="str">
        <f>IF(IF(SelectedScope="All India",TRUE,'RAW_QUIZ'!$B207=SelectedScope),'RAW_QUIZ'!C207,"")</f>
        <v>Mathematics</v>
      </c>
      <c r="D208" s="12" t="str">
        <f>IF(IF(SelectedScope="All India",TRUE,'RAW_QUIZ'!$B207=SelectedScope),'RAW_QUIZ'!D207,"")</f>
        <v>Class 7</v>
      </c>
      <c r="E208" s="12" t="str">
        <f>IF(IF(SelectedScope="All India",TRUE,'RAW_QUIZ'!$B207=SelectedScope),'RAW_QUIZ'!E207,"")</f>
        <v>Fractions — Unit Quiz</v>
      </c>
      <c r="F208" s="12">
        <f>IF(IF(SelectedScope="All India",TRUE,'RAW_QUIZ'!$B207=SelectedScope),'RAW_QUIZ'!F207,"")</f>
        <v>0</v>
      </c>
      <c r="G208" s="12" t="str">
        <f>IF(IF(SelectedScope="All India",TRUE,'RAW_QUIZ'!$B207=SelectedScope),'RAW_QUIZ'!G207,"")</f>
        <v>Active</v>
      </c>
      <c r="H208" s="12">
        <f>IF(IF(SelectedScope="All India",TRUE,'RAW_QUIZ'!$B207=SelectedScope),'RAW_QUIZ'!H207,"")</f>
        <v>0</v>
      </c>
      <c r="I208" s="12">
        <f>IF(IF(SelectedScope="All India",TRUE,'RAW_QUIZ'!$B207=SelectedScope),'RAW_QUIZ'!I207,"")</f>
        <v>0</v>
      </c>
      <c r="J208" s="12">
        <f>IF(IF(SelectedScope="All India",TRUE,'RAW_QUIZ'!$B207=SelectedScope),'RAW_QUIZ'!J207,"")</f>
        <v>0</v>
      </c>
      <c r="K208" s="12">
        <f>IF(IF(SelectedScope="All India",TRUE,'RAW_QUIZ'!$B207=SelectedScope),'RAW_QUIZ'!K207,"")</f>
        <v>0</v>
      </c>
      <c r="L208" s="12">
        <f>IF(IF(SelectedScope="All India",TRUE,'RAW_QUIZ'!$B207=SelectedScope),'RAW_QUIZ'!L207,"")</f>
        <v>0</v>
      </c>
      <c r="M208" s="12">
        <f>IF(IF(SelectedScope="All India",TRUE,'RAW_QUIZ'!$B207=SelectedScope),'RAW_QUIZ'!M207,"")</f>
        <v>0</v>
      </c>
      <c r="N208" s="12">
        <f>IF(IF(SelectedScope="All India",TRUE,'RAW_QUIZ'!$B207=SelectedScope),'RAW_QUIZ'!N207,"")</f>
        <v>0</v>
      </c>
      <c r="O208" s="12">
        <f>IF(IF(SelectedScope="All India",TRUE,'RAW_QUIZ'!$B207=SelectedScope),'RAW_QUIZ'!O207,"")</f>
        <v>0</v>
      </c>
      <c r="P208" s="12">
        <f>IF(IF(SelectedScope="All India",TRUE,'RAW_QUIZ'!$B207=SelectedScope),'RAW_QUIZ'!P207,"")</f>
        <v>0</v>
      </c>
      <c r="Q208" s="12">
        <f>IF(IF(SelectedScope="All India",TRUE,'RAW_QUIZ'!$B207=SelectedScope),'RAW_QUIZ'!Q207,"")</f>
        <v>0</v>
      </c>
    </row>
    <row r="209" spans="1:17" ht="15" customHeight="1" x14ac:dyDescent="0.3">
      <c r="A209" s="9">
        <f>IF(IF(SelectedScope="All India",TRUE,'RAW_QUIZ'!$B208=SelectedScope),'RAW_QUIZ'!A208,"")</f>
        <v>205</v>
      </c>
      <c r="B209" s="9" t="str">
        <f>IF(IF(SelectedScope="All India",TRUE,'RAW_QUIZ'!$B208=SelectedScope),'RAW_QUIZ'!B208,"")</f>
        <v>Maharashtra</v>
      </c>
      <c r="C209" s="9" t="str">
        <f>IF(IF(SelectedScope="All India",TRUE,'RAW_QUIZ'!$B208=SelectedScope),'RAW_QUIZ'!C208,"")</f>
        <v>Mathematics</v>
      </c>
      <c r="D209" s="9" t="str">
        <f>IF(IF(SelectedScope="All India",TRUE,'RAW_QUIZ'!$B208=SelectedScope),'RAW_QUIZ'!D208,"")</f>
        <v>Class 10</v>
      </c>
      <c r="E209" s="9" t="str">
        <f>IF(IF(SelectedScope="All India",TRUE,'RAW_QUIZ'!$B208=SelectedScope),'RAW_QUIZ'!E208,"")</f>
        <v>Trigonometry — Unit Quiz</v>
      </c>
      <c r="F209" s="9">
        <f>IF(IF(SelectedScope="All India",TRUE,'RAW_QUIZ'!$B208=SelectedScope),'RAW_QUIZ'!F208,"")</f>
        <v>0</v>
      </c>
      <c r="G209" s="9" t="str">
        <f>IF(IF(SelectedScope="All India",TRUE,'RAW_QUIZ'!$B208=SelectedScope),'RAW_QUIZ'!G208,"")</f>
        <v>Active</v>
      </c>
      <c r="H209" s="9">
        <f>IF(IF(SelectedScope="All India",TRUE,'RAW_QUIZ'!$B208=SelectedScope),'RAW_QUIZ'!H208,"")</f>
        <v>0</v>
      </c>
      <c r="I209" s="9">
        <f>IF(IF(SelectedScope="All India",TRUE,'RAW_QUIZ'!$B208=SelectedScope),'RAW_QUIZ'!I208,"")</f>
        <v>0</v>
      </c>
      <c r="J209" s="9">
        <f>IF(IF(SelectedScope="All India",TRUE,'RAW_QUIZ'!$B208=SelectedScope),'RAW_QUIZ'!J208,"")</f>
        <v>0</v>
      </c>
      <c r="K209" s="9">
        <f>IF(IF(SelectedScope="All India",TRUE,'RAW_QUIZ'!$B208=SelectedScope),'RAW_QUIZ'!K208,"")</f>
        <v>0</v>
      </c>
      <c r="L209" s="9">
        <f>IF(IF(SelectedScope="All India",TRUE,'RAW_QUIZ'!$B208=SelectedScope),'RAW_QUIZ'!L208,"")</f>
        <v>0</v>
      </c>
      <c r="M209" s="9">
        <f>IF(IF(SelectedScope="All India",TRUE,'RAW_QUIZ'!$B208=SelectedScope),'RAW_QUIZ'!M208,"")</f>
        <v>0</v>
      </c>
      <c r="N209" s="9">
        <f>IF(IF(SelectedScope="All India",TRUE,'RAW_QUIZ'!$B208=SelectedScope),'RAW_QUIZ'!N208,"")</f>
        <v>0</v>
      </c>
      <c r="O209" s="9">
        <f>IF(IF(SelectedScope="All India",TRUE,'RAW_QUIZ'!$B208=SelectedScope),'RAW_QUIZ'!O208,"")</f>
        <v>0</v>
      </c>
      <c r="P209" s="9">
        <f>IF(IF(SelectedScope="All India",TRUE,'RAW_QUIZ'!$B208=SelectedScope),'RAW_QUIZ'!P208,"")</f>
        <v>0</v>
      </c>
      <c r="Q209" s="9">
        <f>IF(IF(SelectedScope="All India",TRUE,'RAW_QUIZ'!$B208=SelectedScope),'RAW_QUIZ'!Q208,"")</f>
        <v>0</v>
      </c>
    </row>
    <row r="210" spans="1:17" ht="15" customHeight="1" x14ac:dyDescent="0.3">
      <c r="A210" s="12">
        <f>IF(IF(SelectedScope="All India",TRUE,'RAW_QUIZ'!$B209=SelectedScope),'RAW_QUIZ'!A209,"")</f>
        <v>206</v>
      </c>
      <c r="B210" s="12" t="str">
        <f>IF(IF(SelectedScope="All India",TRUE,'RAW_QUIZ'!$B209=SelectedScope),'RAW_QUIZ'!B209,"")</f>
        <v>Maharashtra</v>
      </c>
      <c r="C210" s="12" t="str">
        <f>IF(IF(SelectedScope="All India",TRUE,'RAW_QUIZ'!$B209=SelectedScope),'RAW_QUIZ'!C209,"")</f>
        <v>History</v>
      </c>
      <c r="D210" s="12" t="str">
        <f>IF(IF(SelectedScope="All India",TRUE,'RAW_QUIZ'!$B209=SelectedScope),'RAW_QUIZ'!D209,"")</f>
        <v>Class 10</v>
      </c>
      <c r="E210" s="12" t="str">
        <f>IF(IF(SelectedScope="All India",TRUE,'RAW_QUIZ'!$B209=SelectedScope),'RAW_QUIZ'!E209,"")</f>
        <v>Mughal Empire — Unit Quiz</v>
      </c>
      <c r="F210" s="12">
        <f>IF(IF(SelectedScope="All India",TRUE,'RAW_QUIZ'!$B209=SelectedScope),'RAW_QUIZ'!F209,"")</f>
        <v>0</v>
      </c>
      <c r="G210" s="12" t="str">
        <f>IF(IF(SelectedScope="All India",TRUE,'RAW_QUIZ'!$B209=SelectedScope),'RAW_QUIZ'!G209,"")</f>
        <v>Active</v>
      </c>
      <c r="H210" s="12">
        <f>IF(IF(SelectedScope="All India",TRUE,'RAW_QUIZ'!$B209=SelectedScope),'RAW_QUIZ'!H209,"")</f>
        <v>0</v>
      </c>
      <c r="I210" s="12">
        <f>IF(IF(SelectedScope="All India",TRUE,'RAW_QUIZ'!$B209=SelectedScope),'RAW_QUIZ'!I209,"")</f>
        <v>0</v>
      </c>
      <c r="J210" s="12">
        <f>IF(IF(SelectedScope="All India",TRUE,'RAW_QUIZ'!$B209=SelectedScope),'RAW_QUIZ'!J209,"")</f>
        <v>0</v>
      </c>
      <c r="K210" s="12">
        <f>IF(IF(SelectedScope="All India",TRUE,'RAW_QUIZ'!$B209=SelectedScope),'RAW_QUIZ'!K209,"")</f>
        <v>0</v>
      </c>
      <c r="L210" s="12">
        <f>IF(IF(SelectedScope="All India",TRUE,'RAW_QUIZ'!$B209=SelectedScope),'RAW_QUIZ'!L209,"")</f>
        <v>0</v>
      </c>
      <c r="M210" s="12">
        <f>IF(IF(SelectedScope="All India",TRUE,'RAW_QUIZ'!$B209=SelectedScope),'RAW_QUIZ'!M209,"")</f>
        <v>0</v>
      </c>
      <c r="N210" s="12">
        <f>IF(IF(SelectedScope="All India",TRUE,'RAW_QUIZ'!$B209=SelectedScope),'RAW_QUIZ'!N209,"")</f>
        <v>0</v>
      </c>
      <c r="O210" s="12">
        <f>IF(IF(SelectedScope="All India",TRUE,'RAW_QUIZ'!$B209=SelectedScope),'RAW_QUIZ'!O209,"")</f>
        <v>0</v>
      </c>
      <c r="P210" s="12">
        <f>IF(IF(SelectedScope="All India",TRUE,'RAW_QUIZ'!$B209=SelectedScope),'RAW_QUIZ'!P209,"")</f>
        <v>0</v>
      </c>
      <c r="Q210" s="12">
        <f>IF(IF(SelectedScope="All India",TRUE,'RAW_QUIZ'!$B209=SelectedScope),'RAW_QUIZ'!Q209,"")</f>
        <v>0</v>
      </c>
    </row>
    <row r="211" spans="1:17" ht="15" customHeight="1" x14ac:dyDescent="0.3">
      <c r="A211" s="9">
        <f>IF(IF(SelectedScope="All India",TRUE,'RAW_QUIZ'!$B210=SelectedScope),'RAW_QUIZ'!A210,"")</f>
        <v>207</v>
      </c>
      <c r="B211" s="9" t="str">
        <f>IF(IF(SelectedScope="All India",TRUE,'RAW_QUIZ'!$B210=SelectedScope),'RAW_QUIZ'!B210,"")</f>
        <v>Maharashtra</v>
      </c>
      <c r="C211" s="9" t="str">
        <f>IF(IF(SelectedScope="All India",TRUE,'RAW_QUIZ'!$B210=SelectedScope),'RAW_QUIZ'!C210,"")</f>
        <v>Physics</v>
      </c>
      <c r="D211" s="9" t="str">
        <f>IF(IF(SelectedScope="All India",TRUE,'RAW_QUIZ'!$B210=SelectedScope),'RAW_QUIZ'!D210,"")</f>
        <v>Class 9</v>
      </c>
      <c r="E211" s="9" t="str">
        <f>IF(IF(SelectedScope="All India",TRUE,'RAW_QUIZ'!$B210=SelectedScope),'RAW_QUIZ'!E210,"")</f>
        <v>Laws of Motion — Unit Quiz</v>
      </c>
      <c r="F211" s="9">
        <f>IF(IF(SelectedScope="All India",TRUE,'RAW_QUIZ'!$B210=SelectedScope),'RAW_QUIZ'!F210,"")</f>
        <v>0</v>
      </c>
      <c r="G211" s="9" t="str">
        <f>IF(IF(SelectedScope="All India",TRUE,'RAW_QUIZ'!$B210=SelectedScope),'RAW_QUIZ'!G210,"")</f>
        <v>Active</v>
      </c>
      <c r="H211" s="9">
        <f>IF(IF(SelectedScope="All India",TRUE,'RAW_QUIZ'!$B210=SelectedScope),'RAW_QUIZ'!H210,"")</f>
        <v>0</v>
      </c>
      <c r="I211" s="9">
        <f>IF(IF(SelectedScope="All India",TRUE,'RAW_QUIZ'!$B210=SelectedScope),'RAW_QUIZ'!I210,"")</f>
        <v>0</v>
      </c>
      <c r="J211" s="9">
        <f>IF(IF(SelectedScope="All India",TRUE,'RAW_QUIZ'!$B210=SelectedScope),'RAW_QUIZ'!J210,"")</f>
        <v>0</v>
      </c>
      <c r="K211" s="9">
        <f>IF(IF(SelectedScope="All India",TRUE,'RAW_QUIZ'!$B210=SelectedScope),'RAW_QUIZ'!K210,"")</f>
        <v>0</v>
      </c>
      <c r="L211" s="9">
        <f>IF(IF(SelectedScope="All India",TRUE,'RAW_QUIZ'!$B210=SelectedScope),'RAW_QUIZ'!L210,"")</f>
        <v>0</v>
      </c>
      <c r="M211" s="9">
        <f>IF(IF(SelectedScope="All India",TRUE,'RAW_QUIZ'!$B210=SelectedScope),'RAW_QUIZ'!M210,"")</f>
        <v>0</v>
      </c>
      <c r="N211" s="9">
        <f>IF(IF(SelectedScope="All India",TRUE,'RAW_QUIZ'!$B210=SelectedScope),'RAW_QUIZ'!N210,"")</f>
        <v>0</v>
      </c>
      <c r="O211" s="9">
        <f>IF(IF(SelectedScope="All India",TRUE,'RAW_QUIZ'!$B210=SelectedScope),'RAW_QUIZ'!O210,"")</f>
        <v>0</v>
      </c>
      <c r="P211" s="9">
        <f>IF(IF(SelectedScope="All India",TRUE,'RAW_QUIZ'!$B210=SelectedScope),'RAW_QUIZ'!P210,"")</f>
        <v>0</v>
      </c>
      <c r="Q211" s="9">
        <f>IF(IF(SelectedScope="All India",TRUE,'RAW_QUIZ'!$B210=SelectedScope),'RAW_QUIZ'!Q210,"")</f>
        <v>0</v>
      </c>
    </row>
    <row r="212" spans="1:17" ht="15" customHeight="1" x14ac:dyDescent="0.3">
      <c r="A212" s="12">
        <f>IF(IF(SelectedScope="All India",TRUE,'RAW_QUIZ'!$B211=SelectedScope),'RAW_QUIZ'!A211,"")</f>
        <v>208</v>
      </c>
      <c r="B212" s="12" t="str">
        <f>IF(IF(SelectedScope="All India",TRUE,'RAW_QUIZ'!$B211=SelectedScope),'RAW_QUIZ'!B211,"")</f>
        <v>Maharashtra</v>
      </c>
      <c r="C212" s="12" t="str">
        <f>IF(IF(SelectedScope="All India",TRUE,'RAW_QUIZ'!$B211=SelectedScope),'RAW_QUIZ'!C211,"")</f>
        <v>Physics</v>
      </c>
      <c r="D212" s="12" t="str">
        <f>IF(IF(SelectedScope="All India",TRUE,'RAW_QUIZ'!$B211=SelectedScope),'RAW_QUIZ'!D211,"")</f>
        <v>Class 10</v>
      </c>
      <c r="E212" s="12" t="str">
        <f>IF(IF(SelectedScope="All India",TRUE,'RAW_QUIZ'!$B211=SelectedScope),'RAW_QUIZ'!E211,"")</f>
        <v>Electricity — Unit Quiz</v>
      </c>
      <c r="F212" s="12">
        <f>IF(IF(SelectedScope="All India",TRUE,'RAW_QUIZ'!$B211=SelectedScope),'RAW_QUIZ'!F211,"")</f>
        <v>0</v>
      </c>
      <c r="G212" s="12" t="str">
        <f>IF(IF(SelectedScope="All India",TRUE,'RAW_QUIZ'!$B211=SelectedScope),'RAW_QUIZ'!G211,"")</f>
        <v>Active</v>
      </c>
      <c r="H212" s="12">
        <f>IF(IF(SelectedScope="All India",TRUE,'RAW_QUIZ'!$B211=SelectedScope),'RAW_QUIZ'!H211,"")</f>
        <v>0</v>
      </c>
      <c r="I212" s="12">
        <f>IF(IF(SelectedScope="All India",TRUE,'RAW_QUIZ'!$B211=SelectedScope),'RAW_QUIZ'!I211,"")</f>
        <v>0</v>
      </c>
      <c r="J212" s="12">
        <f>IF(IF(SelectedScope="All India",TRUE,'RAW_QUIZ'!$B211=SelectedScope),'RAW_QUIZ'!J211,"")</f>
        <v>0</v>
      </c>
      <c r="K212" s="12">
        <f>IF(IF(SelectedScope="All India",TRUE,'RAW_QUIZ'!$B211=SelectedScope),'RAW_QUIZ'!K211,"")</f>
        <v>0</v>
      </c>
      <c r="L212" s="12">
        <f>IF(IF(SelectedScope="All India",TRUE,'RAW_QUIZ'!$B211=SelectedScope),'RAW_QUIZ'!L211,"")</f>
        <v>0</v>
      </c>
      <c r="M212" s="12">
        <f>IF(IF(SelectedScope="All India",TRUE,'RAW_QUIZ'!$B211=SelectedScope),'RAW_QUIZ'!M211,"")</f>
        <v>0</v>
      </c>
      <c r="N212" s="12">
        <f>IF(IF(SelectedScope="All India",TRUE,'RAW_QUIZ'!$B211=SelectedScope),'RAW_QUIZ'!N211,"")</f>
        <v>0</v>
      </c>
      <c r="O212" s="12">
        <f>IF(IF(SelectedScope="All India",TRUE,'RAW_QUIZ'!$B211=SelectedScope),'RAW_QUIZ'!O211,"")</f>
        <v>0</v>
      </c>
      <c r="P212" s="12">
        <f>IF(IF(SelectedScope="All India",TRUE,'RAW_QUIZ'!$B211=SelectedScope),'RAW_QUIZ'!P211,"")</f>
        <v>0</v>
      </c>
      <c r="Q212" s="12">
        <f>IF(IF(SelectedScope="All India",TRUE,'RAW_QUIZ'!$B211=SelectedScope),'RAW_QUIZ'!Q211,"")</f>
        <v>0</v>
      </c>
    </row>
    <row r="213" spans="1:17" ht="15" customHeight="1" x14ac:dyDescent="0.3">
      <c r="A213" s="9">
        <f>IF(IF(SelectedScope="All India",TRUE,'RAW_QUIZ'!$B212=SelectedScope),'RAW_QUIZ'!A212,"")</f>
        <v>209</v>
      </c>
      <c r="B213" s="9" t="str">
        <f>IF(IF(SelectedScope="All India",TRUE,'RAW_QUIZ'!$B212=SelectedScope),'RAW_QUIZ'!B212,"")</f>
        <v>Maharashtra</v>
      </c>
      <c r="C213" s="9" t="str">
        <f>IF(IF(SelectedScope="All India",TRUE,'RAW_QUIZ'!$B212=SelectedScope),'RAW_QUIZ'!C212,"")</f>
        <v>Civics</v>
      </c>
      <c r="D213" s="9" t="str">
        <f>IF(IF(SelectedScope="All India",TRUE,'RAW_QUIZ'!$B212=SelectedScope),'RAW_QUIZ'!D212,"")</f>
        <v>Class 9</v>
      </c>
      <c r="E213" s="9" t="str">
        <f>IF(IF(SelectedScope="All India",TRUE,'RAW_QUIZ'!$B212=SelectedScope),'RAW_QUIZ'!E212,"")</f>
        <v>Indian Constitution — Unit Quiz</v>
      </c>
      <c r="F213" s="9">
        <f>IF(IF(SelectedScope="All India",TRUE,'RAW_QUIZ'!$B212=SelectedScope),'RAW_QUIZ'!F212,"")</f>
        <v>0</v>
      </c>
      <c r="G213" s="9" t="str">
        <f>IF(IF(SelectedScope="All India",TRUE,'RAW_QUIZ'!$B212=SelectedScope),'RAW_QUIZ'!G212,"")</f>
        <v>Active</v>
      </c>
      <c r="H213" s="9">
        <f>IF(IF(SelectedScope="All India",TRUE,'RAW_QUIZ'!$B212=SelectedScope),'RAW_QUIZ'!H212,"")</f>
        <v>0</v>
      </c>
      <c r="I213" s="9">
        <f>IF(IF(SelectedScope="All India",TRUE,'RAW_QUIZ'!$B212=SelectedScope),'RAW_QUIZ'!I212,"")</f>
        <v>0</v>
      </c>
      <c r="J213" s="9">
        <f>IF(IF(SelectedScope="All India",TRUE,'RAW_QUIZ'!$B212=SelectedScope),'RAW_QUIZ'!J212,"")</f>
        <v>0</v>
      </c>
      <c r="K213" s="9">
        <f>IF(IF(SelectedScope="All India",TRUE,'RAW_QUIZ'!$B212=SelectedScope),'RAW_QUIZ'!K212,"")</f>
        <v>0</v>
      </c>
      <c r="L213" s="9">
        <f>IF(IF(SelectedScope="All India",TRUE,'RAW_QUIZ'!$B212=SelectedScope),'RAW_QUIZ'!L212,"")</f>
        <v>0</v>
      </c>
      <c r="M213" s="9">
        <f>IF(IF(SelectedScope="All India",TRUE,'RAW_QUIZ'!$B212=SelectedScope),'RAW_QUIZ'!M212,"")</f>
        <v>0</v>
      </c>
      <c r="N213" s="9">
        <f>IF(IF(SelectedScope="All India",TRUE,'RAW_QUIZ'!$B212=SelectedScope),'RAW_QUIZ'!N212,"")</f>
        <v>0</v>
      </c>
      <c r="O213" s="9">
        <f>IF(IF(SelectedScope="All India",TRUE,'RAW_QUIZ'!$B212=SelectedScope),'RAW_QUIZ'!O212,"")</f>
        <v>0</v>
      </c>
      <c r="P213" s="9">
        <f>IF(IF(SelectedScope="All India",TRUE,'RAW_QUIZ'!$B212=SelectedScope),'RAW_QUIZ'!P212,"")</f>
        <v>0</v>
      </c>
      <c r="Q213" s="9">
        <f>IF(IF(SelectedScope="All India",TRUE,'RAW_QUIZ'!$B212=SelectedScope),'RAW_QUIZ'!Q212,"")</f>
        <v>0</v>
      </c>
    </row>
    <row r="214" spans="1:17" ht="15" customHeight="1" x14ac:dyDescent="0.3">
      <c r="A214" s="12">
        <f>IF(IF(SelectedScope="All India",TRUE,'RAW_QUIZ'!$B213=SelectedScope),'RAW_QUIZ'!A213,"")</f>
        <v>210</v>
      </c>
      <c r="B214" s="12" t="str">
        <f>IF(IF(SelectedScope="All India",TRUE,'RAW_QUIZ'!$B213=SelectedScope),'RAW_QUIZ'!B213,"")</f>
        <v>Maharashtra</v>
      </c>
      <c r="C214" s="12" t="str">
        <f>IF(IF(SelectedScope="All India",TRUE,'RAW_QUIZ'!$B213=SelectedScope),'RAW_QUIZ'!C213,"")</f>
        <v>Mathematics</v>
      </c>
      <c r="D214" s="12" t="str">
        <f>IF(IF(SelectedScope="All India",TRUE,'RAW_QUIZ'!$B213=SelectedScope),'RAW_QUIZ'!D213,"")</f>
        <v>Class 10</v>
      </c>
      <c r="E214" s="12" t="str">
        <f>IF(IF(SelectedScope="All India",TRUE,'RAW_QUIZ'!$B213=SelectedScope),'RAW_QUIZ'!E213,"")</f>
        <v>Quadratic Equations — Unit Quiz</v>
      </c>
      <c r="F214" s="12">
        <f>IF(IF(SelectedScope="All India",TRUE,'RAW_QUIZ'!$B213=SelectedScope),'RAW_QUIZ'!F213,"")</f>
        <v>0</v>
      </c>
      <c r="G214" s="12" t="str">
        <f>IF(IF(SelectedScope="All India",TRUE,'RAW_QUIZ'!$B213=SelectedScope),'RAW_QUIZ'!G213,"")</f>
        <v>Active</v>
      </c>
      <c r="H214" s="12">
        <f>IF(IF(SelectedScope="All India",TRUE,'RAW_QUIZ'!$B213=SelectedScope),'RAW_QUIZ'!H213,"")</f>
        <v>0</v>
      </c>
      <c r="I214" s="12">
        <f>IF(IF(SelectedScope="All India",TRUE,'RAW_QUIZ'!$B213=SelectedScope),'RAW_QUIZ'!I213,"")</f>
        <v>0</v>
      </c>
      <c r="J214" s="12">
        <f>IF(IF(SelectedScope="All India",TRUE,'RAW_QUIZ'!$B213=SelectedScope),'RAW_QUIZ'!J213,"")</f>
        <v>0</v>
      </c>
      <c r="K214" s="12">
        <f>IF(IF(SelectedScope="All India",TRUE,'RAW_QUIZ'!$B213=SelectedScope),'RAW_QUIZ'!K213,"")</f>
        <v>0</v>
      </c>
      <c r="L214" s="12">
        <f>IF(IF(SelectedScope="All India",TRUE,'RAW_QUIZ'!$B213=SelectedScope),'RAW_QUIZ'!L213,"")</f>
        <v>0</v>
      </c>
      <c r="M214" s="12">
        <f>IF(IF(SelectedScope="All India",TRUE,'RAW_QUIZ'!$B213=SelectedScope),'RAW_QUIZ'!M213,"")</f>
        <v>0</v>
      </c>
      <c r="N214" s="12">
        <f>IF(IF(SelectedScope="All India",TRUE,'RAW_QUIZ'!$B213=SelectedScope),'RAW_QUIZ'!N213,"")</f>
        <v>0</v>
      </c>
      <c r="O214" s="12">
        <f>IF(IF(SelectedScope="All India",TRUE,'RAW_QUIZ'!$B213=SelectedScope),'RAW_QUIZ'!O213,"")</f>
        <v>0</v>
      </c>
      <c r="P214" s="12">
        <f>IF(IF(SelectedScope="All India",TRUE,'RAW_QUIZ'!$B213=SelectedScope),'RAW_QUIZ'!P213,"")</f>
        <v>0</v>
      </c>
      <c r="Q214" s="12">
        <f>IF(IF(SelectedScope="All India",TRUE,'RAW_QUIZ'!$B213=SelectedScope),'RAW_QUIZ'!Q213,"")</f>
        <v>0</v>
      </c>
    </row>
    <row r="215" spans="1:17" ht="15" customHeight="1" x14ac:dyDescent="0.3">
      <c r="A215" s="9">
        <f>IF(IF(SelectedScope="All India",TRUE,'RAW_QUIZ'!$B214=SelectedScope),'RAW_QUIZ'!A214,"")</f>
        <v>211</v>
      </c>
      <c r="B215" s="9" t="str">
        <f>IF(IF(SelectedScope="All India",TRUE,'RAW_QUIZ'!$B214=SelectedScope),'RAW_QUIZ'!B214,"")</f>
        <v>Manipur</v>
      </c>
      <c r="C215" s="9" t="str">
        <f>IF(IF(SelectedScope="All India",TRUE,'RAW_QUIZ'!$B214=SelectedScope),'RAW_QUIZ'!C214,"")</f>
        <v>Science</v>
      </c>
      <c r="D215" s="9" t="str">
        <f>IF(IF(SelectedScope="All India",TRUE,'RAW_QUIZ'!$B214=SelectedScope),'RAW_QUIZ'!D214,"")</f>
        <v>Class 8</v>
      </c>
      <c r="E215" s="9" t="str">
        <f>IF(IF(SelectedScope="All India",TRUE,'RAW_QUIZ'!$B214=SelectedScope),'RAW_QUIZ'!E214,"")</f>
        <v>Solar System — Unit Quiz</v>
      </c>
      <c r="F215" s="9">
        <f>IF(IF(SelectedScope="All India",TRUE,'RAW_QUIZ'!$B214=SelectedScope),'RAW_QUIZ'!F214,"")</f>
        <v>0</v>
      </c>
      <c r="G215" s="9" t="str">
        <f>IF(IF(SelectedScope="All India",TRUE,'RAW_QUIZ'!$B214=SelectedScope),'RAW_QUIZ'!G214,"")</f>
        <v>Active</v>
      </c>
      <c r="H215" s="9">
        <f>IF(IF(SelectedScope="All India",TRUE,'RAW_QUIZ'!$B214=SelectedScope),'RAW_QUIZ'!H214,"")</f>
        <v>0</v>
      </c>
      <c r="I215" s="9">
        <f>IF(IF(SelectedScope="All India",TRUE,'RAW_QUIZ'!$B214=SelectedScope),'RAW_QUIZ'!I214,"")</f>
        <v>0</v>
      </c>
      <c r="J215" s="9">
        <f>IF(IF(SelectedScope="All India",TRUE,'RAW_QUIZ'!$B214=SelectedScope),'RAW_QUIZ'!J214,"")</f>
        <v>0</v>
      </c>
      <c r="K215" s="9">
        <f>IF(IF(SelectedScope="All India",TRUE,'RAW_QUIZ'!$B214=SelectedScope),'RAW_QUIZ'!K214,"")</f>
        <v>0</v>
      </c>
      <c r="L215" s="9">
        <f>IF(IF(SelectedScope="All India",TRUE,'RAW_QUIZ'!$B214=SelectedScope),'RAW_QUIZ'!L214,"")</f>
        <v>0</v>
      </c>
      <c r="M215" s="9">
        <f>IF(IF(SelectedScope="All India",TRUE,'RAW_QUIZ'!$B214=SelectedScope),'RAW_QUIZ'!M214,"")</f>
        <v>0</v>
      </c>
      <c r="N215" s="9">
        <f>IF(IF(SelectedScope="All India",TRUE,'RAW_QUIZ'!$B214=SelectedScope),'RAW_QUIZ'!N214,"")</f>
        <v>0</v>
      </c>
      <c r="O215" s="9">
        <f>IF(IF(SelectedScope="All India",TRUE,'RAW_QUIZ'!$B214=SelectedScope),'RAW_QUIZ'!O214,"")</f>
        <v>0</v>
      </c>
      <c r="P215" s="9">
        <f>IF(IF(SelectedScope="All India",TRUE,'RAW_QUIZ'!$B214=SelectedScope),'RAW_QUIZ'!P214,"")</f>
        <v>0</v>
      </c>
      <c r="Q215" s="9">
        <f>IF(IF(SelectedScope="All India",TRUE,'RAW_QUIZ'!$B214=SelectedScope),'RAW_QUIZ'!Q214,"")</f>
        <v>0</v>
      </c>
    </row>
    <row r="216" spans="1:17" ht="15" customHeight="1" x14ac:dyDescent="0.3">
      <c r="A216" s="12">
        <f>IF(IF(SelectedScope="All India",TRUE,'RAW_QUIZ'!$B215=SelectedScope),'RAW_QUIZ'!A215,"")</f>
        <v>212</v>
      </c>
      <c r="B216" s="12" t="str">
        <f>IF(IF(SelectedScope="All India",TRUE,'RAW_QUIZ'!$B215=SelectedScope),'RAW_QUIZ'!B215,"")</f>
        <v>Manipur</v>
      </c>
      <c r="C216" s="12" t="str">
        <f>IF(IF(SelectedScope="All India",TRUE,'RAW_QUIZ'!$B215=SelectedScope),'RAW_QUIZ'!C215,"")</f>
        <v>Biology</v>
      </c>
      <c r="D216" s="12" t="str">
        <f>IF(IF(SelectedScope="All India",TRUE,'RAW_QUIZ'!$B215=SelectedScope),'RAW_QUIZ'!D215,"")</f>
        <v>Class 9</v>
      </c>
      <c r="E216" s="12" t="str">
        <f>IF(IF(SelectedScope="All India",TRUE,'RAW_QUIZ'!$B215=SelectedScope),'RAW_QUIZ'!E215,"")</f>
        <v>Cell Division — Unit Quiz</v>
      </c>
      <c r="F216" s="12">
        <f>IF(IF(SelectedScope="All India",TRUE,'RAW_QUIZ'!$B215=SelectedScope),'RAW_QUIZ'!F215,"")</f>
        <v>0</v>
      </c>
      <c r="G216" s="12" t="str">
        <f>IF(IF(SelectedScope="All India",TRUE,'RAW_QUIZ'!$B215=SelectedScope),'RAW_QUIZ'!G215,"")</f>
        <v>Active</v>
      </c>
      <c r="H216" s="12">
        <f>IF(IF(SelectedScope="All India",TRUE,'RAW_QUIZ'!$B215=SelectedScope),'RAW_QUIZ'!H215,"")</f>
        <v>0</v>
      </c>
      <c r="I216" s="12">
        <f>IF(IF(SelectedScope="All India",TRUE,'RAW_QUIZ'!$B215=SelectedScope),'RAW_QUIZ'!I215,"")</f>
        <v>0</v>
      </c>
      <c r="J216" s="12">
        <f>IF(IF(SelectedScope="All India",TRUE,'RAW_QUIZ'!$B215=SelectedScope),'RAW_QUIZ'!J215,"")</f>
        <v>0</v>
      </c>
      <c r="K216" s="12">
        <f>IF(IF(SelectedScope="All India",TRUE,'RAW_QUIZ'!$B215=SelectedScope),'RAW_QUIZ'!K215,"")</f>
        <v>0</v>
      </c>
      <c r="L216" s="12">
        <f>IF(IF(SelectedScope="All India",TRUE,'RAW_QUIZ'!$B215=SelectedScope),'RAW_QUIZ'!L215,"")</f>
        <v>0</v>
      </c>
      <c r="M216" s="12">
        <f>IF(IF(SelectedScope="All India",TRUE,'RAW_QUIZ'!$B215=SelectedScope),'RAW_QUIZ'!M215,"")</f>
        <v>0</v>
      </c>
      <c r="N216" s="12">
        <f>IF(IF(SelectedScope="All India",TRUE,'RAW_QUIZ'!$B215=SelectedScope),'RAW_QUIZ'!N215,"")</f>
        <v>0</v>
      </c>
      <c r="O216" s="12">
        <f>IF(IF(SelectedScope="All India",TRUE,'RAW_QUIZ'!$B215=SelectedScope),'RAW_QUIZ'!O215,"")</f>
        <v>0</v>
      </c>
      <c r="P216" s="12">
        <f>IF(IF(SelectedScope="All India",TRUE,'RAW_QUIZ'!$B215=SelectedScope),'RAW_QUIZ'!P215,"")</f>
        <v>0</v>
      </c>
      <c r="Q216" s="12">
        <f>IF(IF(SelectedScope="All India",TRUE,'RAW_QUIZ'!$B215=SelectedScope),'RAW_QUIZ'!Q215,"")</f>
        <v>0</v>
      </c>
    </row>
    <row r="217" spans="1:17" ht="15" customHeight="1" x14ac:dyDescent="0.3">
      <c r="A217" s="9">
        <f>IF(IF(SelectedScope="All India",TRUE,'RAW_QUIZ'!$B216=SelectedScope),'RAW_QUIZ'!A216,"")</f>
        <v>213</v>
      </c>
      <c r="B217" s="9" t="str">
        <f>IF(IF(SelectedScope="All India",TRUE,'RAW_QUIZ'!$B216=SelectedScope),'RAW_QUIZ'!B216,"")</f>
        <v>Manipur</v>
      </c>
      <c r="C217" s="9" t="str">
        <f>IF(IF(SelectedScope="All India",TRUE,'RAW_QUIZ'!$B216=SelectedScope),'RAW_QUIZ'!C216,"")</f>
        <v>Chemistry</v>
      </c>
      <c r="D217" s="9" t="str">
        <f>IF(IF(SelectedScope="All India",TRUE,'RAW_QUIZ'!$B216=SelectedScope),'RAW_QUIZ'!D216,"")</f>
        <v>Class 9</v>
      </c>
      <c r="E217" s="9" t="str">
        <f>IF(IF(SelectedScope="All India",TRUE,'RAW_QUIZ'!$B216=SelectedScope),'RAW_QUIZ'!E216,"")</f>
        <v>Atoms and Molecules — Unit Quiz</v>
      </c>
      <c r="F217" s="9">
        <f>IF(IF(SelectedScope="All India",TRUE,'RAW_QUIZ'!$B216=SelectedScope),'RAW_QUIZ'!F216,"")</f>
        <v>0</v>
      </c>
      <c r="G217" s="9" t="str">
        <f>IF(IF(SelectedScope="All India",TRUE,'RAW_QUIZ'!$B216=SelectedScope),'RAW_QUIZ'!G216,"")</f>
        <v>Active</v>
      </c>
      <c r="H217" s="9">
        <f>IF(IF(SelectedScope="All India",TRUE,'RAW_QUIZ'!$B216=SelectedScope),'RAW_QUIZ'!H216,"")</f>
        <v>0</v>
      </c>
      <c r="I217" s="9">
        <f>IF(IF(SelectedScope="All India",TRUE,'RAW_QUIZ'!$B216=SelectedScope),'RAW_QUIZ'!I216,"")</f>
        <v>0</v>
      </c>
      <c r="J217" s="9">
        <f>IF(IF(SelectedScope="All India",TRUE,'RAW_QUIZ'!$B216=SelectedScope),'RAW_QUIZ'!J216,"")</f>
        <v>0</v>
      </c>
      <c r="K217" s="9">
        <f>IF(IF(SelectedScope="All India",TRUE,'RAW_QUIZ'!$B216=SelectedScope),'RAW_QUIZ'!K216,"")</f>
        <v>0</v>
      </c>
      <c r="L217" s="9">
        <f>IF(IF(SelectedScope="All India",TRUE,'RAW_QUIZ'!$B216=SelectedScope),'RAW_QUIZ'!L216,"")</f>
        <v>0</v>
      </c>
      <c r="M217" s="9">
        <f>IF(IF(SelectedScope="All India",TRUE,'RAW_QUIZ'!$B216=SelectedScope),'RAW_QUIZ'!M216,"")</f>
        <v>0</v>
      </c>
      <c r="N217" s="9">
        <f>IF(IF(SelectedScope="All India",TRUE,'RAW_QUIZ'!$B216=SelectedScope),'RAW_QUIZ'!N216,"")</f>
        <v>0</v>
      </c>
      <c r="O217" s="9">
        <f>IF(IF(SelectedScope="All India",TRUE,'RAW_QUIZ'!$B216=SelectedScope),'RAW_QUIZ'!O216,"")</f>
        <v>0</v>
      </c>
      <c r="P217" s="9">
        <f>IF(IF(SelectedScope="All India",TRUE,'RAW_QUIZ'!$B216=SelectedScope),'RAW_QUIZ'!P216,"")</f>
        <v>0</v>
      </c>
      <c r="Q217" s="9">
        <f>IF(IF(SelectedScope="All India",TRUE,'RAW_QUIZ'!$B216=SelectedScope),'RAW_QUIZ'!Q216,"")</f>
        <v>0</v>
      </c>
    </row>
    <row r="218" spans="1:17" ht="15" customHeight="1" x14ac:dyDescent="0.3">
      <c r="A218" s="12">
        <f>IF(IF(SelectedScope="All India",TRUE,'RAW_QUIZ'!$B217=SelectedScope),'RAW_QUIZ'!A217,"")</f>
        <v>214</v>
      </c>
      <c r="B218" s="12" t="str">
        <f>IF(IF(SelectedScope="All India",TRUE,'RAW_QUIZ'!$B217=SelectedScope),'RAW_QUIZ'!B217,"")</f>
        <v>Manipur</v>
      </c>
      <c r="C218" s="12" t="str">
        <f>IF(IF(SelectedScope="All India",TRUE,'RAW_QUIZ'!$B217=SelectedScope),'RAW_QUIZ'!C217,"")</f>
        <v>Mathematics</v>
      </c>
      <c r="D218" s="12" t="str">
        <f>IF(IF(SelectedScope="All India",TRUE,'RAW_QUIZ'!$B217=SelectedScope),'RAW_QUIZ'!D217,"")</f>
        <v>Class 7</v>
      </c>
      <c r="E218" s="12" t="str">
        <f>IF(IF(SelectedScope="All India",TRUE,'RAW_QUIZ'!$B217=SelectedScope),'RAW_QUIZ'!E217,"")</f>
        <v>Fractions — Unit Quiz</v>
      </c>
      <c r="F218" s="12">
        <f>IF(IF(SelectedScope="All India",TRUE,'RAW_QUIZ'!$B217=SelectedScope),'RAW_QUIZ'!F217,"")</f>
        <v>0</v>
      </c>
      <c r="G218" s="12" t="str">
        <f>IF(IF(SelectedScope="All India",TRUE,'RAW_QUIZ'!$B217=SelectedScope),'RAW_QUIZ'!G217,"")</f>
        <v>Active</v>
      </c>
      <c r="H218" s="12">
        <f>IF(IF(SelectedScope="All India",TRUE,'RAW_QUIZ'!$B217=SelectedScope),'RAW_QUIZ'!H217,"")</f>
        <v>0</v>
      </c>
      <c r="I218" s="12">
        <f>IF(IF(SelectedScope="All India",TRUE,'RAW_QUIZ'!$B217=SelectedScope),'RAW_QUIZ'!I217,"")</f>
        <v>0</v>
      </c>
      <c r="J218" s="12">
        <f>IF(IF(SelectedScope="All India",TRUE,'RAW_QUIZ'!$B217=SelectedScope),'RAW_QUIZ'!J217,"")</f>
        <v>0</v>
      </c>
      <c r="K218" s="12">
        <f>IF(IF(SelectedScope="All India",TRUE,'RAW_QUIZ'!$B217=SelectedScope),'RAW_QUIZ'!K217,"")</f>
        <v>0</v>
      </c>
      <c r="L218" s="12">
        <f>IF(IF(SelectedScope="All India",TRUE,'RAW_QUIZ'!$B217=SelectedScope),'RAW_QUIZ'!L217,"")</f>
        <v>0</v>
      </c>
      <c r="M218" s="12">
        <f>IF(IF(SelectedScope="All India",TRUE,'RAW_QUIZ'!$B217=SelectedScope),'RAW_QUIZ'!M217,"")</f>
        <v>0</v>
      </c>
      <c r="N218" s="12">
        <f>IF(IF(SelectedScope="All India",TRUE,'RAW_QUIZ'!$B217=SelectedScope),'RAW_QUIZ'!N217,"")</f>
        <v>0</v>
      </c>
      <c r="O218" s="12">
        <f>IF(IF(SelectedScope="All India",TRUE,'RAW_QUIZ'!$B217=SelectedScope),'RAW_QUIZ'!O217,"")</f>
        <v>0</v>
      </c>
      <c r="P218" s="12">
        <f>IF(IF(SelectedScope="All India",TRUE,'RAW_QUIZ'!$B217=SelectedScope),'RAW_QUIZ'!P217,"")</f>
        <v>0</v>
      </c>
      <c r="Q218" s="12">
        <f>IF(IF(SelectedScope="All India",TRUE,'RAW_QUIZ'!$B217=SelectedScope),'RAW_QUIZ'!Q217,"")</f>
        <v>0</v>
      </c>
    </row>
    <row r="219" spans="1:17" ht="15" customHeight="1" x14ac:dyDescent="0.3">
      <c r="A219" s="9">
        <f>IF(IF(SelectedScope="All India",TRUE,'RAW_QUIZ'!$B218=SelectedScope),'RAW_QUIZ'!A218,"")</f>
        <v>215</v>
      </c>
      <c r="B219" s="9" t="str">
        <f>IF(IF(SelectedScope="All India",TRUE,'RAW_QUIZ'!$B218=SelectedScope),'RAW_QUIZ'!B218,"")</f>
        <v>Manipur</v>
      </c>
      <c r="C219" s="9" t="str">
        <f>IF(IF(SelectedScope="All India",TRUE,'RAW_QUIZ'!$B218=SelectedScope),'RAW_QUIZ'!C218,"")</f>
        <v>Mathematics</v>
      </c>
      <c r="D219" s="9" t="str">
        <f>IF(IF(SelectedScope="All India",TRUE,'RAW_QUIZ'!$B218=SelectedScope),'RAW_QUIZ'!D218,"")</f>
        <v>Class 10</v>
      </c>
      <c r="E219" s="9" t="str">
        <f>IF(IF(SelectedScope="All India",TRUE,'RAW_QUIZ'!$B218=SelectedScope),'RAW_QUIZ'!E218,"")</f>
        <v>Trigonometry — Unit Quiz</v>
      </c>
      <c r="F219" s="9">
        <f>IF(IF(SelectedScope="All India",TRUE,'RAW_QUIZ'!$B218=SelectedScope),'RAW_QUIZ'!F218,"")</f>
        <v>0</v>
      </c>
      <c r="G219" s="9" t="str">
        <f>IF(IF(SelectedScope="All India",TRUE,'RAW_QUIZ'!$B218=SelectedScope),'RAW_QUIZ'!G218,"")</f>
        <v>Active</v>
      </c>
      <c r="H219" s="9">
        <f>IF(IF(SelectedScope="All India",TRUE,'RAW_QUIZ'!$B218=SelectedScope),'RAW_QUIZ'!H218,"")</f>
        <v>0</v>
      </c>
      <c r="I219" s="9">
        <f>IF(IF(SelectedScope="All India",TRUE,'RAW_QUIZ'!$B218=SelectedScope),'RAW_QUIZ'!I218,"")</f>
        <v>0</v>
      </c>
      <c r="J219" s="9">
        <f>IF(IF(SelectedScope="All India",TRUE,'RAW_QUIZ'!$B218=SelectedScope),'RAW_QUIZ'!J218,"")</f>
        <v>0</v>
      </c>
      <c r="K219" s="9">
        <f>IF(IF(SelectedScope="All India",TRUE,'RAW_QUIZ'!$B218=SelectedScope),'RAW_QUIZ'!K218,"")</f>
        <v>0</v>
      </c>
      <c r="L219" s="9">
        <f>IF(IF(SelectedScope="All India",TRUE,'RAW_QUIZ'!$B218=SelectedScope),'RAW_QUIZ'!L218,"")</f>
        <v>0</v>
      </c>
      <c r="M219" s="9">
        <f>IF(IF(SelectedScope="All India",TRUE,'RAW_QUIZ'!$B218=SelectedScope),'RAW_QUIZ'!M218,"")</f>
        <v>0</v>
      </c>
      <c r="N219" s="9">
        <f>IF(IF(SelectedScope="All India",TRUE,'RAW_QUIZ'!$B218=SelectedScope),'RAW_QUIZ'!N218,"")</f>
        <v>0</v>
      </c>
      <c r="O219" s="9">
        <f>IF(IF(SelectedScope="All India",TRUE,'RAW_QUIZ'!$B218=SelectedScope),'RAW_QUIZ'!O218,"")</f>
        <v>0</v>
      </c>
      <c r="P219" s="9">
        <f>IF(IF(SelectedScope="All India",TRUE,'RAW_QUIZ'!$B218=SelectedScope),'RAW_QUIZ'!P218,"")</f>
        <v>0</v>
      </c>
      <c r="Q219" s="9">
        <f>IF(IF(SelectedScope="All India",TRUE,'RAW_QUIZ'!$B218=SelectedScope),'RAW_QUIZ'!Q218,"")</f>
        <v>0</v>
      </c>
    </row>
    <row r="220" spans="1:17" ht="15" customHeight="1" x14ac:dyDescent="0.3">
      <c r="A220" s="12">
        <f>IF(IF(SelectedScope="All India",TRUE,'RAW_QUIZ'!$B219=SelectedScope),'RAW_QUIZ'!A219,"")</f>
        <v>216</v>
      </c>
      <c r="B220" s="12" t="str">
        <f>IF(IF(SelectedScope="All India",TRUE,'RAW_QUIZ'!$B219=SelectedScope),'RAW_QUIZ'!B219,"")</f>
        <v>Manipur</v>
      </c>
      <c r="C220" s="12" t="str">
        <f>IF(IF(SelectedScope="All India",TRUE,'RAW_QUIZ'!$B219=SelectedScope),'RAW_QUIZ'!C219,"")</f>
        <v>History</v>
      </c>
      <c r="D220" s="12" t="str">
        <f>IF(IF(SelectedScope="All India",TRUE,'RAW_QUIZ'!$B219=SelectedScope),'RAW_QUIZ'!D219,"")</f>
        <v>Class 10</v>
      </c>
      <c r="E220" s="12" t="str">
        <f>IF(IF(SelectedScope="All India",TRUE,'RAW_QUIZ'!$B219=SelectedScope),'RAW_QUIZ'!E219,"")</f>
        <v>Mughal Empire — Unit Quiz</v>
      </c>
      <c r="F220" s="12">
        <f>IF(IF(SelectedScope="All India",TRUE,'RAW_QUIZ'!$B219=SelectedScope),'RAW_QUIZ'!F219,"")</f>
        <v>0</v>
      </c>
      <c r="G220" s="12" t="str">
        <f>IF(IF(SelectedScope="All India",TRUE,'RAW_QUIZ'!$B219=SelectedScope),'RAW_QUIZ'!G219,"")</f>
        <v>Active</v>
      </c>
      <c r="H220" s="12">
        <f>IF(IF(SelectedScope="All India",TRUE,'RAW_QUIZ'!$B219=SelectedScope),'RAW_QUIZ'!H219,"")</f>
        <v>0</v>
      </c>
      <c r="I220" s="12">
        <f>IF(IF(SelectedScope="All India",TRUE,'RAW_QUIZ'!$B219=SelectedScope),'RAW_QUIZ'!I219,"")</f>
        <v>0</v>
      </c>
      <c r="J220" s="12">
        <f>IF(IF(SelectedScope="All India",TRUE,'RAW_QUIZ'!$B219=SelectedScope),'RAW_QUIZ'!J219,"")</f>
        <v>0</v>
      </c>
      <c r="K220" s="12">
        <f>IF(IF(SelectedScope="All India",TRUE,'RAW_QUIZ'!$B219=SelectedScope),'RAW_QUIZ'!K219,"")</f>
        <v>0</v>
      </c>
      <c r="L220" s="12">
        <f>IF(IF(SelectedScope="All India",TRUE,'RAW_QUIZ'!$B219=SelectedScope),'RAW_QUIZ'!L219,"")</f>
        <v>0</v>
      </c>
      <c r="M220" s="12">
        <f>IF(IF(SelectedScope="All India",TRUE,'RAW_QUIZ'!$B219=SelectedScope),'RAW_QUIZ'!M219,"")</f>
        <v>0</v>
      </c>
      <c r="N220" s="12">
        <f>IF(IF(SelectedScope="All India",TRUE,'RAW_QUIZ'!$B219=SelectedScope),'RAW_QUIZ'!N219,"")</f>
        <v>0</v>
      </c>
      <c r="O220" s="12">
        <f>IF(IF(SelectedScope="All India",TRUE,'RAW_QUIZ'!$B219=SelectedScope),'RAW_QUIZ'!O219,"")</f>
        <v>0</v>
      </c>
      <c r="P220" s="12">
        <f>IF(IF(SelectedScope="All India",TRUE,'RAW_QUIZ'!$B219=SelectedScope),'RAW_QUIZ'!P219,"")</f>
        <v>0</v>
      </c>
      <c r="Q220" s="12">
        <f>IF(IF(SelectedScope="All India",TRUE,'RAW_QUIZ'!$B219=SelectedScope),'RAW_QUIZ'!Q219,"")</f>
        <v>0</v>
      </c>
    </row>
    <row r="221" spans="1:17" ht="15" customHeight="1" x14ac:dyDescent="0.3">
      <c r="A221" s="9">
        <f>IF(IF(SelectedScope="All India",TRUE,'RAW_QUIZ'!$B220=SelectedScope),'RAW_QUIZ'!A220,"")</f>
        <v>217</v>
      </c>
      <c r="B221" s="9" t="str">
        <f>IF(IF(SelectedScope="All India",TRUE,'RAW_QUIZ'!$B220=SelectedScope),'RAW_QUIZ'!B220,"")</f>
        <v>Manipur</v>
      </c>
      <c r="C221" s="9" t="str">
        <f>IF(IF(SelectedScope="All India",TRUE,'RAW_QUIZ'!$B220=SelectedScope),'RAW_QUIZ'!C220,"")</f>
        <v>Physics</v>
      </c>
      <c r="D221" s="9" t="str">
        <f>IF(IF(SelectedScope="All India",TRUE,'RAW_QUIZ'!$B220=SelectedScope),'RAW_QUIZ'!D220,"")</f>
        <v>Class 9</v>
      </c>
      <c r="E221" s="9" t="str">
        <f>IF(IF(SelectedScope="All India",TRUE,'RAW_QUIZ'!$B220=SelectedScope),'RAW_QUIZ'!E220,"")</f>
        <v>Laws of Motion — Unit Quiz</v>
      </c>
      <c r="F221" s="9">
        <f>IF(IF(SelectedScope="All India",TRUE,'RAW_QUIZ'!$B220=SelectedScope),'RAW_QUIZ'!F220,"")</f>
        <v>0</v>
      </c>
      <c r="G221" s="9" t="str">
        <f>IF(IF(SelectedScope="All India",TRUE,'RAW_QUIZ'!$B220=SelectedScope),'RAW_QUIZ'!G220,"")</f>
        <v>Active</v>
      </c>
      <c r="H221" s="9">
        <f>IF(IF(SelectedScope="All India",TRUE,'RAW_QUIZ'!$B220=SelectedScope),'RAW_QUIZ'!H220,"")</f>
        <v>0</v>
      </c>
      <c r="I221" s="9">
        <f>IF(IF(SelectedScope="All India",TRUE,'RAW_QUIZ'!$B220=SelectedScope),'RAW_QUIZ'!I220,"")</f>
        <v>0</v>
      </c>
      <c r="J221" s="9">
        <f>IF(IF(SelectedScope="All India",TRUE,'RAW_QUIZ'!$B220=SelectedScope),'RAW_QUIZ'!J220,"")</f>
        <v>0</v>
      </c>
      <c r="K221" s="9">
        <f>IF(IF(SelectedScope="All India",TRUE,'RAW_QUIZ'!$B220=SelectedScope),'RAW_QUIZ'!K220,"")</f>
        <v>0</v>
      </c>
      <c r="L221" s="9">
        <f>IF(IF(SelectedScope="All India",TRUE,'RAW_QUIZ'!$B220=SelectedScope),'RAW_QUIZ'!L220,"")</f>
        <v>0</v>
      </c>
      <c r="M221" s="9">
        <f>IF(IF(SelectedScope="All India",TRUE,'RAW_QUIZ'!$B220=SelectedScope),'RAW_QUIZ'!M220,"")</f>
        <v>0</v>
      </c>
      <c r="N221" s="9">
        <f>IF(IF(SelectedScope="All India",TRUE,'RAW_QUIZ'!$B220=SelectedScope),'RAW_QUIZ'!N220,"")</f>
        <v>0</v>
      </c>
      <c r="O221" s="9">
        <f>IF(IF(SelectedScope="All India",TRUE,'RAW_QUIZ'!$B220=SelectedScope),'RAW_QUIZ'!O220,"")</f>
        <v>0</v>
      </c>
      <c r="P221" s="9">
        <f>IF(IF(SelectedScope="All India",TRUE,'RAW_QUIZ'!$B220=SelectedScope),'RAW_QUIZ'!P220,"")</f>
        <v>0</v>
      </c>
      <c r="Q221" s="9">
        <f>IF(IF(SelectedScope="All India",TRUE,'RAW_QUIZ'!$B220=SelectedScope),'RAW_QUIZ'!Q220,"")</f>
        <v>0</v>
      </c>
    </row>
    <row r="222" spans="1:17" ht="15" customHeight="1" x14ac:dyDescent="0.3">
      <c r="A222" s="12">
        <f>IF(IF(SelectedScope="All India",TRUE,'RAW_QUIZ'!$B221=SelectedScope),'RAW_QUIZ'!A221,"")</f>
        <v>218</v>
      </c>
      <c r="B222" s="12" t="str">
        <f>IF(IF(SelectedScope="All India",TRUE,'RAW_QUIZ'!$B221=SelectedScope),'RAW_QUIZ'!B221,"")</f>
        <v>Manipur</v>
      </c>
      <c r="C222" s="12" t="str">
        <f>IF(IF(SelectedScope="All India",TRUE,'RAW_QUIZ'!$B221=SelectedScope),'RAW_QUIZ'!C221,"")</f>
        <v>Physics</v>
      </c>
      <c r="D222" s="12" t="str">
        <f>IF(IF(SelectedScope="All India",TRUE,'RAW_QUIZ'!$B221=SelectedScope),'RAW_QUIZ'!D221,"")</f>
        <v>Class 10</v>
      </c>
      <c r="E222" s="12" t="str">
        <f>IF(IF(SelectedScope="All India",TRUE,'RAW_QUIZ'!$B221=SelectedScope),'RAW_QUIZ'!E221,"")</f>
        <v>Electricity — Unit Quiz</v>
      </c>
      <c r="F222" s="12">
        <f>IF(IF(SelectedScope="All India",TRUE,'RAW_QUIZ'!$B221=SelectedScope),'RAW_QUIZ'!F221,"")</f>
        <v>0</v>
      </c>
      <c r="G222" s="12" t="str">
        <f>IF(IF(SelectedScope="All India",TRUE,'RAW_QUIZ'!$B221=SelectedScope),'RAW_QUIZ'!G221,"")</f>
        <v>Active</v>
      </c>
      <c r="H222" s="12">
        <f>IF(IF(SelectedScope="All India",TRUE,'RAW_QUIZ'!$B221=SelectedScope),'RAW_QUIZ'!H221,"")</f>
        <v>0</v>
      </c>
      <c r="I222" s="12">
        <f>IF(IF(SelectedScope="All India",TRUE,'RAW_QUIZ'!$B221=SelectedScope),'RAW_QUIZ'!I221,"")</f>
        <v>0</v>
      </c>
      <c r="J222" s="12">
        <f>IF(IF(SelectedScope="All India",TRUE,'RAW_QUIZ'!$B221=SelectedScope),'RAW_QUIZ'!J221,"")</f>
        <v>0</v>
      </c>
      <c r="K222" s="12">
        <f>IF(IF(SelectedScope="All India",TRUE,'RAW_QUIZ'!$B221=SelectedScope),'RAW_QUIZ'!K221,"")</f>
        <v>0</v>
      </c>
      <c r="L222" s="12">
        <f>IF(IF(SelectedScope="All India",TRUE,'RAW_QUIZ'!$B221=SelectedScope),'RAW_QUIZ'!L221,"")</f>
        <v>0</v>
      </c>
      <c r="M222" s="12">
        <f>IF(IF(SelectedScope="All India",TRUE,'RAW_QUIZ'!$B221=SelectedScope),'RAW_QUIZ'!M221,"")</f>
        <v>0</v>
      </c>
      <c r="N222" s="12">
        <f>IF(IF(SelectedScope="All India",TRUE,'RAW_QUIZ'!$B221=SelectedScope),'RAW_QUIZ'!N221,"")</f>
        <v>0</v>
      </c>
      <c r="O222" s="12">
        <f>IF(IF(SelectedScope="All India",TRUE,'RAW_QUIZ'!$B221=SelectedScope),'RAW_QUIZ'!O221,"")</f>
        <v>0</v>
      </c>
      <c r="P222" s="12">
        <f>IF(IF(SelectedScope="All India",TRUE,'RAW_QUIZ'!$B221=SelectedScope),'RAW_QUIZ'!P221,"")</f>
        <v>0</v>
      </c>
      <c r="Q222" s="12">
        <f>IF(IF(SelectedScope="All India",TRUE,'RAW_QUIZ'!$B221=SelectedScope),'RAW_QUIZ'!Q221,"")</f>
        <v>0</v>
      </c>
    </row>
    <row r="223" spans="1:17" ht="15" customHeight="1" x14ac:dyDescent="0.3">
      <c r="A223" s="9">
        <f>IF(IF(SelectedScope="All India",TRUE,'RAW_QUIZ'!$B222=SelectedScope),'RAW_QUIZ'!A222,"")</f>
        <v>219</v>
      </c>
      <c r="B223" s="9" t="str">
        <f>IF(IF(SelectedScope="All India",TRUE,'RAW_QUIZ'!$B222=SelectedScope),'RAW_QUIZ'!B222,"")</f>
        <v>Manipur</v>
      </c>
      <c r="C223" s="9" t="str">
        <f>IF(IF(SelectedScope="All India",TRUE,'RAW_QUIZ'!$B222=SelectedScope),'RAW_QUIZ'!C222,"")</f>
        <v>Civics</v>
      </c>
      <c r="D223" s="9" t="str">
        <f>IF(IF(SelectedScope="All India",TRUE,'RAW_QUIZ'!$B222=SelectedScope),'RAW_QUIZ'!D222,"")</f>
        <v>Class 9</v>
      </c>
      <c r="E223" s="9" t="str">
        <f>IF(IF(SelectedScope="All India",TRUE,'RAW_QUIZ'!$B222=SelectedScope),'RAW_QUIZ'!E222,"")</f>
        <v>Indian Constitution — Unit Quiz</v>
      </c>
      <c r="F223" s="9">
        <f>IF(IF(SelectedScope="All India",TRUE,'RAW_QUIZ'!$B222=SelectedScope),'RAW_QUIZ'!F222,"")</f>
        <v>0</v>
      </c>
      <c r="G223" s="9" t="str">
        <f>IF(IF(SelectedScope="All India",TRUE,'RAW_QUIZ'!$B222=SelectedScope),'RAW_QUIZ'!G222,"")</f>
        <v>Active</v>
      </c>
      <c r="H223" s="9">
        <f>IF(IF(SelectedScope="All India",TRUE,'RAW_QUIZ'!$B222=SelectedScope),'RAW_QUIZ'!H222,"")</f>
        <v>0</v>
      </c>
      <c r="I223" s="9">
        <f>IF(IF(SelectedScope="All India",TRUE,'RAW_QUIZ'!$B222=SelectedScope),'RAW_QUIZ'!I222,"")</f>
        <v>0</v>
      </c>
      <c r="J223" s="9">
        <f>IF(IF(SelectedScope="All India",TRUE,'RAW_QUIZ'!$B222=SelectedScope),'RAW_QUIZ'!J222,"")</f>
        <v>0</v>
      </c>
      <c r="K223" s="9">
        <f>IF(IF(SelectedScope="All India",TRUE,'RAW_QUIZ'!$B222=SelectedScope),'RAW_QUIZ'!K222,"")</f>
        <v>0</v>
      </c>
      <c r="L223" s="9">
        <f>IF(IF(SelectedScope="All India",TRUE,'RAW_QUIZ'!$B222=SelectedScope),'RAW_QUIZ'!L222,"")</f>
        <v>0</v>
      </c>
      <c r="M223" s="9">
        <f>IF(IF(SelectedScope="All India",TRUE,'RAW_QUIZ'!$B222=SelectedScope),'RAW_QUIZ'!M222,"")</f>
        <v>0</v>
      </c>
      <c r="N223" s="9">
        <f>IF(IF(SelectedScope="All India",TRUE,'RAW_QUIZ'!$B222=SelectedScope),'RAW_QUIZ'!N222,"")</f>
        <v>0</v>
      </c>
      <c r="O223" s="9">
        <f>IF(IF(SelectedScope="All India",TRUE,'RAW_QUIZ'!$B222=SelectedScope),'RAW_QUIZ'!O222,"")</f>
        <v>0</v>
      </c>
      <c r="P223" s="9">
        <f>IF(IF(SelectedScope="All India",TRUE,'RAW_QUIZ'!$B222=SelectedScope),'RAW_QUIZ'!P222,"")</f>
        <v>0</v>
      </c>
      <c r="Q223" s="9">
        <f>IF(IF(SelectedScope="All India",TRUE,'RAW_QUIZ'!$B222=SelectedScope),'RAW_QUIZ'!Q222,"")</f>
        <v>0</v>
      </c>
    </row>
    <row r="224" spans="1:17" ht="15" customHeight="1" x14ac:dyDescent="0.3">
      <c r="A224" s="12">
        <f>IF(IF(SelectedScope="All India",TRUE,'RAW_QUIZ'!$B223=SelectedScope),'RAW_QUIZ'!A223,"")</f>
        <v>220</v>
      </c>
      <c r="B224" s="12" t="str">
        <f>IF(IF(SelectedScope="All India",TRUE,'RAW_QUIZ'!$B223=SelectedScope),'RAW_QUIZ'!B223,"")</f>
        <v>Manipur</v>
      </c>
      <c r="C224" s="12" t="str">
        <f>IF(IF(SelectedScope="All India",TRUE,'RAW_QUIZ'!$B223=SelectedScope),'RAW_QUIZ'!C223,"")</f>
        <v>Mathematics</v>
      </c>
      <c r="D224" s="12" t="str">
        <f>IF(IF(SelectedScope="All India",TRUE,'RAW_QUIZ'!$B223=SelectedScope),'RAW_QUIZ'!D223,"")</f>
        <v>Class 10</v>
      </c>
      <c r="E224" s="12" t="str">
        <f>IF(IF(SelectedScope="All India",TRUE,'RAW_QUIZ'!$B223=SelectedScope),'RAW_QUIZ'!E223,"")</f>
        <v>Quadratic Equations — Unit Quiz</v>
      </c>
      <c r="F224" s="12">
        <f>IF(IF(SelectedScope="All India",TRUE,'RAW_QUIZ'!$B223=SelectedScope),'RAW_QUIZ'!F223,"")</f>
        <v>0</v>
      </c>
      <c r="G224" s="12" t="str">
        <f>IF(IF(SelectedScope="All India",TRUE,'RAW_QUIZ'!$B223=SelectedScope),'RAW_QUIZ'!G223,"")</f>
        <v>Active</v>
      </c>
      <c r="H224" s="12">
        <f>IF(IF(SelectedScope="All India",TRUE,'RAW_QUIZ'!$B223=SelectedScope),'RAW_QUIZ'!H223,"")</f>
        <v>0</v>
      </c>
      <c r="I224" s="12">
        <f>IF(IF(SelectedScope="All India",TRUE,'RAW_QUIZ'!$B223=SelectedScope),'RAW_QUIZ'!I223,"")</f>
        <v>0</v>
      </c>
      <c r="J224" s="12">
        <f>IF(IF(SelectedScope="All India",TRUE,'RAW_QUIZ'!$B223=SelectedScope),'RAW_QUIZ'!J223,"")</f>
        <v>0</v>
      </c>
      <c r="K224" s="12">
        <f>IF(IF(SelectedScope="All India",TRUE,'RAW_QUIZ'!$B223=SelectedScope),'RAW_QUIZ'!K223,"")</f>
        <v>0</v>
      </c>
      <c r="L224" s="12">
        <f>IF(IF(SelectedScope="All India",TRUE,'RAW_QUIZ'!$B223=SelectedScope),'RAW_QUIZ'!L223,"")</f>
        <v>0</v>
      </c>
      <c r="M224" s="12">
        <f>IF(IF(SelectedScope="All India",TRUE,'RAW_QUIZ'!$B223=SelectedScope),'RAW_QUIZ'!M223,"")</f>
        <v>0</v>
      </c>
      <c r="N224" s="12">
        <f>IF(IF(SelectedScope="All India",TRUE,'RAW_QUIZ'!$B223=SelectedScope),'RAW_QUIZ'!N223,"")</f>
        <v>0</v>
      </c>
      <c r="O224" s="12">
        <f>IF(IF(SelectedScope="All India",TRUE,'RAW_QUIZ'!$B223=SelectedScope),'RAW_QUIZ'!O223,"")</f>
        <v>0</v>
      </c>
      <c r="P224" s="12">
        <f>IF(IF(SelectedScope="All India",TRUE,'RAW_QUIZ'!$B223=SelectedScope),'RAW_QUIZ'!P223,"")</f>
        <v>0</v>
      </c>
      <c r="Q224" s="12">
        <f>IF(IF(SelectedScope="All India",TRUE,'RAW_QUIZ'!$B223=SelectedScope),'RAW_QUIZ'!Q223,"")</f>
        <v>0</v>
      </c>
    </row>
    <row r="225" spans="1:17" ht="15" customHeight="1" x14ac:dyDescent="0.3">
      <c r="A225" s="9">
        <f>IF(IF(SelectedScope="All India",TRUE,'RAW_QUIZ'!$B224=SelectedScope),'RAW_QUIZ'!A224,"")</f>
        <v>221</v>
      </c>
      <c r="B225" s="9" t="str">
        <f>IF(IF(SelectedScope="All India",TRUE,'RAW_QUIZ'!$B224=SelectedScope),'RAW_QUIZ'!B224,"")</f>
        <v>Meghalaya</v>
      </c>
      <c r="C225" s="9" t="str">
        <f>IF(IF(SelectedScope="All India",TRUE,'RAW_QUIZ'!$B224=SelectedScope),'RAW_QUIZ'!C224,"")</f>
        <v>Science</v>
      </c>
      <c r="D225" s="9" t="str">
        <f>IF(IF(SelectedScope="All India",TRUE,'RAW_QUIZ'!$B224=SelectedScope),'RAW_QUIZ'!D224,"")</f>
        <v>Class 8</v>
      </c>
      <c r="E225" s="9" t="str">
        <f>IF(IF(SelectedScope="All India",TRUE,'RAW_QUIZ'!$B224=SelectedScope),'RAW_QUIZ'!E224,"")</f>
        <v>Solar System — Unit Quiz</v>
      </c>
      <c r="F225" s="9">
        <f>IF(IF(SelectedScope="All India",TRUE,'RAW_QUIZ'!$B224=SelectedScope),'RAW_QUIZ'!F224,"")</f>
        <v>0</v>
      </c>
      <c r="G225" s="9" t="str">
        <f>IF(IF(SelectedScope="All India",TRUE,'RAW_QUIZ'!$B224=SelectedScope),'RAW_QUIZ'!G224,"")</f>
        <v>Active</v>
      </c>
      <c r="H225" s="9">
        <f>IF(IF(SelectedScope="All India",TRUE,'RAW_QUIZ'!$B224=SelectedScope),'RAW_QUIZ'!H224,"")</f>
        <v>0</v>
      </c>
      <c r="I225" s="9">
        <f>IF(IF(SelectedScope="All India",TRUE,'RAW_QUIZ'!$B224=SelectedScope),'RAW_QUIZ'!I224,"")</f>
        <v>0</v>
      </c>
      <c r="J225" s="9">
        <f>IF(IF(SelectedScope="All India",TRUE,'RAW_QUIZ'!$B224=SelectedScope),'RAW_QUIZ'!J224,"")</f>
        <v>0</v>
      </c>
      <c r="K225" s="9">
        <f>IF(IF(SelectedScope="All India",TRUE,'RAW_QUIZ'!$B224=SelectedScope),'RAW_QUIZ'!K224,"")</f>
        <v>0</v>
      </c>
      <c r="L225" s="9">
        <f>IF(IF(SelectedScope="All India",TRUE,'RAW_QUIZ'!$B224=SelectedScope),'RAW_QUIZ'!L224,"")</f>
        <v>0</v>
      </c>
      <c r="M225" s="9">
        <f>IF(IF(SelectedScope="All India",TRUE,'RAW_QUIZ'!$B224=SelectedScope),'RAW_QUIZ'!M224,"")</f>
        <v>0</v>
      </c>
      <c r="N225" s="9">
        <f>IF(IF(SelectedScope="All India",TRUE,'RAW_QUIZ'!$B224=SelectedScope),'RAW_QUIZ'!N224,"")</f>
        <v>0</v>
      </c>
      <c r="O225" s="9">
        <f>IF(IF(SelectedScope="All India",TRUE,'RAW_QUIZ'!$B224=SelectedScope),'RAW_QUIZ'!O224,"")</f>
        <v>0</v>
      </c>
      <c r="P225" s="9">
        <f>IF(IF(SelectedScope="All India",TRUE,'RAW_QUIZ'!$B224=SelectedScope),'RAW_QUIZ'!P224,"")</f>
        <v>0</v>
      </c>
      <c r="Q225" s="9">
        <f>IF(IF(SelectedScope="All India",TRUE,'RAW_QUIZ'!$B224=SelectedScope),'RAW_QUIZ'!Q224,"")</f>
        <v>0</v>
      </c>
    </row>
    <row r="226" spans="1:17" ht="15" customHeight="1" x14ac:dyDescent="0.3">
      <c r="A226" s="12">
        <f>IF(IF(SelectedScope="All India",TRUE,'RAW_QUIZ'!$B225=SelectedScope),'RAW_QUIZ'!A225,"")</f>
        <v>222</v>
      </c>
      <c r="B226" s="12" t="str">
        <f>IF(IF(SelectedScope="All India",TRUE,'RAW_QUIZ'!$B225=SelectedScope),'RAW_QUIZ'!B225,"")</f>
        <v>Meghalaya</v>
      </c>
      <c r="C226" s="12" t="str">
        <f>IF(IF(SelectedScope="All India",TRUE,'RAW_QUIZ'!$B225=SelectedScope),'RAW_QUIZ'!C225,"")</f>
        <v>Biology</v>
      </c>
      <c r="D226" s="12" t="str">
        <f>IF(IF(SelectedScope="All India",TRUE,'RAW_QUIZ'!$B225=SelectedScope),'RAW_QUIZ'!D225,"")</f>
        <v>Class 9</v>
      </c>
      <c r="E226" s="12" t="str">
        <f>IF(IF(SelectedScope="All India",TRUE,'RAW_QUIZ'!$B225=SelectedScope),'RAW_QUIZ'!E225,"")</f>
        <v>Cell Division — Unit Quiz</v>
      </c>
      <c r="F226" s="12">
        <f>IF(IF(SelectedScope="All India",TRUE,'RAW_QUIZ'!$B225=SelectedScope),'RAW_QUIZ'!F225,"")</f>
        <v>0</v>
      </c>
      <c r="G226" s="12" t="str">
        <f>IF(IF(SelectedScope="All India",TRUE,'RAW_QUIZ'!$B225=SelectedScope),'RAW_QUIZ'!G225,"")</f>
        <v>Active</v>
      </c>
      <c r="H226" s="12">
        <f>IF(IF(SelectedScope="All India",TRUE,'RAW_QUIZ'!$B225=SelectedScope),'RAW_QUIZ'!H225,"")</f>
        <v>0</v>
      </c>
      <c r="I226" s="12">
        <f>IF(IF(SelectedScope="All India",TRUE,'RAW_QUIZ'!$B225=SelectedScope),'RAW_QUIZ'!I225,"")</f>
        <v>0</v>
      </c>
      <c r="J226" s="12">
        <f>IF(IF(SelectedScope="All India",TRUE,'RAW_QUIZ'!$B225=SelectedScope),'RAW_QUIZ'!J225,"")</f>
        <v>0</v>
      </c>
      <c r="K226" s="12">
        <f>IF(IF(SelectedScope="All India",TRUE,'RAW_QUIZ'!$B225=SelectedScope),'RAW_QUIZ'!K225,"")</f>
        <v>0</v>
      </c>
      <c r="L226" s="12">
        <f>IF(IF(SelectedScope="All India",TRUE,'RAW_QUIZ'!$B225=SelectedScope),'RAW_QUIZ'!L225,"")</f>
        <v>0</v>
      </c>
      <c r="M226" s="12">
        <f>IF(IF(SelectedScope="All India",TRUE,'RAW_QUIZ'!$B225=SelectedScope),'RAW_QUIZ'!M225,"")</f>
        <v>0</v>
      </c>
      <c r="N226" s="12">
        <f>IF(IF(SelectedScope="All India",TRUE,'RAW_QUIZ'!$B225=SelectedScope),'RAW_QUIZ'!N225,"")</f>
        <v>0</v>
      </c>
      <c r="O226" s="12">
        <f>IF(IF(SelectedScope="All India",TRUE,'RAW_QUIZ'!$B225=SelectedScope),'RAW_QUIZ'!O225,"")</f>
        <v>0</v>
      </c>
      <c r="P226" s="12">
        <f>IF(IF(SelectedScope="All India",TRUE,'RAW_QUIZ'!$B225=SelectedScope),'RAW_QUIZ'!P225,"")</f>
        <v>0</v>
      </c>
      <c r="Q226" s="12">
        <f>IF(IF(SelectedScope="All India",TRUE,'RAW_QUIZ'!$B225=SelectedScope),'RAW_QUIZ'!Q225,"")</f>
        <v>0</v>
      </c>
    </row>
    <row r="227" spans="1:17" ht="15" customHeight="1" x14ac:dyDescent="0.3">
      <c r="A227" s="9">
        <f>IF(IF(SelectedScope="All India",TRUE,'RAW_QUIZ'!$B226=SelectedScope),'RAW_QUIZ'!A226,"")</f>
        <v>223</v>
      </c>
      <c r="B227" s="9" t="str">
        <f>IF(IF(SelectedScope="All India",TRUE,'RAW_QUIZ'!$B226=SelectedScope),'RAW_QUIZ'!B226,"")</f>
        <v>Meghalaya</v>
      </c>
      <c r="C227" s="9" t="str">
        <f>IF(IF(SelectedScope="All India",TRUE,'RAW_QUIZ'!$B226=SelectedScope),'RAW_QUIZ'!C226,"")</f>
        <v>Chemistry</v>
      </c>
      <c r="D227" s="9" t="str">
        <f>IF(IF(SelectedScope="All India",TRUE,'RAW_QUIZ'!$B226=SelectedScope),'RAW_QUIZ'!D226,"")</f>
        <v>Class 9</v>
      </c>
      <c r="E227" s="9" t="str">
        <f>IF(IF(SelectedScope="All India",TRUE,'RAW_QUIZ'!$B226=SelectedScope),'RAW_QUIZ'!E226,"")</f>
        <v>Atoms and Molecules — Unit Quiz</v>
      </c>
      <c r="F227" s="9">
        <f>IF(IF(SelectedScope="All India",TRUE,'RAW_QUIZ'!$B226=SelectedScope),'RAW_QUIZ'!F226,"")</f>
        <v>0</v>
      </c>
      <c r="G227" s="9" t="str">
        <f>IF(IF(SelectedScope="All India",TRUE,'RAW_QUIZ'!$B226=SelectedScope),'RAW_QUIZ'!G226,"")</f>
        <v>Active</v>
      </c>
      <c r="H227" s="9">
        <f>IF(IF(SelectedScope="All India",TRUE,'RAW_QUIZ'!$B226=SelectedScope),'RAW_QUIZ'!H226,"")</f>
        <v>0</v>
      </c>
      <c r="I227" s="9">
        <f>IF(IF(SelectedScope="All India",TRUE,'RAW_QUIZ'!$B226=SelectedScope),'RAW_QUIZ'!I226,"")</f>
        <v>0</v>
      </c>
      <c r="J227" s="9">
        <f>IF(IF(SelectedScope="All India",TRUE,'RAW_QUIZ'!$B226=SelectedScope),'RAW_QUIZ'!J226,"")</f>
        <v>0</v>
      </c>
      <c r="K227" s="9">
        <f>IF(IF(SelectedScope="All India",TRUE,'RAW_QUIZ'!$B226=SelectedScope),'RAW_QUIZ'!K226,"")</f>
        <v>0</v>
      </c>
      <c r="L227" s="9">
        <f>IF(IF(SelectedScope="All India",TRUE,'RAW_QUIZ'!$B226=SelectedScope),'RAW_QUIZ'!L226,"")</f>
        <v>0</v>
      </c>
      <c r="M227" s="9">
        <f>IF(IF(SelectedScope="All India",TRUE,'RAW_QUIZ'!$B226=SelectedScope),'RAW_QUIZ'!M226,"")</f>
        <v>0</v>
      </c>
      <c r="N227" s="9">
        <f>IF(IF(SelectedScope="All India",TRUE,'RAW_QUIZ'!$B226=SelectedScope),'RAW_QUIZ'!N226,"")</f>
        <v>0</v>
      </c>
      <c r="O227" s="9">
        <f>IF(IF(SelectedScope="All India",TRUE,'RAW_QUIZ'!$B226=SelectedScope),'RAW_QUIZ'!O226,"")</f>
        <v>0</v>
      </c>
      <c r="P227" s="9">
        <f>IF(IF(SelectedScope="All India",TRUE,'RAW_QUIZ'!$B226=SelectedScope),'RAW_QUIZ'!P226,"")</f>
        <v>0</v>
      </c>
      <c r="Q227" s="9">
        <f>IF(IF(SelectedScope="All India",TRUE,'RAW_QUIZ'!$B226=SelectedScope),'RAW_QUIZ'!Q226,"")</f>
        <v>0</v>
      </c>
    </row>
    <row r="228" spans="1:17" ht="15" customHeight="1" x14ac:dyDescent="0.3">
      <c r="A228" s="12">
        <f>IF(IF(SelectedScope="All India",TRUE,'RAW_QUIZ'!$B227=SelectedScope),'RAW_QUIZ'!A227,"")</f>
        <v>224</v>
      </c>
      <c r="B228" s="12" t="str">
        <f>IF(IF(SelectedScope="All India",TRUE,'RAW_QUIZ'!$B227=SelectedScope),'RAW_QUIZ'!B227,"")</f>
        <v>Meghalaya</v>
      </c>
      <c r="C228" s="12" t="str">
        <f>IF(IF(SelectedScope="All India",TRUE,'RAW_QUIZ'!$B227=SelectedScope),'RAW_QUIZ'!C227,"")</f>
        <v>Mathematics</v>
      </c>
      <c r="D228" s="12" t="str">
        <f>IF(IF(SelectedScope="All India",TRUE,'RAW_QUIZ'!$B227=SelectedScope),'RAW_QUIZ'!D227,"")</f>
        <v>Class 7</v>
      </c>
      <c r="E228" s="12" t="str">
        <f>IF(IF(SelectedScope="All India",TRUE,'RAW_QUIZ'!$B227=SelectedScope),'RAW_QUIZ'!E227,"")</f>
        <v>Fractions — Unit Quiz</v>
      </c>
      <c r="F228" s="12">
        <f>IF(IF(SelectedScope="All India",TRUE,'RAW_QUIZ'!$B227=SelectedScope),'RAW_QUIZ'!F227,"")</f>
        <v>0</v>
      </c>
      <c r="G228" s="12" t="str">
        <f>IF(IF(SelectedScope="All India",TRUE,'RAW_QUIZ'!$B227=SelectedScope),'RAW_QUIZ'!G227,"")</f>
        <v>Active</v>
      </c>
      <c r="H228" s="12">
        <f>IF(IF(SelectedScope="All India",TRUE,'RAW_QUIZ'!$B227=SelectedScope),'RAW_QUIZ'!H227,"")</f>
        <v>0</v>
      </c>
      <c r="I228" s="12">
        <f>IF(IF(SelectedScope="All India",TRUE,'RAW_QUIZ'!$B227=SelectedScope),'RAW_QUIZ'!I227,"")</f>
        <v>0</v>
      </c>
      <c r="J228" s="12">
        <f>IF(IF(SelectedScope="All India",TRUE,'RAW_QUIZ'!$B227=SelectedScope),'RAW_QUIZ'!J227,"")</f>
        <v>0</v>
      </c>
      <c r="K228" s="12">
        <f>IF(IF(SelectedScope="All India",TRUE,'RAW_QUIZ'!$B227=SelectedScope),'RAW_QUIZ'!K227,"")</f>
        <v>0</v>
      </c>
      <c r="L228" s="12">
        <f>IF(IF(SelectedScope="All India",TRUE,'RAW_QUIZ'!$B227=SelectedScope),'RAW_QUIZ'!L227,"")</f>
        <v>0</v>
      </c>
      <c r="M228" s="12">
        <f>IF(IF(SelectedScope="All India",TRUE,'RAW_QUIZ'!$B227=SelectedScope),'RAW_QUIZ'!M227,"")</f>
        <v>0</v>
      </c>
      <c r="N228" s="12">
        <f>IF(IF(SelectedScope="All India",TRUE,'RAW_QUIZ'!$B227=SelectedScope),'RAW_QUIZ'!N227,"")</f>
        <v>0</v>
      </c>
      <c r="O228" s="12">
        <f>IF(IF(SelectedScope="All India",TRUE,'RAW_QUIZ'!$B227=SelectedScope),'RAW_QUIZ'!O227,"")</f>
        <v>0</v>
      </c>
      <c r="P228" s="12">
        <f>IF(IF(SelectedScope="All India",TRUE,'RAW_QUIZ'!$B227=SelectedScope),'RAW_QUIZ'!P227,"")</f>
        <v>0</v>
      </c>
      <c r="Q228" s="12">
        <f>IF(IF(SelectedScope="All India",TRUE,'RAW_QUIZ'!$B227=SelectedScope),'RAW_QUIZ'!Q227,"")</f>
        <v>0</v>
      </c>
    </row>
    <row r="229" spans="1:17" ht="15" customHeight="1" x14ac:dyDescent="0.3">
      <c r="A229" s="9">
        <f>IF(IF(SelectedScope="All India",TRUE,'RAW_QUIZ'!$B228=SelectedScope),'RAW_QUIZ'!A228,"")</f>
        <v>225</v>
      </c>
      <c r="B229" s="9" t="str">
        <f>IF(IF(SelectedScope="All India",TRUE,'RAW_QUIZ'!$B228=SelectedScope),'RAW_QUIZ'!B228,"")</f>
        <v>Meghalaya</v>
      </c>
      <c r="C229" s="9" t="str">
        <f>IF(IF(SelectedScope="All India",TRUE,'RAW_QUIZ'!$B228=SelectedScope),'RAW_QUIZ'!C228,"")</f>
        <v>Mathematics</v>
      </c>
      <c r="D229" s="9" t="str">
        <f>IF(IF(SelectedScope="All India",TRUE,'RAW_QUIZ'!$B228=SelectedScope),'RAW_QUIZ'!D228,"")</f>
        <v>Class 10</v>
      </c>
      <c r="E229" s="9" t="str">
        <f>IF(IF(SelectedScope="All India",TRUE,'RAW_QUIZ'!$B228=SelectedScope),'RAW_QUIZ'!E228,"")</f>
        <v>Trigonometry — Unit Quiz</v>
      </c>
      <c r="F229" s="9">
        <f>IF(IF(SelectedScope="All India",TRUE,'RAW_QUIZ'!$B228=SelectedScope),'RAW_QUIZ'!F228,"")</f>
        <v>0</v>
      </c>
      <c r="G229" s="9" t="str">
        <f>IF(IF(SelectedScope="All India",TRUE,'RAW_QUIZ'!$B228=SelectedScope),'RAW_QUIZ'!G228,"")</f>
        <v>Active</v>
      </c>
      <c r="H229" s="9">
        <f>IF(IF(SelectedScope="All India",TRUE,'RAW_QUIZ'!$B228=SelectedScope),'RAW_QUIZ'!H228,"")</f>
        <v>0</v>
      </c>
      <c r="I229" s="9">
        <f>IF(IF(SelectedScope="All India",TRUE,'RAW_QUIZ'!$B228=SelectedScope),'RAW_QUIZ'!I228,"")</f>
        <v>0</v>
      </c>
      <c r="J229" s="9">
        <f>IF(IF(SelectedScope="All India",TRUE,'RAW_QUIZ'!$B228=SelectedScope),'RAW_QUIZ'!J228,"")</f>
        <v>0</v>
      </c>
      <c r="K229" s="9">
        <f>IF(IF(SelectedScope="All India",TRUE,'RAW_QUIZ'!$B228=SelectedScope),'RAW_QUIZ'!K228,"")</f>
        <v>0</v>
      </c>
      <c r="L229" s="9">
        <f>IF(IF(SelectedScope="All India",TRUE,'RAW_QUIZ'!$B228=SelectedScope),'RAW_QUIZ'!L228,"")</f>
        <v>0</v>
      </c>
      <c r="M229" s="9">
        <f>IF(IF(SelectedScope="All India",TRUE,'RAW_QUIZ'!$B228=SelectedScope),'RAW_QUIZ'!M228,"")</f>
        <v>0</v>
      </c>
      <c r="N229" s="9">
        <f>IF(IF(SelectedScope="All India",TRUE,'RAW_QUIZ'!$B228=SelectedScope),'RAW_QUIZ'!N228,"")</f>
        <v>0</v>
      </c>
      <c r="O229" s="9">
        <f>IF(IF(SelectedScope="All India",TRUE,'RAW_QUIZ'!$B228=SelectedScope),'RAW_QUIZ'!O228,"")</f>
        <v>0</v>
      </c>
      <c r="P229" s="9">
        <f>IF(IF(SelectedScope="All India",TRUE,'RAW_QUIZ'!$B228=SelectedScope),'RAW_QUIZ'!P228,"")</f>
        <v>0</v>
      </c>
      <c r="Q229" s="9">
        <f>IF(IF(SelectedScope="All India",TRUE,'RAW_QUIZ'!$B228=SelectedScope),'RAW_QUIZ'!Q228,"")</f>
        <v>0</v>
      </c>
    </row>
    <row r="230" spans="1:17" ht="15" customHeight="1" x14ac:dyDescent="0.3">
      <c r="A230" s="12">
        <f>IF(IF(SelectedScope="All India",TRUE,'RAW_QUIZ'!$B229=SelectedScope),'RAW_QUIZ'!A229,"")</f>
        <v>226</v>
      </c>
      <c r="B230" s="12" t="str">
        <f>IF(IF(SelectedScope="All India",TRUE,'RAW_QUIZ'!$B229=SelectedScope),'RAW_QUIZ'!B229,"")</f>
        <v>Meghalaya</v>
      </c>
      <c r="C230" s="12" t="str">
        <f>IF(IF(SelectedScope="All India",TRUE,'RAW_QUIZ'!$B229=SelectedScope),'RAW_QUIZ'!C229,"")</f>
        <v>History</v>
      </c>
      <c r="D230" s="12" t="str">
        <f>IF(IF(SelectedScope="All India",TRUE,'RAW_QUIZ'!$B229=SelectedScope),'RAW_QUIZ'!D229,"")</f>
        <v>Class 10</v>
      </c>
      <c r="E230" s="12" t="str">
        <f>IF(IF(SelectedScope="All India",TRUE,'RAW_QUIZ'!$B229=SelectedScope),'RAW_QUIZ'!E229,"")</f>
        <v>Mughal Empire — Unit Quiz</v>
      </c>
      <c r="F230" s="12">
        <f>IF(IF(SelectedScope="All India",TRUE,'RAW_QUIZ'!$B229=SelectedScope),'RAW_QUIZ'!F229,"")</f>
        <v>0</v>
      </c>
      <c r="G230" s="12" t="str">
        <f>IF(IF(SelectedScope="All India",TRUE,'RAW_QUIZ'!$B229=SelectedScope),'RAW_QUIZ'!G229,"")</f>
        <v>Active</v>
      </c>
      <c r="H230" s="12">
        <f>IF(IF(SelectedScope="All India",TRUE,'RAW_QUIZ'!$B229=SelectedScope),'RAW_QUIZ'!H229,"")</f>
        <v>0</v>
      </c>
      <c r="I230" s="12">
        <f>IF(IF(SelectedScope="All India",TRUE,'RAW_QUIZ'!$B229=SelectedScope),'RAW_QUIZ'!I229,"")</f>
        <v>0</v>
      </c>
      <c r="J230" s="12">
        <f>IF(IF(SelectedScope="All India",TRUE,'RAW_QUIZ'!$B229=SelectedScope),'RAW_QUIZ'!J229,"")</f>
        <v>0</v>
      </c>
      <c r="K230" s="12">
        <f>IF(IF(SelectedScope="All India",TRUE,'RAW_QUIZ'!$B229=SelectedScope),'RAW_QUIZ'!K229,"")</f>
        <v>0</v>
      </c>
      <c r="L230" s="12">
        <f>IF(IF(SelectedScope="All India",TRUE,'RAW_QUIZ'!$B229=SelectedScope),'RAW_QUIZ'!L229,"")</f>
        <v>0</v>
      </c>
      <c r="M230" s="12">
        <f>IF(IF(SelectedScope="All India",TRUE,'RAW_QUIZ'!$B229=SelectedScope),'RAW_QUIZ'!M229,"")</f>
        <v>0</v>
      </c>
      <c r="N230" s="12">
        <f>IF(IF(SelectedScope="All India",TRUE,'RAW_QUIZ'!$B229=SelectedScope),'RAW_QUIZ'!N229,"")</f>
        <v>0</v>
      </c>
      <c r="O230" s="12">
        <f>IF(IF(SelectedScope="All India",TRUE,'RAW_QUIZ'!$B229=SelectedScope),'RAW_QUIZ'!O229,"")</f>
        <v>0</v>
      </c>
      <c r="P230" s="12">
        <f>IF(IF(SelectedScope="All India",TRUE,'RAW_QUIZ'!$B229=SelectedScope),'RAW_QUIZ'!P229,"")</f>
        <v>0</v>
      </c>
      <c r="Q230" s="12">
        <f>IF(IF(SelectedScope="All India",TRUE,'RAW_QUIZ'!$B229=SelectedScope),'RAW_QUIZ'!Q229,"")</f>
        <v>0</v>
      </c>
    </row>
    <row r="231" spans="1:17" ht="15" customHeight="1" x14ac:dyDescent="0.3">
      <c r="A231" s="9">
        <f>IF(IF(SelectedScope="All India",TRUE,'RAW_QUIZ'!$B230=SelectedScope),'RAW_QUIZ'!A230,"")</f>
        <v>227</v>
      </c>
      <c r="B231" s="9" t="str">
        <f>IF(IF(SelectedScope="All India",TRUE,'RAW_QUIZ'!$B230=SelectedScope),'RAW_QUIZ'!B230,"")</f>
        <v>Meghalaya</v>
      </c>
      <c r="C231" s="9" t="str">
        <f>IF(IF(SelectedScope="All India",TRUE,'RAW_QUIZ'!$B230=SelectedScope),'RAW_QUIZ'!C230,"")</f>
        <v>Physics</v>
      </c>
      <c r="D231" s="9" t="str">
        <f>IF(IF(SelectedScope="All India",TRUE,'RAW_QUIZ'!$B230=SelectedScope),'RAW_QUIZ'!D230,"")</f>
        <v>Class 9</v>
      </c>
      <c r="E231" s="9" t="str">
        <f>IF(IF(SelectedScope="All India",TRUE,'RAW_QUIZ'!$B230=SelectedScope),'RAW_QUIZ'!E230,"")</f>
        <v>Laws of Motion — Unit Quiz</v>
      </c>
      <c r="F231" s="9">
        <f>IF(IF(SelectedScope="All India",TRUE,'RAW_QUIZ'!$B230=SelectedScope),'RAW_QUIZ'!F230,"")</f>
        <v>0</v>
      </c>
      <c r="G231" s="9" t="str">
        <f>IF(IF(SelectedScope="All India",TRUE,'RAW_QUIZ'!$B230=SelectedScope),'RAW_QUIZ'!G230,"")</f>
        <v>Active</v>
      </c>
      <c r="H231" s="9">
        <f>IF(IF(SelectedScope="All India",TRUE,'RAW_QUIZ'!$B230=SelectedScope),'RAW_QUIZ'!H230,"")</f>
        <v>0</v>
      </c>
      <c r="I231" s="9">
        <f>IF(IF(SelectedScope="All India",TRUE,'RAW_QUIZ'!$B230=SelectedScope),'RAW_QUIZ'!I230,"")</f>
        <v>0</v>
      </c>
      <c r="J231" s="9">
        <f>IF(IF(SelectedScope="All India",TRUE,'RAW_QUIZ'!$B230=SelectedScope),'RAW_QUIZ'!J230,"")</f>
        <v>0</v>
      </c>
      <c r="K231" s="9">
        <f>IF(IF(SelectedScope="All India",TRUE,'RAW_QUIZ'!$B230=SelectedScope),'RAW_QUIZ'!K230,"")</f>
        <v>0</v>
      </c>
      <c r="L231" s="9">
        <f>IF(IF(SelectedScope="All India",TRUE,'RAW_QUIZ'!$B230=SelectedScope),'RAW_QUIZ'!L230,"")</f>
        <v>0</v>
      </c>
      <c r="M231" s="9">
        <f>IF(IF(SelectedScope="All India",TRUE,'RAW_QUIZ'!$B230=SelectedScope),'RAW_QUIZ'!M230,"")</f>
        <v>0</v>
      </c>
      <c r="N231" s="9">
        <f>IF(IF(SelectedScope="All India",TRUE,'RAW_QUIZ'!$B230=SelectedScope),'RAW_QUIZ'!N230,"")</f>
        <v>0</v>
      </c>
      <c r="O231" s="9">
        <f>IF(IF(SelectedScope="All India",TRUE,'RAW_QUIZ'!$B230=SelectedScope),'RAW_QUIZ'!O230,"")</f>
        <v>0</v>
      </c>
      <c r="P231" s="9">
        <f>IF(IF(SelectedScope="All India",TRUE,'RAW_QUIZ'!$B230=SelectedScope),'RAW_QUIZ'!P230,"")</f>
        <v>0</v>
      </c>
      <c r="Q231" s="9">
        <f>IF(IF(SelectedScope="All India",TRUE,'RAW_QUIZ'!$B230=SelectedScope),'RAW_QUIZ'!Q230,"")</f>
        <v>0</v>
      </c>
    </row>
    <row r="232" spans="1:17" ht="15" customHeight="1" x14ac:dyDescent="0.3">
      <c r="A232" s="12">
        <f>IF(IF(SelectedScope="All India",TRUE,'RAW_QUIZ'!$B231=SelectedScope),'RAW_QUIZ'!A231,"")</f>
        <v>228</v>
      </c>
      <c r="B232" s="12" t="str">
        <f>IF(IF(SelectedScope="All India",TRUE,'RAW_QUIZ'!$B231=SelectedScope),'RAW_QUIZ'!B231,"")</f>
        <v>Meghalaya</v>
      </c>
      <c r="C232" s="12" t="str">
        <f>IF(IF(SelectedScope="All India",TRUE,'RAW_QUIZ'!$B231=SelectedScope),'RAW_QUIZ'!C231,"")</f>
        <v>Physics</v>
      </c>
      <c r="D232" s="12" t="str">
        <f>IF(IF(SelectedScope="All India",TRUE,'RAW_QUIZ'!$B231=SelectedScope),'RAW_QUIZ'!D231,"")</f>
        <v>Class 10</v>
      </c>
      <c r="E232" s="12" t="str">
        <f>IF(IF(SelectedScope="All India",TRUE,'RAW_QUIZ'!$B231=SelectedScope),'RAW_QUIZ'!E231,"")</f>
        <v>Electricity — Unit Quiz</v>
      </c>
      <c r="F232" s="12">
        <f>IF(IF(SelectedScope="All India",TRUE,'RAW_QUIZ'!$B231=SelectedScope),'RAW_QUIZ'!F231,"")</f>
        <v>0</v>
      </c>
      <c r="G232" s="12" t="str">
        <f>IF(IF(SelectedScope="All India",TRUE,'RAW_QUIZ'!$B231=SelectedScope),'RAW_QUIZ'!G231,"")</f>
        <v>Active</v>
      </c>
      <c r="H232" s="12">
        <f>IF(IF(SelectedScope="All India",TRUE,'RAW_QUIZ'!$B231=SelectedScope),'RAW_QUIZ'!H231,"")</f>
        <v>0</v>
      </c>
      <c r="I232" s="12">
        <f>IF(IF(SelectedScope="All India",TRUE,'RAW_QUIZ'!$B231=SelectedScope),'RAW_QUIZ'!I231,"")</f>
        <v>0</v>
      </c>
      <c r="J232" s="12">
        <f>IF(IF(SelectedScope="All India",TRUE,'RAW_QUIZ'!$B231=SelectedScope),'RAW_QUIZ'!J231,"")</f>
        <v>0</v>
      </c>
      <c r="K232" s="12">
        <f>IF(IF(SelectedScope="All India",TRUE,'RAW_QUIZ'!$B231=SelectedScope),'RAW_QUIZ'!K231,"")</f>
        <v>0</v>
      </c>
      <c r="L232" s="12">
        <f>IF(IF(SelectedScope="All India",TRUE,'RAW_QUIZ'!$B231=SelectedScope),'RAW_QUIZ'!L231,"")</f>
        <v>0</v>
      </c>
      <c r="M232" s="12">
        <f>IF(IF(SelectedScope="All India",TRUE,'RAW_QUIZ'!$B231=SelectedScope),'RAW_QUIZ'!M231,"")</f>
        <v>0</v>
      </c>
      <c r="N232" s="12">
        <f>IF(IF(SelectedScope="All India",TRUE,'RAW_QUIZ'!$B231=SelectedScope),'RAW_QUIZ'!N231,"")</f>
        <v>0</v>
      </c>
      <c r="O232" s="12">
        <f>IF(IF(SelectedScope="All India",TRUE,'RAW_QUIZ'!$B231=SelectedScope),'RAW_QUIZ'!O231,"")</f>
        <v>0</v>
      </c>
      <c r="P232" s="12">
        <f>IF(IF(SelectedScope="All India",TRUE,'RAW_QUIZ'!$B231=SelectedScope),'RAW_QUIZ'!P231,"")</f>
        <v>0</v>
      </c>
      <c r="Q232" s="12">
        <f>IF(IF(SelectedScope="All India",TRUE,'RAW_QUIZ'!$B231=SelectedScope),'RAW_QUIZ'!Q231,"")</f>
        <v>0</v>
      </c>
    </row>
    <row r="233" spans="1:17" ht="15" customHeight="1" x14ac:dyDescent="0.3">
      <c r="A233" s="9">
        <f>IF(IF(SelectedScope="All India",TRUE,'RAW_QUIZ'!$B232=SelectedScope),'RAW_QUIZ'!A232,"")</f>
        <v>229</v>
      </c>
      <c r="B233" s="9" t="str">
        <f>IF(IF(SelectedScope="All India",TRUE,'RAW_QUIZ'!$B232=SelectedScope),'RAW_QUIZ'!B232,"")</f>
        <v>Meghalaya</v>
      </c>
      <c r="C233" s="9" t="str">
        <f>IF(IF(SelectedScope="All India",TRUE,'RAW_QUIZ'!$B232=SelectedScope),'RAW_QUIZ'!C232,"")</f>
        <v>Civics</v>
      </c>
      <c r="D233" s="9" t="str">
        <f>IF(IF(SelectedScope="All India",TRUE,'RAW_QUIZ'!$B232=SelectedScope),'RAW_QUIZ'!D232,"")</f>
        <v>Class 9</v>
      </c>
      <c r="E233" s="9" t="str">
        <f>IF(IF(SelectedScope="All India",TRUE,'RAW_QUIZ'!$B232=SelectedScope),'RAW_QUIZ'!E232,"")</f>
        <v>Indian Constitution — Unit Quiz</v>
      </c>
      <c r="F233" s="9">
        <f>IF(IF(SelectedScope="All India",TRUE,'RAW_QUIZ'!$B232=SelectedScope),'RAW_QUIZ'!F232,"")</f>
        <v>0</v>
      </c>
      <c r="G233" s="9" t="str">
        <f>IF(IF(SelectedScope="All India",TRUE,'RAW_QUIZ'!$B232=SelectedScope),'RAW_QUIZ'!G232,"")</f>
        <v>Active</v>
      </c>
      <c r="H233" s="9">
        <f>IF(IF(SelectedScope="All India",TRUE,'RAW_QUIZ'!$B232=SelectedScope),'RAW_QUIZ'!H232,"")</f>
        <v>0</v>
      </c>
      <c r="I233" s="9">
        <f>IF(IF(SelectedScope="All India",TRUE,'RAW_QUIZ'!$B232=SelectedScope),'RAW_QUIZ'!I232,"")</f>
        <v>0</v>
      </c>
      <c r="J233" s="9">
        <f>IF(IF(SelectedScope="All India",TRUE,'RAW_QUIZ'!$B232=SelectedScope),'RAW_QUIZ'!J232,"")</f>
        <v>0</v>
      </c>
      <c r="K233" s="9">
        <f>IF(IF(SelectedScope="All India",TRUE,'RAW_QUIZ'!$B232=SelectedScope),'RAW_QUIZ'!K232,"")</f>
        <v>0</v>
      </c>
      <c r="L233" s="9">
        <f>IF(IF(SelectedScope="All India",TRUE,'RAW_QUIZ'!$B232=SelectedScope),'RAW_QUIZ'!L232,"")</f>
        <v>0</v>
      </c>
      <c r="M233" s="9">
        <f>IF(IF(SelectedScope="All India",TRUE,'RAW_QUIZ'!$B232=SelectedScope),'RAW_QUIZ'!M232,"")</f>
        <v>0</v>
      </c>
      <c r="N233" s="9">
        <f>IF(IF(SelectedScope="All India",TRUE,'RAW_QUIZ'!$B232=SelectedScope),'RAW_QUIZ'!N232,"")</f>
        <v>0</v>
      </c>
      <c r="O233" s="9">
        <f>IF(IF(SelectedScope="All India",TRUE,'RAW_QUIZ'!$B232=SelectedScope),'RAW_QUIZ'!O232,"")</f>
        <v>0</v>
      </c>
      <c r="P233" s="9">
        <f>IF(IF(SelectedScope="All India",TRUE,'RAW_QUIZ'!$B232=SelectedScope),'RAW_QUIZ'!P232,"")</f>
        <v>0</v>
      </c>
      <c r="Q233" s="9">
        <f>IF(IF(SelectedScope="All India",TRUE,'RAW_QUIZ'!$B232=SelectedScope),'RAW_QUIZ'!Q232,"")</f>
        <v>0</v>
      </c>
    </row>
    <row r="234" spans="1:17" ht="15" customHeight="1" x14ac:dyDescent="0.3">
      <c r="A234" s="12">
        <f>IF(IF(SelectedScope="All India",TRUE,'RAW_QUIZ'!$B233=SelectedScope),'RAW_QUIZ'!A233,"")</f>
        <v>230</v>
      </c>
      <c r="B234" s="12" t="str">
        <f>IF(IF(SelectedScope="All India",TRUE,'RAW_QUIZ'!$B233=SelectedScope),'RAW_QUIZ'!B233,"")</f>
        <v>Meghalaya</v>
      </c>
      <c r="C234" s="12" t="str">
        <f>IF(IF(SelectedScope="All India",TRUE,'RAW_QUIZ'!$B233=SelectedScope),'RAW_QUIZ'!C233,"")</f>
        <v>Mathematics</v>
      </c>
      <c r="D234" s="12" t="str">
        <f>IF(IF(SelectedScope="All India",TRUE,'RAW_QUIZ'!$B233=SelectedScope),'RAW_QUIZ'!D233,"")</f>
        <v>Class 10</v>
      </c>
      <c r="E234" s="12" t="str">
        <f>IF(IF(SelectedScope="All India",TRUE,'RAW_QUIZ'!$B233=SelectedScope),'RAW_QUIZ'!E233,"")</f>
        <v>Quadratic Equations — Unit Quiz</v>
      </c>
      <c r="F234" s="12">
        <f>IF(IF(SelectedScope="All India",TRUE,'RAW_QUIZ'!$B233=SelectedScope),'RAW_QUIZ'!F233,"")</f>
        <v>0</v>
      </c>
      <c r="G234" s="12" t="str">
        <f>IF(IF(SelectedScope="All India",TRUE,'RAW_QUIZ'!$B233=SelectedScope),'RAW_QUIZ'!G233,"")</f>
        <v>Active</v>
      </c>
      <c r="H234" s="12">
        <f>IF(IF(SelectedScope="All India",TRUE,'RAW_QUIZ'!$B233=SelectedScope),'RAW_QUIZ'!H233,"")</f>
        <v>0</v>
      </c>
      <c r="I234" s="12">
        <f>IF(IF(SelectedScope="All India",TRUE,'RAW_QUIZ'!$B233=SelectedScope),'RAW_QUIZ'!I233,"")</f>
        <v>0</v>
      </c>
      <c r="J234" s="12">
        <f>IF(IF(SelectedScope="All India",TRUE,'RAW_QUIZ'!$B233=SelectedScope),'RAW_QUIZ'!J233,"")</f>
        <v>0</v>
      </c>
      <c r="K234" s="12">
        <f>IF(IF(SelectedScope="All India",TRUE,'RAW_QUIZ'!$B233=SelectedScope),'RAW_QUIZ'!K233,"")</f>
        <v>0</v>
      </c>
      <c r="L234" s="12">
        <f>IF(IF(SelectedScope="All India",TRUE,'RAW_QUIZ'!$B233=SelectedScope),'RAW_QUIZ'!L233,"")</f>
        <v>0</v>
      </c>
      <c r="M234" s="12">
        <f>IF(IF(SelectedScope="All India",TRUE,'RAW_QUIZ'!$B233=SelectedScope),'RAW_QUIZ'!M233,"")</f>
        <v>0</v>
      </c>
      <c r="N234" s="12">
        <f>IF(IF(SelectedScope="All India",TRUE,'RAW_QUIZ'!$B233=SelectedScope),'RAW_QUIZ'!N233,"")</f>
        <v>0</v>
      </c>
      <c r="O234" s="12">
        <f>IF(IF(SelectedScope="All India",TRUE,'RAW_QUIZ'!$B233=SelectedScope),'RAW_QUIZ'!O233,"")</f>
        <v>0</v>
      </c>
      <c r="P234" s="12">
        <f>IF(IF(SelectedScope="All India",TRUE,'RAW_QUIZ'!$B233=SelectedScope),'RAW_QUIZ'!P233,"")</f>
        <v>0</v>
      </c>
      <c r="Q234" s="12">
        <f>IF(IF(SelectedScope="All India",TRUE,'RAW_QUIZ'!$B233=SelectedScope),'RAW_QUIZ'!Q233,"")</f>
        <v>0</v>
      </c>
    </row>
    <row r="235" spans="1:17" ht="15" customHeight="1" x14ac:dyDescent="0.3">
      <c r="A235" s="9">
        <f>IF(IF(SelectedScope="All India",TRUE,'RAW_QUIZ'!$B234=SelectedScope),'RAW_QUIZ'!A234,"")</f>
        <v>231</v>
      </c>
      <c r="B235" s="9" t="str">
        <f>IF(IF(SelectedScope="All India",TRUE,'RAW_QUIZ'!$B234=SelectedScope),'RAW_QUIZ'!B234,"")</f>
        <v>Mizoram</v>
      </c>
      <c r="C235" s="9" t="str">
        <f>IF(IF(SelectedScope="All India",TRUE,'RAW_QUIZ'!$B234=SelectedScope),'RAW_QUIZ'!C234,"")</f>
        <v>Science</v>
      </c>
      <c r="D235" s="9" t="str">
        <f>IF(IF(SelectedScope="All India",TRUE,'RAW_QUIZ'!$B234=SelectedScope),'RAW_QUIZ'!D234,"")</f>
        <v>Class 8</v>
      </c>
      <c r="E235" s="9" t="str">
        <f>IF(IF(SelectedScope="All India",TRUE,'RAW_QUIZ'!$B234=SelectedScope),'RAW_QUIZ'!E234,"")</f>
        <v>Solar System — Unit Quiz</v>
      </c>
      <c r="F235" s="9">
        <f>IF(IF(SelectedScope="All India",TRUE,'RAW_QUIZ'!$B234=SelectedScope),'RAW_QUIZ'!F234,"")</f>
        <v>0</v>
      </c>
      <c r="G235" s="9" t="str">
        <f>IF(IF(SelectedScope="All India",TRUE,'RAW_QUIZ'!$B234=SelectedScope),'RAW_QUIZ'!G234,"")</f>
        <v>Active</v>
      </c>
      <c r="H235" s="9">
        <f>IF(IF(SelectedScope="All India",TRUE,'RAW_QUIZ'!$B234=SelectedScope),'RAW_QUIZ'!H234,"")</f>
        <v>0</v>
      </c>
      <c r="I235" s="9">
        <f>IF(IF(SelectedScope="All India",TRUE,'RAW_QUIZ'!$B234=SelectedScope),'RAW_QUIZ'!I234,"")</f>
        <v>0</v>
      </c>
      <c r="J235" s="9">
        <f>IF(IF(SelectedScope="All India",TRUE,'RAW_QUIZ'!$B234=SelectedScope),'RAW_QUIZ'!J234,"")</f>
        <v>0</v>
      </c>
      <c r="K235" s="9">
        <f>IF(IF(SelectedScope="All India",TRUE,'RAW_QUIZ'!$B234=SelectedScope),'RAW_QUIZ'!K234,"")</f>
        <v>0</v>
      </c>
      <c r="L235" s="9">
        <f>IF(IF(SelectedScope="All India",TRUE,'RAW_QUIZ'!$B234=SelectedScope),'RAW_QUIZ'!L234,"")</f>
        <v>0</v>
      </c>
      <c r="M235" s="9">
        <f>IF(IF(SelectedScope="All India",TRUE,'RAW_QUIZ'!$B234=SelectedScope),'RAW_QUIZ'!M234,"")</f>
        <v>0</v>
      </c>
      <c r="N235" s="9">
        <f>IF(IF(SelectedScope="All India",TRUE,'RAW_QUIZ'!$B234=SelectedScope),'RAW_QUIZ'!N234,"")</f>
        <v>0</v>
      </c>
      <c r="O235" s="9">
        <f>IF(IF(SelectedScope="All India",TRUE,'RAW_QUIZ'!$B234=SelectedScope),'RAW_QUIZ'!O234,"")</f>
        <v>0</v>
      </c>
      <c r="P235" s="9">
        <f>IF(IF(SelectedScope="All India",TRUE,'RAW_QUIZ'!$B234=SelectedScope),'RAW_QUIZ'!P234,"")</f>
        <v>0</v>
      </c>
      <c r="Q235" s="9">
        <f>IF(IF(SelectedScope="All India",TRUE,'RAW_QUIZ'!$B234=SelectedScope),'RAW_QUIZ'!Q234,"")</f>
        <v>0</v>
      </c>
    </row>
    <row r="236" spans="1:17" ht="15" customHeight="1" x14ac:dyDescent="0.3">
      <c r="A236" s="12">
        <f>IF(IF(SelectedScope="All India",TRUE,'RAW_QUIZ'!$B235=SelectedScope),'RAW_QUIZ'!A235,"")</f>
        <v>232</v>
      </c>
      <c r="B236" s="12" t="str">
        <f>IF(IF(SelectedScope="All India",TRUE,'RAW_QUIZ'!$B235=SelectedScope),'RAW_QUIZ'!B235,"")</f>
        <v>Mizoram</v>
      </c>
      <c r="C236" s="12" t="str">
        <f>IF(IF(SelectedScope="All India",TRUE,'RAW_QUIZ'!$B235=SelectedScope),'RAW_QUIZ'!C235,"")</f>
        <v>Biology</v>
      </c>
      <c r="D236" s="12" t="str">
        <f>IF(IF(SelectedScope="All India",TRUE,'RAW_QUIZ'!$B235=SelectedScope),'RAW_QUIZ'!D235,"")</f>
        <v>Class 9</v>
      </c>
      <c r="E236" s="12" t="str">
        <f>IF(IF(SelectedScope="All India",TRUE,'RAW_QUIZ'!$B235=SelectedScope),'RAW_QUIZ'!E235,"")</f>
        <v>Cell Division — Unit Quiz</v>
      </c>
      <c r="F236" s="12">
        <f>IF(IF(SelectedScope="All India",TRUE,'RAW_QUIZ'!$B235=SelectedScope),'RAW_QUIZ'!F235,"")</f>
        <v>0</v>
      </c>
      <c r="G236" s="12" t="str">
        <f>IF(IF(SelectedScope="All India",TRUE,'RAW_QUIZ'!$B235=SelectedScope),'RAW_QUIZ'!G235,"")</f>
        <v>Active</v>
      </c>
      <c r="H236" s="12">
        <f>IF(IF(SelectedScope="All India",TRUE,'RAW_QUIZ'!$B235=SelectedScope),'RAW_QUIZ'!H235,"")</f>
        <v>0</v>
      </c>
      <c r="I236" s="12">
        <f>IF(IF(SelectedScope="All India",TRUE,'RAW_QUIZ'!$B235=SelectedScope),'RAW_QUIZ'!I235,"")</f>
        <v>0</v>
      </c>
      <c r="J236" s="12">
        <f>IF(IF(SelectedScope="All India",TRUE,'RAW_QUIZ'!$B235=SelectedScope),'RAW_QUIZ'!J235,"")</f>
        <v>0</v>
      </c>
      <c r="K236" s="12">
        <f>IF(IF(SelectedScope="All India",TRUE,'RAW_QUIZ'!$B235=SelectedScope),'RAW_QUIZ'!K235,"")</f>
        <v>0</v>
      </c>
      <c r="L236" s="12">
        <f>IF(IF(SelectedScope="All India",TRUE,'RAW_QUIZ'!$B235=SelectedScope),'RAW_QUIZ'!L235,"")</f>
        <v>0</v>
      </c>
      <c r="M236" s="12">
        <f>IF(IF(SelectedScope="All India",TRUE,'RAW_QUIZ'!$B235=SelectedScope),'RAW_QUIZ'!M235,"")</f>
        <v>0</v>
      </c>
      <c r="N236" s="12">
        <f>IF(IF(SelectedScope="All India",TRUE,'RAW_QUIZ'!$B235=SelectedScope),'RAW_QUIZ'!N235,"")</f>
        <v>0</v>
      </c>
      <c r="O236" s="12">
        <f>IF(IF(SelectedScope="All India",TRUE,'RAW_QUIZ'!$B235=SelectedScope),'RAW_QUIZ'!O235,"")</f>
        <v>0</v>
      </c>
      <c r="P236" s="12">
        <f>IF(IF(SelectedScope="All India",TRUE,'RAW_QUIZ'!$B235=SelectedScope),'RAW_QUIZ'!P235,"")</f>
        <v>0</v>
      </c>
      <c r="Q236" s="12">
        <f>IF(IF(SelectedScope="All India",TRUE,'RAW_QUIZ'!$B235=SelectedScope),'RAW_QUIZ'!Q235,"")</f>
        <v>0</v>
      </c>
    </row>
    <row r="237" spans="1:17" ht="15" customHeight="1" x14ac:dyDescent="0.3">
      <c r="A237" s="9">
        <f>IF(IF(SelectedScope="All India",TRUE,'RAW_QUIZ'!$B236=SelectedScope),'RAW_QUIZ'!A236,"")</f>
        <v>233</v>
      </c>
      <c r="B237" s="9" t="str">
        <f>IF(IF(SelectedScope="All India",TRUE,'RAW_QUIZ'!$B236=SelectedScope),'RAW_QUIZ'!B236,"")</f>
        <v>Mizoram</v>
      </c>
      <c r="C237" s="9" t="str">
        <f>IF(IF(SelectedScope="All India",TRUE,'RAW_QUIZ'!$B236=SelectedScope),'RAW_QUIZ'!C236,"")</f>
        <v>Chemistry</v>
      </c>
      <c r="D237" s="9" t="str">
        <f>IF(IF(SelectedScope="All India",TRUE,'RAW_QUIZ'!$B236=SelectedScope),'RAW_QUIZ'!D236,"")</f>
        <v>Class 9</v>
      </c>
      <c r="E237" s="9" t="str">
        <f>IF(IF(SelectedScope="All India",TRUE,'RAW_QUIZ'!$B236=SelectedScope),'RAW_QUIZ'!E236,"")</f>
        <v>Atoms and Molecules — Unit Quiz</v>
      </c>
      <c r="F237" s="9">
        <f>IF(IF(SelectedScope="All India",TRUE,'RAW_QUIZ'!$B236=SelectedScope),'RAW_QUIZ'!F236,"")</f>
        <v>0</v>
      </c>
      <c r="G237" s="9" t="str">
        <f>IF(IF(SelectedScope="All India",TRUE,'RAW_QUIZ'!$B236=SelectedScope),'RAW_QUIZ'!G236,"")</f>
        <v>Active</v>
      </c>
      <c r="H237" s="9">
        <f>IF(IF(SelectedScope="All India",TRUE,'RAW_QUIZ'!$B236=SelectedScope),'RAW_QUIZ'!H236,"")</f>
        <v>0</v>
      </c>
      <c r="I237" s="9">
        <f>IF(IF(SelectedScope="All India",TRUE,'RAW_QUIZ'!$B236=SelectedScope),'RAW_QUIZ'!I236,"")</f>
        <v>0</v>
      </c>
      <c r="J237" s="9">
        <f>IF(IF(SelectedScope="All India",TRUE,'RAW_QUIZ'!$B236=SelectedScope),'RAW_QUIZ'!J236,"")</f>
        <v>0</v>
      </c>
      <c r="K237" s="9">
        <f>IF(IF(SelectedScope="All India",TRUE,'RAW_QUIZ'!$B236=SelectedScope),'RAW_QUIZ'!K236,"")</f>
        <v>0</v>
      </c>
      <c r="L237" s="9">
        <f>IF(IF(SelectedScope="All India",TRUE,'RAW_QUIZ'!$B236=SelectedScope),'RAW_QUIZ'!L236,"")</f>
        <v>0</v>
      </c>
      <c r="M237" s="9">
        <f>IF(IF(SelectedScope="All India",TRUE,'RAW_QUIZ'!$B236=SelectedScope),'RAW_QUIZ'!M236,"")</f>
        <v>0</v>
      </c>
      <c r="N237" s="9">
        <f>IF(IF(SelectedScope="All India",TRUE,'RAW_QUIZ'!$B236=SelectedScope),'RAW_QUIZ'!N236,"")</f>
        <v>0</v>
      </c>
      <c r="O237" s="9">
        <f>IF(IF(SelectedScope="All India",TRUE,'RAW_QUIZ'!$B236=SelectedScope),'RAW_QUIZ'!O236,"")</f>
        <v>0</v>
      </c>
      <c r="P237" s="9">
        <f>IF(IF(SelectedScope="All India",TRUE,'RAW_QUIZ'!$B236=SelectedScope),'RAW_QUIZ'!P236,"")</f>
        <v>0</v>
      </c>
      <c r="Q237" s="9">
        <f>IF(IF(SelectedScope="All India",TRUE,'RAW_QUIZ'!$B236=SelectedScope),'RAW_QUIZ'!Q236,"")</f>
        <v>0</v>
      </c>
    </row>
    <row r="238" spans="1:17" ht="15" customHeight="1" x14ac:dyDescent="0.3">
      <c r="A238" s="12">
        <f>IF(IF(SelectedScope="All India",TRUE,'RAW_QUIZ'!$B237=SelectedScope),'RAW_QUIZ'!A237,"")</f>
        <v>234</v>
      </c>
      <c r="B238" s="12" t="str">
        <f>IF(IF(SelectedScope="All India",TRUE,'RAW_QUIZ'!$B237=SelectedScope),'RAW_QUIZ'!B237,"")</f>
        <v>Mizoram</v>
      </c>
      <c r="C238" s="12" t="str">
        <f>IF(IF(SelectedScope="All India",TRUE,'RAW_QUIZ'!$B237=SelectedScope),'RAW_QUIZ'!C237,"")</f>
        <v>Mathematics</v>
      </c>
      <c r="D238" s="12" t="str">
        <f>IF(IF(SelectedScope="All India",TRUE,'RAW_QUIZ'!$B237=SelectedScope),'RAW_QUIZ'!D237,"")</f>
        <v>Class 7</v>
      </c>
      <c r="E238" s="12" t="str">
        <f>IF(IF(SelectedScope="All India",TRUE,'RAW_QUIZ'!$B237=SelectedScope),'RAW_QUIZ'!E237,"")</f>
        <v>Fractions — Unit Quiz</v>
      </c>
      <c r="F238" s="12">
        <f>IF(IF(SelectedScope="All India",TRUE,'RAW_QUIZ'!$B237=SelectedScope),'RAW_QUIZ'!F237,"")</f>
        <v>0</v>
      </c>
      <c r="G238" s="12" t="str">
        <f>IF(IF(SelectedScope="All India",TRUE,'RAW_QUIZ'!$B237=SelectedScope),'RAW_QUIZ'!G237,"")</f>
        <v>Active</v>
      </c>
      <c r="H238" s="12">
        <f>IF(IF(SelectedScope="All India",TRUE,'RAW_QUIZ'!$B237=SelectedScope),'RAW_QUIZ'!H237,"")</f>
        <v>0</v>
      </c>
      <c r="I238" s="12">
        <f>IF(IF(SelectedScope="All India",TRUE,'RAW_QUIZ'!$B237=SelectedScope),'RAW_QUIZ'!I237,"")</f>
        <v>0</v>
      </c>
      <c r="J238" s="12">
        <f>IF(IF(SelectedScope="All India",TRUE,'RAW_QUIZ'!$B237=SelectedScope),'RAW_QUIZ'!J237,"")</f>
        <v>0</v>
      </c>
      <c r="K238" s="12">
        <f>IF(IF(SelectedScope="All India",TRUE,'RAW_QUIZ'!$B237=SelectedScope),'RAW_QUIZ'!K237,"")</f>
        <v>0</v>
      </c>
      <c r="L238" s="12">
        <f>IF(IF(SelectedScope="All India",TRUE,'RAW_QUIZ'!$B237=SelectedScope),'RAW_QUIZ'!L237,"")</f>
        <v>0</v>
      </c>
      <c r="M238" s="12">
        <f>IF(IF(SelectedScope="All India",TRUE,'RAW_QUIZ'!$B237=SelectedScope),'RAW_QUIZ'!M237,"")</f>
        <v>0</v>
      </c>
      <c r="N238" s="12">
        <f>IF(IF(SelectedScope="All India",TRUE,'RAW_QUIZ'!$B237=SelectedScope),'RAW_QUIZ'!N237,"")</f>
        <v>0</v>
      </c>
      <c r="O238" s="12">
        <f>IF(IF(SelectedScope="All India",TRUE,'RAW_QUIZ'!$B237=SelectedScope),'RAW_QUIZ'!O237,"")</f>
        <v>0</v>
      </c>
      <c r="P238" s="12">
        <f>IF(IF(SelectedScope="All India",TRUE,'RAW_QUIZ'!$B237=SelectedScope),'RAW_QUIZ'!P237,"")</f>
        <v>0</v>
      </c>
      <c r="Q238" s="12">
        <f>IF(IF(SelectedScope="All India",TRUE,'RAW_QUIZ'!$B237=SelectedScope),'RAW_QUIZ'!Q237,"")</f>
        <v>0</v>
      </c>
    </row>
    <row r="239" spans="1:17" ht="15" customHeight="1" x14ac:dyDescent="0.3">
      <c r="A239" s="9">
        <f>IF(IF(SelectedScope="All India",TRUE,'RAW_QUIZ'!$B238=SelectedScope),'RAW_QUIZ'!A238,"")</f>
        <v>235</v>
      </c>
      <c r="B239" s="9" t="str">
        <f>IF(IF(SelectedScope="All India",TRUE,'RAW_QUIZ'!$B238=SelectedScope),'RAW_QUIZ'!B238,"")</f>
        <v>Mizoram</v>
      </c>
      <c r="C239" s="9" t="str">
        <f>IF(IF(SelectedScope="All India",TRUE,'RAW_QUIZ'!$B238=SelectedScope),'RAW_QUIZ'!C238,"")</f>
        <v>Mathematics</v>
      </c>
      <c r="D239" s="9" t="str">
        <f>IF(IF(SelectedScope="All India",TRUE,'RAW_QUIZ'!$B238=SelectedScope),'RAW_QUIZ'!D238,"")</f>
        <v>Class 10</v>
      </c>
      <c r="E239" s="9" t="str">
        <f>IF(IF(SelectedScope="All India",TRUE,'RAW_QUIZ'!$B238=SelectedScope),'RAW_QUIZ'!E238,"")</f>
        <v>Trigonometry — Unit Quiz</v>
      </c>
      <c r="F239" s="9">
        <f>IF(IF(SelectedScope="All India",TRUE,'RAW_QUIZ'!$B238=SelectedScope),'RAW_QUIZ'!F238,"")</f>
        <v>0</v>
      </c>
      <c r="G239" s="9" t="str">
        <f>IF(IF(SelectedScope="All India",TRUE,'RAW_QUIZ'!$B238=SelectedScope),'RAW_QUIZ'!G238,"")</f>
        <v>Active</v>
      </c>
      <c r="H239" s="9">
        <f>IF(IF(SelectedScope="All India",TRUE,'RAW_QUIZ'!$B238=SelectedScope),'RAW_QUIZ'!H238,"")</f>
        <v>0</v>
      </c>
      <c r="I239" s="9">
        <f>IF(IF(SelectedScope="All India",TRUE,'RAW_QUIZ'!$B238=SelectedScope),'RAW_QUIZ'!I238,"")</f>
        <v>0</v>
      </c>
      <c r="J239" s="9">
        <f>IF(IF(SelectedScope="All India",TRUE,'RAW_QUIZ'!$B238=SelectedScope),'RAW_QUIZ'!J238,"")</f>
        <v>0</v>
      </c>
      <c r="K239" s="9">
        <f>IF(IF(SelectedScope="All India",TRUE,'RAW_QUIZ'!$B238=SelectedScope),'RAW_QUIZ'!K238,"")</f>
        <v>0</v>
      </c>
      <c r="L239" s="9">
        <f>IF(IF(SelectedScope="All India",TRUE,'RAW_QUIZ'!$B238=SelectedScope),'RAW_QUIZ'!L238,"")</f>
        <v>0</v>
      </c>
      <c r="M239" s="9">
        <f>IF(IF(SelectedScope="All India",TRUE,'RAW_QUIZ'!$B238=SelectedScope),'RAW_QUIZ'!M238,"")</f>
        <v>0</v>
      </c>
      <c r="N239" s="9">
        <f>IF(IF(SelectedScope="All India",TRUE,'RAW_QUIZ'!$B238=SelectedScope),'RAW_QUIZ'!N238,"")</f>
        <v>0</v>
      </c>
      <c r="O239" s="9">
        <f>IF(IF(SelectedScope="All India",TRUE,'RAW_QUIZ'!$B238=SelectedScope),'RAW_QUIZ'!O238,"")</f>
        <v>0</v>
      </c>
      <c r="P239" s="9">
        <f>IF(IF(SelectedScope="All India",TRUE,'RAW_QUIZ'!$B238=SelectedScope),'RAW_QUIZ'!P238,"")</f>
        <v>0</v>
      </c>
      <c r="Q239" s="9">
        <f>IF(IF(SelectedScope="All India",TRUE,'RAW_QUIZ'!$B238=SelectedScope),'RAW_QUIZ'!Q238,"")</f>
        <v>0</v>
      </c>
    </row>
    <row r="240" spans="1:17" ht="15" customHeight="1" x14ac:dyDescent="0.3">
      <c r="A240" s="12">
        <f>IF(IF(SelectedScope="All India",TRUE,'RAW_QUIZ'!$B239=SelectedScope),'RAW_QUIZ'!A239,"")</f>
        <v>236</v>
      </c>
      <c r="B240" s="12" t="str">
        <f>IF(IF(SelectedScope="All India",TRUE,'RAW_QUIZ'!$B239=SelectedScope),'RAW_QUIZ'!B239,"")</f>
        <v>Mizoram</v>
      </c>
      <c r="C240" s="12" t="str">
        <f>IF(IF(SelectedScope="All India",TRUE,'RAW_QUIZ'!$B239=SelectedScope),'RAW_QUIZ'!C239,"")</f>
        <v>History</v>
      </c>
      <c r="D240" s="12" t="str">
        <f>IF(IF(SelectedScope="All India",TRUE,'RAW_QUIZ'!$B239=SelectedScope),'RAW_QUIZ'!D239,"")</f>
        <v>Class 10</v>
      </c>
      <c r="E240" s="12" t="str">
        <f>IF(IF(SelectedScope="All India",TRUE,'RAW_QUIZ'!$B239=SelectedScope),'RAW_QUIZ'!E239,"")</f>
        <v>Mughal Empire — Unit Quiz</v>
      </c>
      <c r="F240" s="12">
        <f>IF(IF(SelectedScope="All India",TRUE,'RAW_QUIZ'!$B239=SelectedScope),'RAW_QUIZ'!F239,"")</f>
        <v>0</v>
      </c>
      <c r="G240" s="12" t="str">
        <f>IF(IF(SelectedScope="All India",TRUE,'RAW_QUIZ'!$B239=SelectedScope),'RAW_QUIZ'!G239,"")</f>
        <v>Active</v>
      </c>
      <c r="H240" s="12">
        <f>IF(IF(SelectedScope="All India",TRUE,'RAW_QUIZ'!$B239=SelectedScope),'RAW_QUIZ'!H239,"")</f>
        <v>0</v>
      </c>
      <c r="I240" s="12">
        <f>IF(IF(SelectedScope="All India",TRUE,'RAW_QUIZ'!$B239=SelectedScope),'RAW_QUIZ'!I239,"")</f>
        <v>0</v>
      </c>
      <c r="J240" s="12">
        <f>IF(IF(SelectedScope="All India",TRUE,'RAW_QUIZ'!$B239=SelectedScope),'RAW_QUIZ'!J239,"")</f>
        <v>0</v>
      </c>
      <c r="K240" s="12">
        <f>IF(IF(SelectedScope="All India",TRUE,'RAW_QUIZ'!$B239=SelectedScope),'RAW_QUIZ'!K239,"")</f>
        <v>0</v>
      </c>
      <c r="L240" s="12">
        <f>IF(IF(SelectedScope="All India",TRUE,'RAW_QUIZ'!$B239=SelectedScope),'RAW_QUIZ'!L239,"")</f>
        <v>0</v>
      </c>
      <c r="M240" s="12">
        <f>IF(IF(SelectedScope="All India",TRUE,'RAW_QUIZ'!$B239=SelectedScope),'RAW_QUIZ'!M239,"")</f>
        <v>0</v>
      </c>
      <c r="N240" s="12">
        <f>IF(IF(SelectedScope="All India",TRUE,'RAW_QUIZ'!$B239=SelectedScope),'RAW_QUIZ'!N239,"")</f>
        <v>0</v>
      </c>
      <c r="O240" s="12">
        <f>IF(IF(SelectedScope="All India",TRUE,'RAW_QUIZ'!$B239=SelectedScope),'RAW_QUIZ'!O239,"")</f>
        <v>0</v>
      </c>
      <c r="P240" s="12">
        <f>IF(IF(SelectedScope="All India",TRUE,'RAW_QUIZ'!$B239=SelectedScope),'RAW_QUIZ'!P239,"")</f>
        <v>0</v>
      </c>
      <c r="Q240" s="12">
        <f>IF(IF(SelectedScope="All India",TRUE,'RAW_QUIZ'!$B239=SelectedScope),'RAW_QUIZ'!Q239,"")</f>
        <v>0</v>
      </c>
    </row>
    <row r="241" spans="1:17" ht="15" customHeight="1" x14ac:dyDescent="0.3">
      <c r="A241" s="9">
        <f>IF(IF(SelectedScope="All India",TRUE,'RAW_QUIZ'!$B240=SelectedScope),'RAW_QUIZ'!A240,"")</f>
        <v>237</v>
      </c>
      <c r="B241" s="9" t="str">
        <f>IF(IF(SelectedScope="All India",TRUE,'RAW_QUIZ'!$B240=SelectedScope),'RAW_QUIZ'!B240,"")</f>
        <v>Mizoram</v>
      </c>
      <c r="C241" s="9" t="str">
        <f>IF(IF(SelectedScope="All India",TRUE,'RAW_QUIZ'!$B240=SelectedScope),'RAW_QUIZ'!C240,"")</f>
        <v>Physics</v>
      </c>
      <c r="D241" s="9" t="str">
        <f>IF(IF(SelectedScope="All India",TRUE,'RAW_QUIZ'!$B240=SelectedScope),'RAW_QUIZ'!D240,"")</f>
        <v>Class 9</v>
      </c>
      <c r="E241" s="9" t="str">
        <f>IF(IF(SelectedScope="All India",TRUE,'RAW_QUIZ'!$B240=SelectedScope),'RAW_QUIZ'!E240,"")</f>
        <v>Laws of Motion — Unit Quiz</v>
      </c>
      <c r="F241" s="9">
        <f>IF(IF(SelectedScope="All India",TRUE,'RAW_QUIZ'!$B240=SelectedScope),'RAW_QUIZ'!F240,"")</f>
        <v>0</v>
      </c>
      <c r="G241" s="9" t="str">
        <f>IF(IF(SelectedScope="All India",TRUE,'RAW_QUIZ'!$B240=SelectedScope),'RAW_QUIZ'!G240,"")</f>
        <v>Active</v>
      </c>
      <c r="H241" s="9">
        <f>IF(IF(SelectedScope="All India",TRUE,'RAW_QUIZ'!$B240=SelectedScope),'RAW_QUIZ'!H240,"")</f>
        <v>0</v>
      </c>
      <c r="I241" s="9">
        <f>IF(IF(SelectedScope="All India",TRUE,'RAW_QUIZ'!$B240=SelectedScope),'RAW_QUIZ'!I240,"")</f>
        <v>0</v>
      </c>
      <c r="J241" s="9">
        <f>IF(IF(SelectedScope="All India",TRUE,'RAW_QUIZ'!$B240=SelectedScope),'RAW_QUIZ'!J240,"")</f>
        <v>0</v>
      </c>
      <c r="K241" s="9">
        <f>IF(IF(SelectedScope="All India",TRUE,'RAW_QUIZ'!$B240=SelectedScope),'RAW_QUIZ'!K240,"")</f>
        <v>0</v>
      </c>
      <c r="L241" s="9">
        <f>IF(IF(SelectedScope="All India",TRUE,'RAW_QUIZ'!$B240=SelectedScope),'RAW_QUIZ'!L240,"")</f>
        <v>0</v>
      </c>
      <c r="M241" s="9">
        <f>IF(IF(SelectedScope="All India",TRUE,'RAW_QUIZ'!$B240=SelectedScope),'RAW_QUIZ'!M240,"")</f>
        <v>0</v>
      </c>
      <c r="N241" s="9">
        <f>IF(IF(SelectedScope="All India",TRUE,'RAW_QUIZ'!$B240=SelectedScope),'RAW_QUIZ'!N240,"")</f>
        <v>0</v>
      </c>
      <c r="O241" s="9">
        <f>IF(IF(SelectedScope="All India",TRUE,'RAW_QUIZ'!$B240=SelectedScope),'RAW_QUIZ'!O240,"")</f>
        <v>0</v>
      </c>
      <c r="P241" s="9">
        <f>IF(IF(SelectedScope="All India",TRUE,'RAW_QUIZ'!$B240=SelectedScope),'RAW_QUIZ'!P240,"")</f>
        <v>0</v>
      </c>
      <c r="Q241" s="9">
        <f>IF(IF(SelectedScope="All India",TRUE,'RAW_QUIZ'!$B240=SelectedScope),'RAW_QUIZ'!Q240,"")</f>
        <v>0</v>
      </c>
    </row>
    <row r="242" spans="1:17" ht="15" customHeight="1" x14ac:dyDescent="0.3">
      <c r="A242" s="12">
        <f>IF(IF(SelectedScope="All India",TRUE,'RAW_QUIZ'!$B241=SelectedScope),'RAW_QUIZ'!A241,"")</f>
        <v>238</v>
      </c>
      <c r="B242" s="12" t="str">
        <f>IF(IF(SelectedScope="All India",TRUE,'RAW_QUIZ'!$B241=SelectedScope),'RAW_QUIZ'!B241,"")</f>
        <v>Mizoram</v>
      </c>
      <c r="C242" s="12" t="str">
        <f>IF(IF(SelectedScope="All India",TRUE,'RAW_QUIZ'!$B241=SelectedScope),'RAW_QUIZ'!C241,"")</f>
        <v>Physics</v>
      </c>
      <c r="D242" s="12" t="str">
        <f>IF(IF(SelectedScope="All India",TRUE,'RAW_QUIZ'!$B241=SelectedScope),'RAW_QUIZ'!D241,"")</f>
        <v>Class 10</v>
      </c>
      <c r="E242" s="12" t="str">
        <f>IF(IF(SelectedScope="All India",TRUE,'RAW_QUIZ'!$B241=SelectedScope),'RAW_QUIZ'!E241,"")</f>
        <v>Electricity — Unit Quiz</v>
      </c>
      <c r="F242" s="12">
        <f>IF(IF(SelectedScope="All India",TRUE,'RAW_QUIZ'!$B241=SelectedScope),'RAW_QUIZ'!F241,"")</f>
        <v>0</v>
      </c>
      <c r="G242" s="12" t="str">
        <f>IF(IF(SelectedScope="All India",TRUE,'RAW_QUIZ'!$B241=SelectedScope),'RAW_QUIZ'!G241,"")</f>
        <v>Active</v>
      </c>
      <c r="H242" s="12">
        <f>IF(IF(SelectedScope="All India",TRUE,'RAW_QUIZ'!$B241=SelectedScope),'RAW_QUIZ'!H241,"")</f>
        <v>0</v>
      </c>
      <c r="I242" s="12">
        <f>IF(IF(SelectedScope="All India",TRUE,'RAW_QUIZ'!$B241=SelectedScope),'RAW_QUIZ'!I241,"")</f>
        <v>0</v>
      </c>
      <c r="J242" s="12">
        <f>IF(IF(SelectedScope="All India",TRUE,'RAW_QUIZ'!$B241=SelectedScope),'RAW_QUIZ'!J241,"")</f>
        <v>0</v>
      </c>
      <c r="K242" s="12">
        <f>IF(IF(SelectedScope="All India",TRUE,'RAW_QUIZ'!$B241=SelectedScope),'RAW_QUIZ'!K241,"")</f>
        <v>0</v>
      </c>
      <c r="L242" s="12">
        <f>IF(IF(SelectedScope="All India",TRUE,'RAW_QUIZ'!$B241=SelectedScope),'RAW_QUIZ'!L241,"")</f>
        <v>0</v>
      </c>
      <c r="M242" s="12">
        <f>IF(IF(SelectedScope="All India",TRUE,'RAW_QUIZ'!$B241=SelectedScope),'RAW_QUIZ'!M241,"")</f>
        <v>0</v>
      </c>
      <c r="N242" s="12">
        <f>IF(IF(SelectedScope="All India",TRUE,'RAW_QUIZ'!$B241=SelectedScope),'RAW_QUIZ'!N241,"")</f>
        <v>0</v>
      </c>
      <c r="O242" s="12">
        <f>IF(IF(SelectedScope="All India",TRUE,'RAW_QUIZ'!$B241=SelectedScope),'RAW_QUIZ'!O241,"")</f>
        <v>0</v>
      </c>
      <c r="P242" s="12">
        <f>IF(IF(SelectedScope="All India",TRUE,'RAW_QUIZ'!$B241=SelectedScope),'RAW_QUIZ'!P241,"")</f>
        <v>0</v>
      </c>
      <c r="Q242" s="12">
        <f>IF(IF(SelectedScope="All India",TRUE,'RAW_QUIZ'!$B241=SelectedScope),'RAW_QUIZ'!Q241,"")</f>
        <v>0</v>
      </c>
    </row>
    <row r="243" spans="1:17" ht="15" customHeight="1" x14ac:dyDescent="0.3">
      <c r="A243" s="9">
        <f>IF(IF(SelectedScope="All India",TRUE,'RAW_QUIZ'!$B242=SelectedScope),'RAW_QUIZ'!A242,"")</f>
        <v>239</v>
      </c>
      <c r="B243" s="9" t="str">
        <f>IF(IF(SelectedScope="All India",TRUE,'RAW_QUIZ'!$B242=SelectedScope),'RAW_QUIZ'!B242,"")</f>
        <v>Mizoram</v>
      </c>
      <c r="C243" s="9" t="str">
        <f>IF(IF(SelectedScope="All India",TRUE,'RAW_QUIZ'!$B242=SelectedScope),'RAW_QUIZ'!C242,"")</f>
        <v>Civics</v>
      </c>
      <c r="D243" s="9" t="str">
        <f>IF(IF(SelectedScope="All India",TRUE,'RAW_QUIZ'!$B242=SelectedScope),'RAW_QUIZ'!D242,"")</f>
        <v>Class 9</v>
      </c>
      <c r="E243" s="9" t="str">
        <f>IF(IF(SelectedScope="All India",TRUE,'RAW_QUIZ'!$B242=SelectedScope),'RAW_QUIZ'!E242,"")</f>
        <v>Indian Constitution — Unit Quiz</v>
      </c>
      <c r="F243" s="9">
        <f>IF(IF(SelectedScope="All India",TRUE,'RAW_QUIZ'!$B242=SelectedScope),'RAW_QUIZ'!F242,"")</f>
        <v>0</v>
      </c>
      <c r="G243" s="9" t="str">
        <f>IF(IF(SelectedScope="All India",TRUE,'RAW_QUIZ'!$B242=SelectedScope),'RAW_QUIZ'!G242,"")</f>
        <v>Active</v>
      </c>
      <c r="H243" s="9">
        <f>IF(IF(SelectedScope="All India",TRUE,'RAW_QUIZ'!$B242=SelectedScope),'RAW_QUIZ'!H242,"")</f>
        <v>0</v>
      </c>
      <c r="I243" s="9">
        <f>IF(IF(SelectedScope="All India",TRUE,'RAW_QUIZ'!$B242=SelectedScope),'RAW_QUIZ'!I242,"")</f>
        <v>0</v>
      </c>
      <c r="J243" s="9">
        <f>IF(IF(SelectedScope="All India",TRUE,'RAW_QUIZ'!$B242=SelectedScope),'RAW_QUIZ'!J242,"")</f>
        <v>0</v>
      </c>
      <c r="K243" s="9">
        <f>IF(IF(SelectedScope="All India",TRUE,'RAW_QUIZ'!$B242=SelectedScope),'RAW_QUIZ'!K242,"")</f>
        <v>0</v>
      </c>
      <c r="L243" s="9">
        <f>IF(IF(SelectedScope="All India",TRUE,'RAW_QUIZ'!$B242=SelectedScope),'RAW_QUIZ'!L242,"")</f>
        <v>0</v>
      </c>
      <c r="M243" s="9">
        <f>IF(IF(SelectedScope="All India",TRUE,'RAW_QUIZ'!$B242=SelectedScope),'RAW_QUIZ'!M242,"")</f>
        <v>0</v>
      </c>
      <c r="N243" s="9">
        <f>IF(IF(SelectedScope="All India",TRUE,'RAW_QUIZ'!$B242=SelectedScope),'RAW_QUIZ'!N242,"")</f>
        <v>0</v>
      </c>
      <c r="O243" s="9">
        <f>IF(IF(SelectedScope="All India",TRUE,'RAW_QUIZ'!$B242=SelectedScope),'RAW_QUIZ'!O242,"")</f>
        <v>0</v>
      </c>
      <c r="P243" s="9">
        <f>IF(IF(SelectedScope="All India",TRUE,'RAW_QUIZ'!$B242=SelectedScope),'RAW_QUIZ'!P242,"")</f>
        <v>0</v>
      </c>
      <c r="Q243" s="9">
        <f>IF(IF(SelectedScope="All India",TRUE,'RAW_QUIZ'!$B242=SelectedScope),'RAW_QUIZ'!Q242,"")</f>
        <v>0</v>
      </c>
    </row>
    <row r="244" spans="1:17" ht="15" customHeight="1" x14ac:dyDescent="0.3">
      <c r="A244" s="12">
        <f>IF(IF(SelectedScope="All India",TRUE,'RAW_QUIZ'!$B243=SelectedScope),'RAW_QUIZ'!A243,"")</f>
        <v>240</v>
      </c>
      <c r="B244" s="12" t="str">
        <f>IF(IF(SelectedScope="All India",TRUE,'RAW_QUIZ'!$B243=SelectedScope),'RAW_QUIZ'!B243,"")</f>
        <v>Mizoram</v>
      </c>
      <c r="C244" s="12" t="str">
        <f>IF(IF(SelectedScope="All India",TRUE,'RAW_QUIZ'!$B243=SelectedScope),'RAW_QUIZ'!C243,"")</f>
        <v>Mathematics</v>
      </c>
      <c r="D244" s="12" t="str">
        <f>IF(IF(SelectedScope="All India",TRUE,'RAW_QUIZ'!$B243=SelectedScope),'RAW_QUIZ'!D243,"")</f>
        <v>Class 10</v>
      </c>
      <c r="E244" s="12" t="str">
        <f>IF(IF(SelectedScope="All India",TRUE,'RAW_QUIZ'!$B243=SelectedScope),'RAW_QUIZ'!E243,"")</f>
        <v>Quadratic Equations — Unit Quiz</v>
      </c>
      <c r="F244" s="12">
        <f>IF(IF(SelectedScope="All India",TRUE,'RAW_QUIZ'!$B243=SelectedScope),'RAW_QUIZ'!F243,"")</f>
        <v>0</v>
      </c>
      <c r="G244" s="12" t="str">
        <f>IF(IF(SelectedScope="All India",TRUE,'RAW_QUIZ'!$B243=SelectedScope),'RAW_QUIZ'!G243,"")</f>
        <v>Active</v>
      </c>
      <c r="H244" s="12">
        <f>IF(IF(SelectedScope="All India",TRUE,'RAW_QUIZ'!$B243=SelectedScope),'RAW_QUIZ'!H243,"")</f>
        <v>0</v>
      </c>
      <c r="I244" s="12">
        <f>IF(IF(SelectedScope="All India",TRUE,'RAW_QUIZ'!$B243=SelectedScope),'RAW_QUIZ'!I243,"")</f>
        <v>0</v>
      </c>
      <c r="J244" s="12">
        <f>IF(IF(SelectedScope="All India",TRUE,'RAW_QUIZ'!$B243=SelectedScope),'RAW_QUIZ'!J243,"")</f>
        <v>0</v>
      </c>
      <c r="K244" s="12">
        <f>IF(IF(SelectedScope="All India",TRUE,'RAW_QUIZ'!$B243=SelectedScope),'RAW_QUIZ'!K243,"")</f>
        <v>0</v>
      </c>
      <c r="L244" s="12">
        <f>IF(IF(SelectedScope="All India",TRUE,'RAW_QUIZ'!$B243=SelectedScope),'RAW_QUIZ'!L243,"")</f>
        <v>0</v>
      </c>
      <c r="M244" s="12">
        <f>IF(IF(SelectedScope="All India",TRUE,'RAW_QUIZ'!$B243=SelectedScope),'RAW_QUIZ'!M243,"")</f>
        <v>0</v>
      </c>
      <c r="N244" s="12">
        <f>IF(IF(SelectedScope="All India",TRUE,'RAW_QUIZ'!$B243=SelectedScope),'RAW_QUIZ'!N243,"")</f>
        <v>0</v>
      </c>
      <c r="O244" s="12">
        <f>IF(IF(SelectedScope="All India",TRUE,'RAW_QUIZ'!$B243=SelectedScope),'RAW_QUIZ'!O243,"")</f>
        <v>0</v>
      </c>
      <c r="P244" s="12">
        <f>IF(IF(SelectedScope="All India",TRUE,'RAW_QUIZ'!$B243=SelectedScope),'RAW_QUIZ'!P243,"")</f>
        <v>0</v>
      </c>
      <c r="Q244" s="12">
        <f>IF(IF(SelectedScope="All India",TRUE,'RAW_QUIZ'!$B243=SelectedScope),'RAW_QUIZ'!Q243,"")</f>
        <v>0</v>
      </c>
    </row>
    <row r="245" spans="1:17" ht="15" customHeight="1" x14ac:dyDescent="0.3">
      <c r="A245" s="9">
        <f>IF(IF(SelectedScope="All India",TRUE,'RAW_QUIZ'!$B244=SelectedScope),'RAW_QUIZ'!A244,"")</f>
        <v>241</v>
      </c>
      <c r="B245" s="9" t="str">
        <f>IF(IF(SelectedScope="All India",TRUE,'RAW_QUIZ'!$B244=SelectedScope),'RAW_QUIZ'!B244,"")</f>
        <v>Nagaland</v>
      </c>
      <c r="C245" s="9" t="str">
        <f>IF(IF(SelectedScope="All India",TRUE,'RAW_QUIZ'!$B244=SelectedScope),'RAW_QUIZ'!C244,"")</f>
        <v>Science</v>
      </c>
      <c r="D245" s="9" t="str">
        <f>IF(IF(SelectedScope="All India",TRUE,'RAW_QUIZ'!$B244=SelectedScope),'RAW_QUIZ'!D244,"")</f>
        <v>Class 8</v>
      </c>
      <c r="E245" s="9" t="str">
        <f>IF(IF(SelectedScope="All India",TRUE,'RAW_QUIZ'!$B244=SelectedScope),'RAW_QUIZ'!E244,"")</f>
        <v>Solar System — Unit Quiz</v>
      </c>
      <c r="F245" s="9">
        <f>IF(IF(SelectedScope="All India",TRUE,'RAW_QUIZ'!$B244=SelectedScope),'RAW_QUIZ'!F244,"")</f>
        <v>0</v>
      </c>
      <c r="G245" s="9" t="str">
        <f>IF(IF(SelectedScope="All India",TRUE,'RAW_QUIZ'!$B244=SelectedScope),'RAW_QUIZ'!G244,"")</f>
        <v>Active</v>
      </c>
      <c r="H245" s="9">
        <f>IF(IF(SelectedScope="All India",TRUE,'RAW_QUIZ'!$B244=SelectedScope),'RAW_QUIZ'!H244,"")</f>
        <v>0</v>
      </c>
      <c r="I245" s="9">
        <f>IF(IF(SelectedScope="All India",TRUE,'RAW_QUIZ'!$B244=SelectedScope),'RAW_QUIZ'!I244,"")</f>
        <v>0</v>
      </c>
      <c r="J245" s="9">
        <f>IF(IF(SelectedScope="All India",TRUE,'RAW_QUIZ'!$B244=SelectedScope),'RAW_QUIZ'!J244,"")</f>
        <v>0</v>
      </c>
      <c r="K245" s="9">
        <f>IF(IF(SelectedScope="All India",TRUE,'RAW_QUIZ'!$B244=SelectedScope),'RAW_QUIZ'!K244,"")</f>
        <v>0</v>
      </c>
      <c r="L245" s="9">
        <f>IF(IF(SelectedScope="All India",TRUE,'RAW_QUIZ'!$B244=SelectedScope),'RAW_QUIZ'!L244,"")</f>
        <v>0</v>
      </c>
      <c r="M245" s="9">
        <f>IF(IF(SelectedScope="All India",TRUE,'RAW_QUIZ'!$B244=SelectedScope),'RAW_QUIZ'!M244,"")</f>
        <v>0</v>
      </c>
      <c r="N245" s="9">
        <f>IF(IF(SelectedScope="All India",TRUE,'RAW_QUIZ'!$B244=SelectedScope),'RAW_QUIZ'!N244,"")</f>
        <v>0</v>
      </c>
      <c r="O245" s="9">
        <f>IF(IF(SelectedScope="All India",TRUE,'RAW_QUIZ'!$B244=SelectedScope),'RAW_QUIZ'!O244,"")</f>
        <v>0</v>
      </c>
      <c r="P245" s="9">
        <f>IF(IF(SelectedScope="All India",TRUE,'RAW_QUIZ'!$B244=SelectedScope),'RAW_QUIZ'!P244,"")</f>
        <v>0</v>
      </c>
      <c r="Q245" s="9">
        <f>IF(IF(SelectedScope="All India",TRUE,'RAW_QUIZ'!$B244=SelectedScope),'RAW_QUIZ'!Q244,"")</f>
        <v>0</v>
      </c>
    </row>
    <row r="246" spans="1:17" ht="15" customHeight="1" x14ac:dyDescent="0.3">
      <c r="A246" s="12">
        <f>IF(IF(SelectedScope="All India",TRUE,'RAW_QUIZ'!$B245=SelectedScope),'RAW_QUIZ'!A245,"")</f>
        <v>242</v>
      </c>
      <c r="B246" s="12" t="str">
        <f>IF(IF(SelectedScope="All India",TRUE,'RAW_QUIZ'!$B245=SelectedScope),'RAW_QUIZ'!B245,"")</f>
        <v>Nagaland</v>
      </c>
      <c r="C246" s="12" t="str">
        <f>IF(IF(SelectedScope="All India",TRUE,'RAW_QUIZ'!$B245=SelectedScope),'RAW_QUIZ'!C245,"")</f>
        <v>Biology</v>
      </c>
      <c r="D246" s="12" t="str">
        <f>IF(IF(SelectedScope="All India",TRUE,'RAW_QUIZ'!$B245=SelectedScope),'RAW_QUIZ'!D245,"")</f>
        <v>Class 9</v>
      </c>
      <c r="E246" s="12" t="str">
        <f>IF(IF(SelectedScope="All India",TRUE,'RAW_QUIZ'!$B245=SelectedScope),'RAW_QUIZ'!E245,"")</f>
        <v>Cell Division — Unit Quiz</v>
      </c>
      <c r="F246" s="12">
        <f>IF(IF(SelectedScope="All India",TRUE,'RAW_QUIZ'!$B245=SelectedScope),'RAW_QUIZ'!F245,"")</f>
        <v>0</v>
      </c>
      <c r="G246" s="12" t="str">
        <f>IF(IF(SelectedScope="All India",TRUE,'RAW_QUIZ'!$B245=SelectedScope),'RAW_QUIZ'!G245,"")</f>
        <v>Active</v>
      </c>
      <c r="H246" s="12">
        <f>IF(IF(SelectedScope="All India",TRUE,'RAW_QUIZ'!$B245=SelectedScope),'RAW_QUIZ'!H245,"")</f>
        <v>0</v>
      </c>
      <c r="I246" s="12">
        <f>IF(IF(SelectedScope="All India",TRUE,'RAW_QUIZ'!$B245=SelectedScope),'RAW_QUIZ'!I245,"")</f>
        <v>0</v>
      </c>
      <c r="J246" s="12">
        <f>IF(IF(SelectedScope="All India",TRUE,'RAW_QUIZ'!$B245=SelectedScope),'RAW_QUIZ'!J245,"")</f>
        <v>0</v>
      </c>
      <c r="K246" s="12">
        <f>IF(IF(SelectedScope="All India",TRUE,'RAW_QUIZ'!$B245=SelectedScope),'RAW_QUIZ'!K245,"")</f>
        <v>0</v>
      </c>
      <c r="L246" s="12">
        <f>IF(IF(SelectedScope="All India",TRUE,'RAW_QUIZ'!$B245=SelectedScope),'RAW_QUIZ'!L245,"")</f>
        <v>0</v>
      </c>
      <c r="M246" s="12">
        <f>IF(IF(SelectedScope="All India",TRUE,'RAW_QUIZ'!$B245=SelectedScope),'RAW_QUIZ'!M245,"")</f>
        <v>0</v>
      </c>
      <c r="N246" s="12">
        <f>IF(IF(SelectedScope="All India",TRUE,'RAW_QUIZ'!$B245=SelectedScope),'RAW_QUIZ'!N245,"")</f>
        <v>0</v>
      </c>
      <c r="O246" s="12">
        <f>IF(IF(SelectedScope="All India",TRUE,'RAW_QUIZ'!$B245=SelectedScope),'RAW_QUIZ'!O245,"")</f>
        <v>0</v>
      </c>
      <c r="P246" s="12">
        <f>IF(IF(SelectedScope="All India",TRUE,'RAW_QUIZ'!$B245=SelectedScope),'RAW_QUIZ'!P245,"")</f>
        <v>0</v>
      </c>
      <c r="Q246" s="12">
        <f>IF(IF(SelectedScope="All India",TRUE,'RAW_QUIZ'!$B245=SelectedScope),'RAW_QUIZ'!Q245,"")</f>
        <v>0</v>
      </c>
    </row>
    <row r="247" spans="1:17" ht="15" customHeight="1" x14ac:dyDescent="0.3">
      <c r="A247" s="9">
        <f>IF(IF(SelectedScope="All India",TRUE,'RAW_QUIZ'!$B246=SelectedScope),'RAW_QUIZ'!A246,"")</f>
        <v>243</v>
      </c>
      <c r="B247" s="9" t="str">
        <f>IF(IF(SelectedScope="All India",TRUE,'RAW_QUIZ'!$B246=SelectedScope),'RAW_QUIZ'!B246,"")</f>
        <v>Nagaland</v>
      </c>
      <c r="C247" s="9" t="str">
        <f>IF(IF(SelectedScope="All India",TRUE,'RAW_QUIZ'!$B246=SelectedScope),'RAW_QUIZ'!C246,"")</f>
        <v>Chemistry</v>
      </c>
      <c r="D247" s="9" t="str">
        <f>IF(IF(SelectedScope="All India",TRUE,'RAW_QUIZ'!$B246=SelectedScope),'RAW_QUIZ'!D246,"")</f>
        <v>Class 9</v>
      </c>
      <c r="E247" s="9" t="str">
        <f>IF(IF(SelectedScope="All India",TRUE,'RAW_QUIZ'!$B246=SelectedScope),'RAW_QUIZ'!E246,"")</f>
        <v>Atoms and Molecules — Unit Quiz</v>
      </c>
      <c r="F247" s="9">
        <f>IF(IF(SelectedScope="All India",TRUE,'RAW_QUIZ'!$B246=SelectedScope),'RAW_QUIZ'!F246,"")</f>
        <v>0</v>
      </c>
      <c r="G247" s="9" t="str">
        <f>IF(IF(SelectedScope="All India",TRUE,'RAW_QUIZ'!$B246=SelectedScope),'RAW_QUIZ'!G246,"")</f>
        <v>Active</v>
      </c>
      <c r="H247" s="9">
        <f>IF(IF(SelectedScope="All India",TRUE,'RAW_QUIZ'!$B246=SelectedScope),'RAW_QUIZ'!H246,"")</f>
        <v>0</v>
      </c>
      <c r="I247" s="9">
        <f>IF(IF(SelectedScope="All India",TRUE,'RAW_QUIZ'!$B246=SelectedScope),'RAW_QUIZ'!I246,"")</f>
        <v>0</v>
      </c>
      <c r="J247" s="9">
        <f>IF(IF(SelectedScope="All India",TRUE,'RAW_QUIZ'!$B246=SelectedScope),'RAW_QUIZ'!J246,"")</f>
        <v>0</v>
      </c>
      <c r="K247" s="9">
        <f>IF(IF(SelectedScope="All India",TRUE,'RAW_QUIZ'!$B246=SelectedScope),'RAW_QUIZ'!K246,"")</f>
        <v>0</v>
      </c>
      <c r="L247" s="9">
        <f>IF(IF(SelectedScope="All India",TRUE,'RAW_QUIZ'!$B246=SelectedScope),'RAW_QUIZ'!L246,"")</f>
        <v>0</v>
      </c>
      <c r="M247" s="9">
        <f>IF(IF(SelectedScope="All India",TRUE,'RAW_QUIZ'!$B246=SelectedScope),'RAW_QUIZ'!M246,"")</f>
        <v>0</v>
      </c>
      <c r="N247" s="9">
        <f>IF(IF(SelectedScope="All India",TRUE,'RAW_QUIZ'!$B246=SelectedScope),'RAW_QUIZ'!N246,"")</f>
        <v>0</v>
      </c>
      <c r="O247" s="9">
        <f>IF(IF(SelectedScope="All India",TRUE,'RAW_QUIZ'!$B246=SelectedScope),'RAW_QUIZ'!O246,"")</f>
        <v>0</v>
      </c>
      <c r="P247" s="9">
        <f>IF(IF(SelectedScope="All India",TRUE,'RAW_QUIZ'!$B246=SelectedScope),'RAW_QUIZ'!P246,"")</f>
        <v>0</v>
      </c>
      <c r="Q247" s="9">
        <f>IF(IF(SelectedScope="All India",TRUE,'RAW_QUIZ'!$B246=SelectedScope),'RAW_QUIZ'!Q246,"")</f>
        <v>0</v>
      </c>
    </row>
    <row r="248" spans="1:17" ht="15" customHeight="1" x14ac:dyDescent="0.3">
      <c r="A248" s="12">
        <f>IF(IF(SelectedScope="All India",TRUE,'RAW_QUIZ'!$B247=SelectedScope),'RAW_QUIZ'!A247,"")</f>
        <v>244</v>
      </c>
      <c r="B248" s="12" t="str">
        <f>IF(IF(SelectedScope="All India",TRUE,'RAW_QUIZ'!$B247=SelectedScope),'RAW_QUIZ'!B247,"")</f>
        <v>Nagaland</v>
      </c>
      <c r="C248" s="12" t="str">
        <f>IF(IF(SelectedScope="All India",TRUE,'RAW_QUIZ'!$B247=SelectedScope),'RAW_QUIZ'!C247,"")</f>
        <v>Mathematics</v>
      </c>
      <c r="D248" s="12" t="str">
        <f>IF(IF(SelectedScope="All India",TRUE,'RAW_QUIZ'!$B247=SelectedScope),'RAW_QUIZ'!D247,"")</f>
        <v>Class 7</v>
      </c>
      <c r="E248" s="12" t="str">
        <f>IF(IF(SelectedScope="All India",TRUE,'RAW_QUIZ'!$B247=SelectedScope),'RAW_QUIZ'!E247,"")</f>
        <v>Fractions — Unit Quiz</v>
      </c>
      <c r="F248" s="12">
        <f>IF(IF(SelectedScope="All India",TRUE,'RAW_QUIZ'!$B247=SelectedScope),'RAW_QUIZ'!F247,"")</f>
        <v>0</v>
      </c>
      <c r="G248" s="12" t="str">
        <f>IF(IF(SelectedScope="All India",TRUE,'RAW_QUIZ'!$B247=SelectedScope),'RAW_QUIZ'!G247,"")</f>
        <v>Active</v>
      </c>
      <c r="H248" s="12">
        <f>IF(IF(SelectedScope="All India",TRUE,'RAW_QUIZ'!$B247=SelectedScope),'RAW_QUIZ'!H247,"")</f>
        <v>0</v>
      </c>
      <c r="I248" s="12">
        <f>IF(IF(SelectedScope="All India",TRUE,'RAW_QUIZ'!$B247=SelectedScope),'RAW_QUIZ'!I247,"")</f>
        <v>0</v>
      </c>
      <c r="J248" s="12">
        <f>IF(IF(SelectedScope="All India",TRUE,'RAW_QUIZ'!$B247=SelectedScope),'RAW_QUIZ'!J247,"")</f>
        <v>0</v>
      </c>
      <c r="K248" s="12">
        <f>IF(IF(SelectedScope="All India",TRUE,'RAW_QUIZ'!$B247=SelectedScope),'RAW_QUIZ'!K247,"")</f>
        <v>0</v>
      </c>
      <c r="L248" s="12">
        <f>IF(IF(SelectedScope="All India",TRUE,'RAW_QUIZ'!$B247=SelectedScope),'RAW_QUIZ'!L247,"")</f>
        <v>0</v>
      </c>
      <c r="M248" s="12">
        <f>IF(IF(SelectedScope="All India",TRUE,'RAW_QUIZ'!$B247=SelectedScope),'RAW_QUIZ'!M247,"")</f>
        <v>0</v>
      </c>
      <c r="N248" s="12">
        <f>IF(IF(SelectedScope="All India",TRUE,'RAW_QUIZ'!$B247=SelectedScope),'RAW_QUIZ'!N247,"")</f>
        <v>0</v>
      </c>
      <c r="O248" s="12">
        <f>IF(IF(SelectedScope="All India",TRUE,'RAW_QUIZ'!$B247=SelectedScope),'RAW_QUIZ'!O247,"")</f>
        <v>0</v>
      </c>
      <c r="P248" s="12">
        <f>IF(IF(SelectedScope="All India",TRUE,'RAW_QUIZ'!$B247=SelectedScope),'RAW_QUIZ'!P247,"")</f>
        <v>0</v>
      </c>
      <c r="Q248" s="12">
        <f>IF(IF(SelectedScope="All India",TRUE,'RAW_QUIZ'!$B247=SelectedScope),'RAW_QUIZ'!Q247,"")</f>
        <v>0</v>
      </c>
    </row>
    <row r="249" spans="1:17" ht="15" customHeight="1" x14ac:dyDescent="0.3">
      <c r="A249" s="9">
        <f>IF(IF(SelectedScope="All India",TRUE,'RAW_QUIZ'!$B248=SelectedScope),'RAW_QUIZ'!A248,"")</f>
        <v>245</v>
      </c>
      <c r="B249" s="9" t="str">
        <f>IF(IF(SelectedScope="All India",TRUE,'RAW_QUIZ'!$B248=SelectedScope),'RAW_QUIZ'!B248,"")</f>
        <v>Nagaland</v>
      </c>
      <c r="C249" s="9" t="str">
        <f>IF(IF(SelectedScope="All India",TRUE,'RAW_QUIZ'!$B248=SelectedScope),'RAW_QUIZ'!C248,"")</f>
        <v>Mathematics</v>
      </c>
      <c r="D249" s="9" t="str">
        <f>IF(IF(SelectedScope="All India",TRUE,'RAW_QUIZ'!$B248=SelectedScope),'RAW_QUIZ'!D248,"")</f>
        <v>Class 10</v>
      </c>
      <c r="E249" s="9" t="str">
        <f>IF(IF(SelectedScope="All India",TRUE,'RAW_QUIZ'!$B248=SelectedScope),'RAW_QUIZ'!E248,"")</f>
        <v>Trigonometry — Unit Quiz</v>
      </c>
      <c r="F249" s="9">
        <f>IF(IF(SelectedScope="All India",TRUE,'RAW_QUIZ'!$B248=SelectedScope),'RAW_QUIZ'!F248,"")</f>
        <v>0</v>
      </c>
      <c r="G249" s="9" t="str">
        <f>IF(IF(SelectedScope="All India",TRUE,'RAW_QUIZ'!$B248=SelectedScope),'RAW_QUIZ'!G248,"")</f>
        <v>Active</v>
      </c>
      <c r="H249" s="9">
        <f>IF(IF(SelectedScope="All India",TRUE,'RAW_QUIZ'!$B248=SelectedScope),'RAW_QUIZ'!H248,"")</f>
        <v>0</v>
      </c>
      <c r="I249" s="9">
        <f>IF(IF(SelectedScope="All India",TRUE,'RAW_QUIZ'!$B248=SelectedScope),'RAW_QUIZ'!I248,"")</f>
        <v>0</v>
      </c>
      <c r="J249" s="9">
        <f>IF(IF(SelectedScope="All India",TRUE,'RAW_QUIZ'!$B248=SelectedScope),'RAW_QUIZ'!J248,"")</f>
        <v>0</v>
      </c>
      <c r="K249" s="9">
        <f>IF(IF(SelectedScope="All India",TRUE,'RAW_QUIZ'!$B248=SelectedScope),'RAW_QUIZ'!K248,"")</f>
        <v>0</v>
      </c>
      <c r="L249" s="9">
        <f>IF(IF(SelectedScope="All India",TRUE,'RAW_QUIZ'!$B248=SelectedScope),'RAW_QUIZ'!L248,"")</f>
        <v>0</v>
      </c>
      <c r="M249" s="9">
        <f>IF(IF(SelectedScope="All India",TRUE,'RAW_QUIZ'!$B248=SelectedScope),'RAW_QUIZ'!M248,"")</f>
        <v>0</v>
      </c>
      <c r="N249" s="9">
        <f>IF(IF(SelectedScope="All India",TRUE,'RAW_QUIZ'!$B248=SelectedScope),'RAW_QUIZ'!N248,"")</f>
        <v>0</v>
      </c>
      <c r="O249" s="9">
        <f>IF(IF(SelectedScope="All India",TRUE,'RAW_QUIZ'!$B248=SelectedScope),'RAW_QUIZ'!O248,"")</f>
        <v>0</v>
      </c>
      <c r="P249" s="9">
        <f>IF(IF(SelectedScope="All India",TRUE,'RAW_QUIZ'!$B248=SelectedScope),'RAW_QUIZ'!P248,"")</f>
        <v>0</v>
      </c>
      <c r="Q249" s="9">
        <f>IF(IF(SelectedScope="All India",TRUE,'RAW_QUIZ'!$B248=SelectedScope),'RAW_QUIZ'!Q248,"")</f>
        <v>0</v>
      </c>
    </row>
    <row r="250" spans="1:17" ht="15" customHeight="1" x14ac:dyDescent="0.3">
      <c r="A250" s="12">
        <f>IF(IF(SelectedScope="All India",TRUE,'RAW_QUIZ'!$B249=SelectedScope),'RAW_QUIZ'!A249,"")</f>
        <v>246</v>
      </c>
      <c r="B250" s="12" t="str">
        <f>IF(IF(SelectedScope="All India",TRUE,'RAW_QUIZ'!$B249=SelectedScope),'RAW_QUIZ'!B249,"")</f>
        <v>Nagaland</v>
      </c>
      <c r="C250" s="12" t="str">
        <f>IF(IF(SelectedScope="All India",TRUE,'RAW_QUIZ'!$B249=SelectedScope),'RAW_QUIZ'!C249,"")</f>
        <v>History</v>
      </c>
      <c r="D250" s="12" t="str">
        <f>IF(IF(SelectedScope="All India",TRUE,'RAW_QUIZ'!$B249=SelectedScope),'RAW_QUIZ'!D249,"")</f>
        <v>Class 10</v>
      </c>
      <c r="E250" s="12" t="str">
        <f>IF(IF(SelectedScope="All India",TRUE,'RAW_QUIZ'!$B249=SelectedScope),'RAW_QUIZ'!E249,"")</f>
        <v>Mughal Empire — Unit Quiz</v>
      </c>
      <c r="F250" s="12">
        <f>IF(IF(SelectedScope="All India",TRUE,'RAW_QUIZ'!$B249=SelectedScope),'RAW_QUIZ'!F249,"")</f>
        <v>0</v>
      </c>
      <c r="G250" s="12" t="str">
        <f>IF(IF(SelectedScope="All India",TRUE,'RAW_QUIZ'!$B249=SelectedScope),'RAW_QUIZ'!G249,"")</f>
        <v>Active</v>
      </c>
      <c r="H250" s="12">
        <f>IF(IF(SelectedScope="All India",TRUE,'RAW_QUIZ'!$B249=SelectedScope),'RAW_QUIZ'!H249,"")</f>
        <v>0</v>
      </c>
      <c r="I250" s="12">
        <f>IF(IF(SelectedScope="All India",TRUE,'RAW_QUIZ'!$B249=SelectedScope),'RAW_QUIZ'!I249,"")</f>
        <v>0</v>
      </c>
      <c r="J250" s="12">
        <f>IF(IF(SelectedScope="All India",TRUE,'RAW_QUIZ'!$B249=SelectedScope),'RAW_QUIZ'!J249,"")</f>
        <v>0</v>
      </c>
      <c r="K250" s="12">
        <f>IF(IF(SelectedScope="All India",TRUE,'RAW_QUIZ'!$B249=SelectedScope),'RAW_QUIZ'!K249,"")</f>
        <v>0</v>
      </c>
      <c r="L250" s="12">
        <f>IF(IF(SelectedScope="All India",TRUE,'RAW_QUIZ'!$B249=SelectedScope),'RAW_QUIZ'!L249,"")</f>
        <v>0</v>
      </c>
      <c r="M250" s="12">
        <f>IF(IF(SelectedScope="All India",TRUE,'RAW_QUIZ'!$B249=SelectedScope),'RAW_QUIZ'!M249,"")</f>
        <v>0</v>
      </c>
      <c r="N250" s="12">
        <f>IF(IF(SelectedScope="All India",TRUE,'RAW_QUIZ'!$B249=SelectedScope),'RAW_QUIZ'!N249,"")</f>
        <v>0</v>
      </c>
      <c r="O250" s="12">
        <f>IF(IF(SelectedScope="All India",TRUE,'RAW_QUIZ'!$B249=SelectedScope),'RAW_QUIZ'!O249,"")</f>
        <v>0</v>
      </c>
      <c r="P250" s="12">
        <f>IF(IF(SelectedScope="All India",TRUE,'RAW_QUIZ'!$B249=SelectedScope),'RAW_QUIZ'!P249,"")</f>
        <v>0</v>
      </c>
      <c r="Q250" s="12">
        <f>IF(IF(SelectedScope="All India",TRUE,'RAW_QUIZ'!$B249=SelectedScope),'RAW_QUIZ'!Q249,"")</f>
        <v>0</v>
      </c>
    </row>
    <row r="251" spans="1:17" ht="15" customHeight="1" x14ac:dyDescent="0.3">
      <c r="A251" s="9">
        <f>IF(IF(SelectedScope="All India",TRUE,'RAW_QUIZ'!$B250=SelectedScope),'RAW_QUIZ'!A250,"")</f>
        <v>247</v>
      </c>
      <c r="B251" s="9" t="str">
        <f>IF(IF(SelectedScope="All India",TRUE,'RAW_QUIZ'!$B250=SelectedScope),'RAW_QUIZ'!B250,"")</f>
        <v>Nagaland</v>
      </c>
      <c r="C251" s="9" t="str">
        <f>IF(IF(SelectedScope="All India",TRUE,'RAW_QUIZ'!$B250=SelectedScope),'RAW_QUIZ'!C250,"")</f>
        <v>Physics</v>
      </c>
      <c r="D251" s="9" t="str">
        <f>IF(IF(SelectedScope="All India",TRUE,'RAW_QUIZ'!$B250=SelectedScope),'RAW_QUIZ'!D250,"")</f>
        <v>Class 9</v>
      </c>
      <c r="E251" s="9" t="str">
        <f>IF(IF(SelectedScope="All India",TRUE,'RAW_QUIZ'!$B250=SelectedScope),'RAW_QUIZ'!E250,"")</f>
        <v>Laws of Motion — Unit Quiz</v>
      </c>
      <c r="F251" s="9">
        <f>IF(IF(SelectedScope="All India",TRUE,'RAW_QUIZ'!$B250=SelectedScope),'RAW_QUIZ'!F250,"")</f>
        <v>0</v>
      </c>
      <c r="G251" s="9" t="str">
        <f>IF(IF(SelectedScope="All India",TRUE,'RAW_QUIZ'!$B250=SelectedScope),'RAW_QUIZ'!G250,"")</f>
        <v>Active</v>
      </c>
      <c r="H251" s="9">
        <f>IF(IF(SelectedScope="All India",TRUE,'RAW_QUIZ'!$B250=SelectedScope),'RAW_QUIZ'!H250,"")</f>
        <v>0</v>
      </c>
      <c r="I251" s="9">
        <f>IF(IF(SelectedScope="All India",TRUE,'RAW_QUIZ'!$B250=SelectedScope),'RAW_QUIZ'!I250,"")</f>
        <v>0</v>
      </c>
      <c r="J251" s="9">
        <f>IF(IF(SelectedScope="All India",TRUE,'RAW_QUIZ'!$B250=SelectedScope),'RAW_QUIZ'!J250,"")</f>
        <v>0</v>
      </c>
      <c r="K251" s="9">
        <f>IF(IF(SelectedScope="All India",TRUE,'RAW_QUIZ'!$B250=SelectedScope),'RAW_QUIZ'!K250,"")</f>
        <v>0</v>
      </c>
      <c r="L251" s="9">
        <f>IF(IF(SelectedScope="All India",TRUE,'RAW_QUIZ'!$B250=SelectedScope),'RAW_QUIZ'!L250,"")</f>
        <v>0</v>
      </c>
      <c r="M251" s="9">
        <f>IF(IF(SelectedScope="All India",TRUE,'RAW_QUIZ'!$B250=SelectedScope),'RAW_QUIZ'!M250,"")</f>
        <v>0</v>
      </c>
      <c r="N251" s="9">
        <f>IF(IF(SelectedScope="All India",TRUE,'RAW_QUIZ'!$B250=SelectedScope),'RAW_QUIZ'!N250,"")</f>
        <v>0</v>
      </c>
      <c r="O251" s="9">
        <f>IF(IF(SelectedScope="All India",TRUE,'RAW_QUIZ'!$B250=SelectedScope),'RAW_QUIZ'!O250,"")</f>
        <v>0</v>
      </c>
      <c r="P251" s="9">
        <f>IF(IF(SelectedScope="All India",TRUE,'RAW_QUIZ'!$B250=SelectedScope),'RAW_QUIZ'!P250,"")</f>
        <v>0</v>
      </c>
      <c r="Q251" s="9">
        <f>IF(IF(SelectedScope="All India",TRUE,'RAW_QUIZ'!$B250=SelectedScope),'RAW_QUIZ'!Q250,"")</f>
        <v>0</v>
      </c>
    </row>
    <row r="252" spans="1:17" ht="15" customHeight="1" x14ac:dyDescent="0.3">
      <c r="A252" s="12">
        <f>IF(IF(SelectedScope="All India",TRUE,'RAW_QUIZ'!$B251=SelectedScope),'RAW_QUIZ'!A251,"")</f>
        <v>248</v>
      </c>
      <c r="B252" s="12" t="str">
        <f>IF(IF(SelectedScope="All India",TRUE,'RAW_QUIZ'!$B251=SelectedScope),'RAW_QUIZ'!B251,"")</f>
        <v>Nagaland</v>
      </c>
      <c r="C252" s="12" t="str">
        <f>IF(IF(SelectedScope="All India",TRUE,'RAW_QUIZ'!$B251=SelectedScope),'RAW_QUIZ'!C251,"")</f>
        <v>Physics</v>
      </c>
      <c r="D252" s="12" t="str">
        <f>IF(IF(SelectedScope="All India",TRUE,'RAW_QUIZ'!$B251=SelectedScope),'RAW_QUIZ'!D251,"")</f>
        <v>Class 10</v>
      </c>
      <c r="E252" s="12" t="str">
        <f>IF(IF(SelectedScope="All India",TRUE,'RAW_QUIZ'!$B251=SelectedScope),'RAW_QUIZ'!E251,"")</f>
        <v>Electricity — Unit Quiz</v>
      </c>
      <c r="F252" s="12">
        <f>IF(IF(SelectedScope="All India",TRUE,'RAW_QUIZ'!$B251=SelectedScope),'RAW_QUIZ'!F251,"")</f>
        <v>0</v>
      </c>
      <c r="G252" s="12" t="str">
        <f>IF(IF(SelectedScope="All India",TRUE,'RAW_QUIZ'!$B251=SelectedScope),'RAW_QUIZ'!G251,"")</f>
        <v>Active</v>
      </c>
      <c r="H252" s="12">
        <f>IF(IF(SelectedScope="All India",TRUE,'RAW_QUIZ'!$B251=SelectedScope),'RAW_QUIZ'!H251,"")</f>
        <v>0</v>
      </c>
      <c r="I252" s="12">
        <f>IF(IF(SelectedScope="All India",TRUE,'RAW_QUIZ'!$B251=SelectedScope),'RAW_QUIZ'!I251,"")</f>
        <v>0</v>
      </c>
      <c r="J252" s="12">
        <f>IF(IF(SelectedScope="All India",TRUE,'RAW_QUIZ'!$B251=SelectedScope),'RAW_QUIZ'!J251,"")</f>
        <v>0</v>
      </c>
      <c r="K252" s="12">
        <f>IF(IF(SelectedScope="All India",TRUE,'RAW_QUIZ'!$B251=SelectedScope),'RAW_QUIZ'!K251,"")</f>
        <v>0</v>
      </c>
      <c r="L252" s="12">
        <f>IF(IF(SelectedScope="All India",TRUE,'RAW_QUIZ'!$B251=SelectedScope),'RAW_QUIZ'!L251,"")</f>
        <v>0</v>
      </c>
      <c r="M252" s="12">
        <f>IF(IF(SelectedScope="All India",TRUE,'RAW_QUIZ'!$B251=SelectedScope),'RAW_QUIZ'!M251,"")</f>
        <v>0</v>
      </c>
      <c r="N252" s="12">
        <f>IF(IF(SelectedScope="All India",TRUE,'RAW_QUIZ'!$B251=SelectedScope),'RAW_QUIZ'!N251,"")</f>
        <v>0</v>
      </c>
      <c r="O252" s="12">
        <f>IF(IF(SelectedScope="All India",TRUE,'RAW_QUIZ'!$B251=SelectedScope),'RAW_QUIZ'!O251,"")</f>
        <v>0</v>
      </c>
      <c r="P252" s="12">
        <f>IF(IF(SelectedScope="All India",TRUE,'RAW_QUIZ'!$B251=SelectedScope),'RAW_QUIZ'!P251,"")</f>
        <v>0</v>
      </c>
      <c r="Q252" s="12">
        <f>IF(IF(SelectedScope="All India",TRUE,'RAW_QUIZ'!$B251=SelectedScope),'RAW_QUIZ'!Q251,"")</f>
        <v>0</v>
      </c>
    </row>
    <row r="253" spans="1:17" ht="15" customHeight="1" x14ac:dyDescent="0.3">
      <c r="A253" s="9">
        <f>IF(IF(SelectedScope="All India",TRUE,'RAW_QUIZ'!$B252=SelectedScope),'RAW_QUIZ'!A252,"")</f>
        <v>249</v>
      </c>
      <c r="B253" s="9" t="str">
        <f>IF(IF(SelectedScope="All India",TRUE,'RAW_QUIZ'!$B252=SelectedScope),'RAW_QUIZ'!B252,"")</f>
        <v>Nagaland</v>
      </c>
      <c r="C253" s="9" t="str">
        <f>IF(IF(SelectedScope="All India",TRUE,'RAW_QUIZ'!$B252=SelectedScope),'RAW_QUIZ'!C252,"")</f>
        <v>Civics</v>
      </c>
      <c r="D253" s="9" t="str">
        <f>IF(IF(SelectedScope="All India",TRUE,'RAW_QUIZ'!$B252=SelectedScope),'RAW_QUIZ'!D252,"")</f>
        <v>Class 9</v>
      </c>
      <c r="E253" s="9" t="str">
        <f>IF(IF(SelectedScope="All India",TRUE,'RAW_QUIZ'!$B252=SelectedScope),'RAW_QUIZ'!E252,"")</f>
        <v>Indian Constitution — Unit Quiz</v>
      </c>
      <c r="F253" s="9">
        <f>IF(IF(SelectedScope="All India",TRUE,'RAW_QUIZ'!$B252=SelectedScope),'RAW_QUIZ'!F252,"")</f>
        <v>0</v>
      </c>
      <c r="G253" s="9" t="str">
        <f>IF(IF(SelectedScope="All India",TRUE,'RAW_QUIZ'!$B252=SelectedScope),'RAW_QUIZ'!G252,"")</f>
        <v>Active</v>
      </c>
      <c r="H253" s="9">
        <f>IF(IF(SelectedScope="All India",TRUE,'RAW_QUIZ'!$B252=SelectedScope),'RAW_QUIZ'!H252,"")</f>
        <v>0</v>
      </c>
      <c r="I253" s="9">
        <f>IF(IF(SelectedScope="All India",TRUE,'RAW_QUIZ'!$B252=SelectedScope),'RAW_QUIZ'!I252,"")</f>
        <v>0</v>
      </c>
      <c r="J253" s="9">
        <f>IF(IF(SelectedScope="All India",TRUE,'RAW_QUIZ'!$B252=SelectedScope),'RAW_QUIZ'!J252,"")</f>
        <v>0</v>
      </c>
      <c r="K253" s="9">
        <f>IF(IF(SelectedScope="All India",TRUE,'RAW_QUIZ'!$B252=SelectedScope),'RAW_QUIZ'!K252,"")</f>
        <v>0</v>
      </c>
      <c r="L253" s="9">
        <f>IF(IF(SelectedScope="All India",TRUE,'RAW_QUIZ'!$B252=SelectedScope),'RAW_QUIZ'!L252,"")</f>
        <v>0</v>
      </c>
      <c r="M253" s="9">
        <f>IF(IF(SelectedScope="All India",TRUE,'RAW_QUIZ'!$B252=SelectedScope),'RAW_QUIZ'!M252,"")</f>
        <v>0</v>
      </c>
      <c r="N253" s="9">
        <f>IF(IF(SelectedScope="All India",TRUE,'RAW_QUIZ'!$B252=SelectedScope),'RAW_QUIZ'!N252,"")</f>
        <v>0</v>
      </c>
      <c r="O253" s="9">
        <f>IF(IF(SelectedScope="All India",TRUE,'RAW_QUIZ'!$B252=SelectedScope),'RAW_QUIZ'!O252,"")</f>
        <v>0</v>
      </c>
      <c r="P253" s="9">
        <f>IF(IF(SelectedScope="All India",TRUE,'RAW_QUIZ'!$B252=SelectedScope),'RAW_QUIZ'!P252,"")</f>
        <v>0</v>
      </c>
      <c r="Q253" s="9">
        <f>IF(IF(SelectedScope="All India",TRUE,'RAW_QUIZ'!$B252=SelectedScope),'RAW_QUIZ'!Q252,"")</f>
        <v>0</v>
      </c>
    </row>
    <row r="254" spans="1:17" ht="15" customHeight="1" x14ac:dyDescent="0.3">
      <c r="A254" s="12">
        <f>IF(IF(SelectedScope="All India",TRUE,'RAW_QUIZ'!$B253=SelectedScope),'RAW_QUIZ'!A253,"")</f>
        <v>250</v>
      </c>
      <c r="B254" s="12" t="str">
        <f>IF(IF(SelectedScope="All India",TRUE,'RAW_QUIZ'!$B253=SelectedScope),'RAW_QUIZ'!B253,"")</f>
        <v>Nagaland</v>
      </c>
      <c r="C254" s="12" t="str">
        <f>IF(IF(SelectedScope="All India",TRUE,'RAW_QUIZ'!$B253=SelectedScope),'RAW_QUIZ'!C253,"")</f>
        <v>Mathematics</v>
      </c>
      <c r="D254" s="12" t="str">
        <f>IF(IF(SelectedScope="All India",TRUE,'RAW_QUIZ'!$B253=SelectedScope),'RAW_QUIZ'!D253,"")</f>
        <v>Class 10</v>
      </c>
      <c r="E254" s="12" t="str">
        <f>IF(IF(SelectedScope="All India",TRUE,'RAW_QUIZ'!$B253=SelectedScope),'RAW_QUIZ'!E253,"")</f>
        <v>Quadratic Equations — Unit Quiz</v>
      </c>
      <c r="F254" s="12">
        <f>IF(IF(SelectedScope="All India",TRUE,'RAW_QUIZ'!$B253=SelectedScope),'RAW_QUIZ'!F253,"")</f>
        <v>0</v>
      </c>
      <c r="G254" s="12" t="str">
        <f>IF(IF(SelectedScope="All India",TRUE,'RAW_QUIZ'!$B253=SelectedScope),'RAW_QUIZ'!G253,"")</f>
        <v>Active</v>
      </c>
      <c r="H254" s="12">
        <f>IF(IF(SelectedScope="All India",TRUE,'RAW_QUIZ'!$B253=SelectedScope),'RAW_QUIZ'!H253,"")</f>
        <v>0</v>
      </c>
      <c r="I254" s="12">
        <f>IF(IF(SelectedScope="All India",TRUE,'RAW_QUIZ'!$B253=SelectedScope),'RAW_QUIZ'!I253,"")</f>
        <v>0</v>
      </c>
      <c r="J254" s="12">
        <f>IF(IF(SelectedScope="All India",TRUE,'RAW_QUIZ'!$B253=SelectedScope),'RAW_QUIZ'!J253,"")</f>
        <v>0</v>
      </c>
      <c r="K254" s="12">
        <f>IF(IF(SelectedScope="All India",TRUE,'RAW_QUIZ'!$B253=SelectedScope),'RAW_QUIZ'!K253,"")</f>
        <v>0</v>
      </c>
      <c r="L254" s="12">
        <f>IF(IF(SelectedScope="All India",TRUE,'RAW_QUIZ'!$B253=SelectedScope),'RAW_QUIZ'!L253,"")</f>
        <v>0</v>
      </c>
      <c r="M254" s="12">
        <f>IF(IF(SelectedScope="All India",TRUE,'RAW_QUIZ'!$B253=SelectedScope),'RAW_QUIZ'!M253,"")</f>
        <v>0</v>
      </c>
      <c r="N254" s="12">
        <f>IF(IF(SelectedScope="All India",TRUE,'RAW_QUIZ'!$B253=SelectedScope),'RAW_QUIZ'!N253,"")</f>
        <v>0</v>
      </c>
      <c r="O254" s="12">
        <f>IF(IF(SelectedScope="All India",TRUE,'RAW_QUIZ'!$B253=SelectedScope),'RAW_QUIZ'!O253,"")</f>
        <v>0</v>
      </c>
      <c r="P254" s="12">
        <f>IF(IF(SelectedScope="All India",TRUE,'RAW_QUIZ'!$B253=SelectedScope),'RAW_QUIZ'!P253,"")</f>
        <v>0</v>
      </c>
      <c r="Q254" s="12">
        <f>IF(IF(SelectedScope="All India",TRUE,'RAW_QUIZ'!$B253=SelectedScope),'RAW_QUIZ'!Q253,"")</f>
        <v>0</v>
      </c>
    </row>
    <row r="255" spans="1:17" ht="15" customHeight="1" x14ac:dyDescent="0.3">
      <c r="A255" s="9">
        <f>IF(IF(SelectedScope="All India",TRUE,'RAW_QUIZ'!$B254=SelectedScope),'RAW_QUIZ'!A254,"")</f>
        <v>251</v>
      </c>
      <c r="B255" s="9" t="str">
        <f>IF(IF(SelectedScope="All India",TRUE,'RAW_QUIZ'!$B254=SelectedScope),'RAW_QUIZ'!B254,"")</f>
        <v>Odisha</v>
      </c>
      <c r="C255" s="9" t="str">
        <f>IF(IF(SelectedScope="All India",TRUE,'RAW_QUIZ'!$B254=SelectedScope),'RAW_QUIZ'!C254,"")</f>
        <v>Science</v>
      </c>
      <c r="D255" s="9" t="str">
        <f>IF(IF(SelectedScope="All India",TRUE,'RAW_QUIZ'!$B254=SelectedScope),'RAW_QUIZ'!D254,"")</f>
        <v>Class 8</v>
      </c>
      <c r="E255" s="9" t="str">
        <f>IF(IF(SelectedScope="All India",TRUE,'RAW_QUIZ'!$B254=SelectedScope),'RAW_QUIZ'!E254,"")</f>
        <v>Solar System — Unit Quiz</v>
      </c>
      <c r="F255" s="9">
        <f>IF(IF(SelectedScope="All India",TRUE,'RAW_QUIZ'!$B254=SelectedScope),'RAW_QUIZ'!F254,"")</f>
        <v>0</v>
      </c>
      <c r="G255" s="9" t="str">
        <f>IF(IF(SelectedScope="All India",TRUE,'RAW_QUIZ'!$B254=SelectedScope),'RAW_QUIZ'!G254,"")</f>
        <v>Active</v>
      </c>
      <c r="H255" s="9">
        <f>IF(IF(SelectedScope="All India",TRUE,'RAW_QUIZ'!$B254=SelectedScope),'RAW_QUIZ'!H254,"")</f>
        <v>0</v>
      </c>
      <c r="I255" s="9">
        <f>IF(IF(SelectedScope="All India",TRUE,'RAW_QUIZ'!$B254=SelectedScope),'RAW_QUIZ'!I254,"")</f>
        <v>0</v>
      </c>
      <c r="J255" s="9">
        <f>IF(IF(SelectedScope="All India",TRUE,'RAW_QUIZ'!$B254=SelectedScope),'RAW_QUIZ'!J254,"")</f>
        <v>0</v>
      </c>
      <c r="K255" s="9">
        <f>IF(IF(SelectedScope="All India",TRUE,'RAW_QUIZ'!$B254=SelectedScope),'RAW_QUIZ'!K254,"")</f>
        <v>0</v>
      </c>
      <c r="L255" s="9">
        <f>IF(IF(SelectedScope="All India",TRUE,'RAW_QUIZ'!$B254=SelectedScope),'RAW_QUIZ'!L254,"")</f>
        <v>0</v>
      </c>
      <c r="M255" s="9">
        <f>IF(IF(SelectedScope="All India",TRUE,'RAW_QUIZ'!$B254=SelectedScope),'RAW_QUIZ'!M254,"")</f>
        <v>0</v>
      </c>
      <c r="N255" s="9">
        <f>IF(IF(SelectedScope="All India",TRUE,'RAW_QUIZ'!$B254=SelectedScope),'RAW_QUIZ'!N254,"")</f>
        <v>0</v>
      </c>
      <c r="O255" s="9">
        <f>IF(IF(SelectedScope="All India",TRUE,'RAW_QUIZ'!$B254=SelectedScope),'RAW_QUIZ'!O254,"")</f>
        <v>0</v>
      </c>
      <c r="P255" s="9">
        <f>IF(IF(SelectedScope="All India",TRUE,'RAW_QUIZ'!$B254=SelectedScope),'RAW_QUIZ'!P254,"")</f>
        <v>0</v>
      </c>
      <c r="Q255" s="9">
        <f>IF(IF(SelectedScope="All India",TRUE,'RAW_QUIZ'!$B254=SelectedScope),'RAW_QUIZ'!Q254,"")</f>
        <v>0</v>
      </c>
    </row>
    <row r="256" spans="1:17" ht="15" customHeight="1" x14ac:dyDescent="0.3">
      <c r="A256" s="12">
        <f>IF(IF(SelectedScope="All India",TRUE,'RAW_QUIZ'!$B255=SelectedScope),'RAW_QUIZ'!A255,"")</f>
        <v>252</v>
      </c>
      <c r="B256" s="12" t="str">
        <f>IF(IF(SelectedScope="All India",TRUE,'RAW_QUIZ'!$B255=SelectedScope),'RAW_QUIZ'!B255,"")</f>
        <v>Odisha</v>
      </c>
      <c r="C256" s="12" t="str">
        <f>IF(IF(SelectedScope="All India",TRUE,'RAW_QUIZ'!$B255=SelectedScope),'RAW_QUIZ'!C255,"")</f>
        <v>Biology</v>
      </c>
      <c r="D256" s="12" t="str">
        <f>IF(IF(SelectedScope="All India",TRUE,'RAW_QUIZ'!$B255=SelectedScope),'RAW_QUIZ'!D255,"")</f>
        <v>Class 9</v>
      </c>
      <c r="E256" s="12" t="str">
        <f>IF(IF(SelectedScope="All India",TRUE,'RAW_QUIZ'!$B255=SelectedScope),'RAW_QUIZ'!E255,"")</f>
        <v>Cell Division — Unit Quiz</v>
      </c>
      <c r="F256" s="12">
        <f>IF(IF(SelectedScope="All India",TRUE,'RAW_QUIZ'!$B255=SelectedScope),'RAW_QUIZ'!F255,"")</f>
        <v>0</v>
      </c>
      <c r="G256" s="12" t="str">
        <f>IF(IF(SelectedScope="All India",TRUE,'RAW_QUIZ'!$B255=SelectedScope),'RAW_QUIZ'!G255,"")</f>
        <v>Active</v>
      </c>
      <c r="H256" s="12">
        <f>IF(IF(SelectedScope="All India",TRUE,'RAW_QUIZ'!$B255=SelectedScope),'RAW_QUIZ'!H255,"")</f>
        <v>0</v>
      </c>
      <c r="I256" s="12">
        <f>IF(IF(SelectedScope="All India",TRUE,'RAW_QUIZ'!$B255=SelectedScope),'RAW_QUIZ'!I255,"")</f>
        <v>0</v>
      </c>
      <c r="J256" s="12">
        <f>IF(IF(SelectedScope="All India",TRUE,'RAW_QUIZ'!$B255=SelectedScope),'RAW_QUIZ'!J255,"")</f>
        <v>0</v>
      </c>
      <c r="K256" s="12">
        <f>IF(IF(SelectedScope="All India",TRUE,'RAW_QUIZ'!$B255=SelectedScope),'RAW_QUIZ'!K255,"")</f>
        <v>0</v>
      </c>
      <c r="L256" s="12">
        <f>IF(IF(SelectedScope="All India",TRUE,'RAW_QUIZ'!$B255=SelectedScope),'RAW_QUIZ'!L255,"")</f>
        <v>0</v>
      </c>
      <c r="M256" s="12">
        <f>IF(IF(SelectedScope="All India",TRUE,'RAW_QUIZ'!$B255=SelectedScope),'RAW_QUIZ'!M255,"")</f>
        <v>0</v>
      </c>
      <c r="N256" s="12">
        <f>IF(IF(SelectedScope="All India",TRUE,'RAW_QUIZ'!$B255=SelectedScope),'RAW_QUIZ'!N255,"")</f>
        <v>0</v>
      </c>
      <c r="O256" s="12">
        <f>IF(IF(SelectedScope="All India",TRUE,'RAW_QUIZ'!$B255=SelectedScope),'RAW_QUIZ'!O255,"")</f>
        <v>0</v>
      </c>
      <c r="P256" s="12">
        <f>IF(IF(SelectedScope="All India",TRUE,'RAW_QUIZ'!$B255=SelectedScope),'RAW_QUIZ'!P255,"")</f>
        <v>0</v>
      </c>
      <c r="Q256" s="12">
        <f>IF(IF(SelectedScope="All India",TRUE,'RAW_QUIZ'!$B255=SelectedScope),'RAW_QUIZ'!Q255,"")</f>
        <v>0</v>
      </c>
    </row>
    <row r="257" spans="1:17" ht="15" customHeight="1" x14ac:dyDescent="0.3">
      <c r="A257" s="9">
        <f>IF(IF(SelectedScope="All India",TRUE,'RAW_QUIZ'!$B256=SelectedScope),'RAW_QUIZ'!A256,"")</f>
        <v>253</v>
      </c>
      <c r="B257" s="9" t="str">
        <f>IF(IF(SelectedScope="All India",TRUE,'RAW_QUIZ'!$B256=SelectedScope),'RAW_QUIZ'!B256,"")</f>
        <v>Odisha</v>
      </c>
      <c r="C257" s="9" t="str">
        <f>IF(IF(SelectedScope="All India",TRUE,'RAW_QUIZ'!$B256=SelectedScope),'RAW_QUIZ'!C256,"")</f>
        <v>Chemistry</v>
      </c>
      <c r="D257" s="9" t="str">
        <f>IF(IF(SelectedScope="All India",TRUE,'RAW_QUIZ'!$B256=SelectedScope),'RAW_QUIZ'!D256,"")</f>
        <v>Class 9</v>
      </c>
      <c r="E257" s="9" t="str">
        <f>IF(IF(SelectedScope="All India",TRUE,'RAW_QUIZ'!$B256=SelectedScope),'RAW_QUIZ'!E256,"")</f>
        <v>Atoms and Molecules — Unit Quiz</v>
      </c>
      <c r="F257" s="9">
        <f>IF(IF(SelectedScope="All India",TRUE,'RAW_QUIZ'!$B256=SelectedScope),'RAW_QUIZ'!F256,"")</f>
        <v>0</v>
      </c>
      <c r="G257" s="9" t="str">
        <f>IF(IF(SelectedScope="All India",TRUE,'RAW_QUIZ'!$B256=SelectedScope),'RAW_QUIZ'!G256,"")</f>
        <v>Active</v>
      </c>
      <c r="H257" s="9">
        <f>IF(IF(SelectedScope="All India",TRUE,'RAW_QUIZ'!$B256=SelectedScope),'RAW_QUIZ'!H256,"")</f>
        <v>0</v>
      </c>
      <c r="I257" s="9">
        <f>IF(IF(SelectedScope="All India",TRUE,'RAW_QUIZ'!$B256=SelectedScope),'RAW_QUIZ'!I256,"")</f>
        <v>0</v>
      </c>
      <c r="J257" s="9">
        <f>IF(IF(SelectedScope="All India",TRUE,'RAW_QUIZ'!$B256=SelectedScope),'RAW_QUIZ'!J256,"")</f>
        <v>0</v>
      </c>
      <c r="K257" s="9">
        <f>IF(IF(SelectedScope="All India",TRUE,'RAW_QUIZ'!$B256=SelectedScope),'RAW_QUIZ'!K256,"")</f>
        <v>0</v>
      </c>
      <c r="L257" s="9">
        <f>IF(IF(SelectedScope="All India",TRUE,'RAW_QUIZ'!$B256=SelectedScope),'RAW_QUIZ'!L256,"")</f>
        <v>0</v>
      </c>
      <c r="M257" s="9">
        <f>IF(IF(SelectedScope="All India",TRUE,'RAW_QUIZ'!$B256=SelectedScope),'RAW_QUIZ'!M256,"")</f>
        <v>0</v>
      </c>
      <c r="N257" s="9">
        <f>IF(IF(SelectedScope="All India",TRUE,'RAW_QUIZ'!$B256=SelectedScope),'RAW_QUIZ'!N256,"")</f>
        <v>0</v>
      </c>
      <c r="O257" s="9">
        <f>IF(IF(SelectedScope="All India",TRUE,'RAW_QUIZ'!$B256=SelectedScope),'RAW_QUIZ'!O256,"")</f>
        <v>0</v>
      </c>
      <c r="P257" s="9">
        <f>IF(IF(SelectedScope="All India",TRUE,'RAW_QUIZ'!$B256=SelectedScope),'RAW_QUIZ'!P256,"")</f>
        <v>0</v>
      </c>
      <c r="Q257" s="9">
        <f>IF(IF(SelectedScope="All India",TRUE,'RAW_QUIZ'!$B256=SelectedScope),'RAW_QUIZ'!Q256,"")</f>
        <v>0</v>
      </c>
    </row>
    <row r="258" spans="1:17" ht="15" customHeight="1" x14ac:dyDescent="0.3">
      <c r="A258" s="12">
        <f>IF(IF(SelectedScope="All India",TRUE,'RAW_QUIZ'!$B257=SelectedScope),'RAW_QUIZ'!A257,"")</f>
        <v>254</v>
      </c>
      <c r="B258" s="12" t="str">
        <f>IF(IF(SelectedScope="All India",TRUE,'RAW_QUIZ'!$B257=SelectedScope),'RAW_QUIZ'!B257,"")</f>
        <v>Odisha</v>
      </c>
      <c r="C258" s="12" t="str">
        <f>IF(IF(SelectedScope="All India",TRUE,'RAW_QUIZ'!$B257=SelectedScope),'RAW_QUIZ'!C257,"")</f>
        <v>Mathematics</v>
      </c>
      <c r="D258" s="12" t="str">
        <f>IF(IF(SelectedScope="All India",TRUE,'RAW_QUIZ'!$B257=SelectedScope),'RAW_QUIZ'!D257,"")</f>
        <v>Class 7</v>
      </c>
      <c r="E258" s="12" t="str">
        <f>IF(IF(SelectedScope="All India",TRUE,'RAW_QUIZ'!$B257=SelectedScope),'RAW_QUIZ'!E257,"")</f>
        <v>Fractions — Unit Quiz</v>
      </c>
      <c r="F258" s="12">
        <f>IF(IF(SelectedScope="All India",TRUE,'RAW_QUIZ'!$B257=SelectedScope),'RAW_QUIZ'!F257,"")</f>
        <v>0</v>
      </c>
      <c r="G258" s="12" t="str">
        <f>IF(IF(SelectedScope="All India",TRUE,'RAW_QUIZ'!$B257=SelectedScope),'RAW_QUIZ'!G257,"")</f>
        <v>Active</v>
      </c>
      <c r="H258" s="12">
        <f>IF(IF(SelectedScope="All India",TRUE,'RAW_QUIZ'!$B257=SelectedScope),'RAW_QUIZ'!H257,"")</f>
        <v>0</v>
      </c>
      <c r="I258" s="12">
        <f>IF(IF(SelectedScope="All India",TRUE,'RAW_QUIZ'!$B257=SelectedScope),'RAW_QUIZ'!I257,"")</f>
        <v>0</v>
      </c>
      <c r="J258" s="12">
        <f>IF(IF(SelectedScope="All India",TRUE,'RAW_QUIZ'!$B257=SelectedScope),'RAW_QUIZ'!J257,"")</f>
        <v>0</v>
      </c>
      <c r="K258" s="12">
        <f>IF(IF(SelectedScope="All India",TRUE,'RAW_QUIZ'!$B257=SelectedScope),'RAW_QUIZ'!K257,"")</f>
        <v>0</v>
      </c>
      <c r="L258" s="12">
        <f>IF(IF(SelectedScope="All India",TRUE,'RAW_QUIZ'!$B257=SelectedScope),'RAW_QUIZ'!L257,"")</f>
        <v>0</v>
      </c>
      <c r="M258" s="12">
        <f>IF(IF(SelectedScope="All India",TRUE,'RAW_QUIZ'!$B257=SelectedScope),'RAW_QUIZ'!M257,"")</f>
        <v>0</v>
      </c>
      <c r="N258" s="12">
        <f>IF(IF(SelectedScope="All India",TRUE,'RAW_QUIZ'!$B257=SelectedScope),'RAW_QUIZ'!N257,"")</f>
        <v>0</v>
      </c>
      <c r="O258" s="12">
        <f>IF(IF(SelectedScope="All India",TRUE,'RAW_QUIZ'!$B257=SelectedScope),'RAW_QUIZ'!O257,"")</f>
        <v>0</v>
      </c>
      <c r="P258" s="12">
        <f>IF(IF(SelectedScope="All India",TRUE,'RAW_QUIZ'!$B257=SelectedScope),'RAW_QUIZ'!P257,"")</f>
        <v>0</v>
      </c>
      <c r="Q258" s="12">
        <f>IF(IF(SelectedScope="All India",TRUE,'RAW_QUIZ'!$B257=SelectedScope),'RAW_QUIZ'!Q257,"")</f>
        <v>0</v>
      </c>
    </row>
    <row r="259" spans="1:17" ht="15" customHeight="1" x14ac:dyDescent="0.3">
      <c r="A259" s="9">
        <f>IF(IF(SelectedScope="All India",TRUE,'RAW_QUIZ'!$B258=SelectedScope),'RAW_QUIZ'!A258,"")</f>
        <v>255</v>
      </c>
      <c r="B259" s="9" t="str">
        <f>IF(IF(SelectedScope="All India",TRUE,'RAW_QUIZ'!$B258=SelectedScope),'RAW_QUIZ'!B258,"")</f>
        <v>Odisha</v>
      </c>
      <c r="C259" s="9" t="str">
        <f>IF(IF(SelectedScope="All India",TRUE,'RAW_QUIZ'!$B258=SelectedScope),'RAW_QUIZ'!C258,"")</f>
        <v>Mathematics</v>
      </c>
      <c r="D259" s="9" t="str">
        <f>IF(IF(SelectedScope="All India",TRUE,'RAW_QUIZ'!$B258=SelectedScope),'RAW_QUIZ'!D258,"")</f>
        <v>Class 10</v>
      </c>
      <c r="E259" s="9" t="str">
        <f>IF(IF(SelectedScope="All India",TRUE,'RAW_QUIZ'!$B258=SelectedScope),'RAW_QUIZ'!E258,"")</f>
        <v>Trigonometry — Unit Quiz</v>
      </c>
      <c r="F259" s="9">
        <f>IF(IF(SelectedScope="All India",TRUE,'RAW_QUIZ'!$B258=SelectedScope),'RAW_QUIZ'!F258,"")</f>
        <v>0</v>
      </c>
      <c r="G259" s="9" t="str">
        <f>IF(IF(SelectedScope="All India",TRUE,'RAW_QUIZ'!$B258=SelectedScope),'RAW_QUIZ'!G258,"")</f>
        <v>Active</v>
      </c>
      <c r="H259" s="9">
        <f>IF(IF(SelectedScope="All India",TRUE,'RAW_QUIZ'!$B258=SelectedScope),'RAW_QUIZ'!H258,"")</f>
        <v>0</v>
      </c>
      <c r="I259" s="9">
        <f>IF(IF(SelectedScope="All India",TRUE,'RAW_QUIZ'!$B258=SelectedScope),'RAW_QUIZ'!I258,"")</f>
        <v>0</v>
      </c>
      <c r="J259" s="9">
        <f>IF(IF(SelectedScope="All India",TRUE,'RAW_QUIZ'!$B258=SelectedScope),'RAW_QUIZ'!J258,"")</f>
        <v>0</v>
      </c>
      <c r="K259" s="9">
        <f>IF(IF(SelectedScope="All India",TRUE,'RAW_QUIZ'!$B258=SelectedScope),'RAW_QUIZ'!K258,"")</f>
        <v>0</v>
      </c>
      <c r="L259" s="9">
        <f>IF(IF(SelectedScope="All India",TRUE,'RAW_QUIZ'!$B258=SelectedScope),'RAW_QUIZ'!L258,"")</f>
        <v>0</v>
      </c>
      <c r="M259" s="9">
        <f>IF(IF(SelectedScope="All India",TRUE,'RAW_QUIZ'!$B258=SelectedScope),'RAW_QUIZ'!M258,"")</f>
        <v>0</v>
      </c>
      <c r="N259" s="9">
        <f>IF(IF(SelectedScope="All India",TRUE,'RAW_QUIZ'!$B258=SelectedScope),'RAW_QUIZ'!N258,"")</f>
        <v>0</v>
      </c>
      <c r="O259" s="9">
        <f>IF(IF(SelectedScope="All India",TRUE,'RAW_QUIZ'!$B258=SelectedScope),'RAW_QUIZ'!O258,"")</f>
        <v>0</v>
      </c>
      <c r="P259" s="9">
        <f>IF(IF(SelectedScope="All India",TRUE,'RAW_QUIZ'!$B258=SelectedScope),'RAW_QUIZ'!P258,"")</f>
        <v>0</v>
      </c>
      <c r="Q259" s="9">
        <f>IF(IF(SelectedScope="All India",TRUE,'RAW_QUIZ'!$B258=SelectedScope),'RAW_QUIZ'!Q258,"")</f>
        <v>0</v>
      </c>
    </row>
    <row r="260" spans="1:17" ht="15" customHeight="1" x14ac:dyDescent="0.3">
      <c r="A260" s="12">
        <f>IF(IF(SelectedScope="All India",TRUE,'RAW_QUIZ'!$B259=SelectedScope),'RAW_QUIZ'!A259,"")</f>
        <v>256</v>
      </c>
      <c r="B260" s="12" t="str">
        <f>IF(IF(SelectedScope="All India",TRUE,'RAW_QUIZ'!$B259=SelectedScope),'RAW_QUIZ'!B259,"")</f>
        <v>Odisha</v>
      </c>
      <c r="C260" s="12" t="str">
        <f>IF(IF(SelectedScope="All India",TRUE,'RAW_QUIZ'!$B259=SelectedScope),'RAW_QUIZ'!C259,"")</f>
        <v>History</v>
      </c>
      <c r="D260" s="12" t="str">
        <f>IF(IF(SelectedScope="All India",TRUE,'RAW_QUIZ'!$B259=SelectedScope),'RAW_QUIZ'!D259,"")</f>
        <v>Class 10</v>
      </c>
      <c r="E260" s="12" t="str">
        <f>IF(IF(SelectedScope="All India",TRUE,'RAW_QUIZ'!$B259=SelectedScope),'RAW_QUIZ'!E259,"")</f>
        <v>Mughal Empire — Unit Quiz</v>
      </c>
      <c r="F260" s="12">
        <f>IF(IF(SelectedScope="All India",TRUE,'RAW_QUIZ'!$B259=SelectedScope),'RAW_QUIZ'!F259,"")</f>
        <v>0</v>
      </c>
      <c r="G260" s="12" t="str">
        <f>IF(IF(SelectedScope="All India",TRUE,'RAW_QUIZ'!$B259=SelectedScope),'RAW_QUIZ'!G259,"")</f>
        <v>Active</v>
      </c>
      <c r="H260" s="12">
        <f>IF(IF(SelectedScope="All India",TRUE,'RAW_QUIZ'!$B259=SelectedScope),'RAW_QUIZ'!H259,"")</f>
        <v>0</v>
      </c>
      <c r="I260" s="12">
        <f>IF(IF(SelectedScope="All India",TRUE,'RAW_QUIZ'!$B259=SelectedScope),'RAW_QUIZ'!I259,"")</f>
        <v>0</v>
      </c>
      <c r="J260" s="12">
        <f>IF(IF(SelectedScope="All India",TRUE,'RAW_QUIZ'!$B259=SelectedScope),'RAW_QUIZ'!J259,"")</f>
        <v>0</v>
      </c>
      <c r="K260" s="12">
        <f>IF(IF(SelectedScope="All India",TRUE,'RAW_QUIZ'!$B259=SelectedScope),'RAW_QUIZ'!K259,"")</f>
        <v>0</v>
      </c>
      <c r="L260" s="12">
        <f>IF(IF(SelectedScope="All India",TRUE,'RAW_QUIZ'!$B259=SelectedScope),'RAW_QUIZ'!L259,"")</f>
        <v>0</v>
      </c>
      <c r="M260" s="12">
        <f>IF(IF(SelectedScope="All India",TRUE,'RAW_QUIZ'!$B259=SelectedScope),'RAW_QUIZ'!M259,"")</f>
        <v>0</v>
      </c>
      <c r="N260" s="12">
        <f>IF(IF(SelectedScope="All India",TRUE,'RAW_QUIZ'!$B259=SelectedScope),'RAW_QUIZ'!N259,"")</f>
        <v>0</v>
      </c>
      <c r="O260" s="12">
        <f>IF(IF(SelectedScope="All India",TRUE,'RAW_QUIZ'!$B259=SelectedScope),'RAW_QUIZ'!O259,"")</f>
        <v>0</v>
      </c>
      <c r="P260" s="12">
        <f>IF(IF(SelectedScope="All India",TRUE,'RAW_QUIZ'!$B259=SelectedScope),'RAW_QUIZ'!P259,"")</f>
        <v>0</v>
      </c>
      <c r="Q260" s="12">
        <f>IF(IF(SelectedScope="All India",TRUE,'RAW_QUIZ'!$B259=SelectedScope),'RAW_QUIZ'!Q259,"")</f>
        <v>0</v>
      </c>
    </row>
    <row r="261" spans="1:17" ht="15" customHeight="1" x14ac:dyDescent="0.3">
      <c r="A261" s="9">
        <f>IF(IF(SelectedScope="All India",TRUE,'RAW_QUIZ'!$B260=SelectedScope),'RAW_QUIZ'!A260,"")</f>
        <v>257</v>
      </c>
      <c r="B261" s="9" t="str">
        <f>IF(IF(SelectedScope="All India",TRUE,'RAW_QUIZ'!$B260=SelectedScope),'RAW_QUIZ'!B260,"")</f>
        <v>Odisha</v>
      </c>
      <c r="C261" s="9" t="str">
        <f>IF(IF(SelectedScope="All India",TRUE,'RAW_QUIZ'!$B260=SelectedScope),'RAW_QUIZ'!C260,"")</f>
        <v>Physics</v>
      </c>
      <c r="D261" s="9" t="str">
        <f>IF(IF(SelectedScope="All India",TRUE,'RAW_QUIZ'!$B260=SelectedScope),'RAW_QUIZ'!D260,"")</f>
        <v>Class 9</v>
      </c>
      <c r="E261" s="9" t="str">
        <f>IF(IF(SelectedScope="All India",TRUE,'RAW_QUIZ'!$B260=SelectedScope),'RAW_QUIZ'!E260,"")</f>
        <v>Laws of Motion — Unit Quiz</v>
      </c>
      <c r="F261" s="9">
        <f>IF(IF(SelectedScope="All India",TRUE,'RAW_QUIZ'!$B260=SelectedScope),'RAW_QUIZ'!F260,"")</f>
        <v>0</v>
      </c>
      <c r="G261" s="9" t="str">
        <f>IF(IF(SelectedScope="All India",TRUE,'RAW_QUIZ'!$B260=SelectedScope),'RAW_QUIZ'!G260,"")</f>
        <v>Active</v>
      </c>
      <c r="H261" s="9">
        <f>IF(IF(SelectedScope="All India",TRUE,'RAW_QUIZ'!$B260=SelectedScope),'RAW_QUIZ'!H260,"")</f>
        <v>0</v>
      </c>
      <c r="I261" s="9">
        <f>IF(IF(SelectedScope="All India",TRUE,'RAW_QUIZ'!$B260=SelectedScope),'RAW_QUIZ'!I260,"")</f>
        <v>0</v>
      </c>
      <c r="J261" s="9">
        <f>IF(IF(SelectedScope="All India",TRUE,'RAW_QUIZ'!$B260=SelectedScope),'RAW_QUIZ'!J260,"")</f>
        <v>0</v>
      </c>
      <c r="K261" s="9">
        <f>IF(IF(SelectedScope="All India",TRUE,'RAW_QUIZ'!$B260=SelectedScope),'RAW_QUIZ'!K260,"")</f>
        <v>0</v>
      </c>
      <c r="L261" s="9">
        <f>IF(IF(SelectedScope="All India",TRUE,'RAW_QUIZ'!$B260=SelectedScope),'RAW_QUIZ'!L260,"")</f>
        <v>0</v>
      </c>
      <c r="M261" s="9">
        <f>IF(IF(SelectedScope="All India",TRUE,'RAW_QUIZ'!$B260=SelectedScope),'RAW_QUIZ'!M260,"")</f>
        <v>0</v>
      </c>
      <c r="N261" s="9">
        <f>IF(IF(SelectedScope="All India",TRUE,'RAW_QUIZ'!$B260=SelectedScope),'RAW_QUIZ'!N260,"")</f>
        <v>0</v>
      </c>
      <c r="O261" s="9">
        <f>IF(IF(SelectedScope="All India",TRUE,'RAW_QUIZ'!$B260=SelectedScope),'RAW_QUIZ'!O260,"")</f>
        <v>0</v>
      </c>
      <c r="P261" s="9">
        <f>IF(IF(SelectedScope="All India",TRUE,'RAW_QUIZ'!$B260=SelectedScope),'RAW_QUIZ'!P260,"")</f>
        <v>0</v>
      </c>
      <c r="Q261" s="9">
        <f>IF(IF(SelectedScope="All India",TRUE,'RAW_QUIZ'!$B260=SelectedScope),'RAW_QUIZ'!Q260,"")</f>
        <v>0</v>
      </c>
    </row>
    <row r="262" spans="1:17" ht="15" customHeight="1" x14ac:dyDescent="0.3">
      <c r="A262" s="12">
        <f>IF(IF(SelectedScope="All India",TRUE,'RAW_QUIZ'!$B261=SelectedScope),'RAW_QUIZ'!A261,"")</f>
        <v>258</v>
      </c>
      <c r="B262" s="12" t="str">
        <f>IF(IF(SelectedScope="All India",TRUE,'RAW_QUIZ'!$B261=SelectedScope),'RAW_QUIZ'!B261,"")</f>
        <v>Odisha</v>
      </c>
      <c r="C262" s="12" t="str">
        <f>IF(IF(SelectedScope="All India",TRUE,'RAW_QUIZ'!$B261=SelectedScope),'RAW_QUIZ'!C261,"")</f>
        <v>Physics</v>
      </c>
      <c r="D262" s="12" t="str">
        <f>IF(IF(SelectedScope="All India",TRUE,'RAW_QUIZ'!$B261=SelectedScope),'RAW_QUIZ'!D261,"")</f>
        <v>Class 10</v>
      </c>
      <c r="E262" s="12" t="str">
        <f>IF(IF(SelectedScope="All India",TRUE,'RAW_QUIZ'!$B261=SelectedScope),'RAW_QUIZ'!E261,"")</f>
        <v>Electricity — Unit Quiz</v>
      </c>
      <c r="F262" s="12">
        <f>IF(IF(SelectedScope="All India",TRUE,'RAW_QUIZ'!$B261=SelectedScope),'RAW_QUIZ'!F261,"")</f>
        <v>0</v>
      </c>
      <c r="G262" s="12" t="str">
        <f>IF(IF(SelectedScope="All India",TRUE,'RAW_QUIZ'!$B261=SelectedScope),'RAW_QUIZ'!G261,"")</f>
        <v>Active</v>
      </c>
      <c r="H262" s="12">
        <f>IF(IF(SelectedScope="All India",TRUE,'RAW_QUIZ'!$B261=SelectedScope),'RAW_QUIZ'!H261,"")</f>
        <v>0</v>
      </c>
      <c r="I262" s="12">
        <f>IF(IF(SelectedScope="All India",TRUE,'RAW_QUIZ'!$B261=SelectedScope),'RAW_QUIZ'!I261,"")</f>
        <v>0</v>
      </c>
      <c r="J262" s="12">
        <f>IF(IF(SelectedScope="All India",TRUE,'RAW_QUIZ'!$B261=SelectedScope),'RAW_QUIZ'!J261,"")</f>
        <v>0</v>
      </c>
      <c r="K262" s="12">
        <f>IF(IF(SelectedScope="All India",TRUE,'RAW_QUIZ'!$B261=SelectedScope),'RAW_QUIZ'!K261,"")</f>
        <v>0</v>
      </c>
      <c r="L262" s="12">
        <f>IF(IF(SelectedScope="All India",TRUE,'RAW_QUIZ'!$B261=SelectedScope),'RAW_QUIZ'!L261,"")</f>
        <v>0</v>
      </c>
      <c r="M262" s="12">
        <f>IF(IF(SelectedScope="All India",TRUE,'RAW_QUIZ'!$B261=SelectedScope),'RAW_QUIZ'!M261,"")</f>
        <v>0</v>
      </c>
      <c r="N262" s="12">
        <f>IF(IF(SelectedScope="All India",TRUE,'RAW_QUIZ'!$B261=SelectedScope),'RAW_QUIZ'!N261,"")</f>
        <v>0</v>
      </c>
      <c r="O262" s="12">
        <f>IF(IF(SelectedScope="All India",TRUE,'RAW_QUIZ'!$B261=SelectedScope),'RAW_QUIZ'!O261,"")</f>
        <v>0</v>
      </c>
      <c r="P262" s="12">
        <f>IF(IF(SelectedScope="All India",TRUE,'RAW_QUIZ'!$B261=SelectedScope),'RAW_QUIZ'!P261,"")</f>
        <v>0</v>
      </c>
      <c r="Q262" s="12">
        <f>IF(IF(SelectedScope="All India",TRUE,'RAW_QUIZ'!$B261=SelectedScope),'RAW_QUIZ'!Q261,"")</f>
        <v>0</v>
      </c>
    </row>
    <row r="263" spans="1:17" ht="15" customHeight="1" x14ac:dyDescent="0.3">
      <c r="A263" s="9">
        <f>IF(IF(SelectedScope="All India",TRUE,'RAW_QUIZ'!$B262=SelectedScope),'RAW_QUIZ'!A262,"")</f>
        <v>259</v>
      </c>
      <c r="B263" s="9" t="str">
        <f>IF(IF(SelectedScope="All India",TRUE,'RAW_QUIZ'!$B262=SelectedScope),'RAW_QUIZ'!B262,"")</f>
        <v>Odisha</v>
      </c>
      <c r="C263" s="9" t="str">
        <f>IF(IF(SelectedScope="All India",TRUE,'RAW_QUIZ'!$B262=SelectedScope),'RAW_QUIZ'!C262,"")</f>
        <v>Civics</v>
      </c>
      <c r="D263" s="9" t="str">
        <f>IF(IF(SelectedScope="All India",TRUE,'RAW_QUIZ'!$B262=SelectedScope),'RAW_QUIZ'!D262,"")</f>
        <v>Class 9</v>
      </c>
      <c r="E263" s="9" t="str">
        <f>IF(IF(SelectedScope="All India",TRUE,'RAW_QUIZ'!$B262=SelectedScope),'RAW_QUIZ'!E262,"")</f>
        <v>Indian Constitution — Unit Quiz</v>
      </c>
      <c r="F263" s="9">
        <f>IF(IF(SelectedScope="All India",TRUE,'RAW_QUIZ'!$B262=SelectedScope),'RAW_QUIZ'!F262,"")</f>
        <v>0</v>
      </c>
      <c r="G263" s="9" t="str">
        <f>IF(IF(SelectedScope="All India",TRUE,'RAW_QUIZ'!$B262=SelectedScope),'RAW_QUIZ'!G262,"")</f>
        <v>Active</v>
      </c>
      <c r="H263" s="9">
        <f>IF(IF(SelectedScope="All India",TRUE,'RAW_QUIZ'!$B262=SelectedScope),'RAW_QUIZ'!H262,"")</f>
        <v>0</v>
      </c>
      <c r="I263" s="9">
        <f>IF(IF(SelectedScope="All India",TRUE,'RAW_QUIZ'!$B262=SelectedScope),'RAW_QUIZ'!I262,"")</f>
        <v>0</v>
      </c>
      <c r="J263" s="9">
        <f>IF(IF(SelectedScope="All India",TRUE,'RAW_QUIZ'!$B262=SelectedScope),'RAW_QUIZ'!J262,"")</f>
        <v>0</v>
      </c>
      <c r="K263" s="9">
        <f>IF(IF(SelectedScope="All India",TRUE,'RAW_QUIZ'!$B262=SelectedScope),'RAW_QUIZ'!K262,"")</f>
        <v>0</v>
      </c>
      <c r="L263" s="9">
        <f>IF(IF(SelectedScope="All India",TRUE,'RAW_QUIZ'!$B262=SelectedScope),'RAW_QUIZ'!L262,"")</f>
        <v>0</v>
      </c>
      <c r="M263" s="9">
        <f>IF(IF(SelectedScope="All India",TRUE,'RAW_QUIZ'!$B262=SelectedScope),'RAW_QUIZ'!M262,"")</f>
        <v>0</v>
      </c>
      <c r="N263" s="9">
        <f>IF(IF(SelectedScope="All India",TRUE,'RAW_QUIZ'!$B262=SelectedScope),'RAW_QUIZ'!N262,"")</f>
        <v>0</v>
      </c>
      <c r="O263" s="9">
        <f>IF(IF(SelectedScope="All India",TRUE,'RAW_QUIZ'!$B262=SelectedScope),'RAW_QUIZ'!O262,"")</f>
        <v>0</v>
      </c>
      <c r="P263" s="9">
        <f>IF(IF(SelectedScope="All India",TRUE,'RAW_QUIZ'!$B262=SelectedScope),'RAW_QUIZ'!P262,"")</f>
        <v>0</v>
      </c>
      <c r="Q263" s="9">
        <f>IF(IF(SelectedScope="All India",TRUE,'RAW_QUIZ'!$B262=SelectedScope),'RAW_QUIZ'!Q262,"")</f>
        <v>0</v>
      </c>
    </row>
    <row r="264" spans="1:17" ht="15" customHeight="1" x14ac:dyDescent="0.3">
      <c r="A264" s="12">
        <f>IF(IF(SelectedScope="All India",TRUE,'RAW_QUIZ'!$B263=SelectedScope),'RAW_QUIZ'!A263,"")</f>
        <v>260</v>
      </c>
      <c r="B264" s="12" t="str">
        <f>IF(IF(SelectedScope="All India",TRUE,'RAW_QUIZ'!$B263=SelectedScope),'RAW_QUIZ'!B263,"")</f>
        <v>Odisha</v>
      </c>
      <c r="C264" s="12" t="str">
        <f>IF(IF(SelectedScope="All India",TRUE,'RAW_QUIZ'!$B263=SelectedScope),'RAW_QUIZ'!C263,"")</f>
        <v>Mathematics</v>
      </c>
      <c r="D264" s="12" t="str">
        <f>IF(IF(SelectedScope="All India",TRUE,'RAW_QUIZ'!$B263=SelectedScope),'RAW_QUIZ'!D263,"")</f>
        <v>Class 10</v>
      </c>
      <c r="E264" s="12" t="str">
        <f>IF(IF(SelectedScope="All India",TRUE,'RAW_QUIZ'!$B263=SelectedScope),'RAW_QUIZ'!E263,"")</f>
        <v>Quadratic Equations — Unit Quiz</v>
      </c>
      <c r="F264" s="12">
        <f>IF(IF(SelectedScope="All India",TRUE,'RAW_QUIZ'!$B263=SelectedScope),'RAW_QUIZ'!F263,"")</f>
        <v>0</v>
      </c>
      <c r="G264" s="12" t="str">
        <f>IF(IF(SelectedScope="All India",TRUE,'RAW_QUIZ'!$B263=SelectedScope),'RAW_QUIZ'!G263,"")</f>
        <v>Active</v>
      </c>
      <c r="H264" s="12">
        <f>IF(IF(SelectedScope="All India",TRUE,'RAW_QUIZ'!$B263=SelectedScope),'RAW_QUIZ'!H263,"")</f>
        <v>0</v>
      </c>
      <c r="I264" s="12">
        <f>IF(IF(SelectedScope="All India",TRUE,'RAW_QUIZ'!$B263=SelectedScope),'RAW_QUIZ'!I263,"")</f>
        <v>0</v>
      </c>
      <c r="J264" s="12">
        <f>IF(IF(SelectedScope="All India",TRUE,'RAW_QUIZ'!$B263=SelectedScope),'RAW_QUIZ'!J263,"")</f>
        <v>0</v>
      </c>
      <c r="K264" s="12">
        <f>IF(IF(SelectedScope="All India",TRUE,'RAW_QUIZ'!$B263=SelectedScope),'RAW_QUIZ'!K263,"")</f>
        <v>0</v>
      </c>
      <c r="L264" s="12">
        <f>IF(IF(SelectedScope="All India",TRUE,'RAW_QUIZ'!$B263=SelectedScope),'RAW_QUIZ'!L263,"")</f>
        <v>0</v>
      </c>
      <c r="M264" s="12">
        <f>IF(IF(SelectedScope="All India",TRUE,'RAW_QUIZ'!$B263=SelectedScope),'RAW_QUIZ'!M263,"")</f>
        <v>0</v>
      </c>
      <c r="N264" s="12">
        <f>IF(IF(SelectedScope="All India",TRUE,'RAW_QUIZ'!$B263=SelectedScope),'RAW_QUIZ'!N263,"")</f>
        <v>0</v>
      </c>
      <c r="O264" s="12">
        <f>IF(IF(SelectedScope="All India",TRUE,'RAW_QUIZ'!$B263=SelectedScope),'RAW_QUIZ'!O263,"")</f>
        <v>0</v>
      </c>
      <c r="P264" s="12">
        <f>IF(IF(SelectedScope="All India",TRUE,'RAW_QUIZ'!$B263=SelectedScope),'RAW_QUIZ'!P263,"")</f>
        <v>0</v>
      </c>
      <c r="Q264" s="12">
        <f>IF(IF(SelectedScope="All India",TRUE,'RAW_QUIZ'!$B263=SelectedScope),'RAW_QUIZ'!Q263,"")</f>
        <v>0</v>
      </c>
    </row>
    <row r="265" spans="1:17" ht="15" customHeight="1" x14ac:dyDescent="0.3">
      <c r="A265" s="9">
        <f>IF(IF(SelectedScope="All India",TRUE,'RAW_QUIZ'!$B264=SelectedScope),'RAW_QUIZ'!A264,"")</f>
        <v>261</v>
      </c>
      <c r="B265" s="9" t="str">
        <f>IF(IF(SelectedScope="All India",TRUE,'RAW_QUIZ'!$B264=SelectedScope),'RAW_QUIZ'!B264,"")</f>
        <v>Puducherry</v>
      </c>
      <c r="C265" s="9" t="str">
        <f>IF(IF(SelectedScope="All India",TRUE,'RAW_QUIZ'!$B264=SelectedScope),'RAW_QUIZ'!C264,"")</f>
        <v>Science</v>
      </c>
      <c r="D265" s="9" t="str">
        <f>IF(IF(SelectedScope="All India",TRUE,'RAW_QUIZ'!$B264=SelectedScope),'RAW_QUIZ'!D264,"")</f>
        <v>Class 8</v>
      </c>
      <c r="E265" s="9" t="str">
        <f>IF(IF(SelectedScope="All India",TRUE,'RAW_QUIZ'!$B264=SelectedScope),'RAW_QUIZ'!E264,"")</f>
        <v>Solar System — Unit Quiz</v>
      </c>
      <c r="F265" s="9">
        <f>IF(IF(SelectedScope="All India",TRUE,'RAW_QUIZ'!$B264=SelectedScope),'RAW_QUIZ'!F264,"")</f>
        <v>0</v>
      </c>
      <c r="G265" s="9" t="str">
        <f>IF(IF(SelectedScope="All India",TRUE,'RAW_QUIZ'!$B264=SelectedScope),'RAW_QUIZ'!G264,"")</f>
        <v>Active</v>
      </c>
      <c r="H265" s="9">
        <f>IF(IF(SelectedScope="All India",TRUE,'RAW_QUIZ'!$B264=SelectedScope),'RAW_QUIZ'!H264,"")</f>
        <v>0</v>
      </c>
      <c r="I265" s="9">
        <f>IF(IF(SelectedScope="All India",TRUE,'RAW_QUIZ'!$B264=SelectedScope),'RAW_QUIZ'!I264,"")</f>
        <v>0</v>
      </c>
      <c r="J265" s="9">
        <f>IF(IF(SelectedScope="All India",TRUE,'RAW_QUIZ'!$B264=SelectedScope),'RAW_QUIZ'!J264,"")</f>
        <v>0</v>
      </c>
      <c r="K265" s="9">
        <f>IF(IF(SelectedScope="All India",TRUE,'RAW_QUIZ'!$B264=SelectedScope),'RAW_QUIZ'!K264,"")</f>
        <v>0</v>
      </c>
      <c r="L265" s="9">
        <f>IF(IF(SelectedScope="All India",TRUE,'RAW_QUIZ'!$B264=SelectedScope),'RAW_QUIZ'!L264,"")</f>
        <v>0</v>
      </c>
      <c r="M265" s="9">
        <f>IF(IF(SelectedScope="All India",TRUE,'RAW_QUIZ'!$B264=SelectedScope),'RAW_QUIZ'!M264,"")</f>
        <v>0</v>
      </c>
      <c r="N265" s="9">
        <f>IF(IF(SelectedScope="All India",TRUE,'RAW_QUIZ'!$B264=SelectedScope),'RAW_QUIZ'!N264,"")</f>
        <v>0</v>
      </c>
      <c r="O265" s="9">
        <f>IF(IF(SelectedScope="All India",TRUE,'RAW_QUIZ'!$B264=SelectedScope),'RAW_QUIZ'!O264,"")</f>
        <v>0</v>
      </c>
      <c r="P265" s="9">
        <f>IF(IF(SelectedScope="All India",TRUE,'RAW_QUIZ'!$B264=SelectedScope),'RAW_QUIZ'!P264,"")</f>
        <v>0</v>
      </c>
      <c r="Q265" s="9">
        <f>IF(IF(SelectedScope="All India",TRUE,'RAW_QUIZ'!$B264=SelectedScope),'RAW_QUIZ'!Q264,"")</f>
        <v>0</v>
      </c>
    </row>
    <row r="266" spans="1:17" ht="15" customHeight="1" x14ac:dyDescent="0.3">
      <c r="A266" s="12">
        <f>IF(IF(SelectedScope="All India",TRUE,'RAW_QUIZ'!$B265=SelectedScope),'RAW_QUIZ'!A265,"")</f>
        <v>262</v>
      </c>
      <c r="B266" s="12" t="str">
        <f>IF(IF(SelectedScope="All India",TRUE,'RAW_QUIZ'!$B265=SelectedScope),'RAW_QUIZ'!B265,"")</f>
        <v>Puducherry</v>
      </c>
      <c r="C266" s="12" t="str">
        <f>IF(IF(SelectedScope="All India",TRUE,'RAW_QUIZ'!$B265=SelectedScope),'RAW_QUIZ'!C265,"")</f>
        <v>Biology</v>
      </c>
      <c r="D266" s="12" t="str">
        <f>IF(IF(SelectedScope="All India",TRUE,'RAW_QUIZ'!$B265=SelectedScope),'RAW_QUIZ'!D265,"")</f>
        <v>Class 9</v>
      </c>
      <c r="E266" s="12" t="str">
        <f>IF(IF(SelectedScope="All India",TRUE,'RAW_QUIZ'!$B265=SelectedScope),'RAW_QUIZ'!E265,"")</f>
        <v>Cell Division — Unit Quiz</v>
      </c>
      <c r="F266" s="12">
        <f>IF(IF(SelectedScope="All India",TRUE,'RAW_QUIZ'!$B265=SelectedScope),'RAW_QUIZ'!F265,"")</f>
        <v>0</v>
      </c>
      <c r="G266" s="12" t="str">
        <f>IF(IF(SelectedScope="All India",TRUE,'RAW_QUIZ'!$B265=SelectedScope),'RAW_QUIZ'!G265,"")</f>
        <v>Active</v>
      </c>
      <c r="H266" s="12">
        <f>IF(IF(SelectedScope="All India",TRUE,'RAW_QUIZ'!$B265=SelectedScope),'RAW_QUIZ'!H265,"")</f>
        <v>0</v>
      </c>
      <c r="I266" s="12">
        <f>IF(IF(SelectedScope="All India",TRUE,'RAW_QUIZ'!$B265=SelectedScope),'RAW_QUIZ'!I265,"")</f>
        <v>0</v>
      </c>
      <c r="J266" s="12">
        <f>IF(IF(SelectedScope="All India",TRUE,'RAW_QUIZ'!$B265=SelectedScope),'RAW_QUIZ'!J265,"")</f>
        <v>0</v>
      </c>
      <c r="K266" s="12">
        <f>IF(IF(SelectedScope="All India",TRUE,'RAW_QUIZ'!$B265=SelectedScope),'RAW_QUIZ'!K265,"")</f>
        <v>0</v>
      </c>
      <c r="L266" s="12">
        <f>IF(IF(SelectedScope="All India",TRUE,'RAW_QUIZ'!$B265=SelectedScope),'RAW_QUIZ'!L265,"")</f>
        <v>0</v>
      </c>
      <c r="M266" s="12">
        <f>IF(IF(SelectedScope="All India",TRUE,'RAW_QUIZ'!$B265=SelectedScope),'RAW_QUIZ'!M265,"")</f>
        <v>0</v>
      </c>
      <c r="N266" s="12">
        <f>IF(IF(SelectedScope="All India",TRUE,'RAW_QUIZ'!$B265=SelectedScope),'RAW_QUIZ'!N265,"")</f>
        <v>0</v>
      </c>
      <c r="O266" s="12">
        <f>IF(IF(SelectedScope="All India",TRUE,'RAW_QUIZ'!$B265=SelectedScope),'RAW_QUIZ'!O265,"")</f>
        <v>0</v>
      </c>
      <c r="P266" s="12">
        <f>IF(IF(SelectedScope="All India",TRUE,'RAW_QUIZ'!$B265=SelectedScope),'RAW_QUIZ'!P265,"")</f>
        <v>0</v>
      </c>
      <c r="Q266" s="12">
        <f>IF(IF(SelectedScope="All India",TRUE,'RAW_QUIZ'!$B265=SelectedScope),'RAW_QUIZ'!Q265,"")</f>
        <v>0</v>
      </c>
    </row>
    <row r="267" spans="1:17" ht="15" customHeight="1" x14ac:dyDescent="0.3">
      <c r="A267" s="9">
        <f>IF(IF(SelectedScope="All India",TRUE,'RAW_QUIZ'!$B266=SelectedScope),'RAW_QUIZ'!A266,"")</f>
        <v>263</v>
      </c>
      <c r="B267" s="9" t="str">
        <f>IF(IF(SelectedScope="All India",TRUE,'RAW_QUIZ'!$B266=SelectedScope),'RAW_QUIZ'!B266,"")</f>
        <v>Puducherry</v>
      </c>
      <c r="C267" s="9" t="str">
        <f>IF(IF(SelectedScope="All India",TRUE,'RAW_QUIZ'!$B266=SelectedScope),'RAW_QUIZ'!C266,"")</f>
        <v>Chemistry</v>
      </c>
      <c r="D267" s="9" t="str">
        <f>IF(IF(SelectedScope="All India",TRUE,'RAW_QUIZ'!$B266=SelectedScope),'RAW_QUIZ'!D266,"")</f>
        <v>Class 9</v>
      </c>
      <c r="E267" s="9" t="str">
        <f>IF(IF(SelectedScope="All India",TRUE,'RAW_QUIZ'!$B266=SelectedScope),'RAW_QUIZ'!E266,"")</f>
        <v>Atoms and Molecules — Unit Quiz</v>
      </c>
      <c r="F267" s="9">
        <f>IF(IF(SelectedScope="All India",TRUE,'RAW_QUIZ'!$B266=SelectedScope),'RAW_QUIZ'!F266,"")</f>
        <v>0</v>
      </c>
      <c r="G267" s="9" t="str">
        <f>IF(IF(SelectedScope="All India",TRUE,'RAW_QUIZ'!$B266=SelectedScope),'RAW_QUIZ'!G266,"")</f>
        <v>Active</v>
      </c>
      <c r="H267" s="9">
        <f>IF(IF(SelectedScope="All India",TRUE,'RAW_QUIZ'!$B266=SelectedScope),'RAW_QUIZ'!H266,"")</f>
        <v>0</v>
      </c>
      <c r="I267" s="9">
        <f>IF(IF(SelectedScope="All India",TRUE,'RAW_QUIZ'!$B266=SelectedScope),'RAW_QUIZ'!I266,"")</f>
        <v>0</v>
      </c>
      <c r="J267" s="9">
        <f>IF(IF(SelectedScope="All India",TRUE,'RAW_QUIZ'!$B266=SelectedScope),'RAW_QUIZ'!J266,"")</f>
        <v>0</v>
      </c>
      <c r="K267" s="9">
        <f>IF(IF(SelectedScope="All India",TRUE,'RAW_QUIZ'!$B266=SelectedScope),'RAW_QUIZ'!K266,"")</f>
        <v>0</v>
      </c>
      <c r="L267" s="9">
        <f>IF(IF(SelectedScope="All India",TRUE,'RAW_QUIZ'!$B266=SelectedScope),'RAW_QUIZ'!L266,"")</f>
        <v>0</v>
      </c>
      <c r="M267" s="9">
        <f>IF(IF(SelectedScope="All India",TRUE,'RAW_QUIZ'!$B266=SelectedScope),'RAW_QUIZ'!M266,"")</f>
        <v>0</v>
      </c>
      <c r="N267" s="9">
        <f>IF(IF(SelectedScope="All India",TRUE,'RAW_QUIZ'!$B266=SelectedScope),'RAW_QUIZ'!N266,"")</f>
        <v>0</v>
      </c>
      <c r="O267" s="9">
        <f>IF(IF(SelectedScope="All India",TRUE,'RAW_QUIZ'!$B266=SelectedScope),'RAW_QUIZ'!O266,"")</f>
        <v>0</v>
      </c>
      <c r="P267" s="9">
        <f>IF(IF(SelectedScope="All India",TRUE,'RAW_QUIZ'!$B266=SelectedScope),'RAW_QUIZ'!P266,"")</f>
        <v>0</v>
      </c>
      <c r="Q267" s="9">
        <f>IF(IF(SelectedScope="All India",TRUE,'RAW_QUIZ'!$B266=SelectedScope),'RAW_QUIZ'!Q266,"")</f>
        <v>0</v>
      </c>
    </row>
    <row r="268" spans="1:17" ht="15" customHeight="1" x14ac:dyDescent="0.3">
      <c r="A268" s="12">
        <f>IF(IF(SelectedScope="All India",TRUE,'RAW_QUIZ'!$B267=SelectedScope),'RAW_QUIZ'!A267,"")</f>
        <v>264</v>
      </c>
      <c r="B268" s="12" t="str">
        <f>IF(IF(SelectedScope="All India",TRUE,'RAW_QUIZ'!$B267=SelectedScope),'RAW_QUIZ'!B267,"")</f>
        <v>Puducherry</v>
      </c>
      <c r="C268" s="12" t="str">
        <f>IF(IF(SelectedScope="All India",TRUE,'RAW_QUIZ'!$B267=SelectedScope),'RAW_QUIZ'!C267,"")</f>
        <v>Mathematics</v>
      </c>
      <c r="D268" s="12" t="str">
        <f>IF(IF(SelectedScope="All India",TRUE,'RAW_QUIZ'!$B267=SelectedScope),'RAW_QUIZ'!D267,"")</f>
        <v>Class 7</v>
      </c>
      <c r="E268" s="12" t="str">
        <f>IF(IF(SelectedScope="All India",TRUE,'RAW_QUIZ'!$B267=SelectedScope),'RAW_QUIZ'!E267,"")</f>
        <v>Fractions — Unit Quiz</v>
      </c>
      <c r="F268" s="12">
        <f>IF(IF(SelectedScope="All India",TRUE,'RAW_QUIZ'!$B267=SelectedScope),'RAW_QUIZ'!F267,"")</f>
        <v>0</v>
      </c>
      <c r="G268" s="12" t="str">
        <f>IF(IF(SelectedScope="All India",TRUE,'RAW_QUIZ'!$B267=SelectedScope),'RAW_QUIZ'!G267,"")</f>
        <v>Active</v>
      </c>
      <c r="H268" s="12">
        <f>IF(IF(SelectedScope="All India",TRUE,'RAW_QUIZ'!$B267=SelectedScope),'RAW_QUIZ'!H267,"")</f>
        <v>0</v>
      </c>
      <c r="I268" s="12">
        <f>IF(IF(SelectedScope="All India",TRUE,'RAW_QUIZ'!$B267=SelectedScope),'RAW_QUIZ'!I267,"")</f>
        <v>0</v>
      </c>
      <c r="J268" s="12">
        <f>IF(IF(SelectedScope="All India",TRUE,'RAW_QUIZ'!$B267=SelectedScope),'RAW_QUIZ'!J267,"")</f>
        <v>0</v>
      </c>
      <c r="K268" s="12">
        <f>IF(IF(SelectedScope="All India",TRUE,'RAW_QUIZ'!$B267=SelectedScope),'RAW_QUIZ'!K267,"")</f>
        <v>0</v>
      </c>
      <c r="L268" s="12">
        <f>IF(IF(SelectedScope="All India",TRUE,'RAW_QUIZ'!$B267=SelectedScope),'RAW_QUIZ'!L267,"")</f>
        <v>0</v>
      </c>
      <c r="M268" s="12">
        <f>IF(IF(SelectedScope="All India",TRUE,'RAW_QUIZ'!$B267=SelectedScope),'RAW_QUIZ'!M267,"")</f>
        <v>0</v>
      </c>
      <c r="N268" s="12">
        <f>IF(IF(SelectedScope="All India",TRUE,'RAW_QUIZ'!$B267=SelectedScope),'RAW_QUIZ'!N267,"")</f>
        <v>0</v>
      </c>
      <c r="O268" s="12">
        <f>IF(IF(SelectedScope="All India",TRUE,'RAW_QUIZ'!$B267=SelectedScope),'RAW_QUIZ'!O267,"")</f>
        <v>0</v>
      </c>
      <c r="P268" s="12">
        <f>IF(IF(SelectedScope="All India",TRUE,'RAW_QUIZ'!$B267=SelectedScope),'RAW_QUIZ'!P267,"")</f>
        <v>0</v>
      </c>
      <c r="Q268" s="12">
        <f>IF(IF(SelectedScope="All India",TRUE,'RAW_QUIZ'!$B267=SelectedScope),'RAW_QUIZ'!Q267,"")</f>
        <v>0</v>
      </c>
    </row>
    <row r="269" spans="1:17" ht="15" customHeight="1" x14ac:dyDescent="0.3">
      <c r="A269" s="9">
        <f>IF(IF(SelectedScope="All India",TRUE,'RAW_QUIZ'!$B268=SelectedScope),'RAW_QUIZ'!A268,"")</f>
        <v>265</v>
      </c>
      <c r="B269" s="9" t="str">
        <f>IF(IF(SelectedScope="All India",TRUE,'RAW_QUIZ'!$B268=SelectedScope),'RAW_QUIZ'!B268,"")</f>
        <v>Puducherry</v>
      </c>
      <c r="C269" s="9" t="str">
        <f>IF(IF(SelectedScope="All India",TRUE,'RAW_QUIZ'!$B268=SelectedScope),'RAW_QUIZ'!C268,"")</f>
        <v>Mathematics</v>
      </c>
      <c r="D269" s="9" t="str">
        <f>IF(IF(SelectedScope="All India",TRUE,'RAW_QUIZ'!$B268=SelectedScope),'RAW_QUIZ'!D268,"")</f>
        <v>Class 10</v>
      </c>
      <c r="E269" s="9" t="str">
        <f>IF(IF(SelectedScope="All India",TRUE,'RAW_QUIZ'!$B268=SelectedScope),'RAW_QUIZ'!E268,"")</f>
        <v>Trigonometry — Unit Quiz</v>
      </c>
      <c r="F269" s="9">
        <f>IF(IF(SelectedScope="All India",TRUE,'RAW_QUIZ'!$B268=SelectedScope),'RAW_QUIZ'!F268,"")</f>
        <v>0</v>
      </c>
      <c r="G269" s="9" t="str">
        <f>IF(IF(SelectedScope="All India",TRUE,'RAW_QUIZ'!$B268=SelectedScope),'RAW_QUIZ'!G268,"")</f>
        <v>Active</v>
      </c>
      <c r="H269" s="9">
        <f>IF(IF(SelectedScope="All India",TRUE,'RAW_QUIZ'!$B268=SelectedScope),'RAW_QUIZ'!H268,"")</f>
        <v>0</v>
      </c>
      <c r="I269" s="9">
        <f>IF(IF(SelectedScope="All India",TRUE,'RAW_QUIZ'!$B268=SelectedScope),'RAW_QUIZ'!I268,"")</f>
        <v>0</v>
      </c>
      <c r="J269" s="9">
        <f>IF(IF(SelectedScope="All India",TRUE,'RAW_QUIZ'!$B268=SelectedScope),'RAW_QUIZ'!J268,"")</f>
        <v>0</v>
      </c>
      <c r="K269" s="9">
        <f>IF(IF(SelectedScope="All India",TRUE,'RAW_QUIZ'!$B268=SelectedScope),'RAW_QUIZ'!K268,"")</f>
        <v>0</v>
      </c>
      <c r="L269" s="9">
        <f>IF(IF(SelectedScope="All India",TRUE,'RAW_QUIZ'!$B268=SelectedScope),'RAW_QUIZ'!L268,"")</f>
        <v>0</v>
      </c>
      <c r="M269" s="9">
        <f>IF(IF(SelectedScope="All India",TRUE,'RAW_QUIZ'!$B268=SelectedScope),'RAW_QUIZ'!M268,"")</f>
        <v>0</v>
      </c>
      <c r="N269" s="9">
        <f>IF(IF(SelectedScope="All India",TRUE,'RAW_QUIZ'!$B268=SelectedScope),'RAW_QUIZ'!N268,"")</f>
        <v>0</v>
      </c>
      <c r="O269" s="9">
        <f>IF(IF(SelectedScope="All India",TRUE,'RAW_QUIZ'!$B268=SelectedScope),'RAW_QUIZ'!O268,"")</f>
        <v>0</v>
      </c>
      <c r="P269" s="9">
        <f>IF(IF(SelectedScope="All India",TRUE,'RAW_QUIZ'!$B268=SelectedScope),'RAW_QUIZ'!P268,"")</f>
        <v>0</v>
      </c>
      <c r="Q269" s="9">
        <f>IF(IF(SelectedScope="All India",TRUE,'RAW_QUIZ'!$B268=SelectedScope),'RAW_QUIZ'!Q268,"")</f>
        <v>0</v>
      </c>
    </row>
    <row r="270" spans="1:17" ht="15" customHeight="1" x14ac:dyDescent="0.3">
      <c r="A270" s="12">
        <f>IF(IF(SelectedScope="All India",TRUE,'RAW_QUIZ'!$B269=SelectedScope),'RAW_QUIZ'!A269,"")</f>
        <v>266</v>
      </c>
      <c r="B270" s="12" t="str">
        <f>IF(IF(SelectedScope="All India",TRUE,'RAW_QUIZ'!$B269=SelectedScope),'RAW_QUIZ'!B269,"")</f>
        <v>Puducherry</v>
      </c>
      <c r="C270" s="12" t="str">
        <f>IF(IF(SelectedScope="All India",TRUE,'RAW_QUIZ'!$B269=SelectedScope),'RAW_QUIZ'!C269,"")</f>
        <v>History</v>
      </c>
      <c r="D270" s="12" t="str">
        <f>IF(IF(SelectedScope="All India",TRUE,'RAW_QUIZ'!$B269=SelectedScope),'RAW_QUIZ'!D269,"")</f>
        <v>Class 10</v>
      </c>
      <c r="E270" s="12" t="str">
        <f>IF(IF(SelectedScope="All India",TRUE,'RAW_QUIZ'!$B269=SelectedScope),'RAW_QUIZ'!E269,"")</f>
        <v>Mughal Empire — Unit Quiz</v>
      </c>
      <c r="F270" s="12">
        <f>IF(IF(SelectedScope="All India",TRUE,'RAW_QUIZ'!$B269=SelectedScope),'RAW_QUIZ'!F269,"")</f>
        <v>0</v>
      </c>
      <c r="G270" s="12" t="str">
        <f>IF(IF(SelectedScope="All India",TRUE,'RAW_QUIZ'!$B269=SelectedScope),'RAW_QUIZ'!G269,"")</f>
        <v>Active</v>
      </c>
      <c r="H270" s="12">
        <f>IF(IF(SelectedScope="All India",TRUE,'RAW_QUIZ'!$B269=SelectedScope),'RAW_QUIZ'!H269,"")</f>
        <v>0</v>
      </c>
      <c r="I270" s="12">
        <f>IF(IF(SelectedScope="All India",TRUE,'RAW_QUIZ'!$B269=SelectedScope),'RAW_QUIZ'!I269,"")</f>
        <v>0</v>
      </c>
      <c r="J270" s="12">
        <f>IF(IF(SelectedScope="All India",TRUE,'RAW_QUIZ'!$B269=SelectedScope),'RAW_QUIZ'!J269,"")</f>
        <v>0</v>
      </c>
      <c r="K270" s="12">
        <f>IF(IF(SelectedScope="All India",TRUE,'RAW_QUIZ'!$B269=SelectedScope),'RAW_QUIZ'!K269,"")</f>
        <v>0</v>
      </c>
      <c r="L270" s="12">
        <f>IF(IF(SelectedScope="All India",TRUE,'RAW_QUIZ'!$B269=SelectedScope),'RAW_QUIZ'!L269,"")</f>
        <v>0</v>
      </c>
      <c r="M270" s="12">
        <f>IF(IF(SelectedScope="All India",TRUE,'RAW_QUIZ'!$B269=SelectedScope),'RAW_QUIZ'!M269,"")</f>
        <v>0</v>
      </c>
      <c r="N270" s="12">
        <f>IF(IF(SelectedScope="All India",TRUE,'RAW_QUIZ'!$B269=SelectedScope),'RAW_QUIZ'!N269,"")</f>
        <v>0</v>
      </c>
      <c r="O270" s="12">
        <f>IF(IF(SelectedScope="All India",TRUE,'RAW_QUIZ'!$B269=SelectedScope),'RAW_QUIZ'!O269,"")</f>
        <v>0</v>
      </c>
      <c r="P270" s="12">
        <f>IF(IF(SelectedScope="All India",TRUE,'RAW_QUIZ'!$B269=SelectedScope),'RAW_QUIZ'!P269,"")</f>
        <v>0</v>
      </c>
      <c r="Q270" s="12">
        <f>IF(IF(SelectedScope="All India",TRUE,'RAW_QUIZ'!$B269=SelectedScope),'RAW_QUIZ'!Q269,"")</f>
        <v>0</v>
      </c>
    </row>
    <row r="271" spans="1:17" ht="15" customHeight="1" x14ac:dyDescent="0.3">
      <c r="A271" s="9">
        <f>IF(IF(SelectedScope="All India",TRUE,'RAW_QUIZ'!$B270=SelectedScope),'RAW_QUIZ'!A270,"")</f>
        <v>267</v>
      </c>
      <c r="B271" s="9" t="str">
        <f>IF(IF(SelectedScope="All India",TRUE,'RAW_QUIZ'!$B270=SelectedScope),'RAW_QUIZ'!B270,"")</f>
        <v>Puducherry</v>
      </c>
      <c r="C271" s="9" t="str">
        <f>IF(IF(SelectedScope="All India",TRUE,'RAW_QUIZ'!$B270=SelectedScope),'RAW_QUIZ'!C270,"")</f>
        <v>Physics</v>
      </c>
      <c r="D271" s="9" t="str">
        <f>IF(IF(SelectedScope="All India",TRUE,'RAW_QUIZ'!$B270=SelectedScope),'RAW_QUIZ'!D270,"")</f>
        <v>Class 9</v>
      </c>
      <c r="E271" s="9" t="str">
        <f>IF(IF(SelectedScope="All India",TRUE,'RAW_QUIZ'!$B270=SelectedScope),'RAW_QUIZ'!E270,"")</f>
        <v>Laws of Motion — Unit Quiz</v>
      </c>
      <c r="F271" s="9">
        <f>IF(IF(SelectedScope="All India",TRUE,'RAW_QUIZ'!$B270=SelectedScope),'RAW_QUIZ'!F270,"")</f>
        <v>0</v>
      </c>
      <c r="G271" s="9" t="str">
        <f>IF(IF(SelectedScope="All India",TRUE,'RAW_QUIZ'!$B270=SelectedScope),'RAW_QUIZ'!G270,"")</f>
        <v>Active</v>
      </c>
      <c r="H271" s="9">
        <f>IF(IF(SelectedScope="All India",TRUE,'RAW_QUIZ'!$B270=SelectedScope),'RAW_QUIZ'!H270,"")</f>
        <v>0</v>
      </c>
      <c r="I271" s="9">
        <f>IF(IF(SelectedScope="All India",TRUE,'RAW_QUIZ'!$B270=SelectedScope),'RAW_QUIZ'!I270,"")</f>
        <v>0</v>
      </c>
      <c r="J271" s="9">
        <f>IF(IF(SelectedScope="All India",TRUE,'RAW_QUIZ'!$B270=SelectedScope),'RAW_QUIZ'!J270,"")</f>
        <v>0</v>
      </c>
      <c r="K271" s="9">
        <f>IF(IF(SelectedScope="All India",TRUE,'RAW_QUIZ'!$B270=SelectedScope),'RAW_QUIZ'!K270,"")</f>
        <v>0</v>
      </c>
      <c r="L271" s="9">
        <f>IF(IF(SelectedScope="All India",TRUE,'RAW_QUIZ'!$B270=SelectedScope),'RAW_QUIZ'!L270,"")</f>
        <v>0</v>
      </c>
      <c r="M271" s="9">
        <f>IF(IF(SelectedScope="All India",TRUE,'RAW_QUIZ'!$B270=SelectedScope),'RAW_QUIZ'!M270,"")</f>
        <v>0</v>
      </c>
      <c r="N271" s="9">
        <f>IF(IF(SelectedScope="All India",TRUE,'RAW_QUIZ'!$B270=SelectedScope),'RAW_QUIZ'!N270,"")</f>
        <v>0</v>
      </c>
      <c r="O271" s="9">
        <f>IF(IF(SelectedScope="All India",TRUE,'RAW_QUIZ'!$B270=SelectedScope),'RAW_QUIZ'!O270,"")</f>
        <v>0</v>
      </c>
      <c r="P271" s="9">
        <f>IF(IF(SelectedScope="All India",TRUE,'RAW_QUIZ'!$B270=SelectedScope),'RAW_QUIZ'!P270,"")</f>
        <v>0</v>
      </c>
      <c r="Q271" s="9">
        <f>IF(IF(SelectedScope="All India",TRUE,'RAW_QUIZ'!$B270=SelectedScope),'RAW_QUIZ'!Q270,"")</f>
        <v>0</v>
      </c>
    </row>
    <row r="272" spans="1:17" ht="15" customHeight="1" x14ac:dyDescent="0.3">
      <c r="A272" s="12">
        <f>IF(IF(SelectedScope="All India",TRUE,'RAW_QUIZ'!$B271=SelectedScope),'RAW_QUIZ'!A271,"")</f>
        <v>268</v>
      </c>
      <c r="B272" s="12" t="str">
        <f>IF(IF(SelectedScope="All India",TRUE,'RAW_QUIZ'!$B271=SelectedScope),'RAW_QUIZ'!B271,"")</f>
        <v>Puducherry</v>
      </c>
      <c r="C272" s="12" t="str">
        <f>IF(IF(SelectedScope="All India",TRUE,'RAW_QUIZ'!$B271=SelectedScope),'RAW_QUIZ'!C271,"")</f>
        <v>Physics</v>
      </c>
      <c r="D272" s="12" t="str">
        <f>IF(IF(SelectedScope="All India",TRUE,'RAW_QUIZ'!$B271=SelectedScope),'RAW_QUIZ'!D271,"")</f>
        <v>Class 10</v>
      </c>
      <c r="E272" s="12" t="str">
        <f>IF(IF(SelectedScope="All India",TRUE,'RAW_QUIZ'!$B271=SelectedScope),'RAW_QUIZ'!E271,"")</f>
        <v>Electricity — Unit Quiz</v>
      </c>
      <c r="F272" s="12">
        <f>IF(IF(SelectedScope="All India",TRUE,'RAW_QUIZ'!$B271=SelectedScope),'RAW_QUIZ'!F271,"")</f>
        <v>0</v>
      </c>
      <c r="G272" s="12" t="str">
        <f>IF(IF(SelectedScope="All India",TRUE,'RAW_QUIZ'!$B271=SelectedScope),'RAW_QUIZ'!G271,"")</f>
        <v>Active</v>
      </c>
      <c r="H272" s="12">
        <f>IF(IF(SelectedScope="All India",TRUE,'RAW_QUIZ'!$B271=SelectedScope),'RAW_QUIZ'!H271,"")</f>
        <v>0</v>
      </c>
      <c r="I272" s="12">
        <f>IF(IF(SelectedScope="All India",TRUE,'RAW_QUIZ'!$B271=SelectedScope),'RAW_QUIZ'!I271,"")</f>
        <v>0</v>
      </c>
      <c r="J272" s="12">
        <f>IF(IF(SelectedScope="All India",TRUE,'RAW_QUIZ'!$B271=SelectedScope),'RAW_QUIZ'!J271,"")</f>
        <v>0</v>
      </c>
      <c r="K272" s="12">
        <f>IF(IF(SelectedScope="All India",TRUE,'RAW_QUIZ'!$B271=SelectedScope),'RAW_QUIZ'!K271,"")</f>
        <v>0</v>
      </c>
      <c r="L272" s="12">
        <f>IF(IF(SelectedScope="All India",TRUE,'RAW_QUIZ'!$B271=SelectedScope),'RAW_QUIZ'!L271,"")</f>
        <v>0</v>
      </c>
      <c r="M272" s="12">
        <f>IF(IF(SelectedScope="All India",TRUE,'RAW_QUIZ'!$B271=SelectedScope),'RAW_QUIZ'!M271,"")</f>
        <v>0</v>
      </c>
      <c r="N272" s="12">
        <f>IF(IF(SelectedScope="All India",TRUE,'RAW_QUIZ'!$B271=SelectedScope),'RAW_QUIZ'!N271,"")</f>
        <v>0</v>
      </c>
      <c r="O272" s="12">
        <f>IF(IF(SelectedScope="All India",TRUE,'RAW_QUIZ'!$B271=SelectedScope),'RAW_QUIZ'!O271,"")</f>
        <v>0</v>
      </c>
      <c r="P272" s="12">
        <f>IF(IF(SelectedScope="All India",TRUE,'RAW_QUIZ'!$B271=SelectedScope),'RAW_QUIZ'!P271,"")</f>
        <v>0</v>
      </c>
      <c r="Q272" s="12">
        <f>IF(IF(SelectedScope="All India",TRUE,'RAW_QUIZ'!$B271=SelectedScope),'RAW_QUIZ'!Q271,"")</f>
        <v>0</v>
      </c>
    </row>
    <row r="273" spans="1:17" ht="15" customHeight="1" x14ac:dyDescent="0.3">
      <c r="A273" s="9">
        <f>IF(IF(SelectedScope="All India",TRUE,'RAW_QUIZ'!$B272=SelectedScope),'RAW_QUIZ'!A272,"")</f>
        <v>269</v>
      </c>
      <c r="B273" s="9" t="str">
        <f>IF(IF(SelectedScope="All India",TRUE,'RAW_QUIZ'!$B272=SelectedScope),'RAW_QUIZ'!B272,"")</f>
        <v>Puducherry</v>
      </c>
      <c r="C273" s="9" t="str">
        <f>IF(IF(SelectedScope="All India",TRUE,'RAW_QUIZ'!$B272=SelectedScope),'RAW_QUIZ'!C272,"")</f>
        <v>Civics</v>
      </c>
      <c r="D273" s="9" t="str">
        <f>IF(IF(SelectedScope="All India",TRUE,'RAW_QUIZ'!$B272=SelectedScope),'RAW_QUIZ'!D272,"")</f>
        <v>Class 9</v>
      </c>
      <c r="E273" s="9" t="str">
        <f>IF(IF(SelectedScope="All India",TRUE,'RAW_QUIZ'!$B272=SelectedScope),'RAW_QUIZ'!E272,"")</f>
        <v>Indian Constitution — Unit Quiz</v>
      </c>
      <c r="F273" s="9">
        <f>IF(IF(SelectedScope="All India",TRUE,'RAW_QUIZ'!$B272=SelectedScope),'RAW_QUIZ'!F272,"")</f>
        <v>0</v>
      </c>
      <c r="G273" s="9" t="str">
        <f>IF(IF(SelectedScope="All India",TRUE,'RAW_QUIZ'!$B272=SelectedScope),'RAW_QUIZ'!G272,"")</f>
        <v>Active</v>
      </c>
      <c r="H273" s="9">
        <f>IF(IF(SelectedScope="All India",TRUE,'RAW_QUIZ'!$B272=SelectedScope),'RAW_QUIZ'!H272,"")</f>
        <v>0</v>
      </c>
      <c r="I273" s="9">
        <f>IF(IF(SelectedScope="All India",TRUE,'RAW_QUIZ'!$B272=SelectedScope),'RAW_QUIZ'!I272,"")</f>
        <v>0</v>
      </c>
      <c r="J273" s="9">
        <f>IF(IF(SelectedScope="All India",TRUE,'RAW_QUIZ'!$B272=SelectedScope),'RAW_QUIZ'!J272,"")</f>
        <v>0</v>
      </c>
      <c r="K273" s="9">
        <f>IF(IF(SelectedScope="All India",TRUE,'RAW_QUIZ'!$B272=SelectedScope),'RAW_QUIZ'!K272,"")</f>
        <v>0</v>
      </c>
      <c r="L273" s="9">
        <f>IF(IF(SelectedScope="All India",TRUE,'RAW_QUIZ'!$B272=SelectedScope),'RAW_QUIZ'!L272,"")</f>
        <v>0</v>
      </c>
      <c r="M273" s="9">
        <f>IF(IF(SelectedScope="All India",TRUE,'RAW_QUIZ'!$B272=SelectedScope),'RAW_QUIZ'!M272,"")</f>
        <v>0</v>
      </c>
      <c r="N273" s="9">
        <f>IF(IF(SelectedScope="All India",TRUE,'RAW_QUIZ'!$B272=SelectedScope),'RAW_QUIZ'!N272,"")</f>
        <v>0</v>
      </c>
      <c r="O273" s="9">
        <f>IF(IF(SelectedScope="All India",TRUE,'RAW_QUIZ'!$B272=SelectedScope),'RAW_QUIZ'!O272,"")</f>
        <v>0</v>
      </c>
      <c r="P273" s="9">
        <f>IF(IF(SelectedScope="All India",TRUE,'RAW_QUIZ'!$B272=SelectedScope),'RAW_QUIZ'!P272,"")</f>
        <v>0</v>
      </c>
      <c r="Q273" s="9">
        <f>IF(IF(SelectedScope="All India",TRUE,'RAW_QUIZ'!$B272=SelectedScope),'RAW_QUIZ'!Q272,"")</f>
        <v>0</v>
      </c>
    </row>
    <row r="274" spans="1:17" ht="15" customHeight="1" x14ac:dyDescent="0.3">
      <c r="A274" s="12">
        <f>IF(IF(SelectedScope="All India",TRUE,'RAW_QUIZ'!$B273=SelectedScope),'RAW_QUIZ'!A273,"")</f>
        <v>270</v>
      </c>
      <c r="B274" s="12" t="str">
        <f>IF(IF(SelectedScope="All India",TRUE,'RAW_QUIZ'!$B273=SelectedScope),'RAW_QUIZ'!B273,"")</f>
        <v>Puducherry</v>
      </c>
      <c r="C274" s="12" t="str">
        <f>IF(IF(SelectedScope="All India",TRUE,'RAW_QUIZ'!$B273=SelectedScope),'RAW_QUIZ'!C273,"")</f>
        <v>Mathematics</v>
      </c>
      <c r="D274" s="12" t="str">
        <f>IF(IF(SelectedScope="All India",TRUE,'RAW_QUIZ'!$B273=SelectedScope),'RAW_QUIZ'!D273,"")</f>
        <v>Class 10</v>
      </c>
      <c r="E274" s="12" t="str">
        <f>IF(IF(SelectedScope="All India",TRUE,'RAW_QUIZ'!$B273=SelectedScope),'RAW_QUIZ'!E273,"")</f>
        <v>Quadratic Equations — Unit Quiz</v>
      </c>
      <c r="F274" s="12">
        <f>IF(IF(SelectedScope="All India",TRUE,'RAW_QUIZ'!$B273=SelectedScope),'RAW_QUIZ'!F273,"")</f>
        <v>0</v>
      </c>
      <c r="G274" s="12" t="str">
        <f>IF(IF(SelectedScope="All India",TRUE,'RAW_QUIZ'!$B273=SelectedScope),'RAW_QUIZ'!G273,"")</f>
        <v>Active</v>
      </c>
      <c r="H274" s="12">
        <f>IF(IF(SelectedScope="All India",TRUE,'RAW_QUIZ'!$B273=SelectedScope),'RAW_QUIZ'!H273,"")</f>
        <v>0</v>
      </c>
      <c r="I274" s="12">
        <f>IF(IF(SelectedScope="All India",TRUE,'RAW_QUIZ'!$B273=SelectedScope),'RAW_QUIZ'!I273,"")</f>
        <v>0</v>
      </c>
      <c r="J274" s="12">
        <f>IF(IF(SelectedScope="All India",TRUE,'RAW_QUIZ'!$B273=SelectedScope),'RAW_QUIZ'!J273,"")</f>
        <v>0</v>
      </c>
      <c r="K274" s="12">
        <f>IF(IF(SelectedScope="All India",TRUE,'RAW_QUIZ'!$B273=SelectedScope),'RAW_QUIZ'!K273,"")</f>
        <v>0</v>
      </c>
      <c r="L274" s="12">
        <f>IF(IF(SelectedScope="All India",TRUE,'RAW_QUIZ'!$B273=SelectedScope),'RAW_QUIZ'!L273,"")</f>
        <v>0</v>
      </c>
      <c r="M274" s="12">
        <f>IF(IF(SelectedScope="All India",TRUE,'RAW_QUIZ'!$B273=SelectedScope),'RAW_QUIZ'!M273,"")</f>
        <v>0</v>
      </c>
      <c r="N274" s="12">
        <f>IF(IF(SelectedScope="All India",TRUE,'RAW_QUIZ'!$B273=SelectedScope),'RAW_QUIZ'!N273,"")</f>
        <v>0</v>
      </c>
      <c r="O274" s="12">
        <f>IF(IF(SelectedScope="All India",TRUE,'RAW_QUIZ'!$B273=SelectedScope),'RAW_QUIZ'!O273,"")</f>
        <v>0</v>
      </c>
      <c r="P274" s="12">
        <f>IF(IF(SelectedScope="All India",TRUE,'RAW_QUIZ'!$B273=SelectedScope),'RAW_QUIZ'!P273,"")</f>
        <v>0</v>
      </c>
      <c r="Q274" s="12">
        <f>IF(IF(SelectedScope="All India",TRUE,'RAW_QUIZ'!$B273=SelectedScope),'RAW_QUIZ'!Q273,"")</f>
        <v>0</v>
      </c>
    </row>
    <row r="275" spans="1:17" ht="15" customHeight="1" x14ac:dyDescent="0.3">
      <c r="A275" s="9">
        <f>IF(IF(SelectedScope="All India",TRUE,'RAW_QUIZ'!$B274=SelectedScope),'RAW_QUIZ'!A274,"")</f>
        <v>271</v>
      </c>
      <c r="B275" s="9" t="str">
        <f>IF(IF(SelectedScope="All India",TRUE,'RAW_QUIZ'!$B274=SelectedScope),'RAW_QUIZ'!B274,"")</f>
        <v>Punjab</v>
      </c>
      <c r="C275" s="9" t="str">
        <f>IF(IF(SelectedScope="All India",TRUE,'RAW_QUIZ'!$B274=SelectedScope),'RAW_QUIZ'!C274,"")</f>
        <v>Science</v>
      </c>
      <c r="D275" s="9" t="str">
        <f>IF(IF(SelectedScope="All India",TRUE,'RAW_QUIZ'!$B274=SelectedScope),'RAW_QUIZ'!D274,"")</f>
        <v>Class 8</v>
      </c>
      <c r="E275" s="9" t="str">
        <f>IF(IF(SelectedScope="All India",TRUE,'RAW_QUIZ'!$B274=SelectedScope),'RAW_QUIZ'!E274,"")</f>
        <v>Solar System — Unit Quiz</v>
      </c>
      <c r="F275" s="9">
        <f>IF(IF(SelectedScope="All India",TRUE,'RAW_QUIZ'!$B274=SelectedScope),'RAW_QUIZ'!F274,"")</f>
        <v>0</v>
      </c>
      <c r="G275" s="9" t="str">
        <f>IF(IF(SelectedScope="All India",TRUE,'RAW_QUIZ'!$B274=SelectedScope),'RAW_QUIZ'!G274,"")</f>
        <v>Active</v>
      </c>
      <c r="H275" s="9">
        <f>IF(IF(SelectedScope="All India",TRUE,'RAW_QUIZ'!$B274=SelectedScope),'RAW_QUIZ'!H274,"")</f>
        <v>0</v>
      </c>
      <c r="I275" s="9">
        <f>IF(IF(SelectedScope="All India",TRUE,'RAW_QUIZ'!$B274=SelectedScope),'RAW_QUIZ'!I274,"")</f>
        <v>0</v>
      </c>
      <c r="J275" s="9">
        <f>IF(IF(SelectedScope="All India",TRUE,'RAW_QUIZ'!$B274=SelectedScope),'RAW_QUIZ'!J274,"")</f>
        <v>0</v>
      </c>
      <c r="K275" s="9">
        <f>IF(IF(SelectedScope="All India",TRUE,'RAW_QUIZ'!$B274=SelectedScope),'RAW_QUIZ'!K274,"")</f>
        <v>0</v>
      </c>
      <c r="L275" s="9">
        <f>IF(IF(SelectedScope="All India",TRUE,'RAW_QUIZ'!$B274=SelectedScope),'RAW_QUIZ'!L274,"")</f>
        <v>0</v>
      </c>
      <c r="M275" s="9">
        <f>IF(IF(SelectedScope="All India",TRUE,'RAW_QUIZ'!$B274=SelectedScope),'RAW_QUIZ'!M274,"")</f>
        <v>0</v>
      </c>
      <c r="N275" s="9">
        <f>IF(IF(SelectedScope="All India",TRUE,'RAW_QUIZ'!$B274=SelectedScope),'RAW_QUIZ'!N274,"")</f>
        <v>0</v>
      </c>
      <c r="O275" s="9">
        <f>IF(IF(SelectedScope="All India",TRUE,'RAW_QUIZ'!$B274=SelectedScope),'RAW_QUIZ'!O274,"")</f>
        <v>0</v>
      </c>
      <c r="P275" s="9">
        <f>IF(IF(SelectedScope="All India",TRUE,'RAW_QUIZ'!$B274=SelectedScope),'RAW_QUIZ'!P274,"")</f>
        <v>0</v>
      </c>
      <c r="Q275" s="9">
        <f>IF(IF(SelectedScope="All India",TRUE,'RAW_QUIZ'!$B274=SelectedScope),'RAW_QUIZ'!Q274,"")</f>
        <v>0</v>
      </c>
    </row>
    <row r="276" spans="1:17" ht="15" customHeight="1" x14ac:dyDescent="0.3">
      <c r="A276" s="12">
        <f>IF(IF(SelectedScope="All India",TRUE,'RAW_QUIZ'!$B275=SelectedScope),'RAW_QUIZ'!A275,"")</f>
        <v>272</v>
      </c>
      <c r="B276" s="12" t="str">
        <f>IF(IF(SelectedScope="All India",TRUE,'RAW_QUIZ'!$B275=SelectedScope),'RAW_QUIZ'!B275,"")</f>
        <v>Punjab</v>
      </c>
      <c r="C276" s="12" t="str">
        <f>IF(IF(SelectedScope="All India",TRUE,'RAW_QUIZ'!$B275=SelectedScope),'RAW_QUIZ'!C275,"")</f>
        <v>Biology</v>
      </c>
      <c r="D276" s="12" t="str">
        <f>IF(IF(SelectedScope="All India",TRUE,'RAW_QUIZ'!$B275=SelectedScope),'RAW_QUIZ'!D275,"")</f>
        <v>Class 9</v>
      </c>
      <c r="E276" s="12" t="str">
        <f>IF(IF(SelectedScope="All India",TRUE,'RAW_QUIZ'!$B275=SelectedScope),'RAW_QUIZ'!E275,"")</f>
        <v>Cell Division — Unit Quiz</v>
      </c>
      <c r="F276" s="12">
        <f>IF(IF(SelectedScope="All India",TRUE,'RAW_QUIZ'!$B275=SelectedScope),'RAW_QUIZ'!F275,"")</f>
        <v>0</v>
      </c>
      <c r="G276" s="12" t="str">
        <f>IF(IF(SelectedScope="All India",TRUE,'RAW_QUIZ'!$B275=SelectedScope),'RAW_QUIZ'!G275,"")</f>
        <v>Active</v>
      </c>
      <c r="H276" s="12">
        <f>IF(IF(SelectedScope="All India",TRUE,'RAW_QUIZ'!$B275=SelectedScope),'RAW_QUIZ'!H275,"")</f>
        <v>0</v>
      </c>
      <c r="I276" s="12">
        <f>IF(IF(SelectedScope="All India",TRUE,'RAW_QUIZ'!$B275=SelectedScope),'RAW_QUIZ'!I275,"")</f>
        <v>0</v>
      </c>
      <c r="J276" s="12">
        <f>IF(IF(SelectedScope="All India",TRUE,'RAW_QUIZ'!$B275=SelectedScope),'RAW_QUIZ'!J275,"")</f>
        <v>0</v>
      </c>
      <c r="K276" s="12">
        <f>IF(IF(SelectedScope="All India",TRUE,'RAW_QUIZ'!$B275=SelectedScope),'RAW_QUIZ'!K275,"")</f>
        <v>0</v>
      </c>
      <c r="L276" s="12">
        <f>IF(IF(SelectedScope="All India",TRUE,'RAW_QUIZ'!$B275=SelectedScope),'RAW_QUIZ'!L275,"")</f>
        <v>0</v>
      </c>
      <c r="M276" s="12">
        <f>IF(IF(SelectedScope="All India",TRUE,'RAW_QUIZ'!$B275=SelectedScope),'RAW_QUIZ'!M275,"")</f>
        <v>0</v>
      </c>
      <c r="N276" s="12">
        <f>IF(IF(SelectedScope="All India",TRUE,'RAW_QUIZ'!$B275=SelectedScope),'RAW_QUIZ'!N275,"")</f>
        <v>0</v>
      </c>
      <c r="O276" s="12">
        <f>IF(IF(SelectedScope="All India",TRUE,'RAW_QUIZ'!$B275=SelectedScope),'RAW_QUIZ'!O275,"")</f>
        <v>0</v>
      </c>
      <c r="P276" s="12">
        <f>IF(IF(SelectedScope="All India",TRUE,'RAW_QUIZ'!$B275=SelectedScope),'RAW_QUIZ'!P275,"")</f>
        <v>0</v>
      </c>
      <c r="Q276" s="12">
        <f>IF(IF(SelectedScope="All India",TRUE,'RAW_QUIZ'!$B275=SelectedScope),'RAW_QUIZ'!Q275,"")</f>
        <v>0</v>
      </c>
    </row>
    <row r="277" spans="1:17" ht="15" customHeight="1" x14ac:dyDescent="0.3">
      <c r="A277" s="9">
        <f>IF(IF(SelectedScope="All India",TRUE,'RAW_QUIZ'!$B276=SelectedScope),'RAW_QUIZ'!A276,"")</f>
        <v>273</v>
      </c>
      <c r="B277" s="9" t="str">
        <f>IF(IF(SelectedScope="All India",TRUE,'RAW_QUIZ'!$B276=SelectedScope),'RAW_QUIZ'!B276,"")</f>
        <v>Punjab</v>
      </c>
      <c r="C277" s="9" t="str">
        <f>IF(IF(SelectedScope="All India",TRUE,'RAW_QUIZ'!$B276=SelectedScope),'RAW_QUIZ'!C276,"")</f>
        <v>Chemistry</v>
      </c>
      <c r="D277" s="9" t="str">
        <f>IF(IF(SelectedScope="All India",TRUE,'RAW_QUIZ'!$B276=SelectedScope),'RAW_QUIZ'!D276,"")</f>
        <v>Class 9</v>
      </c>
      <c r="E277" s="9" t="str">
        <f>IF(IF(SelectedScope="All India",TRUE,'RAW_QUIZ'!$B276=SelectedScope),'RAW_QUIZ'!E276,"")</f>
        <v>Atoms and Molecules — Unit Quiz</v>
      </c>
      <c r="F277" s="9">
        <f>IF(IF(SelectedScope="All India",TRUE,'RAW_QUIZ'!$B276=SelectedScope),'RAW_QUIZ'!F276,"")</f>
        <v>0</v>
      </c>
      <c r="G277" s="9" t="str">
        <f>IF(IF(SelectedScope="All India",TRUE,'RAW_QUIZ'!$B276=SelectedScope),'RAW_QUIZ'!G276,"")</f>
        <v>Active</v>
      </c>
      <c r="H277" s="9">
        <f>IF(IF(SelectedScope="All India",TRUE,'RAW_QUIZ'!$B276=SelectedScope),'RAW_QUIZ'!H276,"")</f>
        <v>0</v>
      </c>
      <c r="I277" s="9">
        <f>IF(IF(SelectedScope="All India",TRUE,'RAW_QUIZ'!$B276=SelectedScope),'RAW_QUIZ'!I276,"")</f>
        <v>0</v>
      </c>
      <c r="J277" s="9">
        <f>IF(IF(SelectedScope="All India",TRUE,'RAW_QUIZ'!$B276=SelectedScope),'RAW_QUIZ'!J276,"")</f>
        <v>0</v>
      </c>
      <c r="K277" s="9">
        <f>IF(IF(SelectedScope="All India",TRUE,'RAW_QUIZ'!$B276=SelectedScope),'RAW_QUIZ'!K276,"")</f>
        <v>0</v>
      </c>
      <c r="L277" s="9">
        <f>IF(IF(SelectedScope="All India",TRUE,'RAW_QUIZ'!$B276=SelectedScope),'RAW_QUIZ'!L276,"")</f>
        <v>0</v>
      </c>
      <c r="M277" s="9">
        <f>IF(IF(SelectedScope="All India",TRUE,'RAW_QUIZ'!$B276=SelectedScope),'RAW_QUIZ'!M276,"")</f>
        <v>0</v>
      </c>
      <c r="N277" s="9">
        <f>IF(IF(SelectedScope="All India",TRUE,'RAW_QUIZ'!$B276=SelectedScope),'RAW_QUIZ'!N276,"")</f>
        <v>0</v>
      </c>
      <c r="O277" s="9">
        <f>IF(IF(SelectedScope="All India",TRUE,'RAW_QUIZ'!$B276=SelectedScope),'RAW_QUIZ'!O276,"")</f>
        <v>0</v>
      </c>
      <c r="P277" s="9">
        <f>IF(IF(SelectedScope="All India",TRUE,'RAW_QUIZ'!$B276=SelectedScope),'RAW_QUIZ'!P276,"")</f>
        <v>0</v>
      </c>
      <c r="Q277" s="9">
        <f>IF(IF(SelectedScope="All India",TRUE,'RAW_QUIZ'!$B276=SelectedScope),'RAW_QUIZ'!Q276,"")</f>
        <v>0</v>
      </c>
    </row>
    <row r="278" spans="1:17" ht="15" customHeight="1" x14ac:dyDescent="0.3">
      <c r="A278" s="12">
        <f>IF(IF(SelectedScope="All India",TRUE,'RAW_QUIZ'!$B277=SelectedScope),'RAW_QUIZ'!A277,"")</f>
        <v>274</v>
      </c>
      <c r="B278" s="12" t="str">
        <f>IF(IF(SelectedScope="All India",TRUE,'RAW_QUIZ'!$B277=SelectedScope),'RAW_QUIZ'!B277,"")</f>
        <v>Punjab</v>
      </c>
      <c r="C278" s="12" t="str">
        <f>IF(IF(SelectedScope="All India",TRUE,'RAW_QUIZ'!$B277=SelectedScope),'RAW_QUIZ'!C277,"")</f>
        <v>Mathematics</v>
      </c>
      <c r="D278" s="12" t="str">
        <f>IF(IF(SelectedScope="All India",TRUE,'RAW_QUIZ'!$B277=SelectedScope),'RAW_QUIZ'!D277,"")</f>
        <v>Class 7</v>
      </c>
      <c r="E278" s="12" t="str">
        <f>IF(IF(SelectedScope="All India",TRUE,'RAW_QUIZ'!$B277=SelectedScope),'RAW_QUIZ'!E277,"")</f>
        <v>Fractions — Unit Quiz</v>
      </c>
      <c r="F278" s="12">
        <f>IF(IF(SelectedScope="All India",TRUE,'RAW_QUIZ'!$B277=SelectedScope),'RAW_QUIZ'!F277,"")</f>
        <v>0</v>
      </c>
      <c r="G278" s="12" t="str">
        <f>IF(IF(SelectedScope="All India",TRUE,'RAW_QUIZ'!$B277=SelectedScope),'RAW_QUIZ'!G277,"")</f>
        <v>Active</v>
      </c>
      <c r="H278" s="12">
        <f>IF(IF(SelectedScope="All India",TRUE,'RAW_QUIZ'!$B277=SelectedScope),'RAW_QUIZ'!H277,"")</f>
        <v>0</v>
      </c>
      <c r="I278" s="12">
        <f>IF(IF(SelectedScope="All India",TRUE,'RAW_QUIZ'!$B277=SelectedScope),'RAW_QUIZ'!I277,"")</f>
        <v>0</v>
      </c>
      <c r="J278" s="12">
        <f>IF(IF(SelectedScope="All India",TRUE,'RAW_QUIZ'!$B277=SelectedScope),'RAW_QUIZ'!J277,"")</f>
        <v>0</v>
      </c>
      <c r="K278" s="12">
        <f>IF(IF(SelectedScope="All India",TRUE,'RAW_QUIZ'!$B277=SelectedScope),'RAW_QUIZ'!K277,"")</f>
        <v>0</v>
      </c>
      <c r="L278" s="12">
        <f>IF(IF(SelectedScope="All India",TRUE,'RAW_QUIZ'!$B277=SelectedScope),'RAW_QUIZ'!L277,"")</f>
        <v>0</v>
      </c>
      <c r="M278" s="12">
        <f>IF(IF(SelectedScope="All India",TRUE,'RAW_QUIZ'!$B277=SelectedScope),'RAW_QUIZ'!M277,"")</f>
        <v>0</v>
      </c>
      <c r="N278" s="12">
        <f>IF(IF(SelectedScope="All India",TRUE,'RAW_QUIZ'!$B277=SelectedScope),'RAW_QUIZ'!N277,"")</f>
        <v>0</v>
      </c>
      <c r="O278" s="12">
        <f>IF(IF(SelectedScope="All India",TRUE,'RAW_QUIZ'!$B277=SelectedScope),'RAW_QUIZ'!O277,"")</f>
        <v>0</v>
      </c>
      <c r="P278" s="12">
        <f>IF(IF(SelectedScope="All India",TRUE,'RAW_QUIZ'!$B277=SelectedScope),'RAW_QUIZ'!P277,"")</f>
        <v>0</v>
      </c>
      <c r="Q278" s="12">
        <f>IF(IF(SelectedScope="All India",TRUE,'RAW_QUIZ'!$B277=SelectedScope),'RAW_QUIZ'!Q277,"")</f>
        <v>0</v>
      </c>
    </row>
    <row r="279" spans="1:17" ht="15" customHeight="1" x14ac:dyDescent="0.3">
      <c r="A279" s="9">
        <f>IF(IF(SelectedScope="All India",TRUE,'RAW_QUIZ'!$B278=SelectedScope),'RAW_QUIZ'!A278,"")</f>
        <v>275</v>
      </c>
      <c r="B279" s="9" t="str">
        <f>IF(IF(SelectedScope="All India",TRUE,'RAW_QUIZ'!$B278=SelectedScope),'RAW_QUIZ'!B278,"")</f>
        <v>Punjab</v>
      </c>
      <c r="C279" s="9" t="str">
        <f>IF(IF(SelectedScope="All India",TRUE,'RAW_QUIZ'!$B278=SelectedScope),'RAW_QUIZ'!C278,"")</f>
        <v>Mathematics</v>
      </c>
      <c r="D279" s="9" t="str">
        <f>IF(IF(SelectedScope="All India",TRUE,'RAW_QUIZ'!$B278=SelectedScope),'RAW_QUIZ'!D278,"")</f>
        <v>Class 10</v>
      </c>
      <c r="E279" s="9" t="str">
        <f>IF(IF(SelectedScope="All India",TRUE,'RAW_QUIZ'!$B278=SelectedScope),'RAW_QUIZ'!E278,"")</f>
        <v>Trigonometry — Unit Quiz</v>
      </c>
      <c r="F279" s="9">
        <f>IF(IF(SelectedScope="All India",TRUE,'RAW_QUIZ'!$B278=SelectedScope),'RAW_QUIZ'!F278,"")</f>
        <v>0</v>
      </c>
      <c r="G279" s="9" t="str">
        <f>IF(IF(SelectedScope="All India",TRUE,'RAW_QUIZ'!$B278=SelectedScope),'RAW_QUIZ'!G278,"")</f>
        <v>Active</v>
      </c>
      <c r="H279" s="9">
        <f>IF(IF(SelectedScope="All India",TRUE,'RAW_QUIZ'!$B278=SelectedScope),'RAW_QUIZ'!H278,"")</f>
        <v>0</v>
      </c>
      <c r="I279" s="9">
        <f>IF(IF(SelectedScope="All India",TRUE,'RAW_QUIZ'!$B278=SelectedScope),'RAW_QUIZ'!I278,"")</f>
        <v>0</v>
      </c>
      <c r="J279" s="9">
        <f>IF(IF(SelectedScope="All India",TRUE,'RAW_QUIZ'!$B278=SelectedScope),'RAW_QUIZ'!J278,"")</f>
        <v>0</v>
      </c>
      <c r="K279" s="9">
        <f>IF(IF(SelectedScope="All India",TRUE,'RAW_QUIZ'!$B278=SelectedScope),'RAW_QUIZ'!K278,"")</f>
        <v>0</v>
      </c>
      <c r="L279" s="9">
        <f>IF(IF(SelectedScope="All India",TRUE,'RAW_QUIZ'!$B278=SelectedScope),'RAW_QUIZ'!L278,"")</f>
        <v>0</v>
      </c>
      <c r="M279" s="9">
        <f>IF(IF(SelectedScope="All India",TRUE,'RAW_QUIZ'!$B278=SelectedScope),'RAW_QUIZ'!M278,"")</f>
        <v>0</v>
      </c>
      <c r="N279" s="9">
        <f>IF(IF(SelectedScope="All India",TRUE,'RAW_QUIZ'!$B278=SelectedScope),'RAW_QUIZ'!N278,"")</f>
        <v>0</v>
      </c>
      <c r="O279" s="9">
        <f>IF(IF(SelectedScope="All India",TRUE,'RAW_QUIZ'!$B278=SelectedScope),'RAW_QUIZ'!O278,"")</f>
        <v>0</v>
      </c>
      <c r="P279" s="9">
        <f>IF(IF(SelectedScope="All India",TRUE,'RAW_QUIZ'!$B278=SelectedScope),'RAW_QUIZ'!P278,"")</f>
        <v>0</v>
      </c>
      <c r="Q279" s="9">
        <f>IF(IF(SelectedScope="All India",TRUE,'RAW_QUIZ'!$B278=SelectedScope),'RAW_QUIZ'!Q278,"")</f>
        <v>0</v>
      </c>
    </row>
    <row r="280" spans="1:17" ht="15" customHeight="1" x14ac:dyDescent="0.3">
      <c r="A280" s="12">
        <f>IF(IF(SelectedScope="All India",TRUE,'RAW_QUIZ'!$B279=SelectedScope),'RAW_QUIZ'!A279,"")</f>
        <v>276</v>
      </c>
      <c r="B280" s="12" t="str">
        <f>IF(IF(SelectedScope="All India",TRUE,'RAW_QUIZ'!$B279=SelectedScope),'RAW_QUIZ'!B279,"")</f>
        <v>Punjab</v>
      </c>
      <c r="C280" s="12" t="str">
        <f>IF(IF(SelectedScope="All India",TRUE,'RAW_QUIZ'!$B279=SelectedScope),'RAW_QUIZ'!C279,"")</f>
        <v>History</v>
      </c>
      <c r="D280" s="12" t="str">
        <f>IF(IF(SelectedScope="All India",TRUE,'RAW_QUIZ'!$B279=SelectedScope),'RAW_QUIZ'!D279,"")</f>
        <v>Class 10</v>
      </c>
      <c r="E280" s="12" t="str">
        <f>IF(IF(SelectedScope="All India",TRUE,'RAW_QUIZ'!$B279=SelectedScope),'RAW_QUIZ'!E279,"")</f>
        <v>Mughal Empire — Unit Quiz</v>
      </c>
      <c r="F280" s="12">
        <f>IF(IF(SelectedScope="All India",TRUE,'RAW_QUIZ'!$B279=SelectedScope),'RAW_QUIZ'!F279,"")</f>
        <v>0</v>
      </c>
      <c r="G280" s="12" t="str">
        <f>IF(IF(SelectedScope="All India",TRUE,'RAW_QUIZ'!$B279=SelectedScope),'RAW_QUIZ'!G279,"")</f>
        <v>Active</v>
      </c>
      <c r="H280" s="12">
        <f>IF(IF(SelectedScope="All India",TRUE,'RAW_QUIZ'!$B279=SelectedScope),'RAW_QUIZ'!H279,"")</f>
        <v>0</v>
      </c>
      <c r="I280" s="12">
        <f>IF(IF(SelectedScope="All India",TRUE,'RAW_QUIZ'!$B279=SelectedScope),'RAW_QUIZ'!I279,"")</f>
        <v>0</v>
      </c>
      <c r="J280" s="12">
        <f>IF(IF(SelectedScope="All India",TRUE,'RAW_QUIZ'!$B279=SelectedScope),'RAW_QUIZ'!J279,"")</f>
        <v>0</v>
      </c>
      <c r="K280" s="12">
        <f>IF(IF(SelectedScope="All India",TRUE,'RAW_QUIZ'!$B279=SelectedScope),'RAW_QUIZ'!K279,"")</f>
        <v>0</v>
      </c>
      <c r="L280" s="12">
        <f>IF(IF(SelectedScope="All India",TRUE,'RAW_QUIZ'!$B279=SelectedScope),'RAW_QUIZ'!L279,"")</f>
        <v>0</v>
      </c>
      <c r="M280" s="12">
        <f>IF(IF(SelectedScope="All India",TRUE,'RAW_QUIZ'!$B279=SelectedScope),'RAW_QUIZ'!M279,"")</f>
        <v>0</v>
      </c>
      <c r="N280" s="12">
        <f>IF(IF(SelectedScope="All India",TRUE,'RAW_QUIZ'!$B279=SelectedScope),'RAW_QUIZ'!N279,"")</f>
        <v>0</v>
      </c>
      <c r="O280" s="12">
        <f>IF(IF(SelectedScope="All India",TRUE,'RAW_QUIZ'!$B279=SelectedScope),'RAW_QUIZ'!O279,"")</f>
        <v>0</v>
      </c>
      <c r="P280" s="12">
        <f>IF(IF(SelectedScope="All India",TRUE,'RAW_QUIZ'!$B279=SelectedScope),'RAW_QUIZ'!P279,"")</f>
        <v>0</v>
      </c>
      <c r="Q280" s="12">
        <f>IF(IF(SelectedScope="All India",TRUE,'RAW_QUIZ'!$B279=SelectedScope),'RAW_QUIZ'!Q279,"")</f>
        <v>0</v>
      </c>
    </row>
    <row r="281" spans="1:17" ht="15" customHeight="1" x14ac:dyDescent="0.3">
      <c r="A281" s="9">
        <f>IF(IF(SelectedScope="All India",TRUE,'RAW_QUIZ'!$B280=SelectedScope),'RAW_QUIZ'!A280,"")</f>
        <v>277</v>
      </c>
      <c r="B281" s="9" t="str">
        <f>IF(IF(SelectedScope="All India",TRUE,'RAW_QUIZ'!$B280=SelectedScope),'RAW_QUIZ'!B280,"")</f>
        <v>Punjab</v>
      </c>
      <c r="C281" s="9" t="str">
        <f>IF(IF(SelectedScope="All India",TRUE,'RAW_QUIZ'!$B280=SelectedScope),'RAW_QUIZ'!C280,"")</f>
        <v>Physics</v>
      </c>
      <c r="D281" s="9" t="str">
        <f>IF(IF(SelectedScope="All India",TRUE,'RAW_QUIZ'!$B280=SelectedScope),'RAW_QUIZ'!D280,"")</f>
        <v>Class 9</v>
      </c>
      <c r="E281" s="9" t="str">
        <f>IF(IF(SelectedScope="All India",TRUE,'RAW_QUIZ'!$B280=SelectedScope),'RAW_QUIZ'!E280,"")</f>
        <v>Laws of Motion — Unit Quiz</v>
      </c>
      <c r="F281" s="9">
        <f>IF(IF(SelectedScope="All India",TRUE,'RAW_QUIZ'!$B280=SelectedScope),'RAW_QUIZ'!F280,"")</f>
        <v>0</v>
      </c>
      <c r="G281" s="9" t="str">
        <f>IF(IF(SelectedScope="All India",TRUE,'RAW_QUIZ'!$B280=SelectedScope),'RAW_QUIZ'!G280,"")</f>
        <v>Active</v>
      </c>
      <c r="H281" s="9">
        <f>IF(IF(SelectedScope="All India",TRUE,'RAW_QUIZ'!$B280=SelectedScope),'RAW_QUIZ'!H280,"")</f>
        <v>0</v>
      </c>
      <c r="I281" s="9">
        <f>IF(IF(SelectedScope="All India",TRUE,'RAW_QUIZ'!$B280=SelectedScope),'RAW_QUIZ'!I280,"")</f>
        <v>0</v>
      </c>
      <c r="J281" s="9">
        <f>IF(IF(SelectedScope="All India",TRUE,'RAW_QUIZ'!$B280=SelectedScope),'RAW_QUIZ'!J280,"")</f>
        <v>0</v>
      </c>
      <c r="K281" s="9">
        <f>IF(IF(SelectedScope="All India",TRUE,'RAW_QUIZ'!$B280=SelectedScope),'RAW_QUIZ'!K280,"")</f>
        <v>0</v>
      </c>
      <c r="L281" s="9">
        <f>IF(IF(SelectedScope="All India",TRUE,'RAW_QUIZ'!$B280=SelectedScope),'RAW_QUIZ'!L280,"")</f>
        <v>0</v>
      </c>
      <c r="M281" s="9">
        <f>IF(IF(SelectedScope="All India",TRUE,'RAW_QUIZ'!$B280=SelectedScope),'RAW_QUIZ'!M280,"")</f>
        <v>0</v>
      </c>
      <c r="N281" s="9">
        <f>IF(IF(SelectedScope="All India",TRUE,'RAW_QUIZ'!$B280=SelectedScope),'RAW_QUIZ'!N280,"")</f>
        <v>0</v>
      </c>
      <c r="O281" s="9">
        <f>IF(IF(SelectedScope="All India",TRUE,'RAW_QUIZ'!$B280=SelectedScope),'RAW_QUIZ'!O280,"")</f>
        <v>0</v>
      </c>
      <c r="P281" s="9">
        <f>IF(IF(SelectedScope="All India",TRUE,'RAW_QUIZ'!$B280=SelectedScope),'RAW_QUIZ'!P280,"")</f>
        <v>0</v>
      </c>
      <c r="Q281" s="9">
        <f>IF(IF(SelectedScope="All India",TRUE,'RAW_QUIZ'!$B280=SelectedScope),'RAW_QUIZ'!Q280,"")</f>
        <v>0</v>
      </c>
    </row>
    <row r="282" spans="1:17" ht="15" customHeight="1" x14ac:dyDescent="0.3">
      <c r="A282" s="12">
        <f>IF(IF(SelectedScope="All India",TRUE,'RAW_QUIZ'!$B281=SelectedScope),'RAW_QUIZ'!A281,"")</f>
        <v>278</v>
      </c>
      <c r="B282" s="12" t="str">
        <f>IF(IF(SelectedScope="All India",TRUE,'RAW_QUIZ'!$B281=SelectedScope),'RAW_QUIZ'!B281,"")</f>
        <v>Punjab</v>
      </c>
      <c r="C282" s="12" t="str">
        <f>IF(IF(SelectedScope="All India",TRUE,'RAW_QUIZ'!$B281=SelectedScope),'RAW_QUIZ'!C281,"")</f>
        <v>Physics</v>
      </c>
      <c r="D282" s="12" t="str">
        <f>IF(IF(SelectedScope="All India",TRUE,'RAW_QUIZ'!$B281=SelectedScope),'RAW_QUIZ'!D281,"")</f>
        <v>Class 10</v>
      </c>
      <c r="E282" s="12" t="str">
        <f>IF(IF(SelectedScope="All India",TRUE,'RAW_QUIZ'!$B281=SelectedScope),'RAW_QUIZ'!E281,"")</f>
        <v>Electricity — Unit Quiz</v>
      </c>
      <c r="F282" s="12">
        <f>IF(IF(SelectedScope="All India",TRUE,'RAW_QUIZ'!$B281=SelectedScope),'RAW_QUIZ'!F281,"")</f>
        <v>0</v>
      </c>
      <c r="G282" s="12" t="str">
        <f>IF(IF(SelectedScope="All India",TRUE,'RAW_QUIZ'!$B281=SelectedScope),'RAW_QUIZ'!G281,"")</f>
        <v>Active</v>
      </c>
      <c r="H282" s="12">
        <f>IF(IF(SelectedScope="All India",TRUE,'RAW_QUIZ'!$B281=SelectedScope),'RAW_QUIZ'!H281,"")</f>
        <v>0</v>
      </c>
      <c r="I282" s="12">
        <f>IF(IF(SelectedScope="All India",TRUE,'RAW_QUIZ'!$B281=SelectedScope),'RAW_QUIZ'!I281,"")</f>
        <v>0</v>
      </c>
      <c r="J282" s="12">
        <f>IF(IF(SelectedScope="All India",TRUE,'RAW_QUIZ'!$B281=SelectedScope),'RAW_QUIZ'!J281,"")</f>
        <v>0</v>
      </c>
      <c r="K282" s="12">
        <f>IF(IF(SelectedScope="All India",TRUE,'RAW_QUIZ'!$B281=SelectedScope),'RAW_QUIZ'!K281,"")</f>
        <v>0</v>
      </c>
      <c r="L282" s="12">
        <f>IF(IF(SelectedScope="All India",TRUE,'RAW_QUIZ'!$B281=SelectedScope),'RAW_QUIZ'!L281,"")</f>
        <v>0</v>
      </c>
      <c r="M282" s="12">
        <f>IF(IF(SelectedScope="All India",TRUE,'RAW_QUIZ'!$B281=SelectedScope),'RAW_QUIZ'!M281,"")</f>
        <v>0</v>
      </c>
      <c r="N282" s="12">
        <f>IF(IF(SelectedScope="All India",TRUE,'RAW_QUIZ'!$B281=SelectedScope),'RAW_QUIZ'!N281,"")</f>
        <v>0</v>
      </c>
      <c r="O282" s="12">
        <f>IF(IF(SelectedScope="All India",TRUE,'RAW_QUIZ'!$B281=SelectedScope),'RAW_QUIZ'!O281,"")</f>
        <v>0</v>
      </c>
      <c r="P282" s="12">
        <f>IF(IF(SelectedScope="All India",TRUE,'RAW_QUIZ'!$B281=SelectedScope),'RAW_QUIZ'!P281,"")</f>
        <v>0</v>
      </c>
      <c r="Q282" s="12">
        <f>IF(IF(SelectedScope="All India",TRUE,'RAW_QUIZ'!$B281=SelectedScope),'RAW_QUIZ'!Q281,"")</f>
        <v>0</v>
      </c>
    </row>
    <row r="283" spans="1:17" ht="15" customHeight="1" x14ac:dyDescent="0.3">
      <c r="A283" s="9">
        <f>IF(IF(SelectedScope="All India",TRUE,'RAW_QUIZ'!$B282=SelectedScope),'RAW_QUIZ'!A282,"")</f>
        <v>279</v>
      </c>
      <c r="B283" s="9" t="str">
        <f>IF(IF(SelectedScope="All India",TRUE,'RAW_QUIZ'!$B282=SelectedScope),'RAW_QUIZ'!B282,"")</f>
        <v>Punjab</v>
      </c>
      <c r="C283" s="9" t="str">
        <f>IF(IF(SelectedScope="All India",TRUE,'RAW_QUIZ'!$B282=SelectedScope),'RAW_QUIZ'!C282,"")</f>
        <v>Civics</v>
      </c>
      <c r="D283" s="9" t="str">
        <f>IF(IF(SelectedScope="All India",TRUE,'RAW_QUIZ'!$B282=SelectedScope),'RAW_QUIZ'!D282,"")</f>
        <v>Class 9</v>
      </c>
      <c r="E283" s="9" t="str">
        <f>IF(IF(SelectedScope="All India",TRUE,'RAW_QUIZ'!$B282=SelectedScope),'RAW_QUIZ'!E282,"")</f>
        <v>Indian Constitution — Unit Quiz</v>
      </c>
      <c r="F283" s="9">
        <f>IF(IF(SelectedScope="All India",TRUE,'RAW_QUIZ'!$B282=SelectedScope),'RAW_QUIZ'!F282,"")</f>
        <v>0</v>
      </c>
      <c r="G283" s="9" t="str">
        <f>IF(IF(SelectedScope="All India",TRUE,'RAW_QUIZ'!$B282=SelectedScope),'RAW_QUIZ'!G282,"")</f>
        <v>Active</v>
      </c>
      <c r="H283" s="9">
        <f>IF(IF(SelectedScope="All India",TRUE,'RAW_QUIZ'!$B282=SelectedScope),'RAW_QUIZ'!H282,"")</f>
        <v>0</v>
      </c>
      <c r="I283" s="9">
        <f>IF(IF(SelectedScope="All India",TRUE,'RAW_QUIZ'!$B282=SelectedScope),'RAW_QUIZ'!I282,"")</f>
        <v>0</v>
      </c>
      <c r="J283" s="9">
        <f>IF(IF(SelectedScope="All India",TRUE,'RAW_QUIZ'!$B282=SelectedScope),'RAW_QUIZ'!J282,"")</f>
        <v>0</v>
      </c>
      <c r="K283" s="9">
        <f>IF(IF(SelectedScope="All India",TRUE,'RAW_QUIZ'!$B282=SelectedScope),'RAW_QUIZ'!K282,"")</f>
        <v>0</v>
      </c>
      <c r="L283" s="9">
        <f>IF(IF(SelectedScope="All India",TRUE,'RAW_QUIZ'!$B282=SelectedScope),'RAW_QUIZ'!L282,"")</f>
        <v>0</v>
      </c>
      <c r="M283" s="9">
        <f>IF(IF(SelectedScope="All India",TRUE,'RAW_QUIZ'!$B282=SelectedScope),'RAW_QUIZ'!M282,"")</f>
        <v>0</v>
      </c>
      <c r="N283" s="9">
        <f>IF(IF(SelectedScope="All India",TRUE,'RAW_QUIZ'!$B282=SelectedScope),'RAW_QUIZ'!N282,"")</f>
        <v>0</v>
      </c>
      <c r="O283" s="9">
        <f>IF(IF(SelectedScope="All India",TRUE,'RAW_QUIZ'!$B282=SelectedScope),'RAW_QUIZ'!O282,"")</f>
        <v>0</v>
      </c>
      <c r="P283" s="9">
        <f>IF(IF(SelectedScope="All India",TRUE,'RAW_QUIZ'!$B282=SelectedScope),'RAW_QUIZ'!P282,"")</f>
        <v>0</v>
      </c>
      <c r="Q283" s="9">
        <f>IF(IF(SelectedScope="All India",TRUE,'RAW_QUIZ'!$B282=SelectedScope),'RAW_QUIZ'!Q282,"")</f>
        <v>0</v>
      </c>
    </row>
    <row r="284" spans="1:17" ht="15" customHeight="1" x14ac:dyDescent="0.3">
      <c r="A284" s="12">
        <f>IF(IF(SelectedScope="All India",TRUE,'RAW_QUIZ'!$B283=SelectedScope),'RAW_QUIZ'!A283,"")</f>
        <v>280</v>
      </c>
      <c r="B284" s="12" t="str">
        <f>IF(IF(SelectedScope="All India",TRUE,'RAW_QUIZ'!$B283=SelectedScope),'RAW_QUIZ'!B283,"")</f>
        <v>Punjab</v>
      </c>
      <c r="C284" s="12" t="str">
        <f>IF(IF(SelectedScope="All India",TRUE,'RAW_QUIZ'!$B283=SelectedScope),'RAW_QUIZ'!C283,"")</f>
        <v>Mathematics</v>
      </c>
      <c r="D284" s="12" t="str">
        <f>IF(IF(SelectedScope="All India",TRUE,'RAW_QUIZ'!$B283=SelectedScope),'RAW_QUIZ'!D283,"")</f>
        <v>Class 10</v>
      </c>
      <c r="E284" s="12" t="str">
        <f>IF(IF(SelectedScope="All India",TRUE,'RAW_QUIZ'!$B283=SelectedScope),'RAW_QUIZ'!E283,"")</f>
        <v>Quadratic Equations — Unit Quiz</v>
      </c>
      <c r="F284" s="12">
        <f>IF(IF(SelectedScope="All India",TRUE,'RAW_QUIZ'!$B283=SelectedScope),'RAW_QUIZ'!F283,"")</f>
        <v>0</v>
      </c>
      <c r="G284" s="12" t="str">
        <f>IF(IF(SelectedScope="All India",TRUE,'RAW_QUIZ'!$B283=SelectedScope),'RAW_QUIZ'!G283,"")</f>
        <v>Active</v>
      </c>
      <c r="H284" s="12">
        <f>IF(IF(SelectedScope="All India",TRUE,'RAW_QUIZ'!$B283=SelectedScope),'RAW_QUIZ'!H283,"")</f>
        <v>0</v>
      </c>
      <c r="I284" s="12">
        <f>IF(IF(SelectedScope="All India",TRUE,'RAW_QUIZ'!$B283=SelectedScope),'RAW_QUIZ'!I283,"")</f>
        <v>0</v>
      </c>
      <c r="J284" s="12">
        <f>IF(IF(SelectedScope="All India",TRUE,'RAW_QUIZ'!$B283=SelectedScope),'RAW_QUIZ'!J283,"")</f>
        <v>0</v>
      </c>
      <c r="K284" s="12">
        <f>IF(IF(SelectedScope="All India",TRUE,'RAW_QUIZ'!$B283=SelectedScope),'RAW_QUIZ'!K283,"")</f>
        <v>0</v>
      </c>
      <c r="L284" s="12">
        <f>IF(IF(SelectedScope="All India",TRUE,'RAW_QUIZ'!$B283=SelectedScope),'RAW_QUIZ'!L283,"")</f>
        <v>0</v>
      </c>
      <c r="M284" s="12">
        <f>IF(IF(SelectedScope="All India",TRUE,'RAW_QUIZ'!$B283=SelectedScope),'RAW_QUIZ'!M283,"")</f>
        <v>0</v>
      </c>
      <c r="N284" s="12">
        <f>IF(IF(SelectedScope="All India",TRUE,'RAW_QUIZ'!$B283=SelectedScope),'RAW_QUIZ'!N283,"")</f>
        <v>0</v>
      </c>
      <c r="O284" s="12">
        <f>IF(IF(SelectedScope="All India",TRUE,'RAW_QUIZ'!$B283=SelectedScope),'RAW_QUIZ'!O283,"")</f>
        <v>0</v>
      </c>
      <c r="P284" s="12">
        <f>IF(IF(SelectedScope="All India",TRUE,'RAW_QUIZ'!$B283=SelectedScope),'RAW_QUIZ'!P283,"")</f>
        <v>0</v>
      </c>
      <c r="Q284" s="12">
        <f>IF(IF(SelectedScope="All India",TRUE,'RAW_QUIZ'!$B283=SelectedScope),'RAW_QUIZ'!Q283,"")</f>
        <v>0</v>
      </c>
    </row>
    <row r="285" spans="1:17" ht="15" customHeight="1" x14ac:dyDescent="0.3">
      <c r="A285" s="9">
        <f>IF(IF(SelectedScope="All India",TRUE,'RAW_QUIZ'!$B284=SelectedScope),'RAW_QUIZ'!A284,"")</f>
        <v>281</v>
      </c>
      <c r="B285" s="9" t="str">
        <f>IF(IF(SelectedScope="All India",TRUE,'RAW_QUIZ'!$B284=SelectedScope),'RAW_QUIZ'!B284,"")</f>
        <v>Rajasthan</v>
      </c>
      <c r="C285" s="9" t="str">
        <f>IF(IF(SelectedScope="All India",TRUE,'RAW_QUIZ'!$B284=SelectedScope),'RAW_QUIZ'!C284,"")</f>
        <v>Science</v>
      </c>
      <c r="D285" s="9" t="str">
        <f>IF(IF(SelectedScope="All India",TRUE,'RAW_QUIZ'!$B284=SelectedScope),'RAW_QUIZ'!D284,"")</f>
        <v>Class 8</v>
      </c>
      <c r="E285" s="9" t="str">
        <f>IF(IF(SelectedScope="All India",TRUE,'RAW_QUIZ'!$B284=SelectedScope),'RAW_QUIZ'!E284,"")</f>
        <v>Solar System — Unit Quiz</v>
      </c>
      <c r="F285" s="9">
        <f>IF(IF(SelectedScope="All India",TRUE,'RAW_QUIZ'!$B284=SelectedScope),'RAW_QUIZ'!F284,"")</f>
        <v>0</v>
      </c>
      <c r="G285" s="9" t="str">
        <f>IF(IF(SelectedScope="All India",TRUE,'RAW_QUIZ'!$B284=SelectedScope),'RAW_QUIZ'!G284,"")</f>
        <v>Active</v>
      </c>
      <c r="H285" s="9">
        <f>IF(IF(SelectedScope="All India",TRUE,'RAW_QUIZ'!$B284=SelectedScope),'RAW_QUIZ'!H284,"")</f>
        <v>0</v>
      </c>
      <c r="I285" s="9">
        <f>IF(IF(SelectedScope="All India",TRUE,'RAW_QUIZ'!$B284=SelectedScope),'RAW_QUIZ'!I284,"")</f>
        <v>0</v>
      </c>
      <c r="J285" s="9">
        <f>IF(IF(SelectedScope="All India",TRUE,'RAW_QUIZ'!$B284=SelectedScope),'RAW_QUIZ'!J284,"")</f>
        <v>0</v>
      </c>
      <c r="K285" s="9">
        <f>IF(IF(SelectedScope="All India",TRUE,'RAW_QUIZ'!$B284=SelectedScope),'RAW_QUIZ'!K284,"")</f>
        <v>0</v>
      </c>
      <c r="L285" s="9">
        <f>IF(IF(SelectedScope="All India",TRUE,'RAW_QUIZ'!$B284=SelectedScope),'RAW_QUIZ'!L284,"")</f>
        <v>0</v>
      </c>
      <c r="M285" s="9">
        <f>IF(IF(SelectedScope="All India",TRUE,'RAW_QUIZ'!$B284=SelectedScope),'RAW_QUIZ'!M284,"")</f>
        <v>0</v>
      </c>
      <c r="N285" s="9">
        <f>IF(IF(SelectedScope="All India",TRUE,'RAW_QUIZ'!$B284=SelectedScope),'RAW_QUIZ'!N284,"")</f>
        <v>0</v>
      </c>
      <c r="O285" s="9">
        <f>IF(IF(SelectedScope="All India",TRUE,'RAW_QUIZ'!$B284=SelectedScope),'RAW_QUIZ'!O284,"")</f>
        <v>0</v>
      </c>
      <c r="P285" s="9">
        <f>IF(IF(SelectedScope="All India",TRUE,'RAW_QUIZ'!$B284=SelectedScope),'RAW_QUIZ'!P284,"")</f>
        <v>0</v>
      </c>
      <c r="Q285" s="9">
        <f>IF(IF(SelectedScope="All India",TRUE,'RAW_QUIZ'!$B284=SelectedScope),'RAW_QUIZ'!Q284,"")</f>
        <v>0</v>
      </c>
    </row>
    <row r="286" spans="1:17" ht="15" customHeight="1" x14ac:dyDescent="0.3">
      <c r="A286" s="12">
        <f>IF(IF(SelectedScope="All India",TRUE,'RAW_QUIZ'!$B285=SelectedScope),'RAW_QUIZ'!A285,"")</f>
        <v>282</v>
      </c>
      <c r="B286" s="12" t="str">
        <f>IF(IF(SelectedScope="All India",TRUE,'RAW_QUIZ'!$B285=SelectedScope),'RAW_QUIZ'!B285,"")</f>
        <v>Rajasthan</v>
      </c>
      <c r="C286" s="12" t="str">
        <f>IF(IF(SelectedScope="All India",TRUE,'RAW_QUIZ'!$B285=SelectedScope),'RAW_QUIZ'!C285,"")</f>
        <v>Biology</v>
      </c>
      <c r="D286" s="12" t="str">
        <f>IF(IF(SelectedScope="All India",TRUE,'RAW_QUIZ'!$B285=SelectedScope),'RAW_QUIZ'!D285,"")</f>
        <v>Class 9</v>
      </c>
      <c r="E286" s="12" t="str">
        <f>IF(IF(SelectedScope="All India",TRUE,'RAW_QUIZ'!$B285=SelectedScope),'RAW_QUIZ'!E285,"")</f>
        <v>Cell Division — Unit Quiz</v>
      </c>
      <c r="F286" s="12">
        <f>IF(IF(SelectedScope="All India",TRUE,'RAW_QUIZ'!$B285=SelectedScope),'RAW_QUIZ'!F285,"")</f>
        <v>0</v>
      </c>
      <c r="G286" s="12" t="str">
        <f>IF(IF(SelectedScope="All India",TRUE,'RAW_QUIZ'!$B285=SelectedScope),'RAW_QUIZ'!G285,"")</f>
        <v>Active</v>
      </c>
      <c r="H286" s="12">
        <f>IF(IF(SelectedScope="All India",TRUE,'RAW_QUIZ'!$B285=SelectedScope),'RAW_QUIZ'!H285,"")</f>
        <v>0</v>
      </c>
      <c r="I286" s="12">
        <f>IF(IF(SelectedScope="All India",TRUE,'RAW_QUIZ'!$B285=SelectedScope),'RAW_QUIZ'!I285,"")</f>
        <v>0</v>
      </c>
      <c r="J286" s="12">
        <f>IF(IF(SelectedScope="All India",TRUE,'RAW_QUIZ'!$B285=SelectedScope),'RAW_QUIZ'!J285,"")</f>
        <v>0</v>
      </c>
      <c r="K286" s="12">
        <f>IF(IF(SelectedScope="All India",TRUE,'RAW_QUIZ'!$B285=SelectedScope),'RAW_QUIZ'!K285,"")</f>
        <v>0</v>
      </c>
      <c r="L286" s="12">
        <f>IF(IF(SelectedScope="All India",TRUE,'RAW_QUIZ'!$B285=SelectedScope),'RAW_QUIZ'!L285,"")</f>
        <v>0</v>
      </c>
      <c r="M286" s="12">
        <f>IF(IF(SelectedScope="All India",TRUE,'RAW_QUIZ'!$B285=SelectedScope),'RAW_QUIZ'!M285,"")</f>
        <v>0</v>
      </c>
      <c r="N286" s="12">
        <f>IF(IF(SelectedScope="All India",TRUE,'RAW_QUIZ'!$B285=SelectedScope),'RAW_QUIZ'!N285,"")</f>
        <v>0</v>
      </c>
      <c r="O286" s="12">
        <f>IF(IF(SelectedScope="All India",TRUE,'RAW_QUIZ'!$B285=SelectedScope),'RAW_QUIZ'!O285,"")</f>
        <v>0</v>
      </c>
      <c r="P286" s="12">
        <f>IF(IF(SelectedScope="All India",TRUE,'RAW_QUIZ'!$B285=SelectedScope),'RAW_QUIZ'!P285,"")</f>
        <v>0</v>
      </c>
      <c r="Q286" s="12">
        <f>IF(IF(SelectedScope="All India",TRUE,'RAW_QUIZ'!$B285=SelectedScope),'RAW_QUIZ'!Q285,"")</f>
        <v>0</v>
      </c>
    </row>
    <row r="287" spans="1:17" ht="15" customHeight="1" x14ac:dyDescent="0.3">
      <c r="A287" s="9">
        <f>IF(IF(SelectedScope="All India",TRUE,'RAW_QUIZ'!$B286=SelectedScope),'RAW_QUIZ'!A286,"")</f>
        <v>283</v>
      </c>
      <c r="B287" s="9" t="str">
        <f>IF(IF(SelectedScope="All India",TRUE,'RAW_QUIZ'!$B286=SelectedScope),'RAW_QUIZ'!B286,"")</f>
        <v>Rajasthan</v>
      </c>
      <c r="C287" s="9" t="str">
        <f>IF(IF(SelectedScope="All India",TRUE,'RAW_QUIZ'!$B286=SelectedScope),'RAW_QUIZ'!C286,"")</f>
        <v>Chemistry</v>
      </c>
      <c r="D287" s="9" t="str">
        <f>IF(IF(SelectedScope="All India",TRUE,'RAW_QUIZ'!$B286=SelectedScope),'RAW_QUIZ'!D286,"")</f>
        <v>Class 9</v>
      </c>
      <c r="E287" s="9" t="str">
        <f>IF(IF(SelectedScope="All India",TRUE,'RAW_QUIZ'!$B286=SelectedScope),'RAW_QUIZ'!E286,"")</f>
        <v>Atoms and Molecules — Unit Quiz</v>
      </c>
      <c r="F287" s="9">
        <f>IF(IF(SelectedScope="All India",TRUE,'RAW_QUIZ'!$B286=SelectedScope),'RAW_QUIZ'!F286,"")</f>
        <v>0</v>
      </c>
      <c r="G287" s="9" t="str">
        <f>IF(IF(SelectedScope="All India",TRUE,'RAW_QUIZ'!$B286=SelectedScope),'RAW_QUIZ'!G286,"")</f>
        <v>Active</v>
      </c>
      <c r="H287" s="9">
        <f>IF(IF(SelectedScope="All India",TRUE,'RAW_QUIZ'!$B286=SelectedScope),'RAW_QUIZ'!H286,"")</f>
        <v>0</v>
      </c>
      <c r="I287" s="9">
        <f>IF(IF(SelectedScope="All India",TRUE,'RAW_QUIZ'!$B286=SelectedScope),'RAW_QUIZ'!I286,"")</f>
        <v>0</v>
      </c>
      <c r="J287" s="9">
        <f>IF(IF(SelectedScope="All India",TRUE,'RAW_QUIZ'!$B286=SelectedScope),'RAW_QUIZ'!J286,"")</f>
        <v>0</v>
      </c>
      <c r="K287" s="9">
        <f>IF(IF(SelectedScope="All India",TRUE,'RAW_QUIZ'!$B286=SelectedScope),'RAW_QUIZ'!K286,"")</f>
        <v>0</v>
      </c>
      <c r="L287" s="9">
        <f>IF(IF(SelectedScope="All India",TRUE,'RAW_QUIZ'!$B286=SelectedScope),'RAW_QUIZ'!L286,"")</f>
        <v>0</v>
      </c>
      <c r="M287" s="9">
        <f>IF(IF(SelectedScope="All India",TRUE,'RAW_QUIZ'!$B286=SelectedScope),'RAW_QUIZ'!M286,"")</f>
        <v>0</v>
      </c>
      <c r="N287" s="9">
        <f>IF(IF(SelectedScope="All India",TRUE,'RAW_QUIZ'!$B286=SelectedScope),'RAW_QUIZ'!N286,"")</f>
        <v>0</v>
      </c>
      <c r="O287" s="9">
        <f>IF(IF(SelectedScope="All India",TRUE,'RAW_QUIZ'!$B286=SelectedScope),'RAW_QUIZ'!O286,"")</f>
        <v>0</v>
      </c>
      <c r="P287" s="9">
        <f>IF(IF(SelectedScope="All India",TRUE,'RAW_QUIZ'!$B286=SelectedScope),'RAW_QUIZ'!P286,"")</f>
        <v>0</v>
      </c>
      <c r="Q287" s="9">
        <f>IF(IF(SelectedScope="All India",TRUE,'RAW_QUIZ'!$B286=SelectedScope),'RAW_QUIZ'!Q286,"")</f>
        <v>0</v>
      </c>
    </row>
    <row r="288" spans="1:17" ht="15" customHeight="1" x14ac:dyDescent="0.3">
      <c r="A288" s="12">
        <f>IF(IF(SelectedScope="All India",TRUE,'RAW_QUIZ'!$B287=SelectedScope),'RAW_QUIZ'!A287,"")</f>
        <v>284</v>
      </c>
      <c r="B288" s="12" t="str">
        <f>IF(IF(SelectedScope="All India",TRUE,'RAW_QUIZ'!$B287=SelectedScope),'RAW_QUIZ'!B287,"")</f>
        <v>Rajasthan</v>
      </c>
      <c r="C288" s="12" t="str">
        <f>IF(IF(SelectedScope="All India",TRUE,'RAW_QUIZ'!$B287=SelectedScope),'RAW_QUIZ'!C287,"")</f>
        <v>Mathematics</v>
      </c>
      <c r="D288" s="12" t="str">
        <f>IF(IF(SelectedScope="All India",TRUE,'RAW_QUIZ'!$B287=SelectedScope),'RAW_QUIZ'!D287,"")</f>
        <v>Class 7</v>
      </c>
      <c r="E288" s="12" t="str">
        <f>IF(IF(SelectedScope="All India",TRUE,'RAW_QUIZ'!$B287=SelectedScope),'RAW_QUIZ'!E287,"")</f>
        <v>Fractions — Unit Quiz</v>
      </c>
      <c r="F288" s="12">
        <f>IF(IF(SelectedScope="All India",TRUE,'RAW_QUIZ'!$B287=SelectedScope),'RAW_QUIZ'!F287,"")</f>
        <v>0</v>
      </c>
      <c r="G288" s="12" t="str">
        <f>IF(IF(SelectedScope="All India",TRUE,'RAW_QUIZ'!$B287=SelectedScope),'RAW_QUIZ'!G287,"")</f>
        <v>Active</v>
      </c>
      <c r="H288" s="12">
        <f>IF(IF(SelectedScope="All India",TRUE,'RAW_QUIZ'!$B287=SelectedScope),'RAW_QUIZ'!H287,"")</f>
        <v>0</v>
      </c>
      <c r="I288" s="12">
        <f>IF(IF(SelectedScope="All India",TRUE,'RAW_QUIZ'!$B287=SelectedScope),'RAW_QUIZ'!I287,"")</f>
        <v>0</v>
      </c>
      <c r="J288" s="12">
        <f>IF(IF(SelectedScope="All India",TRUE,'RAW_QUIZ'!$B287=SelectedScope),'RAW_QUIZ'!J287,"")</f>
        <v>0</v>
      </c>
      <c r="K288" s="12">
        <f>IF(IF(SelectedScope="All India",TRUE,'RAW_QUIZ'!$B287=SelectedScope),'RAW_QUIZ'!K287,"")</f>
        <v>0</v>
      </c>
      <c r="L288" s="12">
        <f>IF(IF(SelectedScope="All India",TRUE,'RAW_QUIZ'!$B287=SelectedScope),'RAW_QUIZ'!L287,"")</f>
        <v>0</v>
      </c>
      <c r="M288" s="12">
        <f>IF(IF(SelectedScope="All India",TRUE,'RAW_QUIZ'!$B287=SelectedScope),'RAW_QUIZ'!M287,"")</f>
        <v>0</v>
      </c>
      <c r="N288" s="12">
        <f>IF(IF(SelectedScope="All India",TRUE,'RAW_QUIZ'!$B287=SelectedScope),'RAW_QUIZ'!N287,"")</f>
        <v>0</v>
      </c>
      <c r="O288" s="12">
        <f>IF(IF(SelectedScope="All India",TRUE,'RAW_QUIZ'!$B287=SelectedScope),'RAW_QUIZ'!O287,"")</f>
        <v>0</v>
      </c>
      <c r="P288" s="12">
        <f>IF(IF(SelectedScope="All India",TRUE,'RAW_QUIZ'!$B287=SelectedScope),'RAW_QUIZ'!P287,"")</f>
        <v>0</v>
      </c>
      <c r="Q288" s="12">
        <f>IF(IF(SelectedScope="All India",TRUE,'RAW_QUIZ'!$B287=SelectedScope),'RAW_QUIZ'!Q287,"")</f>
        <v>0</v>
      </c>
    </row>
    <row r="289" spans="1:17" ht="15" customHeight="1" x14ac:dyDescent="0.3">
      <c r="A289" s="9">
        <f>IF(IF(SelectedScope="All India",TRUE,'RAW_QUIZ'!$B288=SelectedScope),'RAW_QUIZ'!A288,"")</f>
        <v>285</v>
      </c>
      <c r="B289" s="9" t="str">
        <f>IF(IF(SelectedScope="All India",TRUE,'RAW_QUIZ'!$B288=SelectedScope),'RAW_QUIZ'!B288,"")</f>
        <v>Rajasthan</v>
      </c>
      <c r="C289" s="9" t="str">
        <f>IF(IF(SelectedScope="All India",TRUE,'RAW_QUIZ'!$B288=SelectedScope),'RAW_QUIZ'!C288,"")</f>
        <v>Mathematics</v>
      </c>
      <c r="D289" s="9" t="str">
        <f>IF(IF(SelectedScope="All India",TRUE,'RAW_QUIZ'!$B288=SelectedScope),'RAW_QUIZ'!D288,"")</f>
        <v>Class 10</v>
      </c>
      <c r="E289" s="9" t="str">
        <f>IF(IF(SelectedScope="All India",TRUE,'RAW_QUIZ'!$B288=SelectedScope),'RAW_QUIZ'!E288,"")</f>
        <v>Trigonometry — Unit Quiz</v>
      </c>
      <c r="F289" s="9">
        <f>IF(IF(SelectedScope="All India",TRUE,'RAW_QUIZ'!$B288=SelectedScope),'RAW_QUIZ'!F288,"")</f>
        <v>0</v>
      </c>
      <c r="G289" s="9" t="str">
        <f>IF(IF(SelectedScope="All India",TRUE,'RAW_QUIZ'!$B288=SelectedScope),'RAW_QUIZ'!G288,"")</f>
        <v>Active</v>
      </c>
      <c r="H289" s="9">
        <f>IF(IF(SelectedScope="All India",TRUE,'RAW_QUIZ'!$B288=SelectedScope),'RAW_QUIZ'!H288,"")</f>
        <v>0</v>
      </c>
      <c r="I289" s="9">
        <f>IF(IF(SelectedScope="All India",TRUE,'RAW_QUIZ'!$B288=SelectedScope),'RAW_QUIZ'!I288,"")</f>
        <v>0</v>
      </c>
      <c r="J289" s="9">
        <f>IF(IF(SelectedScope="All India",TRUE,'RAW_QUIZ'!$B288=SelectedScope),'RAW_QUIZ'!J288,"")</f>
        <v>0</v>
      </c>
      <c r="K289" s="9">
        <f>IF(IF(SelectedScope="All India",TRUE,'RAW_QUIZ'!$B288=SelectedScope),'RAW_QUIZ'!K288,"")</f>
        <v>0</v>
      </c>
      <c r="L289" s="9">
        <f>IF(IF(SelectedScope="All India",TRUE,'RAW_QUIZ'!$B288=SelectedScope),'RAW_QUIZ'!L288,"")</f>
        <v>0</v>
      </c>
      <c r="M289" s="9">
        <f>IF(IF(SelectedScope="All India",TRUE,'RAW_QUIZ'!$B288=SelectedScope),'RAW_QUIZ'!M288,"")</f>
        <v>0</v>
      </c>
      <c r="N289" s="9">
        <f>IF(IF(SelectedScope="All India",TRUE,'RAW_QUIZ'!$B288=SelectedScope),'RAW_QUIZ'!N288,"")</f>
        <v>0</v>
      </c>
      <c r="O289" s="9">
        <f>IF(IF(SelectedScope="All India",TRUE,'RAW_QUIZ'!$B288=SelectedScope),'RAW_QUIZ'!O288,"")</f>
        <v>0</v>
      </c>
      <c r="P289" s="9">
        <f>IF(IF(SelectedScope="All India",TRUE,'RAW_QUIZ'!$B288=SelectedScope),'RAW_QUIZ'!P288,"")</f>
        <v>0</v>
      </c>
      <c r="Q289" s="9">
        <f>IF(IF(SelectedScope="All India",TRUE,'RAW_QUIZ'!$B288=SelectedScope),'RAW_QUIZ'!Q288,"")</f>
        <v>0</v>
      </c>
    </row>
    <row r="290" spans="1:17" ht="15" customHeight="1" x14ac:dyDescent="0.3">
      <c r="A290" s="12">
        <f>IF(IF(SelectedScope="All India",TRUE,'RAW_QUIZ'!$B289=SelectedScope),'RAW_QUIZ'!A289,"")</f>
        <v>286</v>
      </c>
      <c r="B290" s="12" t="str">
        <f>IF(IF(SelectedScope="All India",TRUE,'RAW_QUIZ'!$B289=SelectedScope),'RAW_QUIZ'!B289,"")</f>
        <v>Rajasthan</v>
      </c>
      <c r="C290" s="12" t="str">
        <f>IF(IF(SelectedScope="All India",TRUE,'RAW_QUIZ'!$B289=SelectedScope),'RAW_QUIZ'!C289,"")</f>
        <v>History</v>
      </c>
      <c r="D290" s="12" t="str">
        <f>IF(IF(SelectedScope="All India",TRUE,'RAW_QUIZ'!$B289=SelectedScope),'RAW_QUIZ'!D289,"")</f>
        <v>Class 10</v>
      </c>
      <c r="E290" s="12" t="str">
        <f>IF(IF(SelectedScope="All India",TRUE,'RAW_QUIZ'!$B289=SelectedScope),'RAW_QUIZ'!E289,"")</f>
        <v>Mughal Empire — Unit Quiz</v>
      </c>
      <c r="F290" s="12">
        <f>IF(IF(SelectedScope="All India",TRUE,'RAW_QUIZ'!$B289=SelectedScope),'RAW_QUIZ'!F289,"")</f>
        <v>0</v>
      </c>
      <c r="G290" s="12" t="str">
        <f>IF(IF(SelectedScope="All India",TRUE,'RAW_QUIZ'!$B289=SelectedScope),'RAW_QUIZ'!G289,"")</f>
        <v>Active</v>
      </c>
      <c r="H290" s="12">
        <f>IF(IF(SelectedScope="All India",TRUE,'RAW_QUIZ'!$B289=SelectedScope),'RAW_QUIZ'!H289,"")</f>
        <v>0</v>
      </c>
      <c r="I290" s="12">
        <f>IF(IF(SelectedScope="All India",TRUE,'RAW_QUIZ'!$B289=SelectedScope),'RAW_QUIZ'!I289,"")</f>
        <v>0</v>
      </c>
      <c r="J290" s="12">
        <f>IF(IF(SelectedScope="All India",TRUE,'RAW_QUIZ'!$B289=SelectedScope),'RAW_QUIZ'!J289,"")</f>
        <v>0</v>
      </c>
      <c r="K290" s="12">
        <f>IF(IF(SelectedScope="All India",TRUE,'RAW_QUIZ'!$B289=SelectedScope),'RAW_QUIZ'!K289,"")</f>
        <v>0</v>
      </c>
      <c r="L290" s="12">
        <f>IF(IF(SelectedScope="All India",TRUE,'RAW_QUIZ'!$B289=SelectedScope),'RAW_QUIZ'!L289,"")</f>
        <v>0</v>
      </c>
      <c r="M290" s="12">
        <f>IF(IF(SelectedScope="All India",TRUE,'RAW_QUIZ'!$B289=SelectedScope),'RAW_QUIZ'!M289,"")</f>
        <v>0</v>
      </c>
      <c r="N290" s="12">
        <f>IF(IF(SelectedScope="All India",TRUE,'RAW_QUIZ'!$B289=SelectedScope),'RAW_QUIZ'!N289,"")</f>
        <v>0</v>
      </c>
      <c r="O290" s="12">
        <f>IF(IF(SelectedScope="All India",TRUE,'RAW_QUIZ'!$B289=SelectedScope),'RAW_QUIZ'!O289,"")</f>
        <v>0</v>
      </c>
      <c r="P290" s="12">
        <f>IF(IF(SelectedScope="All India",TRUE,'RAW_QUIZ'!$B289=SelectedScope),'RAW_QUIZ'!P289,"")</f>
        <v>0</v>
      </c>
      <c r="Q290" s="12">
        <f>IF(IF(SelectedScope="All India",TRUE,'RAW_QUIZ'!$B289=SelectedScope),'RAW_QUIZ'!Q289,"")</f>
        <v>0</v>
      </c>
    </row>
    <row r="291" spans="1:17" ht="15" customHeight="1" x14ac:dyDescent="0.3">
      <c r="A291" s="9">
        <f>IF(IF(SelectedScope="All India",TRUE,'RAW_QUIZ'!$B290=SelectedScope),'RAW_QUIZ'!A290,"")</f>
        <v>287</v>
      </c>
      <c r="B291" s="9" t="str">
        <f>IF(IF(SelectedScope="All India",TRUE,'RAW_QUIZ'!$B290=SelectedScope),'RAW_QUIZ'!B290,"")</f>
        <v>Rajasthan</v>
      </c>
      <c r="C291" s="9" t="str">
        <f>IF(IF(SelectedScope="All India",TRUE,'RAW_QUIZ'!$B290=SelectedScope),'RAW_QUIZ'!C290,"")</f>
        <v>Physics</v>
      </c>
      <c r="D291" s="9" t="str">
        <f>IF(IF(SelectedScope="All India",TRUE,'RAW_QUIZ'!$B290=SelectedScope),'RAW_QUIZ'!D290,"")</f>
        <v>Class 9</v>
      </c>
      <c r="E291" s="9" t="str">
        <f>IF(IF(SelectedScope="All India",TRUE,'RAW_QUIZ'!$B290=SelectedScope),'RAW_QUIZ'!E290,"")</f>
        <v>Laws of Motion — Unit Quiz</v>
      </c>
      <c r="F291" s="9">
        <f>IF(IF(SelectedScope="All India",TRUE,'RAW_QUIZ'!$B290=SelectedScope),'RAW_QUIZ'!F290,"")</f>
        <v>0</v>
      </c>
      <c r="G291" s="9" t="str">
        <f>IF(IF(SelectedScope="All India",TRUE,'RAW_QUIZ'!$B290=SelectedScope),'RAW_QUIZ'!G290,"")</f>
        <v>Active</v>
      </c>
      <c r="H291" s="9">
        <f>IF(IF(SelectedScope="All India",TRUE,'RAW_QUIZ'!$B290=SelectedScope),'RAW_QUIZ'!H290,"")</f>
        <v>0</v>
      </c>
      <c r="I291" s="9">
        <f>IF(IF(SelectedScope="All India",TRUE,'RAW_QUIZ'!$B290=SelectedScope),'RAW_QUIZ'!I290,"")</f>
        <v>0</v>
      </c>
      <c r="J291" s="9">
        <f>IF(IF(SelectedScope="All India",TRUE,'RAW_QUIZ'!$B290=SelectedScope),'RAW_QUIZ'!J290,"")</f>
        <v>0</v>
      </c>
      <c r="K291" s="9">
        <f>IF(IF(SelectedScope="All India",TRUE,'RAW_QUIZ'!$B290=SelectedScope),'RAW_QUIZ'!K290,"")</f>
        <v>0</v>
      </c>
      <c r="L291" s="9">
        <f>IF(IF(SelectedScope="All India",TRUE,'RAW_QUIZ'!$B290=SelectedScope),'RAW_QUIZ'!L290,"")</f>
        <v>0</v>
      </c>
      <c r="M291" s="9">
        <f>IF(IF(SelectedScope="All India",TRUE,'RAW_QUIZ'!$B290=SelectedScope),'RAW_QUIZ'!M290,"")</f>
        <v>0</v>
      </c>
      <c r="N291" s="9">
        <f>IF(IF(SelectedScope="All India",TRUE,'RAW_QUIZ'!$B290=SelectedScope),'RAW_QUIZ'!N290,"")</f>
        <v>0</v>
      </c>
      <c r="O291" s="9">
        <f>IF(IF(SelectedScope="All India",TRUE,'RAW_QUIZ'!$B290=SelectedScope),'RAW_QUIZ'!O290,"")</f>
        <v>0</v>
      </c>
      <c r="P291" s="9">
        <f>IF(IF(SelectedScope="All India",TRUE,'RAW_QUIZ'!$B290=SelectedScope),'RAW_QUIZ'!P290,"")</f>
        <v>0</v>
      </c>
      <c r="Q291" s="9">
        <f>IF(IF(SelectedScope="All India",TRUE,'RAW_QUIZ'!$B290=SelectedScope),'RAW_QUIZ'!Q290,"")</f>
        <v>0</v>
      </c>
    </row>
    <row r="292" spans="1:17" ht="15" customHeight="1" x14ac:dyDescent="0.3">
      <c r="A292" s="12">
        <f>IF(IF(SelectedScope="All India",TRUE,'RAW_QUIZ'!$B291=SelectedScope),'RAW_QUIZ'!A291,"")</f>
        <v>288</v>
      </c>
      <c r="B292" s="12" t="str">
        <f>IF(IF(SelectedScope="All India",TRUE,'RAW_QUIZ'!$B291=SelectedScope),'RAW_QUIZ'!B291,"")</f>
        <v>Rajasthan</v>
      </c>
      <c r="C292" s="12" t="str">
        <f>IF(IF(SelectedScope="All India",TRUE,'RAW_QUIZ'!$B291=SelectedScope),'RAW_QUIZ'!C291,"")</f>
        <v>Physics</v>
      </c>
      <c r="D292" s="12" t="str">
        <f>IF(IF(SelectedScope="All India",TRUE,'RAW_QUIZ'!$B291=SelectedScope),'RAW_QUIZ'!D291,"")</f>
        <v>Class 10</v>
      </c>
      <c r="E292" s="12" t="str">
        <f>IF(IF(SelectedScope="All India",TRUE,'RAW_QUIZ'!$B291=SelectedScope),'RAW_QUIZ'!E291,"")</f>
        <v>Electricity — Unit Quiz</v>
      </c>
      <c r="F292" s="12">
        <f>IF(IF(SelectedScope="All India",TRUE,'RAW_QUIZ'!$B291=SelectedScope),'RAW_QUIZ'!F291,"")</f>
        <v>0</v>
      </c>
      <c r="G292" s="12" t="str">
        <f>IF(IF(SelectedScope="All India",TRUE,'RAW_QUIZ'!$B291=SelectedScope),'RAW_QUIZ'!G291,"")</f>
        <v>Active</v>
      </c>
      <c r="H292" s="12">
        <f>IF(IF(SelectedScope="All India",TRUE,'RAW_QUIZ'!$B291=SelectedScope),'RAW_QUIZ'!H291,"")</f>
        <v>0</v>
      </c>
      <c r="I292" s="12">
        <f>IF(IF(SelectedScope="All India",TRUE,'RAW_QUIZ'!$B291=SelectedScope),'RAW_QUIZ'!I291,"")</f>
        <v>0</v>
      </c>
      <c r="J292" s="12">
        <f>IF(IF(SelectedScope="All India",TRUE,'RAW_QUIZ'!$B291=SelectedScope),'RAW_QUIZ'!J291,"")</f>
        <v>0</v>
      </c>
      <c r="K292" s="12">
        <f>IF(IF(SelectedScope="All India",TRUE,'RAW_QUIZ'!$B291=SelectedScope),'RAW_QUIZ'!K291,"")</f>
        <v>0</v>
      </c>
      <c r="L292" s="12">
        <f>IF(IF(SelectedScope="All India",TRUE,'RAW_QUIZ'!$B291=SelectedScope),'RAW_QUIZ'!L291,"")</f>
        <v>0</v>
      </c>
      <c r="M292" s="12">
        <f>IF(IF(SelectedScope="All India",TRUE,'RAW_QUIZ'!$B291=SelectedScope),'RAW_QUIZ'!M291,"")</f>
        <v>0</v>
      </c>
      <c r="N292" s="12">
        <f>IF(IF(SelectedScope="All India",TRUE,'RAW_QUIZ'!$B291=SelectedScope),'RAW_QUIZ'!N291,"")</f>
        <v>0</v>
      </c>
      <c r="O292" s="12">
        <f>IF(IF(SelectedScope="All India",TRUE,'RAW_QUIZ'!$B291=SelectedScope),'RAW_QUIZ'!O291,"")</f>
        <v>0</v>
      </c>
      <c r="P292" s="12">
        <f>IF(IF(SelectedScope="All India",TRUE,'RAW_QUIZ'!$B291=SelectedScope),'RAW_QUIZ'!P291,"")</f>
        <v>0</v>
      </c>
      <c r="Q292" s="12">
        <f>IF(IF(SelectedScope="All India",TRUE,'RAW_QUIZ'!$B291=SelectedScope),'RAW_QUIZ'!Q291,"")</f>
        <v>0</v>
      </c>
    </row>
    <row r="293" spans="1:17" ht="15" customHeight="1" x14ac:dyDescent="0.3">
      <c r="A293" s="9">
        <f>IF(IF(SelectedScope="All India",TRUE,'RAW_QUIZ'!$B292=SelectedScope),'RAW_QUIZ'!A292,"")</f>
        <v>289</v>
      </c>
      <c r="B293" s="9" t="str">
        <f>IF(IF(SelectedScope="All India",TRUE,'RAW_QUIZ'!$B292=SelectedScope),'RAW_QUIZ'!B292,"")</f>
        <v>Rajasthan</v>
      </c>
      <c r="C293" s="9" t="str">
        <f>IF(IF(SelectedScope="All India",TRUE,'RAW_QUIZ'!$B292=SelectedScope),'RAW_QUIZ'!C292,"")</f>
        <v>Civics</v>
      </c>
      <c r="D293" s="9" t="str">
        <f>IF(IF(SelectedScope="All India",TRUE,'RAW_QUIZ'!$B292=SelectedScope),'RAW_QUIZ'!D292,"")</f>
        <v>Class 9</v>
      </c>
      <c r="E293" s="9" t="str">
        <f>IF(IF(SelectedScope="All India",TRUE,'RAW_QUIZ'!$B292=SelectedScope),'RAW_QUIZ'!E292,"")</f>
        <v>Indian Constitution — Unit Quiz</v>
      </c>
      <c r="F293" s="9">
        <f>IF(IF(SelectedScope="All India",TRUE,'RAW_QUIZ'!$B292=SelectedScope),'RAW_QUIZ'!F292,"")</f>
        <v>0</v>
      </c>
      <c r="G293" s="9" t="str">
        <f>IF(IF(SelectedScope="All India",TRUE,'RAW_QUIZ'!$B292=SelectedScope),'RAW_QUIZ'!G292,"")</f>
        <v>Active</v>
      </c>
      <c r="H293" s="9">
        <f>IF(IF(SelectedScope="All India",TRUE,'RAW_QUIZ'!$B292=SelectedScope),'RAW_QUIZ'!H292,"")</f>
        <v>0</v>
      </c>
      <c r="I293" s="9">
        <f>IF(IF(SelectedScope="All India",TRUE,'RAW_QUIZ'!$B292=SelectedScope),'RAW_QUIZ'!I292,"")</f>
        <v>0</v>
      </c>
      <c r="J293" s="9">
        <f>IF(IF(SelectedScope="All India",TRUE,'RAW_QUIZ'!$B292=SelectedScope),'RAW_QUIZ'!J292,"")</f>
        <v>0</v>
      </c>
      <c r="K293" s="9">
        <f>IF(IF(SelectedScope="All India",TRUE,'RAW_QUIZ'!$B292=SelectedScope),'RAW_QUIZ'!K292,"")</f>
        <v>0</v>
      </c>
      <c r="L293" s="9">
        <f>IF(IF(SelectedScope="All India",TRUE,'RAW_QUIZ'!$B292=SelectedScope),'RAW_QUIZ'!L292,"")</f>
        <v>0</v>
      </c>
      <c r="M293" s="9">
        <f>IF(IF(SelectedScope="All India",TRUE,'RAW_QUIZ'!$B292=SelectedScope),'RAW_QUIZ'!M292,"")</f>
        <v>0</v>
      </c>
      <c r="N293" s="9">
        <f>IF(IF(SelectedScope="All India",TRUE,'RAW_QUIZ'!$B292=SelectedScope),'RAW_QUIZ'!N292,"")</f>
        <v>0</v>
      </c>
      <c r="O293" s="9">
        <f>IF(IF(SelectedScope="All India",TRUE,'RAW_QUIZ'!$B292=SelectedScope),'RAW_QUIZ'!O292,"")</f>
        <v>0</v>
      </c>
      <c r="P293" s="9">
        <f>IF(IF(SelectedScope="All India",TRUE,'RAW_QUIZ'!$B292=SelectedScope),'RAW_QUIZ'!P292,"")</f>
        <v>0</v>
      </c>
      <c r="Q293" s="9">
        <f>IF(IF(SelectedScope="All India",TRUE,'RAW_QUIZ'!$B292=SelectedScope),'RAW_QUIZ'!Q292,"")</f>
        <v>0</v>
      </c>
    </row>
    <row r="294" spans="1:17" ht="15" customHeight="1" x14ac:dyDescent="0.3">
      <c r="A294" s="12">
        <f>IF(IF(SelectedScope="All India",TRUE,'RAW_QUIZ'!$B293=SelectedScope),'RAW_QUIZ'!A293,"")</f>
        <v>290</v>
      </c>
      <c r="B294" s="12" t="str">
        <f>IF(IF(SelectedScope="All India",TRUE,'RAW_QUIZ'!$B293=SelectedScope),'RAW_QUIZ'!B293,"")</f>
        <v>Rajasthan</v>
      </c>
      <c r="C294" s="12" t="str">
        <f>IF(IF(SelectedScope="All India",TRUE,'RAW_QUIZ'!$B293=SelectedScope),'RAW_QUIZ'!C293,"")</f>
        <v>Mathematics</v>
      </c>
      <c r="D294" s="12" t="str">
        <f>IF(IF(SelectedScope="All India",TRUE,'RAW_QUIZ'!$B293=SelectedScope),'RAW_QUIZ'!D293,"")</f>
        <v>Class 10</v>
      </c>
      <c r="E294" s="12" t="str">
        <f>IF(IF(SelectedScope="All India",TRUE,'RAW_QUIZ'!$B293=SelectedScope),'RAW_QUIZ'!E293,"")</f>
        <v>Quadratic Equations — Unit Quiz</v>
      </c>
      <c r="F294" s="12">
        <f>IF(IF(SelectedScope="All India",TRUE,'RAW_QUIZ'!$B293=SelectedScope),'RAW_QUIZ'!F293,"")</f>
        <v>0</v>
      </c>
      <c r="G294" s="12" t="str">
        <f>IF(IF(SelectedScope="All India",TRUE,'RAW_QUIZ'!$B293=SelectedScope),'RAW_QUIZ'!G293,"")</f>
        <v>Active</v>
      </c>
      <c r="H294" s="12">
        <f>IF(IF(SelectedScope="All India",TRUE,'RAW_QUIZ'!$B293=SelectedScope),'RAW_QUIZ'!H293,"")</f>
        <v>0</v>
      </c>
      <c r="I294" s="12">
        <f>IF(IF(SelectedScope="All India",TRUE,'RAW_QUIZ'!$B293=SelectedScope),'RAW_QUIZ'!I293,"")</f>
        <v>0</v>
      </c>
      <c r="J294" s="12">
        <f>IF(IF(SelectedScope="All India",TRUE,'RAW_QUIZ'!$B293=SelectedScope),'RAW_QUIZ'!J293,"")</f>
        <v>0</v>
      </c>
      <c r="K294" s="12">
        <f>IF(IF(SelectedScope="All India",TRUE,'RAW_QUIZ'!$B293=SelectedScope),'RAW_QUIZ'!K293,"")</f>
        <v>0</v>
      </c>
      <c r="L294" s="12">
        <f>IF(IF(SelectedScope="All India",TRUE,'RAW_QUIZ'!$B293=SelectedScope),'RAW_QUIZ'!L293,"")</f>
        <v>0</v>
      </c>
      <c r="M294" s="12">
        <f>IF(IF(SelectedScope="All India",TRUE,'RAW_QUIZ'!$B293=SelectedScope),'RAW_QUIZ'!M293,"")</f>
        <v>0</v>
      </c>
      <c r="N294" s="12">
        <f>IF(IF(SelectedScope="All India",TRUE,'RAW_QUIZ'!$B293=SelectedScope),'RAW_QUIZ'!N293,"")</f>
        <v>0</v>
      </c>
      <c r="O294" s="12">
        <f>IF(IF(SelectedScope="All India",TRUE,'RAW_QUIZ'!$B293=SelectedScope),'RAW_QUIZ'!O293,"")</f>
        <v>0</v>
      </c>
      <c r="P294" s="12">
        <f>IF(IF(SelectedScope="All India",TRUE,'RAW_QUIZ'!$B293=SelectedScope),'RAW_QUIZ'!P293,"")</f>
        <v>0</v>
      </c>
      <c r="Q294" s="12">
        <f>IF(IF(SelectedScope="All India",TRUE,'RAW_QUIZ'!$B293=SelectedScope),'RAW_QUIZ'!Q293,"")</f>
        <v>0</v>
      </c>
    </row>
    <row r="295" spans="1:17" ht="15" customHeight="1" x14ac:dyDescent="0.3">
      <c r="A295" s="9">
        <f>IF(IF(SelectedScope="All India",TRUE,'RAW_QUIZ'!$B294=SelectedScope),'RAW_QUIZ'!A294,"")</f>
        <v>291</v>
      </c>
      <c r="B295" s="9" t="str">
        <f>IF(IF(SelectedScope="All India",TRUE,'RAW_QUIZ'!$B294=SelectedScope),'RAW_QUIZ'!B294,"")</f>
        <v>Sikkim</v>
      </c>
      <c r="C295" s="9" t="str">
        <f>IF(IF(SelectedScope="All India",TRUE,'RAW_QUIZ'!$B294=SelectedScope),'RAW_QUIZ'!C294,"")</f>
        <v>Science</v>
      </c>
      <c r="D295" s="9" t="str">
        <f>IF(IF(SelectedScope="All India",TRUE,'RAW_QUIZ'!$B294=SelectedScope),'RAW_QUIZ'!D294,"")</f>
        <v>Class 8</v>
      </c>
      <c r="E295" s="9" t="str">
        <f>IF(IF(SelectedScope="All India",TRUE,'RAW_QUIZ'!$B294=SelectedScope),'RAW_QUIZ'!E294,"")</f>
        <v>Solar System — Unit Quiz</v>
      </c>
      <c r="F295" s="9">
        <f>IF(IF(SelectedScope="All India",TRUE,'RAW_QUIZ'!$B294=SelectedScope),'RAW_QUIZ'!F294,"")</f>
        <v>0</v>
      </c>
      <c r="G295" s="9" t="str">
        <f>IF(IF(SelectedScope="All India",TRUE,'RAW_QUIZ'!$B294=SelectedScope),'RAW_QUIZ'!G294,"")</f>
        <v>Active</v>
      </c>
      <c r="H295" s="9">
        <f>IF(IF(SelectedScope="All India",TRUE,'RAW_QUIZ'!$B294=SelectedScope),'RAW_QUIZ'!H294,"")</f>
        <v>0</v>
      </c>
      <c r="I295" s="9">
        <f>IF(IF(SelectedScope="All India",TRUE,'RAW_QUIZ'!$B294=SelectedScope),'RAW_QUIZ'!I294,"")</f>
        <v>0</v>
      </c>
      <c r="J295" s="9">
        <f>IF(IF(SelectedScope="All India",TRUE,'RAW_QUIZ'!$B294=SelectedScope),'RAW_QUIZ'!J294,"")</f>
        <v>0</v>
      </c>
      <c r="K295" s="9">
        <f>IF(IF(SelectedScope="All India",TRUE,'RAW_QUIZ'!$B294=SelectedScope),'RAW_QUIZ'!K294,"")</f>
        <v>0</v>
      </c>
      <c r="L295" s="9">
        <f>IF(IF(SelectedScope="All India",TRUE,'RAW_QUIZ'!$B294=SelectedScope),'RAW_QUIZ'!L294,"")</f>
        <v>0</v>
      </c>
      <c r="M295" s="9">
        <f>IF(IF(SelectedScope="All India",TRUE,'RAW_QUIZ'!$B294=SelectedScope),'RAW_QUIZ'!M294,"")</f>
        <v>0</v>
      </c>
      <c r="N295" s="9">
        <f>IF(IF(SelectedScope="All India",TRUE,'RAW_QUIZ'!$B294=SelectedScope),'RAW_QUIZ'!N294,"")</f>
        <v>0</v>
      </c>
      <c r="O295" s="9">
        <f>IF(IF(SelectedScope="All India",TRUE,'RAW_QUIZ'!$B294=SelectedScope),'RAW_QUIZ'!O294,"")</f>
        <v>0</v>
      </c>
      <c r="P295" s="9">
        <f>IF(IF(SelectedScope="All India",TRUE,'RAW_QUIZ'!$B294=SelectedScope),'RAW_QUIZ'!P294,"")</f>
        <v>0</v>
      </c>
      <c r="Q295" s="9">
        <f>IF(IF(SelectedScope="All India",TRUE,'RAW_QUIZ'!$B294=SelectedScope),'RAW_QUIZ'!Q294,"")</f>
        <v>0</v>
      </c>
    </row>
    <row r="296" spans="1:17" ht="15" customHeight="1" x14ac:dyDescent="0.3">
      <c r="A296" s="12">
        <f>IF(IF(SelectedScope="All India",TRUE,'RAW_QUIZ'!$B295=SelectedScope),'RAW_QUIZ'!A295,"")</f>
        <v>292</v>
      </c>
      <c r="B296" s="12" t="str">
        <f>IF(IF(SelectedScope="All India",TRUE,'RAW_QUIZ'!$B295=SelectedScope),'RAW_QUIZ'!B295,"")</f>
        <v>Sikkim</v>
      </c>
      <c r="C296" s="12" t="str">
        <f>IF(IF(SelectedScope="All India",TRUE,'RAW_QUIZ'!$B295=SelectedScope),'RAW_QUIZ'!C295,"")</f>
        <v>Biology</v>
      </c>
      <c r="D296" s="12" t="str">
        <f>IF(IF(SelectedScope="All India",TRUE,'RAW_QUIZ'!$B295=SelectedScope),'RAW_QUIZ'!D295,"")</f>
        <v>Class 9</v>
      </c>
      <c r="E296" s="12" t="str">
        <f>IF(IF(SelectedScope="All India",TRUE,'RAW_QUIZ'!$B295=SelectedScope),'RAW_QUIZ'!E295,"")</f>
        <v>Cell Division — Unit Quiz</v>
      </c>
      <c r="F296" s="12">
        <f>IF(IF(SelectedScope="All India",TRUE,'RAW_QUIZ'!$B295=SelectedScope),'RAW_QUIZ'!F295,"")</f>
        <v>0</v>
      </c>
      <c r="G296" s="12" t="str">
        <f>IF(IF(SelectedScope="All India",TRUE,'RAW_QUIZ'!$B295=SelectedScope),'RAW_QUIZ'!G295,"")</f>
        <v>Active</v>
      </c>
      <c r="H296" s="12">
        <f>IF(IF(SelectedScope="All India",TRUE,'RAW_QUIZ'!$B295=SelectedScope),'RAW_QUIZ'!H295,"")</f>
        <v>0</v>
      </c>
      <c r="I296" s="12">
        <f>IF(IF(SelectedScope="All India",TRUE,'RAW_QUIZ'!$B295=SelectedScope),'RAW_QUIZ'!I295,"")</f>
        <v>0</v>
      </c>
      <c r="J296" s="12">
        <f>IF(IF(SelectedScope="All India",TRUE,'RAW_QUIZ'!$B295=SelectedScope),'RAW_QUIZ'!J295,"")</f>
        <v>0</v>
      </c>
      <c r="K296" s="12">
        <f>IF(IF(SelectedScope="All India",TRUE,'RAW_QUIZ'!$B295=SelectedScope),'RAW_QUIZ'!K295,"")</f>
        <v>0</v>
      </c>
      <c r="L296" s="12">
        <f>IF(IF(SelectedScope="All India",TRUE,'RAW_QUIZ'!$B295=SelectedScope),'RAW_QUIZ'!L295,"")</f>
        <v>0</v>
      </c>
      <c r="M296" s="12">
        <f>IF(IF(SelectedScope="All India",TRUE,'RAW_QUIZ'!$B295=SelectedScope),'RAW_QUIZ'!M295,"")</f>
        <v>0</v>
      </c>
      <c r="N296" s="12">
        <f>IF(IF(SelectedScope="All India",TRUE,'RAW_QUIZ'!$B295=SelectedScope),'RAW_QUIZ'!N295,"")</f>
        <v>0</v>
      </c>
      <c r="O296" s="12">
        <f>IF(IF(SelectedScope="All India",TRUE,'RAW_QUIZ'!$B295=SelectedScope),'RAW_QUIZ'!O295,"")</f>
        <v>0</v>
      </c>
      <c r="P296" s="12">
        <f>IF(IF(SelectedScope="All India",TRUE,'RAW_QUIZ'!$B295=SelectedScope),'RAW_QUIZ'!P295,"")</f>
        <v>0</v>
      </c>
      <c r="Q296" s="12">
        <f>IF(IF(SelectedScope="All India",TRUE,'RAW_QUIZ'!$B295=SelectedScope),'RAW_QUIZ'!Q295,"")</f>
        <v>0</v>
      </c>
    </row>
    <row r="297" spans="1:17" ht="15" customHeight="1" x14ac:dyDescent="0.3">
      <c r="A297" s="9">
        <f>IF(IF(SelectedScope="All India",TRUE,'RAW_QUIZ'!$B296=SelectedScope),'RAW_QUIZ'!A296,"")</f>
        <v>293</v>
      </c>
      <c r="B297" s="9" t="str">
        <f>IF(IF(SelectedScope="All India",TRUE,'RAW_QUIZ'!$B296=SelectedScope),'RAW_QUIZ'!B296,"")</f>
        <v>Sikkim</v>
      </c>
      <c r="C297" s="9" t="str">
        <f>IF(IF(SelectedScope="All India",TRUE,'RAW_QUIZ'!$B296=SelectedScope),'RAW_QUIZ'!C296,"")</f>
        <v>Chemistry</v>
      </c>
      <c r="D297" s="9" t="str">
        <f>IF(IF(SelectedScope="All India",TRUE,'RAW_QUIZ'!$B296=SelectedScope),'RAW_QUIZ'!D296,"")</f>
        <v>Class 9</v>
      </c>
      <c r="E297" s="9" t="str">
        <f>IF(IF(SelectedScope="All India",TRUE,'RAW_QUIZ'!$B296=SelectedScope),'RAW_QUIZ'!E296,"")</f>
        <v>Atoms and Molecules — Unit Quiz</v>
      </c>
      <c r="F297" s="9">
        <f>IF(IF(SelectedScope="All India",TRUE,'RAW_QUIZ'!$B296=SelectedScope),'RAW_QUIZ'!F296,"")</f>
        <v>0</v>
      </c>
      <c r="G297" s="9" t="str">
        <f>IF(IF(SelectedScope="All India",TRUE,'RAW_QUIZ'!$B296=SelectedScope),'RAW_QUIZ'!G296,"")</f>
        <v>Active</v>
      </c>
      <c r="H297" s="9">
        <f>IF(IF(SelectedScope="All India",TRUE,'RAW_QUIZ'!$B296=SelectedScope),'RAW_QUIZ'!H296,"")</f>
        <v>0</v>
      </c>
      <c r="I297" s="9">
        <f>IF(IF(SelectedScope="All India",TRUE,'RAW_QUIZ'!$B296=SelectedScope),'RAW_QUIZ'!I296,"")</f>
        <v>0</v>
      </c>
      <c r="J297" s="9">
        <f>IF(IF(SelectedScope="All India",TRUE,'RAW_QUIZ'!$B296=SelectedScope),'RAW_QUIZ'!J296,"")</f>
        <v>0</v>
      </c>
      <c r="K297" s="9">
        <f>IF(IF(SelectedScope="All India",TRUE,'RAW_QUIZ'!$B296=SelectedScope),'RAW_QUIZ'!K296,"")</f>
        <v>0</v>
      </c>
      <c r="L297" s="9">
        <f>IF(IF(SelectedScope="All India",TRUE,'RAW_QUIZ'!$B296=SelectedScope),'RAW_QUIZ'!L296,"")</f>
        <v>0</v>
      </c>
      <c r="M297" s="9">
        <f>IF(IF(SelectedScope="All India",TRUE,'RAW_QUIZ'!$B296=SelectedScope),'RAW_QUIZ'!M296,"")</f>
        <v>0</v>
      </c>
      <c r="N297" s="9">
        <f>IF(IF(SelectedScope="All India",TRUE,'RAW_QUIZ'!$B296=SelectedScope),'RAW_QUIZ'!N296,"")</f>
        <v>0</v>
      </c>
      <c r="O297" s="9">
        <f>IF(IF(SelectedScope="All India",TRUE,'RAW_QUIZ'!$B296=SelectedScope),'RAW_QUIZ'!O296,"")</f>
        <v>0</v>
      </c>
      <c r="P297" s="9">
        <f>IF(IF(SelectedScope="All India",TRUE,'RAW_QUIZ'!$B296=SelectedScope),'RAW_QUIZ'!P296,"")</f>
        <v>0</v>
      </c>
      <c r="Q297" s="9">
        <f>IF(IF(SelectedScope="All India",TRUE,'RAW_QUIZ'!$B296=SelectedScope),'RAW_QUIZ'!Q296,"")</f>
        <v>0</v>
      </c>
    </row>
    <row r="298" spans="1:17" ht="15" customHeight="1" x14ac:dyDescent="0.3">
      <c r="A298" s="12">
        <f>IF(IF(SelectedScope="All India",TRUE,'RAW_QUIZ'!$B297=SelectedScope),'RAW_QUIZ'!A297,"")</f>
        <v>294</v>
      </c>
      <c r="B298" s="12" t="str">
        <f>IF(IF(SelectedScope="All India",TRUE,'RAW_QUIZ'!$B297=SelectedScope),'RAW_QUIZ'!B297,"")</f>
        <v>Sikkim</v>
      </c>
      <c r="C298" s="12" t="str">
        <f>IF(IF(SelectedScope="All India",TRUE,'RAW_QUIZ'!$B297=SelectedScope),'RAW_QUIZ'!C297,"")</f>
        <v>Mathematics</v>
      </c>
      <c r="D298" s="12" t="str">
        <f>IF(IF(SelectedScope="All India",TRUE,'RAW_QUIZ'!$B297=SelectedScope),'RAW_QUIZ'!D297,"")</f>
        <v>Class 7</v>
      </c>
      <c r="E298" s="12" t="str">
        <f>IF(IF(SelectedScope="All India",TRUE,'RAW_QUIZ'!$B297=SelectedScope),'RAW_QUIZ'!E297,"")</f>
        <v>Fractions — Unit Quiz</v>
      </c>
      <c r="F298" s="12">
        <f>IF(IF(SelectedScope="All India",TRUE,'RAW_QUIZ'!$B297=SelectedScope),'RAW_QUIZ'!F297,"")</f>
        <v>0</v>
      </c>
      <c r="G298" s="12" t="str">
        <f>IF(IF(SelectedScope="All India",TRUE,'RAW_QUIZ'!$B297=SelectedScope),'RAW_QUIZ'!G297,"")</f>
        <v>Active</v>
      </c>
      <c r="H298" s="12">
        <f>IF(IF(SelectedScope="All India",TRUE,'RAW_QUIZ'!$B297=SelectedScope),'RAW_QUIZ'!H297,"")</f>
        <v>0</v>
      </c>
      <c r="I298" s="12">
        <f>IF(IF(SelectedScope="All India",TRUE,'RAW_QUIZ'!$B297=SelectedScope),'RAW_QUIZ'!I297,"")</f>
        <v>0</v>
      </c>
      <c r="J298" s="12">
        <f>IF(IF(SelectedScope="All India",TRUE,'RAW_QUIZ'!$B297=SelectedScope),'RAW_QUIZ'!J297,"")</f>
        <v>0</v>
      </c>
      <c r="K298" s="12">
        <f>IF(IF(SelectedScope="All India",TRUE,'RAW_QUIZ'!$B297=SelectedScope),'RAW_QUIZ'!K297,"")</f>
        <v>0</v>
      </c>
      <c r="L298" s="12">
        <f>IF(IF(SelectedScope="All India",TRUE,'RAW_QUIZ'!$B297=SelectedScope),'RAW_QUIZ'!L297,"")</f>
        <v>0</v>
      </c>
      <c r="M298" s="12">
        <f>IF(IF(SelectedScope="All India",TRUE,'RAW_QUIZ'!$B297=SelectedScope),'RAW_QUIZ'!M297,"")</f>
        <v>0</v>
      </c>
      <c r="N298" s="12">
        <f>IF(IF(SelectedScope="All India",TRUE,'RAW_QUIZ'!$B297=SelectedScope),'RAW_QUIZ'!N297,"")</f>
        <v>0</v>
      </c>
      <c r="O298" s="12">
        <f>IF(IF(SelectedScope="All India",TRUE,'RAW_QUIZ'!$B297=SelectedScope),'RAW_QUIZ'!O297,"")</f>
        <v>0</v>
      </c>
      <c r="P298" s="12">
        <f>IF(IF(SelectedScope="All India",TRUE,'RAW_QUIZ'!$B297=SelectedScope),'RAW_QUIZ'!P297,"")</f>
        <v>0</v>
      </c>
      <c r="Q298" s="12">
        <f>IF(IF(SelectedScope="All India",TRUE,'RAW_QUIZ'!$B297=SelectedScope),'RAW_QUIZ'!Q297,"")</f>
        <v>0</v>
      </c>
    </row>
    <row r="299" spans="1:17" ht="15" customHeight="1" x14ac:dyDescent="0.3">
      <c r="A299" s="9">
        <f>IF(IF(SelectedScope="All India",TRUE,'RAW_QUIZ'!$B298=SelectedScope),'RAW_QUIZ'!A298,"")</f>
        <v>295</v>
      </c>
      <c r="B299" s="9" t="str">
        <f>IF(IF(SelectedScope="All India",TRUE,'RAW_QUIZ'!$B298=SelectedScope),'RAW_QUIZ'!B298,"")</f>
        <v>Sikkim</v>
      </c>
      <c r="C299" s="9" t="str">
        <f>IF(IF(SelectedScope="All India",TRUE,'RAW_QUIZ'!$B298=SelectedScope),'RAW_QUIZ'!C298,"")</f>
        <v>Mathematics</v>
      </c>
      <c r="D299" s="9" t="str">
        <f>IF(IF(SelectedScope="All India",TRUE,'RAW_QUIZ'!$B298=SelectedScope),'RAW_QUIZ'!D298,"")</f>
        <v>Class 10</v>
      </c>
      <c r="E299" s="9" t="str">
        <f>IF(IF(SelectedScope="All India",TRUE,'RAW_QUIZ'!$B298=SelectedScope),'RAW_QUIZ'!E298,"")</f>
        <v>Trigonometry — Unit Quiz</v>
      </c>
      <c r="F299" s="9">
        <f>IF(IF(SelectedScope="All India",TRUE,'RAW_QUIZ'!$B298=SelectedScope),'RAW_QUIZ'!F298,"")</f>
        <v>0</v>
      </c>
      <c r="G299" s="9" t="str">
        <f>IF(IF(SelectedScope="All India",TRUE,'RAW_QUIZ'!$B298=SelectedScope),'RAW_QUIZ'!G298,"")</f>
        <v>Active</v>
      </c>
      <c r="H299" s="9">
        <f>IF(IF(SelectedScope="All India",TRUE,'RAW_QUIZ'!$B298=SelectedScope),'RAW_QUIZ'!H298,"")</f>
        <v>0</v>
      </c>
      <c r="I299" s="9">
        <f>IF(IF(SelectedScope="All India",TRUE,'RAW_QUIZ'!$B298=SelectedScope),'RAW_QUIZ'!I298,"")</f>
        <v>0</v>
      </c>
      <c r="J299" s="9">
        <f>IF(IF(SelectedScope="All India",TRUE,'RAW_QUIZ'!$B298=SelectedScope),'RAW_QUIZ'!J298,"")</f>
        <v>0</v>
      </c>
      <c r="K299" s="9">
        <f>IF(IF(SelectedScope="All India",TRUE,'RAW_QUIZ'!$B298=SelectedScope),'RAW_QUIZ'!K298,"")</f>
        <v>0</v>
      </c>
      <c r="L299" s="9">
        <f>IF(IF(SelectedScope="All India",TRUE,'RAW_QUIZ'!$B298=SelectedScope),'RAW_QUIZ'!L298,"")</f>
        <v>0</v>
      </c>
      <c r="M299" s="9">
        <f>IF(IF(SelectedScope="All India",TRUE,'RAW_QUIZ'!$B298=SelectedScope),'RAW_QUIZ'!M298,"")</f>
        <v>0</v>
      </c>
      <c r="N299" s="9">
        <f>IF(IF(SelectedScope="All India",TRUE,'RAW_QUIZ'!$B298=SelectedScope),'RAW_QUIZ'!N298,"")</f>
        <v>0</v>
      </c>
      <c r="O299" s="9">
        <f>IF(IF(SelectedScope="All India",TRUE,'RAW_QUIZ'!$B298=SelectedScope),'RAW_QUIZ'!O298,"")</f>
        <v>0</v>
      </c>
      <c r="P299" s="9">
        <f>IF(IF(SelectedScope="All India",TRUE,'RAW_QUIZ'!$B298=SelectedScope),'RAW_QUIZ'!P298,"")</f>
        <v>0</v>
      </c>
      <c r="Q299" s="9">
        <f>IF(IF(SelectedScope="All India",TRUE,'RAW_QUIZ'!$B298=SelectedScope),'RAW_QUIZ'!Q298,"")</f>
        <v>0</v>
      </c>
    </row>
    <row r="300" spans="1:17" ht="15" customHeight="1" x14ac:dyDescent="0.3">
      <c r="A300" s="12">
        <f>IF(IF(SelectedScope="All India",TRUE,'RAW_QUIZ'!$B299=SelectedScope),'RAW_QUIZ'!A299,"")</f>
        <v>296</v>
      </c>
      <c r="B300" s="12" t="str">
        <f>IF(IF(SelectedScope="All India",TRUE,'RAW_QUIZ'!$B299=SelectedScope),'RAW_QUIZ'!B299,"")</f>
        <v>Sikkim</v>
      </c>
      <c r="C300" s="12" t="str">
        <f>IF(IF(SelectedScope="All India",TRUE,'RAW_QUIZ'!$B299=SelectedScope),'RAW_QUIZ'!C299,"")</f>
        <v>History</v>
      </c>
      <c r="D300" s="12" t="str">
        <f>IF(IF(SelectedScope="All India",TRUE,'RAW_QUIZ'!$B299=SelectedScope),'RAW_QUIZ'!D299,"")</f>
        <v>Class 10</v>
      </c>
      <c r="E300" s="12" t="str">
        <f>IF(IF(SelectedScope="All India",TRUE,'RAW_QUIZ'!$B299=SelectedScope),'RAW_QUIZ'!E299,"")</f>
        <v>Mughal Empire — Unit Quiz</v>
      </c>
      <c r="F300" s="12">
        <f>IF(IF(SelectedScope="All India",TRUE,'RAW_QUIZ'!$B299=SelectedScope),'RAW_QUIZ'!F299,"")</f>
        <v>0</v>
      </c>
      <c r="G300" s="12" t="str">
        <f>IF(IF(SelectedScope="All India",TRUE,'RAW_QUIZ'!$B299=SelectedScope),'RAW_QUIZ'!G299,"")</f>
        <v>Active</v>
      </c>
      <c r="H300" s="12">
        <f>IF(IF(SelectedScope="All India",TRUE,'RAW_QUIZ'!$B299=SelectedScope),'RAW_QUIZ'!H299,"")</f>
        <v>0</v>
      </c>
      <c r="I300" s="12">
        <f>IF(IF(SelectedScope="All India",TRUE,'RAW_QUIZ'!$B299=SelectedScope),'RAW_QUIZ'!I299,"")</f>
        <v>0</v>
      </c>
      <c r="J300" s="12">
        <f>IF(IF(SelectedScope="All India",TRUE,'RAW_QUIZ'!$B299=SelectedScope),'RAW_QUIZ'!J299,"")</f>
        <v>0</v>
      </c>
      <c r="K300" s="12">
        <f>IF(IF(SelectedScope="All India",TRUE,'RAW_QUIZ'!$B299=SelectedScope),'RAW_QUIZ'!K299,"")</f>
        <v>0</v>
      </c>
      <c r="L300" s="12">
        <f>IF(IF(SelectedScope="All India",TRUE,'RAW_QUIZ'!$B299=SelectedScope),'RAW_QUIZ'!L299,"")</f>
        <v>0</v>
      </c>
      <c r="M300" s="12">
        <f>IF(IF(SelectedScope="All India",TRUE,'RAW_QUIZ'!$B299=SelectedScope),'RAW_QUIZ'!M299,"")</f>
        <v>0</v>
      </c>
      <c r="N300" s="12">
        <f>IF(IF(SelectedScope="All India",TRUE,'RAW_QUIZ'!$B299=SelectedScope),'RAW_QUIZ'!N299,"")</f>
        <v>0</v>
      </c>
      <c r="O300" s="12">
        <f>IF(IF(SelectedScope="All India",TRUE,'RAW_QUIZ'!$B299=SelectedScope),'RAW_QUIZ'!O299,"")</f>
        <v>0</v>
      </c>
      <c r="P300" s="12">
        <f>IF(IF(SelectedScope="All India",TRUE,'RAW_QUIZ'!$B299=SelectedScope),'RAW_QUIZ'!P299,"")</f>
        <v>0</v>
      </c>
      <c r="Q300" s="12">
        <f>IF(IF(SelectedScope="All India",TRUE,'RAW_QUIZ'!$B299=SelectedScope),'RAW_QUIZ'!Q299,"")</f>
        <v>0</v>
      </c>
    </row>
    <row r="301" spans="1:17" ht="15" customHeight="1" x14ac:dyDescent="0.3">
      <c r="A301" s="9">
        <f>IF(IF(SelectedScope="All India",TRUE,'RAW_QUIZ'!$B300=SelectedScope),'RAW_QUIZ'!A300,"")</f>
        <v>297</v>
      </c>
      <c r="B301" s="9" t="str">
        <f>IF(IF(SelectedScope="All India",TRUE,'RAW_QUIZ'!$B300=SelectedScope),'RAW_QUIZ'!B300,"")</f>
        <v>Sikkim</v>
      </c>
      <c r="C301" s="9" t="str">
        <f>IF(IF(SelectedScope="All India",TRUE,'RAW_QUIZ'!$B300=SelectedScope),'RAW_QUIZ'!C300,"")</f>
        <v>Physics</v>
      </c>
      <c r="D301" s="9" t="str">
        <f>IF(IF(SelectedScope="All India",TRUE,'RAW_QUIZ'!$B300=SelectedScope),'RAW_QUIZ'!D300,"")</f>
        <v>Class 9</v>
      </c>
      <c r="E301" s="9" t="str">
        <f>IF(IF(SelectedScope="All India",TRUE,'RAW_QUIZ'!$B300=SelectedScope),'RAW_QUIZ'!E300,"")</f>
        <v>Laws of Motion — Unit Quiz</v>
      </c>
      <c r="F301" s="9">
        <f>IF(IF(SelectedScope="All India",TRUE,'RAW_QUIZ'!$B300=SelectedScope),'RAW_QUIZ'!F300,"")</f>
        <v>0</v>
      </c>
      <c r="G301" s="9" t="str">
        <f>IF(IF(SelectedScope="All India",TRUE,'RAW_QUIZ'!$B300=SelectedScope),'RAW_QUIZ'!G300,"")</f>
        <v>Active</v>
      </c>
      <c r="H301" s="9">
        <f>IF(IF(SelectedScope="All India",TRUE,'RAW_QUIZ'!$B300=SelectedScope),'RAW_QUIZ'!H300,"")</f>
        <v>0</v>
      </c>
      <c r="I301" s="9">
        <f>IF(IF(SelectedScope="All India",TRUE,'RAW_QUIZ'!$B300=SelectedScope),'RAW_QUIZ'!I300,"")</f>
        <v>0</v>
      </c>
      <c r="J301" s="9">
        <f>IF(IF(SelectedScope="All India",TRUE,'RAW_QUIZ'!$B300=SelectedScope),'RAW_QUIZ'!J300,"")</f>
        <v>0</v>
      </c>
      <c r="K301" s="9">
        <f>IF(IF(SelectedScope="All India",TRUE,'RAW_QUIZ'!$B300=SelectedScope),'RAW_QUIZ'!K300,"")</f>
        <v>0</v>
      </c>
      <c r="L301" s="9">
        <f>IF(IF(SelectedScope="All India",TRUE,'RAW_QUIZ'!$B300=SelectedScope),'RAW_QUIZ'!L300,"")</f>
        <v>0</v>
      </c>
      <c r="M301" s="9">
        <f>IF(IF(SelectedScope="All India",TRUE,'RAW_QUIZ'!$B300=SelectedScope),'RAW_QUIZ'!M300,"")</f>
        <v>0</v>
      </c>
      <c r="N301" s="9">
        <f>IF(IF(SelectedScope="All India",TRUE,'RAW_QUIZ'!$B300=SelectedScope),'RAW_QUIZ'!N300,"")</f>
        <v>0</v>
      </c>
      <c r="O301" s="9">
        <f>IF(IF(SelectedScope="All India",TRUE,'RAW_QUIZ'!$B300=SelectedScope),'RAW_QUIZ'!O300,"")</f>
        <v>0</v>
      </c>
      <c r="P301" s="9">
        <f>IF(IF(SelectedScope="All India",TRUE,'RAW_QUIZ'!$B300=SelectedScope),'RAW_QUIZ'!P300,"")</f>
        <v>0</v>
      </c>
      <c r="Q301" s="9">
        <f>IF(IF(SelectedScope="All India",TRUE,'RAW_QUIZ'!$B300=SelectedScope),'RAW_QUIZ'!Q300,"")</f>
        <v>0</v>
      </c>
    </row>
    <row r="302" spans="1:17" ht="15" customHeight="1" x14ac:dyDescent="0.3">
      <c r="A302" s="12">
        <f>IF(IF(SelectedScope="All India",TRUE,'RAW_QUIZ'!$B301=SelectedScope),'RAW_QUIZ'!A301,"")</f>
        <v>298</v>
      </c>
      <c r="B302" s="12" t="str">
        <f>IF(IF(SelectedScope="All India",TRUE,'RAW_QUIZ'!$B301=SelectedScope),'RAW_QUIZ'!B301,"")</f>
        <v>Sikkim</v>
      </c>
      <c r="C302" s="12" t="str">
        <f>IF(IF(SelectedScope="All India",TRUE,'RAW_QUIZ'!$B301=SelectedScope),'RAW_QUIZ'!C301,"")</f>
        <v>Physics</v>
      </c>
      <c r="D302" s="12" t="str">
        <f>IF(IF(SelectedScope="All India",TRUE,'RAW_QUIZ'!$B301=SelectedScope),'RAW_QUIZ'!D301,"")</f>
        <v>Class 10</v>
      </c>
      <c r="E302" s="12" t="str">
        <f>IF(IF(SelectedScope="All India",TRUE,'RAW_QUIZ'!$B301=SelectedScope),'RAW_QUIZ'!E301,"")</f>
        <v>Electricity — Unit Quiz</v>
      </c>
      <c r="F302" s="12">
        <f>IF(IF(SelectedScope="All India",TRUE,'RAW_QUIZ'!$B301=SelectedScope),'RAW_QUIZ'!F301,"")</f>
        <v>0</v>
      </c>
      <c r="G302" s="12" t="str">
        <f>IF(IF(SelectedScope="All India",TRUE,'RAW_QUIZ'!$B301=SelectedScope),'RAW_QUIZ'!G301,"")</f>
        <v>Active</v>
      </c>
      <c r="H302" s="12">
        <f>IF(IF(SelectedScope="All India",TRUE,'RAW_QUIZ'!$B301=SelectedScope),'RAW_QUIZ'!H301,"")</f>
        <v>0</v>
      </c>
      <c r="I302" s="12">
        <f>IF(IF(SelectedScope="All India",TRUE,'RAW_QUIZ'!$B301=SelectedScope),'RAW_QUIZ'!I301,"")</f>
        <v>0</v>
      </c>
      <c r="J302" s="12">
        <f>IF(IF(SelectedScope="All India",TRUE,'RAW_QUIZ'!$B301=SelectedScope),'RAW_QUIZ'!J301,"")</f>
        <v>0</v>
      </c>
      <c r="K302" s="12">
        <f>IF(IF(SelectedScope="All India",TRUE,'RAW_QUIZ'!$B301=SelectedScope),'RAW_QUIZ'!K301,"")</f>
        <v>0</v>
      </c>
      <c r="L302" s="12">
        <f>IF(IF(SelectedScope="All India",TRUE,'RAW_QUIZ'!$B301=SelectedScope),'RAW_QUIZ'!L301,"")</f>
        <v>0</v>
      </c>
      <c r="M302" s="12">
        <f>IF(IF(SelectedScope="All India",TRUE,'RAW_QUIZ'!$B301=SelectedScope),'RAW_QUIZ'!M301,"")</f>
        <v>0</v>
      </c>
      <c r="N302" s="12">
        <f>IF(IF(SelectedScope="All India",TRUE,'RAW_QUIZ'!$B301=SelectedScope),'RAW_QUIZ'!N301,"")</f>
        <v>0</v>
      </c>
      <c r="O302" s="12">
        <f>IF(IF(SelectedScope="All India",TRUE,'RAW_QUIZ'!$B301=SelectedScope),'RAW_QUIZ'!O301,"")</f>
        <v>0</v>
      </c>
      <c r="P302" s="12">
        <f>IF(IF(SelectedScope="All India",TRUE,'RAW_QUIZ'!$B301=SelectedScope),'RAW_QUIZ'!P301,"")</f>
        <v>0</v>
      </c>
      <c r="Q302" s="12">
        <f>IF(IF(SelectedScope="All India",TRUE,'RAW_QUIZ'!$B301=SelectedScope),'RAW_QUIZ'!Q301,"")</f>
        <v>0</v>
      </c>
    </row>
    <row r="303" spans="1:17" ht="15" customHeight="1" x14ac:dyDescent="0.3">
      <c r="A303" s="9">
        <f>IF(IF(SelectedScope="All India",TRUE,'RAW_QUIZ'!$B302=SelectedScope),'RAW_QUIZ'!A302,"")</f>
        <v>299</v>
      </c>
      <c r="B303" s="9" t="str">
        <f>IF(IF(SelectedScope="All India",TRUE,'RAW_QUIZ'!$B302=SelectedScope),'RAW_QUIZ'!B302,"")</f>
        <v>Sikkim</v>
      </c>
      <c r="C303" s="9" t="str">
        <f>IF(IF(SelectedScope="All India",TRUE,'RAW_QUIZ'!$B302=SelectedScope),'RAW_QUIZ'!C302,"")</f>
        <v>Civics</v>
      </c>
      <c r="D303" s="9" t="str">
        <f>IF(IF(SelectedScope="All India",TRUE,'RAW_QUIZ'!$B302=SelectedScope),'RAW_QUIZ'!D302,"")</f>
        <v>Class 9</v>
      </c>
      <c r="E303" s="9" t="str">
        <f>IF(IF(SelectedScope="All India",TRUE,'RAW_QUIZ'!$B302=SelectedScope),'RAW_QUIZ'!E302,"")</f>
        <v>Indian Constitution — Unit Quiz</v>
      </c>
      <c r="F303" s="9">
        <f>IF(IF(SelectedScope="All India",TRUE,'RAW_QUIZ'!$B302=SelectedScope),'RAW_QUIZ'!F302,"")</f>
        <v>0</v>
      </c>
      <c r="G303" s="9" t="str">
        <f>IF(IF(SelectedScope="All India",TRUE,'RAW_QUIZ'!$B302=SelectedScope),'RAW_QUIZ'!G302,"")</f>
        <v>Active</v>
      </c>
      <c r="H303" s="9">
        <f>IF(IF(SelectedScope="All India",TRUE,'RAW_QUIZ'!$B302=SelectedScope),'RAW_QUIZ'!H302,"")</f>
        <v>0</v>
      </c>
      <c r="I303" s="9">
        <f>IF(IF(SelectedScope="All India",TRUE,'RAW_QUIZ'!$B302=SelectedScope),'RAW_QUIZ'!I302,"")</f>
        <v>0</v>
      </c>
      <c r="J303" s="9">
        <f>IF(IF(SelectedScope="All India",TRUE,'RAW_QUIZ'!$B302=SelectedScope),'RAW_QUIZ'!J302,"")</f>
        <v>0</v>
      </c>
      <c r="K303" s="9">
        <f>IF(IF(SelectedScope="All India",TRUE,'RAW_QUIZ'!$B302=SelectedScope),'RAW_QUIZ'!K302,"")</f>
        <v>0</v>
      </c>
      <c r="L303" s="9">
        <f>IF(IF(SelectedScope="All India",TRUE,'RAW_QUIZ'!$B302=SelectedScope),'RAW_QUIZ'!L302,"")</f>
        <v>0</v>
      </c>
      <c r="M303" s="9">
        <f>IF(IF(SelectedScope="All India",TRUE,'RAW_QUIZ'!$B302=SelectedScope),'RAW_QUIZ'!M302,"")</f>
        <v>0</v>
      </c>
      <c r="N303" s="9">
        <f>IF(IF(SelectedScope="All India",TRUE,'RAW_QUIZ'!$B302=SelectedScope),'RAW_QUIZ'!N302,"")</f>
        <v>0</v>
      </c>
      <c r="O303" s="9">
        <f>IF(IF(SelectedScope="All India",TRUE,'RAW_QUIZ'!$B302=SelectedScope),'RAW_QUIZ'!O302,"")</f>
        <v>0</v>
      </c>
      <c r="P303" s="9">
        <f>IF(IF(SelectedScope="All India",TRUE,'RAW_QUIZ'!$B302=SelectedScope),'RAW_QUIZ'!P302,"")</f>
        <v>0</v>
      </c>
      <c r="Q303" s="9">
        <f>IF(IF(SelectedScope="All India",TRUE,'RAW_QUIZ'!$B302=SelectedScope),'RAW_QUIZ'!Q302,"")</f>
        <v>0</v>
      </c>
    </row>
    <row r="304" spans="1:17" ht="15" customHeight="1" x14ac:dyDescent="0.3">
      <c r="A304" s="12">
        <f>IF(IF(SelectedScope="All India",TRUE,'RAW_QUIZ'!$B303=SelectedScope),'RAW_QUIZ'!A303,"")</f>
        <v>300</v>
      </c>
      <c r="B304" s="12" t="str">
        <f>IF(IF(SelectedScope="All India",TRUE,'RAW_QUIZ'!$B303=SelectedScope),'RAW_QUIZ'!B303,"")</f>
        <v>Sikkim</v>
      </c>
      <c r="C304" s="12" t="str">
        <f>IF(IF(SelectedScope="All India",TRUE,'RAW_QUIZ'!$B303=SelectedScope),'RAW_QUIZ'!C303,"")</f>
        <v>Mathematics</v>
      </c>
      <c r="D304" s="12" t="str">
        <f>IF(IF(SelectedScope="All India",TRUE,'RAW_QUIZ'!$B303=SelectedScope),'RAW_QUIZ'!D303,"")</f>
        <v>Class 10</v>
      </c>
      <c r="E304" s="12" t="str">
        <f>IF(IF(SelectedScope="All India",TRUE,'RAW_QUIZ'!$B303=SelectedScope),'RAW_QUIZ'!E303,"")</f>
        <v>Quadratic Equations — Unit Quiz</v>
      </c>
      <c r="F304" s="12">
        <f>IF(IF(SelectedScope="All India",TRUE,'RAW_QUIZ'!$B303=SelectedScope),'RAW_QUIZ'!F303,"")</f>
        <v>0</v>
      </c>
      <c r="G304" s="12" t="str">
        <f>IF(IF(SelectedScope="All India",TRUE,'RAW_QUIZ'!$B303=SelectedScope),'RAW_QUIZ'!G303,"")</f>
        <v>Active</v>
      </c>
      <c r="H304" s="12">
        <f>IF(IF(SelectedScope="All India",TRUE,'RAW_QUIZ'!$B303=SelectedScope),'RAW_QUIZ'!H303,"")</f>
        <v>0</v>
      </c>
      <c r="I304" s="12">
        <f>IF(IF(SelectedScope="All India",TRUE,'RAW_QUIZ'!$B303=SelectedScope),'RAW_QUIZ'!I303,"")</f>
        <v>0</v>
      </c>
      <c r="J304" s="12">
        <f>IF(IF(SelectedScope="All India",TRUE,'RAW_QUIZ'!$B303=SelectedScope),'RAW_QUIZ'!J303,"")</f>
        <v>0</v>
      </c>
      <c r="K304" s="12">
        <f>IF(IF(SelectedScope="All India",TRUE,'RAW_QUIZ'!$B303=SelectedScope),'RAW_QUIZ'!K303,"")</f>
        <v>0</v>
      </c>
      <c r="L304" s="12">
        <f>IF(IF(SelectedScope="All India",TRUE,'RAW_QUIZ'!$B303=SelectedScope),'RAW_QUIZ'!L303,"")</f>
        <v>0</v>
      </c>
      <c r="M304" s="12">
        <f>IF(IF(SelectedScope="All India",TRUE,'RAW_QUIZ'!$B303=SelectedScope),'RAW_QUIZ'!M303,"")</f>
        <v>0</v>
      </c>
      <c r="N304" s="12">
        <f>IF(IF(SelectedScope="All India",TRUE,'RAW_QUIZ'!$B303=SelectedScope),'RAW_QUIZ'!N303,"")</f>
        <v>0</v>
      </c>
      <c r="O304" s="12">
        <f>IF(IF(SelectedScope="All India",TRUE,'RAW_QUIZ'!$B303=SelectedScope),'RAW_QUIZ'!O303,"")</f>
        <v>0</v>
      </c>
      <c r="P304" s="12">
        <f>IF(IF(SelectedScope="All India",TRUE,'RAW_QUIZ'!$B303=SelectedScope),'RAW_QUIZ'!P303,"")</f>
        <v>0</v>
      </c>
      <c r="Q304" s="12">
        <f>IF(IF(SelectedScope="All India",TRUE,'RAW_QUIZ'!$B303=SelectedScope),'RAW_QUIZ'!Q303,"")</f>
        <v>0</v>
      </c>
    </row>
    <row r="305" spans="1:17" ht="15" customHeight="1" x14ac:dyDescent="0.3">
      <c r="A305" s="9">
        <f>IF(IF(SelectedScope="All India",TRUE,'RAW_QUIZ'!$B304=SelectedScope),'RAW_QUIZ'!A304,"")</f>
        <v>301</v>
      </c>
      <c r="B305" s="9" t="str">
        <f>IF(IF(SelectedScope="All India",TRUE,'RAW_QUIZ'!$B304=SelectedScope),'RAW_QUIZ'!B304,"")</f>
        <v>Tamil Nadu</v>
      </c>
      <c r="C305" s="9" t="str">
        <f>IF(IF(SelectedScope="All India",TRUE,'RAW_QUIZ'!$B304=SelectedScope),'RAW_QUIZ'!C304,"")</f>
        <v>Science</v>
      </c>
      <c r="D305" s="9" t="str">
        <f>IF(IF(SelectedScope="All India",TRUE,'RAW_QUIZ'!$B304=SelectedScope),'RAW_QUIZ'!D304,"")</f>
        <v>Class 8</v>
      </c>
      <c r="E305" s="9" t="str">
        <f>IF(IF(SelectedScope="All India",TRUE,'RAW_QUIZ'!$B304=SelectedScope),'RAW_QUIZ'!E304,"")</f>
        <v>Solar System — Unit Quiz</v>
      </c>
      <c r="F305" s="9">
        <f>IF(IF(SelectedScope="All India",TRUE,'RAW_QUIZ'!$B304=SelectedScope),'RAW_QUIZ'!F304,"")</f>
        <v>0</v>
      </c>
      <c r="G305" s="9" t="str">
        <f>IF(IF(SelectedScope="All India",TRUE,'RAW_QUIZ'!$B304=SelectedScope),'RAW_QUIZ'!G304,"")</f>
        <v>Active</v>
      </c>
      <c r="H305" s="9">
        <f>IF(IF(SelectedScope="All India",TRUE,'RAW_QUIZ'!$B304=SelectedScope),'RAW_QUIZ'!H304,"")</f>
        <v>0</v>
      </c>
      <c r="I305" s="9">
        <f>IF(IF(SelectedScope="All India",TRUE,'RAW_QUIZ'!$B304=SelectedScope),'RAW_QUIZ'!I304,"")</f>
        <v>0</v>
      </c>
      <c r="J305" s="9">
        <f>IF(IF(SelectedScope="All India",TRUE,'RAW_QUIZ'!$B304=SelectedScope),'RAW_QUIZ'!J304,"")</f>
        <v>0</v>
      </c>
      <c r="K305" s="9">
        <f>IF(IF(SelectedScope="All India",TRUE,'RAW_QUIZ'!$B304=SelectedScope),'RAW_QUIZ'!K304,"")</f>
        <v>0</v>
      </c>
      <c r="L305" s="9">
        <f>IF(IF(SelectedScope="All India",TRUE,'RAW_QUIZ'!$B304=SelectedScope),'RAW_QUIZ'!L304,"")</f>
        <v>0</v>
      </c>
      <c r="M305" s="9">
        <f>IF(IF(SelectedScope="All India",TRUE,'RAW_QUIZ'!$B304=SelectedScope),'RAW_QUIZ'!M304,"")</f>
        <v>0</v>
      </c>
      <c r="N305" s="9">
        <f>IF(IF(SelectedScope="All India",TRUE,'RAW_QUIZ'!$B304=SelectedScope),'RAW_QUIZ'!N304,"")</f>
        <v>0</v>
      </c>
      <c r="O305" s="9">
        <f>IF(IF(SelectedScope="All India",TRUE,'RAW_QUIZ'!$B304=SelectedScope),'RAW_QUIZ'!O304,"")</f>
        <v>0</v>
      </c>
      <c r="P305" s="9">
        <f>IF(IF(SelectedScope="All India",TRUE,'RAW_QUIZ'!$B304=SelectedScope),'RAW_QUIZ'!P304,"")</f>
        <v>0</v>
      </c>
      <c r="Q305" s="9">
        <f>IF(IF(SelectedScope="All India",TRUE,'RAW_QUIZ'!$B304=SelectedScope),'RAW_QUIZ'!Q304,"")</f>
        <v>0</v>
      </c>
    </row>
    <row r="306" spans="1:17" ht="15" customHeight="1" x14ac:dyDescent="0.3">
      <c r="A306" s="12">
        <f>IF(IF(SelectedScope="All India",TRUE,'RAW_QUIZ'!$B305=SelectedScope),'RAW_QUIZ'!A305,"")</f>
        <v>302</v>
      </c>
      <c r="B306" s="12" t="str">
        <f>IF(IF(SelectedScope="All India",TRUE,'RAW_QUIZ'!$B305=SelectedScope),'RAW_QUIZ'!B305,"")</f>
        <v>Tamil Nadu</v>
      </c>
      <c r="C306" s="12" t="str">
        <f>IF(IF(SelectedScope="All India",TRUE,'RAW_QUIZ'!$B305=SelectedScope),'RAW_QUIZ'!C305,"")</f>
        <v>Biology</v>
      </c>
      <c r="D306" s="12" t="str">
        <f>IF(IF(SelectedScope="All India",TRUE,'RAW_QUIZ'!$B305=SelectedScope),'RAW_QUIZ'!D305,"")</f>
        <v>Class 9</v>
      </c>
      <c r="E306" s="12" t="str">
        <f>IF(IF(SelectedScope="All India",TRUE,'RAW_QUIZ'!$B305=SelectedScope),'RAW_QUIZ'!E305,"")</f>
        <v>Cell Division — Unit Quiz</v>
      </c>
      <c r="F306" s="12">
        <f>IF(IF(SelectedScope="All India",TRUE,'RAW_QUIZ'!$B305=SelectedScope),'RAW_QUIZ'!F305,"")</f>
        <v>0</v>
      </c>
      <c r="G306" s="12" t="str">
        <f>IF(IF(SelectedScope="All India",TRUE,'RAW_QUIZ'!$B305=SelectedScope),'RAW_QUIZ'!G305,"")</f>
        <v>Active</v>
      </c>
      <c r="H306" s="12">
        <f>IF(IF(SelectedScope="All India",TRUE,'RAW_QUIZ'!$B305=SelectedScope),'RAW_QUIZ'!H305,"")</f>
        <v>0</v>
      </c>
      <c r="I306" s="12">
        <f>IF(IF(SelectedScope="All India",TRUE,'RAW_QUIZ'!$B305=SelectedScope),'RAW_QUIZ'!I305,"")</f>
        <v>0</v>
      </c>
      <c r="J306" s="12">
        <f>IF(IF(SelectedScope="All India",TRUE,'RAW_QUIZ'!$B305=SelectedScope),'RAW_QUIZ'!J305,"")</f>
        <v>0</v>
      </c>
      <c r="K306" s="12">
        <f>IF(IF(SelectedScope="All India",TRUE,'RAW_QUIZ'!$B305=SelectedScope),'RAW_QUIZ'!K305,"")</f>
        <v>0</v>
      </c>
      <c r="L306" s="12">
        <f>IF(IF(SelectedScope="All India",TRUE,'RAW_QUIZ'!$B305=SelectedScope),'RAW_QUIZ'!L305,"")</f>
        <v>0</v>
      </c>
      <c r="M306" s="12">
        <f>IF(IF(SelectedScope="All India",TRUE,'RAW_QUIZ'!$B305=SelectedScope),'RAW_QUIZ'!M305,"")</f>
        <v>0</v>
      </c>
      <c r="N306" s="12">
        <f>IF(IF(SelectedScope="All India",TRUE,'RAW_QUIZ'!$B305=SelectedScope),'RAW_QUIZ'!N305,"")</f>
        <v>0</v>
      </c>
      <c r="O306" s="12">
        <f>IF(IF(SelectedScope="All India",TRUE,'RAW_QUIZ'!$B305=SelectedScope),'RAW_QUIZ'!O305,"")</f>
        <v>0</v>
      </c>
      <c r="P306" s="12">
        <f>IF(IF(SelectedScope="All India",TRUE,'RAW_QUIZ'!$B305=SelectedScope),'RAW_QUIZ'!P305,"")</f>
        <v>0</v>
      </c>
      <c r="Q306" s="12">
        <f>IF(IF(SelectedScope="All India",TRUE,'RAW_QUIZ'!$B305=SelectedScope),'RAW_QUIZ'!Q305,"")</f>
        <v>0</v>
      </c>
    </row>
    <row r="307" spans="1:17" ht="15" customHeight="1" x14ac:dyDescent="0.3">
      <c r="A307" s="9">
        <f>IF(IF(SelectedScope="All India",TRUE,'RAW_QUIZ'!$B306=SelectedScope),'RAW_QUIZ'!A306,"")</f>
        <v>303</v>
      </c>
      <c r="B307" s="9" t="str">
        <f>IF(IF(SelectedScope="All India",TRUE,'RAW_QUIZ'!$B306=SelectedScope),'RAW_QUIZ'!B306,"")</f>
        <v>Tamil Nadu</v>
      </c>
      <c r="C307" s="9" t="str">
        <f>IF(IF(SelectedScope="All India",TRUE,'RAW_QUIZ'!$B306=SelectedScope),'RAW_QUIZ'!C306,"")</f>
        <v>Chemistry</v>
      </c>
      <c r="D307" s="9" t="str">
        <f>IF(IF(SelectedScope="All India",TRUE,'RAW_QUIZ'!$B306=SelectedScope),'RAW_QUIZ'!D306,"")</f>
        <v>Class 9</v>
      </c>
      <c r="E307" s="9" t="str">
        <f>IF(IF(SelectedScope="All India",TRUE,'RAW_QUIZ'!$B306=SelectedScope),'RAW_QUIZ'!E306,"")</f>
        <v>Atoms and Molecules — Unit Quiz</v>
      </c>
      <c r="F307" s="9">
        <f>IF(IF(SelectedScope="All India",TRUE,'RAW_QUIZ'!$B306=SelectedScope),'RAW_QUIZ'!F306,"")</f>
        <v>0</v>
      </c>
      <c r="G307" s="9" t="str">
        <f>IF(IF(SelectedScope="All India",TRUE,'RAW_QUIZ'!$B306=SelectedScope),'RAW_QUIZ'!G306,"")</f>
        <v>Active</v>
      </c>
      <c r="H307" s="9">
        <f>IF(IF(SelectedScope="All India",TRUE,'RAW_QUIZ'!$B306=SelectedScope),'RAW_QUIZ'!H306,"")</f>
        <v>0</v>
      </c>
      <c r="I307" s="9">
        <f>IF(IF(SelectedScope="All India",TRUE,'RAW_QUIZ'!$B306=SelectedScope),'RAW_QUIZ'!I306,"")</f>
        <v>0</v>
      </c>
      <c r="J307" s="9">
        <f>IF(IF(SelectedScope="All India",TRUE,'RAW_QUIZ'!$B306=SelectedScope),'RAW_QUIZ'!J306,"")</f>
        <v>0</v>
      </c>
      <c r="K307" s="9">
        <f>IF(IF(SelectedScope="All India",TRUE,'RAW_QUIZ'!$B306=SelectedScope),'RAW_QUIZ'!K306,"")</f>
        <v>0</v>
      </c>
      <c r="L307" s="9">
        <f>IF(IF(SelectedScope="All India",TRUE,'RAW_QUIZ'!$B306=SelectedScope),'RAW_QUIZ'!L306,"")</f>
        <v>0</v>
      </c>
      <c r="M307" s="9">
        <f>IF(IF(SelectedScope="All India",TRUE,'RAW_QUIZ'!$B306=SelectedScope),'RAW_QUIZ'!M306,"")</f>
        <v>0</v>
      </c>
      <c r="N307" s="9">
        <f>IF(IF(SelectedScope="All India",TRUE,'RAW_QUIZ'!$B306=SelectedScope),'RAW_QUIZ'!N306,"")</f>
        <v>0</v>
      </c>
      <c r="O307" s="9">
        <f>IF(IF(SelectedScope="All India",TRUE,'RAW_QUIZ'!$B306=SelectedScope),'RAW_QUIZ'!O306,"")</f>
        <v>0</v>
      </c>
      <c r="P307" s="9">
        <f>IF(IF(SelectedScope="All India",TRUE,'RAW_QUIZ'!$B306=SelectedScope),'RAW_QUIZ'!P306,"")</f>
        <v>0</v>
      </c>
      <c r="Q307" s="9">
        <f>IF(IF(SelectedScope="All India",TRUE,'RAW_QUIZ'!$B306=SelectedScope),'RAW_QUIZ'!Q306,"")</f>
        <v>0</v>
      </c>
    </row>
    <row r="308" spans="1:17" ht="15" customHeight="1" x14ac:dyDescent="0.3">
      <c r="A308" s="12">
        <f>IF(IF(SelectedScope="All India",TRUE,'RAW_QUIZ'!$B307=SelectedScope),'RAW_QUIZ'!A307,"")</f>
        <v>304</v>
      </c>
      <c r="B308" s="12" t="str">
        <f>IF(IF(SelectedScope="All India",TRUE,'RAW_QUIZ'!$B307=SelectedScope),'RAW_QUIZ'!B307,"")</f>
        <v>Tamil Nadu</v>
      </c>
      <c r="C308" s="12" t="str">
        <f>IF(IF(SelectedScope="All India",TRUE,'RAW_QUIZ'!$B307=SelectedScope),'RAW_QUIZ'!C307,"")</f>
        <v>Mathematics</v>
      </c>
      <c r="D308" s="12" t="str">
        <f>IF(IF(SelectedScope="All India",TRUE,'RAW_QUIZ'!$B307=SelectedScope),'RAW_QUIZ'!D307,"")</f>
        <v>Class 7</v>
      </c>
      <c r="E308" s="12" t="str">
        <f>IF(IF(SelectedScope="All India",TRUE,'RAW_QUIZ'!$B307=SelectedScope),'RAW_QUIZ'!E307,"")</f>
        <v>Fractions — Unit Quiz</v>
      </c>
      <c r="F308" s="12">
        <f>IF(IF(SelectedScope="All India",TRUE,'RAW_QUIZ'!$B307=SelectedScope),'RAW_QUIZ'!F307,"")</f>
        <v>0</v>
      </c>
      <c r="G308" s="12" t="str">
        <f>IF(IF(SelectedScope="All India",TRUE,'RAW_QUIZ'!$B307=SelectedScope),'RAW_QUIZ'!G307,"")</f>
        <v>Active</v>
      </c>
      <c r="H308" s="12">
        <f>IF(IF(SelectedScope="All India",TRUE,'RAW_QUIZ'!$B307=SelectedScope),'RAW_QUIZ'!H307,"")</f>
        <v>0</v>
      </c>
      <c r="I308" s="12">
        <f>IF(IF(SelectedScope="All India",TRUE,'RAW_QUIZ'!$B307=SelectedScope),'RAW_QUIZ'!I307,"")</f>
        <v>0</v>
      </c>
      <c r="J308" s="12">
        <f>IF(IF(SelectedScope="All India",TRUE,'RAW_QUIZ'!$B307=SelectedScope),'RAW_QUIZ'!J307,"")</f>
        <v>0</v>
      </c>
      <c r="K308" s="12">
        <f>IF(IF(SelectedScope="All India",TRUE,'RAW_QUIZ'!$B307=SelectedScope),'RAW_QUIZ'!K307,"")</f>
        <v>0</v>
      </c>
      <c r="L308" s="12">
        <f>IF(IF(SelectedScope="All India",TRUE,'RAW_QUIZ'!$B307=SelectedScope),'RAW_QUIZ'!L307,"")</f>
        <v>0</v>
      </c>
      <c r="M308" s="12">
        <f>IF(IF(SelectedScope="All India",TRUE,'RAW_QUIZ'!$B307=SelectedScope),'RAW_QUIZ'!M307,"")</f>
        <v>0</v>
      </c>
      <c r="N308" s="12">
        <f>IF(IF(SelectedScope="All India",TRUE,'RAW_QUIZ'!$B307=SelectedScope),'RAW_QUIZ'!N307,"")</f>
        <v>0</v>
      </c>
      <c r="O308" s="12">
        <f>IF(IF(SelectedScope="All India",TRUE,'RAW_QUIZ'!$B307=SelectedScope),'RAW_QUIZ'!O307,"")</f>
        <v>0</v>
      </c>
      <c r="P308" s="12">
        <f>IF(IF(SelectedScope="All India",TRUE,'RAW_QUIZ'!$B307=SelectedScope),'RAW_QUIZ'!P307,"")</f>
        <v>0</v>
      </c>
      <c r="Q308" s="12">
        <f>IF(IF(SelectedScope="All India",TRUE,'RAW_QUIZ'!$B307=SelectedScope),'RAW_QUIZ'!Q307,"")</f>
        <v>0</v>
      </c>
    </row>
    <row r="309" spans="1:17" ht="15" customHeight="1" x14ac:dyDescent="0.3">
      <c r="A309" s="9">
        <f>IF(IF(SelectedScope="All India",TRUE,'RAW_QUIZ'!$B308=SelectedScope),'RAW_QUIZ'!A308,"")</f>
        <v>305</v>
      </c>
      <c r="B309" s="9" t="str">
        <f>IF(IF(SelectedScope="All India",TRUE,'RAW_QUIZ'!$B308=SelectedScope),'RAW_QUIZ'!B308,"")</f>
        <v>Tamil Nadu</v>
      </c>
      <c r="C309" s="9" t="str">
        <f>IF(IF(SelectedScope="All India",TRUE,'RAW_QUIZ'!$B308=SelectedScope),'RAW_QUIZ'!C308,"")</f>
        <v>Mathematics</v>
      </c>
      <c r="D309" s="9" t="str">
        <f>IF(IF(SelectedScope="All India",TRUE,'RAW_QUIZ'!$B308=SelectedScope),'RAW_QUIZ'!D308,"")</f>
        <v>Class 10</v>
      </c>
      <c r="E309" s="9" t="str">
        <f>IF(IF(SelectedScope="All India",TRUE,'RAW_QUIZ'!$B308=SelectedScope),'RAW_QUIZ'!E308,"")</f>
        <v>Trigonometry — Unit Quiz</v>
      </c>
      <c r="F309" s="9">
        <f>IF(IF(SelectedScope="All India",TRUE,'RAW_QUIZ'!$B308=SelectedScope),'RAW_QUIZ'!F308,"")</f>
        <v>0</v>
      </c>
      <c r="G309" s="9" t="str">
        <f>IF(IF(SelectedScope="All India",TRUE,'RAW_QUIZ'!$B308=SelectedScope),'RAW_QUIZ'!G308,"")</f>
        <v>Active</v>
      </c>
      <c r="H309" s="9">
        <f>IF(IF(SelectedScope="All India",TRUE,'RAW_QUIZ'!$B308=SelectedScope),'RAW_QUIZ'!H308,"")</f>
        <v>0</v>
      </c>
      <c r="I309" s="9">
        <f>IF(IF(SelectedScope="All India",TRUE,'RAW_QUIZ'!$B308=SelectedScope),'RAW_QUIZ'!I308,"")</f>
        <v>0</v>
      </c>
      <c r="J309" s="9">
        <f>IF(IF(SelectedScope="All India",TRUE,'RAW_QUIZ'!$B308=SelectedScope),'RAW_QUIZ'!J308,"")</f>
        <v>0</v>
      </c>
      <c r="K309" s="9">
        <f>IF(IF(SelectedScope="All India",TRUE,'RAW_QUIZ'!$B308=SelectedScope),'RAW_QUIZ'!K308,"")</f>
        <v>0</v>
      </c>
      <c r="L309" s="9">
        <f>IF(IF(SelectedScope="All India",TRUE,'RAW_QUIZ'!$B308=SelectedScope),'RAW_QUIZ'!L308,"")</f>
        <v>0</v>
      </c>
      <c r="M309" s="9">
        <f>IF(IF(SelectedScope="All India",TRUE,'RAW_QUIZ'!$B308=SelectedScope),'RAW_QUIZ'!M308,"")</f>
        <v>0</v>
      </c>
      <c r="N309" s="9">
        <f>IF(IF(SelectedScope="All India",TRUE,'RAW_QUIZ'!$B308=SelectedScope),'RAW_QUIZ'!N308,"")</f>
        <v>0</v>
      </c>
      <c r="O309" s="9">
        <f>IF(IF(SelectedScope="All India",TRUE,'RAW_QUIZ'!$B308=SelectedScope),'RAW_QUIZ'!O308,"")</f>
        <v>0</v>
      </c>
      <c r="P309" s="9">
        <f>IF(IF(SelectedScope="All India",TRUE,'RAW_QUIZ'!$B308=SelectedScope),'RAW_QUIZ'!P308,"")</f>
        <v>0</v>
      </c>
      <c r="Q309" s="9">
        <f>IF(IF(SelectedScope="All India",TRUE,'RAW_QUIZ'!$B308=SelectedScope),'RAW_QUIZ'!Q308,"")</f>
        <v>0</v>
      </c>
    </row>
    <row r="310" spans="1:17" ht="15" customHeight="1" x14ac:dyDescent="0.3">
      <c r="A310" s="12">
        <f>IF(IF(SelectedScope="All India",TRUE,'RAW_QUIZ'!$B309=SelectedScope),'RAW_QUIZ'!A309,"")</f>
        <v>306</v>
      </c>
      <c r="B310" s="12" t="str">
        <f>IF(IF(SelectedScope="All India",TRUE,'RAW_QUIZ'!$B309=SelectedScope),'RAW_QUIZ'!B309,"")</f>
        <v>Tamil Nadu</v>
      </c>
      <c r="C310" s="12" t="str">
        <f>IF(IF(SelectedScope="All India",TRUE,'RAW_QUIZ'!$B309=SelectedScope),'RAW_QUIZ'!C309,"")</f>
        <v>History</v>
      </c>
      <c r="D310" s="12" t="str">
        <f>IF(IF(SelectedScope="All India",TRUE,'RAW_QUIZ'!$B309=SelectedScope),'RAW_QUIZ'!D309,"")</f>
        <v>Class 10</v>
      </c>
      <c r="E310" s="12" t="str">
        <f>IF(IF(SelectedScope="All India",TRUE,'RAW_QUIZ'!$B309=SelectedScope),'RAW_QUIZ'!E309,"")</f>
        <v>Mughal Empire — Unit Quiz</v>
      </c>
      <c r="F310" s="12">
        <f>IF(IF(SelectedScope="All India",TRUE,'RAW_QUIZ'!$B309=SelectedScope),'RAW_QUIZ'!F309,"")</f>
        <v>0</v>
      </c>
      <c r="G310" s="12" t="str">
        <f>IF(IF(SelectedScope="All India",TRUE,'RAW_QUIZ'!$B309=SelectedScope),'RAW_QUIZ'!G309,"")</f>
        <v>Active</v>
      </c>
      <c r="H310" s="12">
        <f>IF(IF(SelectedScope="All India",TRUE,'RAW_QUIZ'!$B309=SelectedScope),'RAW_QUIZ'!H309,"")</f>
        <v>0</v>
      </c>
      <c r="I310" s="12">
        <f>IF(IF(SelectedScope="All India",TRUE,'RAW_QUIZ'!$B309=SelectedScope),'RAW_QUIZ'!I309,"")</f>
        <v>0</v>
      </c>
      <c r="J310" s="12">
        <f>IF(IF(SelectedScope="All India",TRUE,'RAW_QUIZ'!$B309=SelectedScope),'RAW_QUIZ'!J309,"")</f>
        <v>0</v>
      </c>
      <c r="K310" s="12">
        <f>IF(IF(SelectedScope="All India",TRUE,'RAW_QUIZ'!$B309=SelectedScope),'RAW_QUIZ'!K309,"")</f>
        <v>0</v>
      </c>
      <c r="L310" s="12">
        <f>IF(IF(SelectedScope="All India",TRUE,'RAW_QUIZ'!$B309=SelectedScope),'RAW_QUIZ'!L309,"")</f>
        <v>0</v>
      </c>
      <c r="M310" s="12">
        <f>IF(IF(SelectedScope="All India",TRUE,'RAW_QUIZ'!$B309=SelectedScope),'RAW_QUIZ'!M309,"")</f>
        <v>0</v>
      </c>
      <c r="N310" s="12">
        <f>IF(IF(SelectedScope="All India",TRUE,'RAW_QUIZ'!$B309=SelectedScope),'RAW_QUIZ'!N309,"")</f>
        <v>0</v>
      </c>
      <c r="O310" s="12">
        <f>IF(IF(SelectedScope="All India",TRUE,'RAW_QUIZ'!$B309=SelectedScope),'RAW_QUIZ'!O309,"")</f>
        <v>0</v>
      </c>
      <c r="P310" s="12">
        <f>IF(IF(SelectedScope="All India",TRUE,'RAW_QUIZ'!$B309=SelectedScope),'RAW_QUIZ'!P309,"")</f>
        <v>0</v>
      </c>
      <c r="Q310" s="12">
        <f>IF(IF(SelectedScope="All India",TRUE,'RAW_QUIZ'!$B309=SelectedScope),'RAW_QUIZ'!Q309,"")</f>
        <v>0</v>
      </c>
    </row>
    <row r="311" spans="1:17" ht="15" customHeight="1" x14ac:dyDescent="0.3">
      <c r="A311" s="9">
        <f>IF(IF(SelectedScope="All India",TRUE,'RAW_QUIZ'!$B310=SelectedScope),'RAW_QUIZ'!A310,"")</f>
        <v>307</v>
      </c>
      <c r="B311" s="9" t="str">
        <f>IF(IF(SelectedScope="All India",TRUE,'RAW_QUIZ'!$B310=SelectedScope),'RAW_QUIZ'!B310,"")</f>
        <v>Tamil Nadu</v>
      </c>
      <c r="C311" s="9" t="str">
        <f>IF(IF(SelectedScope="All India",TRUE,'RAW_QUIZ'!$B310=SelectedScope),'RAW_QUIZ'!C310,"")</f>
        <v>Physics</v>
      </c>
      <c r="D311" s="9" t="str">
        <f>IF(IF(SelectedScope="All India",TRUE,'RAW_QUIZ'!$B310=SelectedScope),'RAW_QUIZ'!D310,"")</f>
        <v>Class 9</v>
      </c>
      <c r="E311" s="9" t="str">
        <f>IF(IF(SelectedScope="All India",TRUE,'RAW_QUIZ'!$B310=SelectedScope),'RAW_QUIZ'!E310,"")</f>
        <v>Laws of Motion — Unit Quiz</v>
      </c>
      <c r="F311" s="9">
        <f>IF(IF(SelectedScope="All India",TRUE,'RAW_QUIZ'!$B310=SelectedScope),'RAW_QUIZ'!F310,"")</f>
        <v>0</v>
      </c>
      <c r="G311" s="9" t="str">
        <f>IF(IF(SelectedScope="All India",TRUE,'RAW_QUIZ'!$B310=SelectedScope),'RAW_QUIZ'!G310,"")</f>
        <v>Active</v>
      </c>
      <c r="H311" s="9">
        <f>IF(IF(SelectedScope="All India",TRUE,'RAW_QUIZ'!$B310=SelectedScope),'RAW_QUIZ'!H310,"")</f>
        <v>0</v>
      </c>
      <c r="I311" s="9">
        <f>IF(IF(SelectedScope="All India",TRUE,'RAW_QUIZ'!$B310=SelectedScope),'RAW_QUIZ'!I310,"")</f>
        <v>0</v>
      </c>
      <c r="J311" s="9">
        <f>IF(IF(SelectedScope="All India",TRUE,'RAW_QUIZ'!$B310=SelectedScope),'RAW_QUIZ'!J310,"")</f>
        <v>0</v>
      </c>
      <c r="K311" s="9">
        <f>IF(IF(SelectedScope="All India",TRUE,'RAW_QUIZ'!$B310=SelectedScope),'RAW_QUIZ'!K310,"")</f>
        <v>0</v>
      </c>
      <c r="L311" s="9">
        <f>IF(IF(SelectedScope="All India",TRUE,'RAW_QUIZ'!$B310=SelectedScope),'RAW_QUIZ'!L310,"")</f>
        <v>0</v>
      </c>
      <c r="M311" s="9">
        <f>IF(IF(SelectedScope="All India",TRUE,'RAW_QUIZ'!$B310=SelectedScope),'RAW_QUIZ'!M310,"")</f>
        <v>0</v>
      </c>
      <c r="N311" s="9">
        <f>IF(IF(SelectedScope="All India",TRUE,'RAW_QUIZ'!$B310=SelectedScope),'RAW_QUIZ'!N310,"")</f>
        <v>0</v>
      </c>
      <c r="O311" s="9">
        <f>IF(IF(SelectedScope="All India",TRUE,'RAW_QUIZ'!$B310=SelectedScope),'RAW_QUIZ'!O310,"")</f>
        <v>0</v>
      </c>
      <c r="P311" s="9">
        <f>IF(IF(SelectedScope="All India",TRUE,'RAW_QUIZ'!$B310=SelectedScope),'RAW_QUIZ'!P310,"")</f>
        <v>0</v>
      </c>
      <c r="Q311" s="9">
        <f>IF(IF(SelectedScope="All India",TRUE,'RAW_QUIZ'!$B310=SelectedScope),'RAW_QUIZ'!Q310,"")</f>
        <v>0</v>
      </c>
    </row>
    <row r="312" spans="1:17" ht="15" customHeight="1" x14ac:dyDescent="0.3">
      <c r="A312" s="12">
        <f>IF(IF(SelectedScope="All India",TRUE,'RAW_QUIZ'!$B311=SelectedScope),'RAW_QUIZ'!A311,"")</f>
        <v>308</v>
      </c>
      <c r="B312" s="12" t="str">
        <f>IF(IF(SelectedScope="All India",TRUE,'RAW_QUIZ'!$B311=SelectedScope),'RAW_QUIZ'!B311,"")</f>
        <v>Tamil Nadu</v>
      </c>
      <c r="C312" s="12" t="str">
        <f>IF(IF(SelectedScope="All India",TRUE,'RAW_QUIZ'!$B311=SelectedScope),'RAW_QUIZ'!C311,"")</f>
        <v>Physics</v>
      </c>
      <c r="D312" s="12" t="str">
        <f>IF(IF(SelectedScope="All India",TRUE,'RAW_QUIZ'!$B311=SelectedScope),'RAW_QUIZ'!D311,"")</f>
        <v>Class 10</v>
      </c>
      <c r="E312" s="12" t="str">
        <f>IF(IF(SelectedScope="All India",TRUE,'RAW_QUIZ'!$B311=SelectedScope),'RAW_QUIZ'!E311,"")</f>
        <v>Electricity — Unit Quiz</v>
      </c>
      <c r="F312" s="12">
        <f>IF(IF(SelectedScope="All India",TRUE,'RAW_QUIZ'!$B311=SelectedScope),'RAW_QUIZ'!F311,"")</f>
        <v>0</v>
      </c>
      <c r="G312" s="12" t="str">
        <f>IF(IF(SelectedScope="All India",TRUE,'RAW_QUIZ'!$B311=SelectedScope),'RAW_QUIZ'!G311,"")</f>
        <v>Active</v>
      </c>
      <c r="H312" s="12">
        <f>IF(IF(SelectedScope="All India",TRUE,'RAW_QUIZ'!$B311=SelectedScope),'RAW_QUIZ'!H311,"")</f>
        <v>0</v>
      </c>
      <c r="I312" s="12">
        <f>IF(IF(SelectedScope="All India",TRUE,'RAW_QUIZ'!$B311=SelectedScope),'RAW_QUIZ'!I311,"")</f>
        <v>0</v>
      </c>
      <c r="J312" s="12">
        <f>IF(IF(SelectedScope="All India",TRUE,'RAW_QUIZ'!$B311=SelectedScope),'RAW_QUIZ'!J311,"")</f>
        <v>0</v>
      </c>
      <c r="K312" s="12">
        <f>IF(IF(SelectedScope="All India",TRUE,'RAW_QUIZ'!$B311=SelectedScope),'RAW_QUIZ'!K311,"")</f>
        <v>0</v>
      </c>
      <c r="L312" s="12">
        <f>IF(IF(SelectedScope="All India",TRUE,'RAW_QUIZ'!$B311=SelectedScope),'RAW_QUIZ'!L311,"")</f>
        <v>0</v>
      </c>
      <c r="M312" s="12">
        <f>IF(IF(SelectedScope="All India",TRUE,'RAW_QUIZ'!$B311=SelectedScope),'RAW_QUIZ'!M311,"")</f>
        <v>0</v>
      </c>
      <c r="N312" s="12">
        <f>IF(IF(SelectedScope="All India",TRUE,'RAW_QUIZ'!$B311=SelectedScope),'RAW_QUIZ'!N311,"")</f>
        <v>0</v>
      </c>
      <c r="O312" s="12">
        <f>IF(IF(SelectedScope="All India",TRUE,'RAW_QUIZ'!$B311=SelectedScope),'RAW_QUIZ'!O311,"")</f>
        <v>0</v>
      </c>
      <c r="P312" s="12">
        <f>IF(IF(SelectedScope="All India",TRUE,'RAW_QUIZ'!$B311=SelectedScope),'RAW_QUIZ'!P311,"")</f>
        <v>0</v>
      </c>
      <c r="Q312" s="12">
        <f>IF(IF(SelectedScope="All India",TRUE,'RAW_QUIZ'!$B311=SelectedScope),'RAW_QUIZ'!Q311,"")</f>
        <v>0</v>
      </c>
    </row>
    <row r="313" spans="1:17" ht="15" customHeight="1" x14ac:dyDescent="0.3">
      <c r="A313" s="9">
        <f>IF(IF(SelectedScope="All India",TRUE,'RAW_QUIZ'!$B312=SelectedScope),'RAW_QUIZ'!A312,"")</f>
        <v>309</v>
      </c>
      <c r="B313" s="9" t="str">
        <f>IF(IF(SelectedScope="All India",TRUE,'RAW_QUIZ'!$B312=SelectedScope),'RAW_QUIZ'!B312,"")</f>
        <v>Tamil Nadu</v>
      </c>
      <c r="C313" s="9" t="str">
        <f>IF(IF(SelectedScope="All India",TRUE,'RAW_QUIZ'!$B312=SelectedScope),'RAW_QUIZ'!C312,"")</f>
        <v>Civics</v>
      </c>
      <c r="D313" s="9" t="str">
        <f>IF(IF(SelectedScope="All India",TRUE,'RAW_QUIZ'!$B312=SelectedScope),'RAW_QUIZ'!D312,"")</f>
        <v>Class 9</v>
      </c>
      <c r="E313" s="9" t="str">
        <f>IF(IF(SelectedScope="All India",TRUE,'RAW_QUIZ'!$B312=SelectedScope),'RAW_QUIZ'!E312,"")</f>
        <v>Indian Constitution — Unit Quiz</v>
      </c>
      <c r="F313" s="9">
        <f>IF(IF(SelectedScope="All India",TRUE,'RAW_QUIZ'!$B312=SelectedScope),'RAW_QUIZ'!F312,"")</f>
        <v>0</v>
      </c>
      <c r="G313" s="9" t="str">
        <f>IF(IF(SelectedScope="All India",TRUE,'RAW_QUIZ'!$B312=SelectedScope),'RAW_QUIZ'!G312,"")</f>
        <v>Active</v>
      </c>
      <c r="H313" s="9">
        <f>IF(IF(SelectedScope="All India",TRUE,'RAW_QUIZ'!$B312=SelectedScope),'RAW_QUIZ'!H312,"")</f>
        <v>0</v>
      </c>
      <c r="I313" s="9">
        <f>IF(IF(SelectedScope="All India",TRUE,'RAW_QUIZ'!$B312=SelectedScope),'RAW_QUIZ'!I312,"")</f>
        <v>0</v>
      </c>
      <c r="J313" s="9">
        <f>IF(IF(SelectedScope="All India",TRUE,'RAW_QUIZ'!$B312=SelectedScope),'RAW_QUIZ'!J312,"")</f>
        <v>0</v>
      </c>
      <c r="K313" s="9">
        <f>IF(IF(SelectedScope="All India",TRUE,'RAW_QUIZ'!$B312=SelectedScope),'RAW_QUIZ'!K312,"")</f>
        <v>0</v>
      </c>
      <c r="L313" s="9">
        <f>IF(IF(SelectedScope="All India",TRUE,'RAW_QUIZ'!$B312=SelectedScope),'RAW_QUIZ'!L312,"")</f>
        <v>0</v>
      </c>
      <c r="M313" s="9">
        <f>IF(IF(SelectedScope="All India",TRUE,'RAW_QUIZ'!$B312=SelectedScope),'RAW_QUIZ'!M312,"")</f>
        <v>0</v>
      </c>
      <c r="N313" s="9">
        <f>IF(IF(SelectedScope="All India",TRUE,'RAW_QUIZ'!$B312=SelectedScope),'RAW_QUIZ'!N312,"")</f>
        <v>0</v>
      </c>
      <c r="O313" s="9">
        <f>IF(IF(SelectedScope="All India",TRUE,'RAW_QUIZ'!$B312=SelectedScope),'RAW_QUIZ'!O312,"")</f>
        <v>0</v>
      </c>
      <c r="P313" s="9">
        <f>IF(IF(SelectedScope="All India",TRUE,'RAW_QUIZ'!$B312=SelectedScope),'RAW_QUIZ'!P312,"")</f>
        <v>0</v>
      </c>
      <c r="Q313" s="9">
        <f>IF(IF(SelectedScope="All India",TRUE,'RAW_QUIZ'!$B312=SelectedScope),'RAW_QUIZ'!Q312,"")</f>
        <v>0</v>
      </c>
    </row>
    <row r="314" spans="1:17" ht="15" customHeight="1" x14ac:dyDescent="0.3">
      <c r="A314" s="12">
        <f>IF(IF(SelectedScope="All India",TRUE,'RAW_QUIZ'!$B313=SelectedScope),'RAW_QUIZ'!A313,"")</f>
        <v>310</v>
      </c>
      <c r="B314" s="12" t="str">
        <f>IF(IF(SelectedScope="All India",TRUE,'RAW_QUIZ'!$B313=SelectedScope),'RAW_QUIZ'!B313,"")</f>
        <v>Tamil Nadu</v>
      </c>
      <c r="C314" s="12" t="str">
        <f>IF(IF(SelectedScope="All India",TRUE,'RAW_QUIZ'!$B313=SelectedScope),'RAW_QUIZ'!C313,"")</f>
        <v>Mathematics</v>
      </c>
      <c r="D314" s="12" t="str">
        <f>IF(IF(SelectedScope="All India",TRUE,'RAW_QUIZ'!$B313=SelectedScope),'RAW_QUIZ'!D313,"")</f>
        <v>Class 10</v>
      </c>
      <c r="E314" s="12" t="str">
        <f>IF(IF(SelectedScope="All India",TRUE,'RAW_QUIZ'!$B313=SelectedScope),'RAW_QUIZ'!E313,"")</f>
        <v>Quadratic Equations — Unit Quiz</v>
      </c>
      <c r="F314" s="12">
        <f>IF(IF(SelectedScope="All India",TRUE,'RAW_QUIZ'!$B313=SelectedScope),'RAW_QUIZ'!F313,"")</f>
        <v>0</v>
      </c>
      <c r="G314" s="12" t="str">
        <f>IF(IF(SelectedScope="All India",TRUE,'RAW_QUIZ'!$B313=SelectedScope),'RAW_QUIZ'!G313,"")</f>
        <v>Active</v>
      </c>
      <c r="H314" s="12">
        <f>IF(IF(SelectedScope="All India",TRUE,'RAW_QUIZ'!$B313=SelectedScope),'RAW_QUIZ'!H313,"")</f>
        <v>0</v>
      </c>
      <c r="I314" s="12">
        <f>IF(IF(SelectedScope="All India",TRUE,'RAW_QUIZ'!$B313=SelectedScope),'RAW_QUIZ'!I313,"")</f>
        <v>0</v>
      </c>
      <c r="J314" s="12">
        <f>IF(IF(SelectedScope="All India",TRUE,'RAW_QUIZ'!$B313=SelectedScope),'RAW_QUIZ'!J313,"")</f>
        <v>0</v>
      </c>
      <c r="K314" s="12">
        <f>IF(IF(SelectedScope="All India",TRUE,'RAW_QUIZ'!$B313=SelectedScope),'RAW_QUIZ'!K313,"")</f>
        <v>0</v>
      </c>
      <c r="L314" s="12">
        <f>IF(IF(SelectedScope="All India",TRUE,'RAW_QUIZ'!$B313=SelectedScope),'RAW_QUIZ'!L313,"")</f>
        <v>0</v>
      </c>
      <c r="M314" s="12">
        <f>IF(IF(SelectedScope="All India",TRUE,'RAW_QUIZ'!$B313=SelectedScope),'RAW_QUIZ'!M313,"")</f>
        <v>0</v>
      </c>
      <c r="N314" s="12">
        <f>IF(IF(SelectedScope="All India",TRUE,'RAW_QUIZ'!$B313=SelectedScope),'RAW_QUIZ'!N313,"")</f>
        <v>0</v>
      </c>
      <c r="O314" s="12">
        <f>IF(IF(SelectedScope="All India",TRUE,'RAW_QUIZ'!$B313=SelectedScope),'RAW_QUIZ'!O313,"")</f>
        <v>0</v>
      </c>
      <c r="P314" s="12">
        <f>IF(IF(SelectedScope="All India",TRUE,'RAW_QUIZ'!$B313=SelectedScope),'RAW_QUIZ'!P313,"")</f>
        <v>0</v>
      </c>
      <c r="Q314" s="12">
        <f>IF(IF(SelectedScope="All India",TRUE,'RAW_QUIZ'!$B313=SelectedScope),'RAW_QUIZ'!Q313,"")</f>
        <v>0</v>
      </c>
    </row>
    <row r="315" spans="1:17" ht="15" customHeight="1" x14ac:dyDescent="0.3">
      <c r="A315" s="9">
        <f>IF(IF(SelectedScope="All India",TRUE,'RAW_QUIZ'!$B314=SelectedScope),'RAW_QUIZ'!A314,"")</f>
        <v>311</v>
      </c>
      <c r="B315" s="9" t="str">
        <f>IF(IF(SelectedScope="All India",TRUE,'RAW_QUIZ'!$B314=SelectedScope),'RAW_QUIZ'!B314,"")</f>
        <v>Telangana</v>
      </c>
      <c r="C315" s="9" t="str">
        <f>IF(IF(SelectedScope="All India",TRUE,'RAW_QUIZ'!$B314=SelectedScope),'RAW_QUIZ'!C314,"")</f>
        <v>Science</v>
      </c>
      <c r="D315" s="9" t="str">
        <f>IF(IF(SelectedScope="All India",TRUE,'RAW_QUIZ'!$B314=SelectedScope),'RAW_QUIZ'!D314,"")</f>
        <v>Class 8</v>
      </c>
      <c r="E315" s="9" t="str">
        <f>IF(IF(SelectedScope="All India",TRUE,'RAW_QUIZ'!$B314=SelectedScope),'RAW_QUIZ'!E314,"")</f>
        <v>Solar System — Unit Quiz</v>
      </c>
      <c r="F315" s="9">
        <f>IF(IF(SelectedScope="All India",TRUE,'RAW_QUIZ'!$B314=SelectedScope),'RAW_QUIZ'!F314,"")</f>
        <v>0</v>
      </c>
      <c r="G315" s="9" t="str">
        <f>IF(IF(SelectedScope="All India",TRUE,'RAW_QUIZ'!$B314=SelectedScope),'RAW_QUIZ'!G314,"")</f>
        <v>Active</v>
      </c>
      <c r="H315" s="9">
        <f>IF(IF(SelectedScope="All India",TRUE,'RAW_QUIZ'!$B314=SelectedScope),'RAW_QUIZ'!H314,"")</f>
        <v>0</v>
      </c>
      <c r="I315" s="9">
        <f>IF(IF(SelectedScope="All India",TRUE,'RAW_QUIZ'!$B314=SelectedScope),'RAW_QUIZ'!I314,"")</f>
        <v>0</v>
      </c>
      <c r="J315" s="9">
        <f>IF(IF(SelectedScope="All India",TRUE,'RAW_QUIZ'!$B314=SelectedScope),'RAW_QUIZ'!J314,"")</f>
        <v>0</v>
      </c>
      <c r="K315" s="9">
        <f>IF(IF(SelectedScope="All India",TRUE,'RAW_QUIZ'!$B314=SelectedScope),'RAW_QUIZ'!K314,"")</f>
        <v>0</v>
      </c>
      <c r="L315" s="9">
        <f>IF(IF(SelectedScope="All India",TRUE,'RAW_QUIZ'!$B314=SelectedScope),'RAW_QUIZ'!L314,"")</f>
        <v>0</v>
      </c>
      <c r="M315" s="9">
        <f>IF(IF(SelectedScope="All India",TRUE,'RAW_QUIZ'!$B314=SelectedScope),'RAW_QUIZ'!M314,"")</f>
        <v>0</v>
      </c>
      <c r="N315" s="9">
        <f>IF(IF(SelectedScope="All India",TRUE,'RAW_QUIZ'!$B314=SelectedScope),'RAW_QUIZ'!N314,"")</f>
        <v>0</v>
      </c>
      <c r="O315" s="9">
        <f>IF(IF(SelectedScope="All India",TRUE,'RAW_QUIZ'!$B314=SelectedScope),'RAW_QUIZ'!O314,"")</f>
        <v>0</v>
      </c>
      <c r="P315" s="9">
        <f>IF(IF(SelectedScope="All India",TRUE,'RAW_QUIZ'!$B314=SelectedScope),'RAW_QUIZ'!P314,"")</f>
        <v>0</v>
      </c>
      <c r="Q315" s="9">
        <f>IF(IF(SelectedScope="All India",TRUE,'RAW_QUIZ'!$B314=SelectedScope),'RAW_QUIZ'!Q314,"")</f>
        <v>0</v>
      </c>
    </row>
    <row r="316" spans="1:17" ht="15" customHeight="1" x14ac:dyDescent="0.3">
      <c r="A316" s="12">
        <f>IF(IF(SelectedScope="All India",TRUE,'RAW_QUIZ'!$B315=SelectedScope),'RAW_QUIZ'!A315,"")</f>
        <v>312</v>
      </c>
      <c r="B316" s="12" t="str">
        <f>IF(IF(SelectedScope="All India",TRUE,'RAW_QUIZ'!$B315=SelectedScope),'RAW_QUIZ'!B315,"")</f>
        <v>Telangana</v>
      </c>
      <c r="C316" s="12" t="str">
        <f>IF(IF(SelectedScope="All India",TRUE,'RAW_QUIZ'!$B315=SelectedScope),'RAW_QUIZ'!C315,"")</f>
        <v>Biology</v>
      </c>
      <c r="D316" s="12" t="str">
        <f>IF(IF(SelectedScope="All India",TRUE,'RAW_QUIZ'!$B315=SelectedScope),'RAW_QUIZ'!D315,"")</f>
        <v>Class 9</v>
      </c>
      <c r="E316" s="12" t="str">
        <f>IF(IF(SelectedScope="All India",TRUE,'RAW_QUIZ'!$B315=SelectedScope),'RAW_QUIZ'!E315,"")</f>
        <v>Cell Division — Unit Quiz</v>
      </c>
      <c r="F316" s="12">
        <f>IF(IF(SelectedScope="All India",TRUE,'RAW_QUIZ'!$B315=SelectedScope),'RAW_QUIZ'!F315,"")</f>
        <v>0</v>
      </c>
      <c r="G316" s="12" t="str">
        <f>IF(IF(SelectedScope="All India",TRUE,'RAW_QUIZ'!$B315=SelectedScope),'RAW_QUIZ'!G315,"")</f>
        <v>Active</v>
      </c>
      <c r="H316" s="12">
        <f>IF(IF(SelectedScope="All India",TRUE,'RAW_QUIZ'!$B315=SelectedScope),'RAW_QUIZ'!H315,"")</f>
        <v>0</v>
      </c>
      <c r="I316" s="12">
        <f>IF(IF(SelectedScope="All India",TRUE,'RAW_QUIZ'!$B315=SelectedScope),'RAW_QUIZ'!I315,"")</f>
        <v>0</v>
      </c>
      <c r="J316" s="12">
        <f>IF(IF(SelectedScope="All India",TRUE,'RAW_QUIZ'!$B315=SelectedScope),'RAW_QUIZ'!J315,"")</f>
        <v>0</v>
      </c>
      <c r="K316" s="12">
        <f>IF(IF(SelectedScope="All India",TRUE,'RAW_QUIZ'!$B315=SelectedScope),'RAW_QUIZ'!K315,"")</f>
        <v>0</v>
      </c>
      <c r="L316" s="12">
        <f>IF(IF(SelectedScope="All India",TRUE,'RAW_QUIZ'!$B315=SelectedScope),'RAW_QUIZ'!L315,"")</f>
        <v>0</v>
      </c>
      <c r="M316" s="12">
        <f>IF(IF(SelectedScope="All India",TRUE,'RAW_QUIZ'!$B315=SelectedScope),'RAW_QUIZ'!M315,"")</f>
        <v>0</v>
      </c>
      <c r="N316" s="12">
        <f>IF(IF(SelectedScope="All India",TRUE,'RAW_QUIZ'!$B315=SelectedScope),'RAW_QUIZ'!N315,"")</f>
        <v>0</v>
      </c>
      <c r="O316" s="12">
        <f>IF(IF(SelectedScope="All India",TRUE,'RAW_QUIZ'!$B315=SelectedScope),'RAW_QUIZ'!O315,"")</f>
        <v>0</v>
      </c>
      <c r="P316" s="12">
        <f>IF(IF(SelectedScope="All India",TRUE,'RAW_QUIZ'!$B315=SelectedScope),'RAW_QUIZ'!P315,"")</f>
        <v>0</v>
      </c>
      <c r="Q316" s="12">
        <f>IF(IF(SelectedScope="All India",TRUE,'RAW_QUIZ'!$B315=SelectedScope),'RAW_QUIZ'!Q315,"")</f>
        <v>0</v>
      </c>
    </row>
    <row r="317" spans="1:17" ht="15" customHeight="1" x14ac:dyDescent="0.3">
      <c r="A317" s="9">
        <f>IF(IF(SelectedScope="All India",TRUE,'RAW_QUIZ'!$B316=SelectedScope),'RAW_QUIZ'!A316,"")</f>
        <v>313</v>
      </c>
      <c r="B317" s="9" t="str">
        <f>IF(IF(SelectedScope="All India",TRUE,'RAW_QUIZ'!$B316=SelectedScope),'RAW_QUIZ'!B316,"")</f>
        <v>Telangana</v>
      </c>
      <c r="C317" s="9" t="str">
        <f>IF(IF(SelectedScope="All India",TRUE,'RAW_QUIZ'!$B316=SelectedScope),'RAW_QUIZ'!C316,"")</f>
        <v>Chemistry</v>
      </c>
      <c r="D317" s="9" t="str">
        <f>IF(IF(SelectedScope="All India",TRUE,'RAW_QUIZ'!$B316=SelectedScope),'RAW_QUIZ'!D316,"")</f>
        <v>Class 9</v>
      </c>
      <c r="E317" s="9" t="str">
        <f>IF(IF(SelectedScope="All India",TRUE,'RAW_QUIZ'!$B316=SelectedScope),'RAW_QUIZ'!E316,"")</f>
        <v>Atoms and Molecules — Unit Quiz</v>
      </c>
      <c r="F317" s="9">
        <f>IF(IF(SelectedScope="All India",TRUE,'RAW_QUIZ'!$B316=SelectedScope),'RAW_QUIZ'!F316,"")</f>
        <v>0</v>
      </c>
      <c r="G317" s="9" t="str">
        <f>IF(IF(SelectedScope="All India",TRUE,'RAW_QUIZ'!$B316=SelectedScope),'RAW_QUIZ'!G316,"")</f>
        <v>Active</v>
      </c>
      <c r="H317" s="9">
        <f>IF(IF(SelectedScope="All India",TRUE,'RAW_QUIZ'!$B316=SelectedScope),'RAW_QUIZ'!H316,"")</f>
        <v>0</v>
      </c>
      <c r="I317" s="9">
        <f>IF(IF(SelectedScope="All India",TRUE,'RAW_QUIZ'!$B316=SelectedScope),'RAW_QUIZ'!I316,"")</f>
        <v>0</v>
      </c>
      <c r="J317" s="9">
        <f>IF(IF(SelectedScope="All India",TRUE,'RAW_QUIZ'!$B316=SelectedScope),'RAW_QUIZ'!J316,"")</f>
        <v>0</v>
      </c>
      <c r="K317" s="9">
        <f>IF(IF(SelectedScope="All India",TRUE,'RAW_QUIZ'!$B316=SelectedScope),'RAW_QUIZ'!K316,"")</f>
        <v>0</v>
      </c>
      <c r="L317" s="9">
        <f>IF(IF(SelectedScope="All India",TRUE,'RAW_QUIZ'!$B316=SelectedScope),'RAW_QUIZ'!L316,"")</f>
        <v>0</v>
      </c>
      <c r="M317" s="9">
        <f>IF(IF(SelectedScope="All India",TRUE,'RAW_QUIZ'!$B316=SelectedScope),'RAW_QUIZ'!M316,"")</f>
        <v>0</v>
      </c>
      <c r="N317" s="9">
        <f>IF(IF(SelectedScope="All India",TRUE,'RAW_QUIZ'!$B316=SelectedScope),'RAW_QUIZ'!N316,"")</f>
        <v>0</v>
      </c>
      <c r="O317" s="9">
        <f>IF(IF(SelectedScope="All India",TRUE,'RAW_QUIZ'!$B316=SelectedScope),'RAW_QUIZ'!O316,"")</f>
        <v>0</v>
      </c>
      <c r="P317" s="9">
        <f>IF(IF(SelectedScope="All India",TRUE,'RAW_QUIZ'!$B316=SelectedScope),'RAW_QUIZ'!P316,"")</f>
        <v>0</v>
      </c>
      <c r="Q317" s="9">
        <f>IF(IF(SelectedScope="All India",TRUE,'RAW_QUIZ'!$B316=SelectedScope),'RAW_QUIZ'!Q316,"")</f>
        <v>0</v>
      </c>
    </row>
    <row r="318" spans="1:17" ht="15" customHeight="1" x14ac:dyDescent="0.3">
      <c r="A318" s="12">
        <f>IF(IF(SelectedScope="All India",TRUE,'RAW_QUIZ'!$B317=SelectedScope),'RAW_QUIZ'!A317,"")</f>
        <v>314</v>
      </c>
      <c r="B318" s="12" t="str">
        <f>IF(IF(SelectedScope="All India",TRUE,'RAW_QUIZ'!$B317=SelectedScope),'RAW_QUIZ'!B317,"")</f>
        <v>Telangana</v>
      </c>
      <c r="C318" s="12" t="str">
        <f>IF(IF(SelectedScope="All India",TRUE,'RAW_QUIZ'!$B317=SelectedScope),'RAW_QUIZ'!C317,"")</f>
        <v>Mathematics</v>
      </c>
      <c r="D318" s="12" t="str">
        <f>IF(IF(SelectedScope="All India",TRUE,'RAW_QUIZ'!$B317=SelectedScope),'RAW_QUIZ'!D317,"")</f>
        <v>Class 7</v>
      </c>
      <c r="E318" s="12" t="str">
        <f>IF(IF(SelectedScope="All India",TRUE,'RAW_QUIZ'!$B317=SelectedScope),'RAW_QUIZ'!E317,"")</f>
        <v>Fractions — Unit Quiz</v>
      </c>
      <c r="F318" s="12">
        <f>IF(IF(SelectedScope="All India",TRUE,'RAW_QUIZ'!$B317=SelectedScope),'RAW_QUIZ'!F317,"")</f>
        <v>0</v>
      </c>
      <c r="G318" s="12" t="str">
        <f>IF(IF(SelectedScope="All India",TRUE,'RAW_QUIZ'!$B317=SelectedScope),'RAW_QUIZ'!G317,"")</f>
        <v>Active</v>
      </c>
      <c r="H318" s="12">
        <f>IF(IF(SelectedScope="All India",TRUE,'RAW_QUIZ'!$B317=SelectedScope),'RAW_QUIZ'!H317,"")</f>
        <v>0</v>
      </c>
      <c r="I318" s="12">
        <f>IF(IF(SelectedScope="All India",TRUE,'RAW_QUIZ'!$B317=SelectedScope),'RAW_QUIZ'!I317,"")</f>
        <v>0</v>
      </c>
      <c r="J318" s="12">
        <f>IF(IF(SelectedScope="All India",TRUE,'RAW_QUIZ'!$B317=SelectedScope),'RAW_QUIZ'!J317,"")</f>
        <v>0</v>
      </c>
      <c r="K318" s="12">
        <f>IF(IF(SelectedScope="All India",TRUE,'RAW_QUIZ'!$B317=SelectedScope),'RAW_QUIZ'!K317,"")</f>
        <v>0</v>
      </c>
      <c r="L318" s="12">
        <f>IF(IF(SelectedScope="All India",TRUE,'RAW_QUIZ'!$B317=SelectedScope),'RAW_QUIZ'!L317,"")</f>
        <v>0</v>
      </c>
      <c r="M318" s="12">
        <f>IF(IF(SelectedScope="All India",TRUE,'RAW_QUIZ'!$B317=SelectedScope),'RAW_QUIZ'!M317,"")</f>
        <v>0</v>
      </c>
      <c r="N318" s="12">
        <f>IF(IF(SelectedScope="All India",TRUE,'RAW_QUIZ'!$B317=SelectedScope),'RAW_QUIZ'!N317,"")</f>
        <v>0</v>
      </c>
      <c r="O318" s="12">
        <f>IF(IF(SelectedScope="All India",TRUE,'RAW_QUIZ'!$B317=SelectedScope),'RAW_QUIZ'!O317,"")</f>
        <v>0</v>
      </c>
      <c r="P318" s="12">
        <f>IF(IF(SelectedScope="All India",TRUE,'RAW_QUIZ'!$B317=SelectedScope),'RAW_QUIZ'!P317,"")</f>
        <v>0</v>
      </c>
      <c r="Q318" s="12">
        <f>IF(IF(SelectedScope="All India",TRUE,'RAW_QUIZ'!$B317=SelectedScope),'RAW_QUIZ'!Q317,"")</f>
        <v>0</v>
      </c>
    </row>
    <row r="319" spans="1:17" ht="15" customHeight="1" x14ac:dyDescent="0.3">
      <c r="A319" s="9">
        <f>IF(IF(SelectedScope="All India",TRUE,'RAW_QUIZ'!$B318=SelectedScope),'RAW_QUIZ'!A318,"")</f>
        <v>315</v>
      </c>
      <c r="B319" s="9" t="str">
        <f>IF(IF(SelectedScope="All India",TRUE,'RAW_QUIZ'!$B318=SelectedScope),'RAW_QUIZ'!B318,"")</f>
        <v>Telangana</v>
      </c>
      <c r="C319" s="9" t="str">
        <f>IF(IF(SelectedScope="All India",TRUE,'RAW_QUIZ'!$B318=SelectedScope),'RAW_QUIZ'!C318,"")</f>
        <v>Mathematics</v>
      </c>
      <c r="D319" s="9" t="str">
        <f>IF(IF(SelectedScope="All India",TRUE,'RAW_QUIZ'!$B318=SelectedScope),'RAW_QUIZ'!D318,"")</f>
        <v>Class 10</v>
      </c>
      <c r="E319" s="9" t="str">
        <f>IF(IF(SelectedScope="All India",TRUE,'RAW_QUIZ'!$B318=SelectedScope),'RAW_QUIZ'!E318,"")</f>
        <v>Trigonometry — Unit Quiz</v>
      </c>
      <c r="F319" s="9">
        <f>IF(IF(SelectedScope="All India",TRUE,'RAW_QUIZ'!$B318=SelectedScope),'RAW_QUIZ'!F318,"")</f>
        <v>0</v>
      </c>
      <c r="G319" s="9" t="str">
        <f>IF(IF(SelectedScope="All India",TRUE,'RAW_QUIZ'!$B318=SelectedScope),'RAW_QUIZ'!G318,"")</f>
        <v>Active</v>
      </c>
      <c r="H319" s="9">
        <f>IF(IF(SelectedScope="All India",TRUE,'RAW_QUIZ'!$B318=SelectedScope),'RAW_QUIZ'!H318,"")</f>
        <v>0</v>
      </c>
      <c r="I319" s="9">
        <f>IF(IF(SelectedScope="All India",TRUE,'RAW_QUIZ'!$B318=SelectedScope),'RAW_QUIZ'!I318,"")</f>
        <v>0</v>
      </c>
      <c r="J319" s="9">
        <f>IF(IF(SelectedScope="All India",TRUE,'RAW_QUIZ'!$B318=SelectedScope),'RAW_QUIZ'!J318,"")</f>
        <v>0</v>
      </c>
      <c r="K319" s="9">
        <f>IF(IF(SelectedScope="All India",TRUE,'RAW_QUIZ'!$B318=SelectedScope),'RAW_QUIZ'!K318,"")</f>
        <v>0</v>
      </c>
      <c r="L319" s="9">
        <f>IF(IF(SelectedScope="All India",TRUE,'RAW_QUIZ'!$B318=SelectedScope),'RAW_QUIZ'!L318,"")</f>
        <v>0</v>
      </c>
      <c r="M319" s="9">
        <f>IF(IF(SelectedScope="All India",TRUE,'RAW_QUIZ'!$B318=SelectedScope),'RAW_QUIZ'!M318,"")</f>
        <v>0</v>
      </c>
      <c r="N319" s="9">
        <f>IF(IF(SelectedScope="All India",TRUE,'RAW_QUIZ'!$B318=SelectedScope),'RAW_QUIZ'!N318,"")</f>
        <v>0</v>
      </c>
      <c r="O319" s="9">
        <f>IF(IF(SelectedScope="All India",TRUE,'RAW_QUIZ'!$B318=SelectedScope),'RAW_QUIZ'!O318,"")</f>
        <v>0</v>
      </c>
      <c r="P319" s="9">
        <f>IF(IF(SelectedScope="All India",TRUE,'RAW_QUIZ'!$B318=SelectedScope),'RAW_QUIZ'!P318,"")</f>
        <v>0</v>
      </c>
      <c r="Q319" s="9">
        <f>IF(IF(SelectedScope="All India",TRUE,'RAW_QUIZ'!$B318=SelectedScope),'RAW_QUIZ'!Q318,"")</f>
        <v>0</v>
      </c>
    </row>
    <row r="320" spans="1:17" ht="15" customHeight="1" x14ac:dyDescent="0.3">
      <c r="A320" s="12">
        <f>IF(IF(SelectedScope="All India",TRUE,'RAW_QUIZ'!$B319=SelectedScope),'RAW_QUIZ'!A319,"")</f>
        <v>316</v>
      </c>
      <c r="B320" s="12" t="str">
        <f>IF(IF(SelectedScope="All India",TRUE,'RAW_QUIZ'!$B319=SelectedScope),'RAW_QUIZ'!B319,"")</f>
        <v>Telangana</v>
      </c>
      <c r="C320" s="12" t="str">
        <f>IF(IF(SelectedScope="All India",TRUE,'RAW_QUIZ'!$B319=SelectedScope),'RAW_QUIZ'!C319,"")</f>
        <v>History</v>
      </c>
      <c r="D320" s="12" t="str">
        <f>IF(IF(SelectedScope="All India",TRUE,'RAW_QUIZ'!$B319=SelectedScope),'RAW_QUIZ'!D319,"")</f>
        <v>Class 10</v>
      </c>
      <c r="E320" s="12" t="str">
        <f>IF(IF(SelectedScope="All India",TRUE,'RAW_QUIZ'!$B319=SelectedScope),'RAW_QUIZ'!E319,"")</f>
        <v>Mughal Empire — Unit Quiz</v>
      </c>
      <c r="F320" s="12">
        <f>IF(IF(SelectedScope="All India",TRUE,'RAW_QUIZ'!$B319=SelectedScope),'RAW_QUIZ'!F319,"")</f>
        <v>0</v>
      </c>
      <c r="G320" s="12" t="str">
        <f>IF(IF(SelectedScope="All India",TRUE,'RAW_QUIZ'!$B319=SelectedScope),'RAW_QUIZ'!G319,"")</f>
        <v>Active</v>
      </c>
      <c r="H320" s="12">
        <f>IF(IF(SelectedScope="All India",TRUE,'RAW_QUIZ'!$B319=SelectedScope),'RAW_QUIZ'!H319,"")</f>
        <v>0</v>
      </c>
      <c r="I320" s="12">
        <f>IF(IF(SelectedScope="All India",TRUE,'RAW_QUIZ'!$B319=SelectedScope),'RAW_QUIZ'!I319,"")</f>
        <v>0</v>
      </c>
      <c r="J320" s="12">
        <f>IF(IF(SelectedScope="All India",TRUE,'RAW_QUIZ'!$B319=SelectedScope),'RAW_QUIZ'!J319,"")</f>
        <v>0</v>
      </c>
      <c r="K320" s="12">
        <f>IF(IF(SelectedScope="All India",TRUE,'RAW_QUIZ'!$B319=SelectedScope),'RAW_QUIZ'!K319,"")</f>
        <v>0</v>
      </c>
      <c r="L320" s="12">
        <f>IF(IF(SelectedScope="All India",TRUE,'RAW_QUIZ'!$B319=SelectedScope),'RAW_QUIZ'!L319,"")</f>
        <v>0</v>
      </c>
      <c r="M320" s="12">
        <f>IF(IF(SelectedScope="All India",TRUE,'RAW_QUIZ'!$B319=SelectedScope),'RAW_QUIZ'!M319,"")</f>
        <v>0</v>
      </c>
      <c r="N320" s="12">
        <f>IF(IF(SelectedScope="All India",TRUE,'RAW_QUIZ'!$B319=SelectedScope),'RAW_QUIZ'!N319,"")</f>
        <v>0</v>
      </c>
      <c r="O320" s="12">
        <f>IF(IF(SelectedScope="All India",TRUE,'RAW_QUIZ'!$B319=SelectedScope),'RAW_QUIZ'!O319,"")</f>
        <v>0</v>
      </c>
      <c r="P320" s="12">
        <f>IF(IF(SelectedScope="All India",TRUE,'RAW_QUIZ'!$B319=SelectedScope),'RAW_QUIZ'!P319,"")</f>
        <v>0</v>
      </c>
      <c r="Q320" s="12">
        <f>IF(IF(SelectedScope="All India",TRUE,'RAW_QUIZ'!$B319=SelectedScope),'RAW_QUIZ'!Q319,"")</f>
        <v>0</v>
      </c>
    </row>
    <row r="321" spans="1:17" ht="15" customHeight="1" x14ac:dyDescent="0.3">
      <c r="A321" s="9">
        <f>IF(IF(SelectedScope="All India",TRUE,'RAW_QUIZ'!$B320=SelectedScope),'RAW_QUIZ'!A320,"")</f>
        <v>317</v>
      </c>
      <c r="B321" s="9" t="str">
        <f>IF(IF(SelectedScope="All India",TRUE,'RAW_QUIZ'!$B320=SelectedScope),'RAW_QUIZ'!B320,"")</f>
        <v>Telangana</v>
      </c>
      <c r="C321" s="9" t="str">
        <f>IF(IF(SelectedScope="All India",TRUE,'RAW_QUIZ'!$B320=SelectedScope),'RAW_QUIZ'!C320,"")</f>
        <v>Physics</v>
      </c>
      <c r="D321" s="9" t="str">
        <f>IF(IF(SelectedScope="All India",TRUE,'RAW_QUIZ'!$B320=SelectedScope),'RAW_QUIZ'!D320,"")</f>
        <v>Class 9</v>
      </c>
      <c r="E321" s="9" t="str">
        <f>IF(IF(SelectedScope="All India",TRUE,'RAW_QUIZ'!$B320=SelectedScope),'RAW_QUIZ'!E320,"")</f>
        <v>Laws of Motion — Unit Quiz</v>
      </c>
      <c r="F321" s="9">
        <f>IF(IF(SelectedScope="All India",TRUE,'RAW_QUIZ'!$B320=SelectedScope),'RAW_QUIZ'!F320,"")</f>
        <v>0</v>
      </c>
      <c r="G321" s="9" t="str">
        <f>IF(IF(SelectedScope="All India",TRUE,'RAW_QUIZ'!$B320=SelectedScope),'RAW_QUIZ'!G320,"")</f>
        <v>Active</v>
      </c>
      <c r="H321" s="9">
        <f>IF(IF(SelectedScope="All India",TRUE,'RAW_QUIZ'!$B320=SelectedScope),'RAW_QUIZ'!H320,"")</f>
        <v>0</v>
      </c>
      <c r="I321" s="9">
        <f>IF(IF(SelectedScope="All India",TRUE,'RAW_QUIZ'!$B320=SelectedScope),'RAW_QUIZ'!I320,"")</f>
        <v>0</v>
      </c>
      <c r="J321" s="9">
        <f>IF(IF(SelectedScope="All India",TRUE,'RAW_QUIZ'!$B320=SelectedScope),'RAW_QUIZ'!J320,"")</f>
        <v>0</v>
      </c>
      <c r="K321" s="9">
        <f>IF(IF(SelectedScope="All India",TRUE,'RAW_QUIZ'!$B320=SelectedScope),'RAW_QUIZ'!K320,"")</f>
        <v>0</v>
      </c>
      <c r="L321" s="9">
        <f>IF(IF(SelectedScope="All India",TRUE,'RAW_QUIZ'!$B320=SelectedScope),'RAW_QUIZ'!L320,"")</f>
        <v>0</v>
      </c>
      <c r="M321" s="9">
        <f>IF(IF(SelectedScope="All India",TRUE,'RAW_QUIZ'!$B320=SelectedScope),'RAW_QUIZ'!M320,"")</f>
        <v>0</v>
      </c>
      <c r="N321" s="9">
        <f>IF(IF(SelectedScope="All India",TRUE,'RAW_QUIZ'!$B320=SelectedScope),'RAW_QUIZ'!N320,"")</f>
        <v>0</v>
      </c>
      <c r="O321" s="9">
        <f>IF(IF(SelectedScope="All India",TRUE,'RAW_QUIZ'!$B320=SelectedScope),'RAW_QUIZ'!O320,"")</f>
        <v>0</v>
      </c>
      <c r="P321" s="9">
        <f>IF(IF(SelectedScope="All India",TRUE,'RAW_QUIZ'!$B320=SelectedScope),'RAW_QUIZ'!P320,"")</f>
        <v>0</v>
      </c>
      <c r="Q321" s="9">
        <f>IF(IF(SelectedScope="All India",TRUE,'RAW_QUIZ'!$B320=SelectedScope),'RAW_QUIZ'!Q320,"")</f>
        <v>0</v>
      </c>
    </row>
    <row r="322" spans="1:17" ht="15" customHeight="1" x14ac:dyDescent="0.3">
      <c r="A322" s="12">
        <f>IF(IF(SelectedScope="All India",TRUE,'RAW_QUIZ'!$B321=SelectedScope),'RAW_QUIZ'!A321,"")</f>
        <v>318</v>
      </c>
      <c r="B322" s="12" t="str">
        <f>IF(IF(SelectedScope="All India",TRUE,'RAW_QUIZ'!$B321=SelectedScope),'RAW_QUIZ'!B321,"")</f>
        <v>Telangana</v>
      </c>
      <c r="C322" s="12" t="str">
        <f>IF(IF(SelectedScope="All India",TRUE,'RAW_QUIZ'!$B321=SelectedScope),'RAW_QUIZ'!C321,"")</f>
        <v>Physics</v>
      </c>
      <c r="D322" s="12" t="str">
        <f>IF(IF(SelectedScope="All India",TRUE,'RAW_QUIZ'!$B321=SelectedScope),'RAW_QUIZ'!D321,"")</f>
        <v>Class 10</v>
      </c>
      <c r="E322" s="12" t="str">
        <f>IF(IF(SelectedScope="All India",TRUE,'RAW_QUIZ'!$B321=SelectedScope),'RAW_QUIZ'!E321,"")</f>
        <v>Electricity — Unit Quiz</v>
      </c>
      <c r="F322" s="12">
        <f>IF(IF(SelectedScope="All India",TRUE,'RAW_QUIZ'!$B321=SelectedScope),'RAW_QUIZ'!F321,"")</f>
        <v>0</v>
      </c>
      <c r="G322" s="12" t="str">
        <f>IF(IF(SelectedScope="All India",TRUE,'RAW_QUIZ'!$B321=SelectedScope),'RAW_QUIZ'!G321,"")</f>
        <v>Active</v>
      </c>
      <c r="H322" s="12">
        <f>IF(IF(SelectedScope="All India",TRUE,'RAW_QUIZ'!$B321=SelectedScope),'RAW_QUIZ'!H321,"")</f>
        <v>0</v>
      </c>
      <c r="I322" s="12">
        <f>IF(IF(SelectedScope="All India",TRUE,'RAW_QUIZ'!$B321=SelectedScope),'RAW_QUIZ'!I321,"")</f>
        <v>0</v>
      </c>
      <c r="J322" s="12">
        <f>IF(IF(SelectedScope="All India",TRUE,'RAW_QUIZ'!$B321=SelectedScope),'RAW_QUIZ'!J321,"")</f>
        <v>0</v>
      </c>
      <c r="K322" s="12">
        <f>IF(IF(SelectedScope="All India",TRUE,'RAW_QUIZ'!$B321=SelectedScope),'RAW_QUIZ'!K321,"")</f>
        <v>0</v>
      </c>
      <c r="L322" s="12">
        <f>IF(IF(SelectedScope="All India",TRUE,'RAW_QUIZ'!$B321=SelectedScope),'RAW_QUIZ'!L321,"")</f>
        <v>0</v>
      </c>
      <c r="M322" s="12">
        <f>IF(IF(SelectedScope="All India",TRUE,'RAW_QUIZ'!$B321=SelectedScope),'RAW_QUIZ'!M321,"")</f>
        <v>0</v>
      </c>
      <c r="N322" s="12">
        <f>IF(IF(SelectedScope="All India",TRUE,'RAW_QUIZ'!$B321=SelectedScope),'RAW_QUIZ'!N321,"")</f>
        <v>0</v>
      </c>
      <c r="O322" s="12">
        <f>IF(IF(SelectedScope="All India",TRUE,'RAW_QUIZ'!$B321=SelectedScope),'RAW_QUIZ'!O321,"")</f>
        <v>0</v>
      </c>
      <c r="P322" s="12">
        <f>IF(IF(SelectedScope="All India",TRUE,'RAW_QUIZ'!$B321=SelectedScope),'RAW_QUIZ'!P321,"")</f>
        <v>0</v>
      </c>
      <c r="Q322" s="12">
        <f>IF(IF(SelectedScope="All India",TRUE,'RAW_QUIZ'!$B321=SelectedScope),'RAW_QUIZ'!Q321,"")</f>
        <v>0</v>
      </c>
    </row>
    <row r="323" spans="1:17" ht="15" customHeight="1" x14ac:dyDescent="0.3">
      <c r="A323" s="9">
        <f>IF(IF(SelectedScope="All India",TRUE,'RAW_QUIZ'!$B322=SelectedScope),'RAW_QUIZ'!A322,"")</f>
        <v>319</v>
      </c>
      <c r="B323" s="9" t="str">
        <f>IF(IF(SelectedScope="All India",TRUE,'RAW_QUIZ'!$B322=SelectedScope),'RAW_QUIZ'!B322,"")</f>
        <v>Telangana</v>
      </c>
      <c r="C323" s="9" t="str">
        <f>IF(IF(SelectedScope="All India",TRUE,'RAW_QUIZ'!$B322=SelectedScope),'RAW_QUIZ'!C322,"")</f>
        <v>Civics</v>
      </c>
      <c r="D323" s="9" t="str">
        <f>IF(IF(SelectedScope="All India",TRUE,'RAW_QUIZ'!$B322=SelectedScope),'RAW_QUIZ'!D322,"")</f>
        <v>Class 9</v>
      </c>
      <c r="E323" s="9" t="str">
        <f>IF(IF(SelectedScope="All India",TRUE,'RAW_QUIZ'!$B322=SelectedScope),'RAW_QUIZ'!E322,"")</f>
        <v>Indian Constitution — Unit Quiz</v>
      </c>
      <c r="F323" s="9">
        <f>IF(IF(SelectedScope="All India",TRUE,'RAW_QUIZ'!$B322=SelectedScope),'RAW_QUIZ'!F322,"")</f>
        <v>0</v>
      </c>
      <c r="G323" s="9" t="str">
        <f>IF(IF(SelectedScope="All India",TRUE,'RAW_QUIZ'!$B322=SelectedScope),'RAW_QUIZ'!G322,"")</f>
        <v>Active</v>
      </c>
      <c r="H323" s="9">
        <f>IF(IF(SelectedScope="All India",TRUE,'RAW_QUIZ'!$B322=SelectedScope),'RAW_QUIZ'!H322,"")</f>
        <v>0</v>
      </c>
      <c r="I323" s="9">
        <f>IF(IF(SelectedScope="All India",TRUE,'RAW_QUIZ'!$B322=SelectedScope),'RAW_QUIZ'!I322,"")</f>
        <v>0</v>
      </c>
      <c r="J323" s="9">
        <f>IF(IF(SelectedScope="All India",TRUE,'RAW_QUIZ'!$B322=SelectedScope),'RAW_QUIZ'!J322,"")</f>
        <v>0</v>
      </c>
      <c r="K323" s="9">
        <f>IF(IF(SelectedScope="All India",TRUE,'RAW_QUIZ'!$B322=SelectedScope),'RAW_QUIZ'!K322,"")</f>
        <v>0</v>
      </c>
      <c r="L323" s="9">
        <f>IF(IF(SelectedScope="All India",TRUE,'RAW_QUIZ'!$B322=SelectedScope),'RAW_QUIZ'!L322,"")</f>
        <v>0</v>
      </c>
      <c r="M323" s="9">
        <f>IF(IF(SelectedScope="All India",TRUE,'RAW_QUIZ'!$B322=SelectedScope),'RAW_QUIZ'!M322,"")</f>
        <v>0</v>
      </c>
      <c r="N323" s="9">
        <f>IF(IF(SelectedScope="All India",TRUE,'RAW_QUIZ'!$B322=SelectedScope),'RAW_QUIZ'!N322,"")</f>
        <v>0</v>
      </c>
      <c r="O323" s="9">
        <f>IF(IF(SelectedScope="All India",TRUE,'RAW_QUIZ'!$B322=SelectedScope),'RAW_QUIZ'!O322,"")</f>
        <v>0</v>
      </c>
      <c r="P323" s="9">
        <f>IF(IF(SelectedScope="All India",TRUE,'RAW_QUIZ'!$B322=SelectedScope),'RAW_QUIZ'!P322,"")</f>
        <v>0</v>
      </c>
      <c r="Q323" s="9">
        <f>IF(IF(SelectedScope="All India",TRUE,'RAW_QUIZ'!$B322=SelectedScope),'RAW_QUIZ'!Q322,"")</f>
        <v>0</v>
      </c>
    </row>
    <row r="324" spans="1:17" ht="15" customHeight="1" x14ac:dyDescent="0.3">
      <c r="A324" s="12">
        <f>IF(IF(SelectedScope="All India",TRUE,'RAW_QUIZ'!$B323=SelectedScope),'RAW_QUIZ'!A323,"")</f>
        <v>320</v>
      </c>
      <c r="B324" s="12" t="str">
        <f>IF(IF(SelectedScope="All India",TRUE,'RAW_QUIZ'!$B323=SelectedScope),'RAW_QUIZ'!B323,"")</f>
        <v>Telangana</v>
      </c>
      <c r="C324" s="12" t="str">
        <f>IF(IF(SelectedScope="All India",TRUE,'RAW_QUIZ'!$B323=SelectedScope),'RAW_QUIZ'!C323,"")</f>
        <v>Mathematics</v>
      </c>
      <c r="D324" s="12" t="str">
        <f>IF(IF(SelectedScope="All India",TRUE,'RAW_QUIZ'!$B323=SelectedScope),'RAW_QUIZ'!D323,"")</f>
        <v>Class 10</v>
      </c>
      <c r="E324" s="12" t="str">
        <f>IF(IF(SelectedScope="All India",TRUE,'RAW_QUIZ'!$B323=SelectedScope),'RAW_QUIZ'!E323,"")</f>
        <v>Quadratic Equations — Unit Quiz</v>
      </c>
      <c r="F324" s="12">
        <f>IF(IF(SelectedScope="All India",TRUE,'RAW_QUIZ'!$B323=SelectedScope),'RAW_QUIZ'!F323,"")</f>
        <v>0</v>
      </c>
      <c r="G324" s="12" t="str">
        <f>IF(IF(SelectedScope="All India",TRUE,'RAW_QUIZ'!$B323=SelectedScope),'RAW_QUIZ'!G323,"")</f>
        <v>Active</v>
      </c>
      <c r="H324" s="12">
        <f>IF(IF(SelectedScope="All India",TRUE,'RAW_QUIZ'!$B323=SelectedScope),'RAW_QUIZ'!H323,"")</f>
        <v>0</v>
      </c>
      <c r="I324" s="12">
        <f>IF(IF(SelectedScope="All India",TRUE,'RAW_QUIZ'!$B323=SelectedScope),'RAW_QUIZ'!I323,"")</f>
        <v>0</v>
      </c>
      <c r="J324" s="12">
        <f>IF(IF(SelectedScope="All India",TRUE,'RAW_QUIZ'!$B323=SelectedScope),'RAW_QUIZ'!J323,"")</f>
        <v>0</v>
      </c>
      <c r="K324" s="12">
        <f>IF(IF(SelectedScope="All India",TRUE,'RAW_QUIZ'!$B323=SelectedScope),'RAW_QUIZ'!K323,"")</f>
        <v>0</v>
      </c>
      <c r="L324" s="12">
        <f>IF(IF(SelectedScope="All India",TRUE,'RAW_QUIZ'!$B323=SelectedScope),'RAW_QUIZ'!L323,"")</f>
        <v>0</v>
      </c>
      <c r="M324" s="12">
        <f>IF(IF(SelectedScope="All India",TRUE,'RAW_QUIZ'!$B323=SelectedScope),'RAW_QUIZ'!M323,"")</f>
        <v>0</v>
      </c>
      <c r="N324" s="12">
        <f>IF(IF(SelectedScope="All India",TRUE,'RAW_QUIZ'!$B323=SelectedScope),'RAW_QUIZ'!N323,"")</f>
        <v>0</v>
      </c>
      <c r="O324" s="12">
        <f>IF(IF(SelectedScope="All India",TRUE,'RAW_QUIZ'!$B323=SelectedScope),'RAW_QUIZ'!O323,"")</f>
        <v>0</v>
      </c>
      <c r="P324" s="12">
        <f>IF(IF(SelectedScope="All India",TRUE,'RAW_QUIZ'!$B323=SelectedScope),'RAW_QUIZ'!P323,"")</f>
        <v>0</v>
      </c>
      <c r="Q324" s="12">
        <f>IF(IF(SelectedScope="All India",TRUE,'RAW_QUIZ'!$B323=SelectedScope),'RAW_QUIZ'!Q323,"")</f>
        <v>0</v>
      </c>
    </row>
    <row r="325" spans="1:17" ht="15" customHeight="1" x14ac:dyDescent="0.3">
      <c r="A325" s="9">
        <f>IF(IF(SelectedScope="All India",TRUE,'RAW_QUIZ'!$B324=SelectedScope),'RAW_QUIZ'!A324,"")</f>
        <v>321</v>
      </c>
      <c r="B325" s="9" t="str">
        <f>IF(IF(SelectedScope="All India",TRUE,'RAW_QUIZ'!$B324=SelectedScope),'RAW_QUIZ'!B324,"")</f>
        <v>Tripura</v>
      </c>
      <c r="C325" s="9" t="str">
        <f>IF(IF(SelectedScope="All India",TRUE,'RAW_QUIZ'!$B324=SelectedScope),'RAW_QUIZ'!C324,"")</f>
        <v>Science</v>
      </c>
      <c r="D325" s="9" t="str">
        <f>IF(IF(SelectedScope="All India",TRUE,'RAW_QUIZ'!$B324=SelectedScope),'RAW_QUIZ'!D324,"")</f>
        <v>Class 8</v>
      </c>
      <c r="E325" s="9" t="str">
        <f>IF(IF(SelectedScope="All India",TRUE,'RAW_QUIZ'!$B324=SelectedScope),'RAW_QUIZ'!E324,"")</f>
        <v>Solar System — Unit Quiz</v>
      </c>
      <c r="F325" s="9">
        <f>IF(IF(SelectedScope="All India",TRUE,'RAW_QUIZ'!$B324=SelectedScope),'RAW_QUIZ'!F324,"")</f>
        <v>0</v>
      </c>
      <c r="G325" s="9" t="str">
        <f>IF(IF(SelectedScope="All India",TRUE,'RAW_QUIZ'!$B324=SelectedScope),'RAW_QUIZ'!G324,"")</f>
        <v>Active</v>
      </c>
      <c r="H325" s="9">
        <f>IF(IF(SelectedScope="All India",TRUE,'RAW_QUIZ'!$B324=SelectedScope),'RAW_QUIZ'!H324,"")</f>
        <v>0</v>
      </c>
      <c r="I325" s="9">
        <f>IF(IF(SelectedScope="All India",TRUE,'RAW_QUIZ'!$B324=SelectedScope),'RAW_QUIZ'!I324,"")</f>
        <v>0</v>
      </c>
      <c r="J325" s="9">
        <f>IF(IF(SelectedScope="All India",TRUE,'RAW_QUIZ'!$B324=SelectedScope),'RAW_QUIZ'!J324,"")</f>
        <v>0</v>
      </c>
      <c r="K325" s="9">
        <f>IF(IF(SelectedScope="All India",TRUE,'RAW_QUIZ'!$B324=SelectedScope),'RAW_QUIZ'!K324,"")</f>
        <v>0</v>
      </c>
      <c r="L325" s="9">
        <f>IF(IF(SelectedScope="All India",TRUE,'RAW_QUIZ'!$B324=SelectedScope),'RAW_QUIZ'!L324,"")</f>
        <v>0</v>
      </c>
      <c r="M325" s="9">
        <f>IF(IF(SelectedScope="All India",TRUE,'RAW_QUIZ'!$B324=SelectedScope),'RAW_QUIZ'!M324,"")</f>
        <v>0</v>
      </c>
      <c r="N325" s="9">
        <f>IF(IF(SelectedScope="All India",TRUE,'RAW_QUIZ'!$B324=SelectedScope),'RAW_QUIZ'!N324,"")</f>
        <v>0</v>
      </c>
      <c r="O325" s="9">
        <f>IF(IF(SelectedScope="All India",TRUE,'RAW_QUIZ'!$B324=SelectedScope),'RAW_QUIZ'!O324,"")</f>
        <v>0</v>
      </c>
      <c r="P325" s="9">
        <f>IF(IF(SelectedScope="All India",TRUE,'RAW_QUIZ'!$B324=SelectedScope),'RAW_QUIZ'!P324,"")</f>
        <v>0</v>
      </c>
      <c r="Q325" s="9">
        <f>IF(IF(SelectedScope="All India",TRUE,'RAW_QUIZ'!$B324=SelectedScope),'RAW_QUIZ'!Q324,"")</f>
        <v>0</v>
      </c>
    </row>
    <row r="326" spans="1:17" ht="15" customHeight="1" x14ac:dyDescent="0.3">
      <c r="A326" s="12">
        <f>IF(IF(SelectedScope="All India",TRUE,'RAW_QUIZ'!$B325=SelectedScope),'RAW_QUIZ'!A325,"")</f>
        <v>322</v>
      </c>
      <c r="B326" s="12" t="str">
        <f>IF(IF(SelectedScope="All India",TRUE,'RAW_QUIZ'!$B325=SelectedScope),'RAW_QUIZ'!B325,"")</f>
        <v>Tripura</v>
      </c>
      <c r="C326" s="12" t="str">
        <f>IF(IF(SelectedScope="All India",TRUE,'RAW_QUIZ'!$B325=SelectedScope),'RAW_QUIZ'!C325,"")</f>
        <v>Biology</v>
      </c>
      <c r="D326" s="12" t="str">
        <f>IF(IF(SelectedScope="All India",TRUE,'RAW_QUIZ'!$B325=SelectedScope),'RAW_QUIZ'!D325,"")</f>
        <v>Class 9</v>
      </c>
      <c r="E326" s="12" t="str">
        <f>IF(IF(SelectedScope="All India",TRUE,'RAW_QUIZ'!$B325=SelectedScope),'RAW_QUIZ'!E325,"")</f>
        <v>Cell Division — Unit Quiz</v>
      </c>
      <c r="F326" s="12">
        <f>IF(IF(SelectedScope="All India",TRUE,'RAW_QUIZ'!$B325=SelectedScope),'RAW_QUIZ'!F325,"")</f>
        <v>0</v>
      </c>
      <c r="G326" s="12" t="str">
        <f>IF(IF(SelectedScope="All India",TRUE,'RAW_QUIZ'!$B325=SelectedScope),'RAW_QUIZ'!G325,"")</f>
        <v>Active</v>
      </c>
      <c r="H326" s="12">
        <f>IF(IF(SelectedScope="All India",TRUE,'RAW_QUIZ'!$B325=SelectedScope),'RAW_QUIZ'!H325,"")</f>
        <v>0</v>
      </c>
      <c r="I326" s="12">
        <f>IF(IF(SelectedScope="All India",TRUE,'RAW_QUIZ'!$B325=SelectedScope),'RAW_QUIZ'!I325,"")</f>
        <v>0</v>
      </c>
      <c r="J326" s="12">
        <f>IF(IF(SelectedScope="All India",TRUE,'RAW_QUIZ'!$B325=SelectedScope),'RAW_QUIZ'!J325,"")</f>
        <v>0</v>
      </c>
      <c r="K326" s="12">
        <f>IF(IF(SelectedScope="All India",TRUE,'RAW_QUIZ'!$B325=SelectedScope),'RAW_QUIZ'!K325,"")</f>
        <v>0</v>
      </c>
      <c r="L326" s="12">
        <f>IF(IF(SelectedScope="All India",TRUE,'RAW_QUIZ'!$B325=SelectedScope),'RAW_QUIZ'!L325,"")</f>
        <v>0</v>
      </c>
      <c r="M326" s="12">
        <f>IF(IF(SelectedScope="All India",TRUE,'RAW_QUIZ'!$B325=SelectedScope),'RAW_QUIZ'!M325,"")</f>
        <v>0</v>
      </c>
      <c r="N326" s="12">
        <f>IF(IF(SelectedScope="All India",TRUE,'RAW_QUIZ'!$B325=SelectedScope),'RAW_QUIZ'!N325,"")</f>
        <v>0</v>
      </c>
      <c r="O326" s="12">
        <f>IF(IF(SelectedScope="All India",TRUE,'RAW_QUIZ'!$B325=SelectedScope),'RAW_QUIZ'!O325,"")</f>
        <v>0</v>
      </c>
      <c r="P326" s="12">
        <f>IF(IF(SelectedScope="All India",TRUE,'RAW_QUIZ'!$B325=SelectedScope),'RAW_QUIZ'!P325,"")</f>
        <v>0</v>
      </c>
      <c r="Q326" s="12">
        <f>IF(IF(SelectedScope="All India",TRUE,'RAW_QUIZ'!$B325=SelectedScope),'RAW_QUIZ'!Q325,"")</f>
        <v>0</v>
      </c>
    </row>
    <row r="327" spans="1:17" ht="15" customHeight="1" x14ac:dyDescent="0.3">
      <c r="A327" s="9">
        <f>IF(IF(SelectedScope="All India",TRUE,'RAW_QUIZ'!$B326=SelectedScope),'RAW_QUIZ'!A326,"")</f>
        <v>323</v>
      </c>
      <c r="B327" s="9" t="str">
        <f>IF(IF(SelectedScope="All India",TRUE,'RAW_QUIZ'!$B326=SelectedScope),'RAW_QUIZ'!B326,"")</f>
        <v>Tripura</v>
      </c>
      <c r="C327" s="9" t="str">
        <f>IF(IF(SelectedScope="All India",TRUE,'RAW_QUIZ'!$B326=SelectedScope),'RAW_QUIZ'!C326,"")</f>
        <v>Chemistry</v>
      </c>
      <c r="D327" s="9" t="str">
        <f>IF(IF(SelectedScope="All India",TRUE,'RAW_QUIZ'!$B326=SelectedScope),'RAW_QUIZ'!D326,"")</f>
        <v>Class 9</v>
      </c>
      <c r="E327" s="9" t="str">
        <f>IF(IF(SelectedScope="All India",TRUE,'RAW_QUIZ'!$B326=SelectedScope),'RAW_QUIZ'!E326,"")</f>
        <v>Atoms and Molecules — Unit Quiz</v>
      </c>
      <c r="F327" s="9">
        <f>IF(IF(SelectedScope="All India",TRUE,'RAW_QUIZ'!$B326=SelectedScope),'RAW_QUIZ'!F326,"")</f>
        <v>0</v>
      </c>
      <c r="G327" s="9" t="str">
        <f>IF(IF(SelectedScope="All India",TRUE,'RAW_QUIZ'!$B326=SelectedScope),'RAW_QUIZ'!G326,"")</f>
        <v>Active</v>
      </c>
      <c r="H327" s="9">
        <f>IF(IF(SelectedScope="All India",TRUE,'RAW_QUIZ'!$B326=SelectedScope),'RAW_QUIZ'!H326,"")</f>
        <v>0</v>
      </c>
      <c r="I327" s="9">
        <f>IF(IF(SelectedScope="All India",TRUE,'RAW_QUIZ'!$B326=SelectedScope),'RAW_QUIZ'!I326,"")</f>
        <v>0</v>
      </c>
      <c r="J327" s="9">
        <f>IF(IF(SelectedScope="All India",TRUE,'RAW_QUIZ'!$B326=SelectedScope),'RAW_QUIZ'!J326,"")</f>
        <v>0</v>
      </c>
      <c r="K327" s="9">
        <f>IF(IF(SelectedScope="All India",TRUE,'RAW_QUIZ'!$B326=SelectedScope),'RAW_QUIZ'!K326,"")</f>
        <v>0</v>
      </c>
      <c r="L327" s="9">
        <f>IF(IF(SelectedScope="All India",TRUE,'RAW_QUIZ'!$B326=SelectedScope),'RAW_QUIZ'!L326,"")</f>
        <v>0</v>
      </c>
      <c r="M327" s="9">
        <f>IF(IF(SelectedScope="All India",TRUE,'RAW_QUIZ'!$B326=SelectedScope),'RAW_QUIZ'!M326,"")</f>
        <v>0</v>
      </c>
      <c r="N327" s="9">
        <f>IF(IF(SelectedScope="All India",TRUE,'RAW_QUIZ'!$B326=SelectedScope),'RAW_QUIZ'!N326,"")</f>
        <v>0</v>
      </c>
      <c r="O327" s="9">
        <f>IF(IF(SelectedScope="All India",TRUE,'RAW_QUIZ'!$B326=SelectedScope),'RAW_QUIZ'!O326,"")</f>
        <v>0</v>
      </c>
      <c r="P327" s="9">
        <f>IF(IF(SelectedScope="All India",TRUE,'RAW_QUIZ'!$B326=SelectedScope),'RAW_QUIZ'!P326,"")</f>
        <v>0</v>
      </c>
      <c r="Q327" s="9">
        <f>IF(IF(SelectedScope="All India",TRUE,'RAW_QUIZ'!$B326=SelectedScope),'RAW_QUIZ'!Q326,"")</f>
        <v>0</v>
      </c>
    </row>
    <row r="328" spans="1:17" ht="15" customHeight="1" x14ac:dyDescent="0.3">
      <c r="A328" s="12">
        <f>IF(IF(SelectedScope="All India",TRUE,'RAW_QUIZ'!$B327=SelectedScope),'RAW_QUIZ'!A327,"")</f>
        <v>324</v>
      </c>
      <c r="B328" s="12" t="str">
        <f>IF(IF(SelectedScope="All India",TRUE,'RAW_QUIZ'!$B327=SelectedScope),'RAW_QUIZ'!B327,"")</f>
        <v>Tripura</v>
      </c>
      <c r="C328" s="12" t="str">
        <f>IF(IF(SelectedScope="All India",TRUE,'RAW_QUIZ'!$B327=SelectedScope),'RAW_QUIZ'!C327,"")</f>
        <v>Mathematics</v>
      </c>
      <c r="D328" s="12" t="str">
        <f>IF(IF(SelectedScope="All India",TRUE,'RAW_QUIZ'!$B327=SelectedScope),'RAW_QUIZ'!D327,"")</f>
        <v>Class 7</v>
      </c>
      <c r="E328" s="12" t="str">
        <f>IF(IF(SelectedScope="All India",TRUE,'RAW_QUIZ'!$B327=SelectedScope),'RAW_QUIZ'!E327,"")</f>
        <v>Fractions — Unit Quiz</v>
      </c>
      <c r="F328" s="12">
        <f>IF(IF(SelectedScope="All India",TRUE,'RAW_QUIZ'!$B327=SelectedScope),'RAW_QUIZ'!F327,"")</f>
        <v>0</v>
      </c>
      <c r="G328" s="12" t="str">
        <f>IF(IF(SelectedScope="All India",TRUE,'RAW_QUIZ'!$B327=SelectedScope),'RAW_QUIZ'!G327,"")</f>
        <v>Active</v>
      </c>
      <c r="H328" s="12">
        <f>IF(IF(SelectedScope="All India",TRUE,'RAW_QUIZ'!$B327=SelectedScope),'RAW_QUIZ'!H327,"")</f>
        <v>0</v>
      </c>
      <c r="I328" s="12">
        <f>IF(IF(SelectedScope="All India",TRUE,'RAW_QUIZ'!$B327=SelectedScope),'RAW_QUIZ'!I327,"")</f>
        <v>0</v>
      </c>
      <c r="J328" s="12">
        <f>IF(IF(SelectedScope="All India",TRUE,'RAW_QUIZ'!$B327=SelectedScope),'RAW_QUIZ'!J327,"")</f>
        <v>0</v>
      </c>
      <c r="K328" s="12">
        <f>IF(IF(SelectedScope="All India",TRUE,'RAW_QUIZ'!$B327=SelectedScope),'RAW_QUIZ'!K327,"")</f>
        <v>0</v>
      </c>
      <c r="L328" s="12">
        <f>IF(IF(SelectedScope="All India",TRUE,'RAW_QUIZ'!$B327=SelectedScope),'RAW_QUIZ'!L327,"")</f>
        <v>0</v>
      </c>
      <c r="M328" s="12">
        <f>IF(IF(SelectedScope="All India",TRUE,'RAW_QUIZ'!$B327=SelectedScope),'RAW_QUIZ'!M327,"")</f>
        <v>0</v>
      </c>
      <c r="N328" s="12">
        <f>IF(IF(SelectedScope="All India",TRUE,'RAW_QUIZ'!$B327=SelectedScope),'RAW_QUIZ'!N327,"")</f>
        <v>0</v>
      </c>
      <c r="O328" s="12">
        <f>IF(IF(SelectedScope="All India",TRUE,'RAW_QUIZ'!$B327=SelectedScope),'RAW_QUIZ'!O327,"")</f>
        <v>0</v>
      </c>
      <c r="P328" s="12">
        <f>IF(IF(SelectedScope="All India",TRUE,'RAW_QUIZ'!$B327=SelectedScope),'RAW_QUIZ'!P327,"")</f>
        <v>0</v>
      </c>
      <c r="Q328" s="12">
        <f>IF(IF(SelectedScope="All India",TRUE,'RAW_QUIZ'!$B327=SelectedScope),'RAW_QUIZ'!Q327,"")</f>
        <v>0</v>
      </c>
    </row>
    <row r="329" spans="1:17" ht="15" customHeight="1" x14ac:dyDescent="0.3">
      <c r="A329" s="9">
        <f>IF(IF(SelectedScope="All India",TRUE,'RAW_QUIZ'!$B328=SelectedScope),'RAW_QUIZ'!A328,"")</f>
        <v>325</v>
      </c>
      <c r="B329" s="9" t="str">
        <f>IF(IF(SelectedScope="All India",TRUE,'RAW_QUIZ'!$B328=SelectedScope),'RAW_QUIZ'!B328,"")</f>
        <v>Tripura</v>
      </c>
      <c r="C329" s="9" t="str">
        <f>IF(IF(SelectedScope="All India",TRUE,'RAW_QUIZ'!$B328=SelectedScope),'RAW_QUIZ'!C328,"")</f>
        <v>Mathematics</v>
      </c>
      <c r="D329" s="9" t="str">
        <f>IF(IF(SelectedScope="All India",TRUE,'RAW_QUIZ'!$B328=SelectedScope),'RAW_QUIZ'!D328,"")</f>
        <v>Class 10</v>
      </c>
      <c r="E329" s="9" t="str">
        <f>IF(IF(SelectedScope="All India",TRUE,'RAW_QUIZ'!$B328=SelectedScope),'RAW_QUIZ'!E328,"")</f>
        <v>Trigonometry — Unit Quiz</v>
      </c>
      <c r="F329" s="9">
        <f>IF(IF(SelectedScope="All India",TRUE,'RAW_QUIZ'!$B328=SelectedScope),'RAW_QUIZ'!F328,"")</f>
        <v>0</v>
      </c>
      <c r="G329" s="9" t="str">
        <f>IF(IF(SelectedScope="All India",TRUE,'RAW_QUIZ'!$B328=SelectedScope),'RAW_QUIZ'!G328,"")</f>
        <v>Active</v>
      </c>
      <c r="H329" s="9">
        <f>IF(IF(SelectedScope="All India",TRUE,'RAW_QUIZ'!$B328=SelectedScope),'RAW_QUIZ'!H328,"")</f>
        <v>0</v>
      </c>
      <c r="I329" s="9">
        <f>IF(IF(SelectedScope="All India",TRUE,'RAW_QUIZ'!$B328=SelectedScope),'RAW_QUIZ'!I328,"")</f>
        <v>0</v>
      </c>
      <c r="J329" s="9">
        <f>IF(IF(SelectedScope="All India",TRUE,'RAW_QUIZ'!$B328=SelectedScope),'RAW_QUIZ'!J328,"")</f>
        <v>0</v>
      </c>
      <c r="K329" s="9">
        <f>IF(IF(SelectedScope="All India",TRUE,'RAW_QUIZ'!$B328=SelectedScope),'RAW_QUIZ'!K328,"")</f>
        <v>0</v>
      </c>
      <c r="L329" s="9">
        <f>IF(IF(SelectedScope="All India",TRUE,'RAW_QUIZ'!$B328=SelectedScope),'RAW_QUIZ'!L328,"")</f>
        <v>0</v>
      </c>
      <c r="M329" s="9">
        <f>IF(IF(SelectedScope="All India",TRUE,'RAW_QUIZ'!$B328=SelectedScope),'RAW_QUIZ'!M328,"")</f>
        <v>0</v>
      </c>
      <c r="N329" s="9">
        <f>IF(IF(SelectedScope="All India",TRUE,'RAW_QUIZ'!$B328=SelectedScope),'RAW_QUIZ'!N328,"")</f>
        <v>0</v>
      </c>
      <c r="O329" s="9">
        <f>IF(IF(SelectedScope="All India",TRUE,'RAW_QUIZ'!$B328=SelectedScope),'RAW_QUIZ'!O328,"")</f>
        <v>0</v>
      </c>
      <c r="P329" s="9">
        <f>IF(IF(SelectedScope="All India",TRUE,'RAW_QUIZ'!$B328=SelectedScope),'RAW_QUIZ'!P328,"")</f>
        <v>0</v>
      </c>
      <c r="Q329" s="9">
        <f>IF(IF(SelectedScope="All India",TRUE,'RAW_QUIZ'!$B328=SelectedScope),'RAW_QUIZ'!Q328,"")</f>
        <v>0</v>
      </c>
    </row>
    <row r="330" spans="1:17" ht="15" customHeight="1" x14ac:dyDescent="0.3">
      <c r="A330" s="12">
        <f>IF(IF(SelectedScope="All India",TRUE,'RAW_QUIZ'!$B329=SelectedScope),'RAW_QUIZ'!A329,"")</f>
        <v>326</v>
      </c>
      <c r="B330" s="12" t="str">
        <f>IF(IF(SelectedScope="All India",TRUE,'RAW_QUIZ'!$B329=SelectedScope),'RAW_QUIZ'!B329,"")</f>
        <v>Tripura</v>
      </c>
      <c r="C330" s="12" t="str">
        <f>IF(IF(SelectedScope="All India",TRUE,'RAW_QUIZ'!$B329=SelectedScope),'RAW_QUIZ'!C329,"")</f>
        <v>History</v>
      </c>
      <c r="D330" s="12" t="str">
        <f>IF(IF(SelectedScope="All India",TRUE,'RAW_QUIZ'!$B329=SelectedScope),'RAW_QUIZ'!D329,"")</f>
        <v>Class 10</v>
      </c>
      <c r="E330" s="12" t="str">
        <f>IF(IF(SelectedScope="All India",TRUE,'RAW_QUIZ'!$B329=SelectedScope),'RAW_QUIZ'!E329,"")</f>
        <v>Mughal Empire — Unit Quiz</v>
      </c>
      <c r="F330" s="12">
        <f>IF(IF(SelectedScope="All India",TRUE,'RAW_QUIZ'!$B329=SelectedScope),'RAW_QUIZ'!F329,"")</f>
        <v>0</v>
      </c>
      <c r="G330" s="12" t="str">
        <f>IF(IF(SelectedScope="All India",TRUE,'RAW_QUIZ'!$B329=SelectedScope),'RAW_QUIZ'!G329,"")</f>
        <v>Active</v>
      </c>
      <c r="H330" s="12">
        <f>IF(IF(SelectedScope="All India",TRUE,'RAW_QUIZ'!$B329=SelectedScope),'RAW_QUIZ'!H329,"")</f>
        <v>0</v>
      </c>
      <c r="I330" s="12">
        <f>IF(IF(SelectedScope="All India",TRUE,'RAW_QUIZ'!$B329=SelectedScope),'RAW_QUIZ'!I329,"")</f>
        <v>0</v>
      </c>
      <c r="J330" s="12">
        <f>IF(IF(SelectedScope="All India",TRUE,'RAW_QUIZ'!$B329=SelectedScope),'RAW_QUIZ'!J329,"")</f>
        <v>0</v>
      </c>
      <c r="K330" s="12">
        <f>IF(IF(SelectedScope="All India",TRUE,'RAW_QUIZ'!$B329=SelectedScope),'RAW_QUIZ'!K329,"")</f>
        <v>0</v>
      </c>
      <c r="L330" s="12">
        <f>IF(IF(SelectedScope="All India",TRUE,'RAW_QUIZ'!$B329=SelectedScope),'RAW_QUIZ'!L329,"")</f>
        <v>0</v>
      </c>
      <c r="M330" s="12">
        <f>IF(IF(SelectedScope="All India",TRUE,'RAW_QUIZ'!$B329=SelectedScope),'RAW_QUIZ'!M329,"")</f>
        <v>0</v>
      </c>
      <c r="N330" s="12">
        <f>IF(IF(SelectedScope="All India",TRUE,'RAW_QUIZ'!$B329=SelectedScope),'RAW_QUIZ'!N329,"")</f>
        <v>0</v>
      </c>
      <c r="O330" s="12">
        <f>IF(IF(SelectedScope="All India",TRUE,'RAW_QUIZ'!$B329=SelectedScope),'RAW_QUIZ'!O329,"")</f>
        <v>0</v>
      </c>
      <c r="P330" s="12">
        <f>IF(IF(SelectedScope="All India",TRUE,'RAW_QUIZ'!$B329=SelectedScope),'RAW_QUIZ'!P329,"")</f>
        <v>0</v>
      </c>
      <c r="Q330" s="12">
        <f>IF(IF(SelectedScope="All India",TRUE,'RAW_QUIZ'!$B329=SelectedScope),'RAW_QUIZ'!Q329,"")</f>
        <v>0</v>
      </c>
    </row>
    <row r="331" spans="1:17" ht="15" customHeight="1" x14ac:dyDescent="0.3">
      <c r="A331" s="9">
        <f>IF(IF(SelectedScope="All India",TRUE,'RAW_QUIZ'!$B330=SelectedScope),'RAW_QUIZ'!A330,"")</f>
        <v>327</v>
      </c>
      <c r="B331" s="9" t="str">
        <f>IF(IF(SelectedScope="All India",TRUE,'RAW_QUIZ'!$B330=SelectedScope),'RAW_QUIZ'!B330,"")</f>
        <v>Tripura</v>
      </c>
      <c r="C331" s="9" t="str">
        <f>IF(IF(SelectedScope="All India",TRUE,'RAW_QUIZ'!$B330=SelectedScope),'RAW_QUIZ'!C330,"")</f>
        <v>Physics</v>
      </c>
      <c r="D331" s="9" t="str">
        <f>IF(IF(SelectedScope="All India",TRUE,'RAW_QUIZ'!$B330=SelectedScope),'RAW_QUIZ'!D330,"")</f>
        <v>Class 9</v>
      </c>
      <c r="E331" s="9" t="str">
        <f>IF(IF(SelectedScope="All India",TRUE,'RAW_QUIZ'!$B330=SelectedScope),'RAW_QUIZ'!E330,"")</f>
        <v>Laws of Motion — Unit Quiz</v>
      </c>
      <c r="F331" s="9">
        <f>IF(IF(SelectedScope="All India",TRUE,'RAW_QUIZ'!$B330=SelectedScope),'RAW_QUIZ'!F330,"")</f>
        <v>0</v>
      </c>
      <c r="G331" s="9" t="str">
        <f>IF(IF(SelectedScope="All India",TRUE,'RAW_QUIZ'!$B330=SelectedScope),'RAW_QUIZ'!G330,"")</f>
        <v>Active</v>
      </c>
      <c r="H331" s="9">
        <f>IF(IF(SelectedScope="All India",TRUE,'RAW_QUIZ'!$B330=SelectedScope),'RAW_QUIZ'!H330,"")</f>
        <v>0</v>
      </c>
      <c r="I331" s="9">
        <f>IF(IF(SelectedScope="All India",TRUE,'RAW_QUIZ'!$B330=SelectedScope),'RAW_QUIZ'!I330,"")</f>
        <v>0</v>
      </c>
      <c r="J331" s="9">
        <f>IF(IF(SelectedScope="All India",TRUE,'RAW_QUIZ'!$B330=SelectedScope),'RAW_QUIZ'!J330,"")</f>
        <v>0</v>
      </c>
      <c r="K331" s="9">
        <f>IF(IF(SelectedScope="All India",TRUE,'RAW_QUIZ'!$B330=SelectedScope),'RAW_QUIZ'!K330,"")</f>
        <v>0</v>
      </c>
      <c r="L331" s="9">
        <f>IF(IF(SelectedScope="All India",TRUE,'RAW_QUIZ'!$B330=SelectedScope),'RAW_QUIZ'!L330,"")</f>
        <v>0</v>
      </c>
      <c r="M331" s="9">
        <f>IF(IF(SelectedScope="All India",TRUE,'RAW_QUIZ'!$B330=SelectedScope),'RAW_QUIZ'!M330,"")</f>
        <v>0</v>
      </c>
      <c r="N331" s="9">
        <f>IF(IF(SelectedScope="All India",TRUE,'RAW_QUIZ'!$B330=SelectedScope),'RAW_QUIZ'!N330,"")</f>
        <v>0</v>
      </c>
      <c r="O331" s="9">
        <f>IF(IF(SelectedScope="All India",TRUE,'RAW_QUIZ'!$B330=SelectedScope),'RAW_QUIZ'!O330,"")</f>
        <v>0</v>
      </c>
      <c r="P331" s="9">
        <f>IF(IF(SelectedScope="All India",TRUE,'RAW_QUIZ'!$B330=SelectedScope),'RAW_QUIZ'!P330,"")</f>
        <v>0</v>
      </c>
      <c r="Q331" s="9">
        <f>IF(IF(SelectedScope="All India",TRUE,'RAW_QUIZ'!$B330=SelectedScope),'RAW_QUIZ'!Q330,"")</f>
        <v>0</v>
      </c>
    </row>
    <row r="332" spans="1:17" ht="15" customHeight="1" x14ac:dyDescent="0.3">
      <c r="A332" s="12">
        <f>IF(IF(SelectedScope="All India",TRUE,'RAW_QUIZ'!$B331=SelectedScope),'RAW_QUIZ'!A331,"")</f>
        <v>328</v>
      </c>
      <c r="B332" s="12" t="str">
        <f>IF(IF(SelectedScope="All India",TRUE,'RAW_QUIZ'!$B331=SelectedScope),'RAW_QUIZ'!B331,"")</f>
        <v>Tripura</v>
      </c>
      <c r="C332" s="12" t="str">
        <f>IF(IF(SelectedScope="All India",TRUE,'RAW_QUIZ'!$B331=SelectedScope),'RAW_QUIZ'!C331,"")</f>
        <v>Physics</v>
      </c>
      <c r="D332" s="12" t="str">
        <f>IF(IF(SelectedScope="All India",TRUE,'RAW_QUIZ'!$B331=SelectedScope),'RAW_QUIZ'!D331,"")</f>
        <v>Class 10</v>
      </c>
      <c r="E332" s="12" t="str">
        <f>IF(IF(SelectedScope="All India",TRUE,'RAW_QUIZ'!$B331=SelectedScope),'RAW_QUIZ'!E331,"")</f>
        <v>Electricity — Unit Quiz</v>
      </c>
      <c r="F332" s="12">
        <f>IF(IF(SelectedScope="All India",TRUE,'RAW_QUIZ'!$B331=SelectedScope),'RAW_QUIZ'!F331,"")</f>
        <v>0</v>
      </c>
      <c r="G332" s="12" t="str">
        <f>IF(IF(SelectedScope="All India",TRUE,'RAW_QUIZ'!$B331=SelectedScope),'RAW_QUIZ'!G331,"")</f>
        <v>Active</v>
      </c>
      <c r="H332" s="12">
        <f>IF(IF(SelectedScope="All India",TRUE,'RAW_QUIZ'!$B331=SelectedScope),'RAW_QUIZ'!H331,"")</f>
        <v>0</v>
      </c>
      <c r="I332" s="12">
        <f>IF(IF(SelectedScope="All India",TRUE,'RAW_QUIZ'!$B331=SelectedScope),'RAW_QUIZ'!I331,"")</f>
        <v>0</v>
      </c>
      <c r="J332" s="12">
        <f>IF(IF(SelectedScope="All India",TRUE,'RAW_QUIZ'!$B331=SelectedScope),'RAW_QUIZ'!J331,"")</f>
        <v>0</v>
      </c>
      <c r="K332" s="12">
        <f>IF(IF(SelectedScope="All India",TRUE,'RAW_QUIZ'!$B331=SelectedScope),'RAW_QUIZ'!K331,"")</f>
        <v>0</v>
      </c>
      <c r="L332" s="12">
        <f>IF(IF(SelectedScope="All India",TRUE,'RAW_QUIZ'!$B331=SelectedScope),'RAW_QUIZ'!L331,"")</f>
        <v>0</v>
      </c>
      <c r="M332" s="12">
        <f>IF(IF(SelectedScope="All India",TRUE,'RAW_QUIZ'!$B331=SelectedScope),'RAW_QUIZ'!M331,"")</f>
        <v>0</v>
      </c>
      <c r="N332" s="12">
        <f>IF(IF(SelectedScope="All India",TRUE,'RAW_QUIZ'!$B331=SelectedScope),'RAW_QUIZ'!N331,"")</f>
        <v>0</v>
      </c>
      <c r="O332" s="12">
        <f>IF(IF(SelectedScope="All India",TRUE,'RAW_QUIZ'!$B331=SelectedScope),'RAW_QUIZ'!O331,"")</f>
        <v>0</v>
      </c>
      <c r="P332" s="12">
        <f>IF(IF(SelectedScope="All India",TRUE,'RAW_QUIZ'!$B331=SelectedScope),'RAW_QUIZ'!P331,"")</f>
        <v>0</v>
      </c>
      <c r="Q332" s="12">
        <f>IF(IF(SelectedScope="All India",TRUE,'RAW_QUIZ'!$B331=SelectedScope),'RAW_QUIZ'!Q331,"")</f>
        <v>0</v>
      </c>
    </row>
    <row r="333" spans="1:17" ht="15" customHeight="1" x14ac:dyDescent="0.3">
      <c r="A333" s="9">
        <f>IF(IF(SelectedScope="All India",TRUE,'RAW_QUIZ'!$B332=SelectedScope),'RAW_QUIZ'!A332,"")</f>
        <v>329</v>
      </c>
      <c r="B333" s="9" t="str">
        <f>IF(IF(SelectedScope="All India",TRUE,'RAW_QUIZ'!$B332=SelectedScope),'RAW_QUIZ'!B332,"")</f>
        <v>Tripura</v>
      </c>
      <c r="C333" s="9" t="str">
        <f>IF(IF(SelectedScope="All India",TRUE,'RAW_QUIZ'!$B332=SelectedScope),'RAW_QUIZ'!C332,"")</f>
        <v>Civics</v>
      </c>
      <c r="D333" s="9" t="str">
        <f>IF(IF(SelectedScope="All India",TRUE,'RAW_QUIZ'!$B332=SelectedScope),'RAW_QUIZ'!D332,"")</f>
        <v>Class 9</v>
      </c>
      <c r="E333" s="9" t="str">
        <f>IF(IF(SelectedScope="All India",TRUE,'RAW_QUIZ'!$B332=SelectedScope),'RAW_QUIZ'!E332,"")</f>
        <v>Indian Constitution — Unit Quiz</v>
      </c>
      <c r="F333" s="9">
        <f>IF(IF(SelectedScope="All India",TRUE,'RAW_QUIZ'!$B332=SelectedScope),'RAW_QUIZ'!F332,"")</f>
        <v>0</v>
      </c>
      <c r="G333" s="9" t="str">
        <f>IF(IF(SelectedScope="All India",TRUE,'RAW_QUIZ'!$B332=SelectedScope),'RAW_QUIZ'!G332,"")</f>
        <v>Active</v>
      </c>
      <c r="H333" s="9">
        <f>IF(IF(SelectedScope="All India",TRUE,'RAW_QUIZ'!$B332=SelectedScope),'RAW_QUIZ'!H332,"")</f>
        <v>0</v>
      </c>
      <c r="I333" s="9">
        <f>IF(IF(SelectedScope="All India",TRUE,'RAW_QUIZ'!$B332=SelectedScope),'RAW_QUIZ'!I332,"")</f>
        <v>0</v>
      </c>
      <c r="J333" s="9">
        <f>IF(IF(SelectedScope="All India",TRUE,'RAW_QUIZ'!$B332=SelectedScope),'RAW_QUIZ'!J332,"")</f>
        <v>0</v>
      </c>
      <c r="K333" s="9">
        <f>IF(IF(SelectedScope="All India",TRUE,'RAW_QUIZ'!$B332=SelectedScope),'RAW_QUIZ'!K332,"")</f>
        <v>0</v>
      </c>
      <c r="L333" s="9">
        <f>IF(IF(SelectedScope="All India",TRUE,'RAW_QUIZ'!$B332=SelectedScope),'RAW_QUIZ'!L332,"")</f>
        <v>0</v>
      </c>
      <c r="M333" s="9">
        <f>IF(IF(SelectedScope="All India",TRUE,'RAW_QUIZ'!$B332=SelectedScope),'RAW_QUIZ'!M332,"")</f>
        <v>0</v>
      </c>
      <c r="N333" s="9">
        <f>IF(IF(SelectedScope="All India",TRUE,'RAW_QUIZ'!$B332=SelectedScope),'RAW_QUIZ'!N332,"")</f>
        <v>0</v>
      </c>
      <c r="O333" s="9">
        <f>IF(IF(SelectedScope="All India",TRUE,'RAW_QUIZ'!$B332=SelectedScope),'RAW_QUIZ'!O332,"")</f>
        <v>0</v>
      </c>
      <c r="P333" s="9">
        <f>IF(IF(SelectedScope="All India",TRUE,'RAW_QUIZ'!$B332=SelectedScope),'RAW_QUIZ'!P332,"")</f>
        <v>0</v>
      </c>
      <c r="Q333" s="9">
        <f>IF(IF(SelectedScope="All India",TRUE,'RAW_QUIZ'!$B332=SelectedScope),'RAW_QUIZ'!Q332,"")</f>
        <v>0</v>
      </c>
    </row>
    <row r="334" spans="1:17" ht="15" customHeight="1" x14ac:dyDescent="0.3">
      <c r="A334" s="12">
        <f>IF(IF(SelectedScope="All India",TRUE,'RAW_QUIZ'!$B333=SelectedScope),'RAW_QUIZ'!A333,"")</f>
        <v>330</v>
      </c>
      <c r="B334" s="12" t="str">
        <f>IF(IF(SelectedScope="All India",TRUE,'RAW_QUIZ'!$B333=SelectedScope),'RAW_QUIZ'!B333,"")</f>
        <v>Tripura</v>
      </c>
      <c r="C334" s="12" t="str">
        <f>IF(IF(SelectedScope="All India",TRUE,'RAW_QUIZ'!$B333=SelectedScope),'RAW_QUIZ'!C333,"")</f>
        <v>Mathematics</v>
      </c>
      <c r="D334" s="12" t="str">
        <f>IF(IF(SelectedScope="All India",TRUE,'RAW_QUIZ'!$B333=SelectedScope),'RAW_QUIZ'!D333,"")</f>
        <v>Class 10</v>
      </c>
      <c r="E334" s="12" t="str">
        <f>IF(IF(SelectedScope="All India",TRUE,'RAW_QUIZ'!$B333=SelectedScope),'RAW_QUIZ'!E333,"")</f>
        <v>Quadratic Equations — Unit Quiz</v>
      </c>
      <c r="F334" s="12">
        <f>IF(IF(SelectedScope="All India",TRUE,'RAW_QUIZ'!$B333=SelectedScope),'RAW_QUIZ'!F333,"")</f>
        <v>0</v>
      </c>
      <c r="G334" s="12" t="str">
        <f>IF(IF(SelectedScope="All India",TRUE,'RAW_QUIZ'!$B333=SelectedScope),'RAW_QUIZ'!G333,"")</f>
        <v>Active</v>
      </c>
      <c r="H334" s="12">
        <f>IF(IF(SelectedScope="All India",TRUE,'RAW_QUIZ'!$B333=SelectedScope),'RAW_QUIZ'!H333,"")</f>
        <v>0</v>
      </c>
      <c r="I334" s="12">
        <f>IF(IF(SelectedScope="All India",TRUE,'RAW_QUIZ'!$B333=SelectedScope),'RAW_QUIZ'!I333,"")</f>
        <v>0</v>
      </c>
      <c r="J334" s="12">
        <f>IF(IF(SelectedScope="All India",TRUE,'RAW_QUIZ'!$B333=SelectedScope),'RAW_QUIZ'!J333,"")</f>
        <v>0</v>
      </c>
      <c r="K334" s="12">
        <f>IF(IF(SelectedScope="All India",TRUE,'RAW_QUIZ'!$B333=SelectedScope),'RAW_QUIZ'!K333,"")</f>
        <v>0</v>
      </c>
      <c r="L334" s="12">
        <f>IF(IF(SelectedScope="All India",TRUE,'RAW_QUIZ'!$B333=SelectedScope),'RAW_QUIZ'!L333,"")</f>
        <v>0</v>
      </c>
      <c r="M334" s="12">
        <f>IF(IF(SelectedScope="All India",TRUE,'RAW_QUIZ'!$B333=SelectedScope),'RAW_QUIZ'!M333,"")</f>
        <v>0</v>
      </c>
      <c r="N334" s="12">
        <f>IF(IF(SelectedScope="All India",TRUE,'RAW_QUIZ'!$B333=SelectedScope),'RAW_QUIZ'!N333,"")</f>
        <v>0</v>
      </c>
      <c r="O334" s="12">
        <f>IF(IF(SelectedScope="All India",TRUE,'RAW_QUIZ'!$B333=SelectedScope),'RAW_QUIZ'!O333,"")</f>
        <v>0</v>
      </c>
      <c r="P334" s="12">
        <f>IF(IF(SelectedScope="All India",TRUE,'RAW_QUIZ'!$B333=SelectedScope),'RAW_QUIZ'!P333,"")</f>
        <v>0</v>
      </c>
      <c r="Q334" s="12">
        <f>IF(IF(SelectedScope="All India",TRUE,'RAW_QUIZ'!$B333=SelectedScope),'RAW_QUIZ'!Q333,"")</f>
        <v>0</v>
      </c>
    </row>
    <row r="335" spans="1:17" ht="15" customHeight="1" x14ac:dyDescent="0.3">
      <c r="A335" s="9">
        <f>IF(IF(SelectedScope="All India",TRUE,'RAW_QUIZ'!$B334=SelectedScope),'RAW_QUIZ'!A334,"")</f>
        <v>331</v>
      </c>
      <c r="B335" s="9" t="str">
        <f>IF(IF(SelectedScope="All India",TRUE,'RAW_QUIZ'!$B334=SelectedScope),'RAW_QUIZ'!B334,"")</f>
        <v>Uttar Pradesh</v>
      </c>
      <c r="C335" s="9" t="str">
        <f>IF(IF(SelectedScope="All India",TRUE,'RAW_QUIZ'!$B334=SelectedScope),'RAW_QUIZ'!C334,"")</f>
        <v>Science</v>
      </c>
      <c r="D335" s="9" t="str">
        <f>IF(IF(SelectedScope="All India",TRUE,'RAW_QUIZ'!$B334=SelectedScope),'RAW_QUIZ'!D334,"")</f>
        <v>Class 8</v>
      </c>
      <c r="E335" s="9" t="str">
        <f>IF(IF(SelectedScope="All India",TRUE,'RAW_QUIZ'!$B334=SelectedScope),'RAW_QUIZ'!E334,"")</f>
        <v>Solar System — Unit Quiz</v>
      </c>
      <c r="F335" s="9">
        <f>IF(IF(SelectedScope="All India",TRUE,'RAW_QUIZ'!$B334=SelectedScope),'RAW_QUIZ'!F334,"")</f>
        <v>0</v>
      </c>
      <c r="G335" s="9" t="str">
        <f>IF(IF(SelectedScope="All India",TRUE,'RAW_QUIZ'!$B334=SelectedScope),'RAW_QUIZ'!G334,"")</f>
        <v>Active</v>
      </c>
      <c r="H335" s="9">
        <f>IF(IF(SelectedScope="All India",TRUE,'RAW_QUIZ'!$B334=SelectedScope),'RAW_QUIZ'!H334,"")</f>
        <v>0</v>
      </c>
      <c r="I335" s="9">
        <f>IF(IF(SelectedScope="All India",TRUE,'RAW_QUIZ'!$B334=SelectedScope),'RAW_QUIZ'!I334,"")</f>
        <v>0</v>
      </c>
      <c r="J335" s="9">
        <f>IF(IF(SelectedScope="All India",TRUE,'RAW_QUIZ'!$B334=SelectedScope),'RAW_QUIZ'!J334,"")</f>
        <v>0</v>
      </c>
      <c r="K335" s="9">
        <f>IF(IF(SelectedScope="All India",TRUE,'RAW_QUIZ'!$B334=SelectedScope),'RAW_QUIZ'!K334,"")</f>
        <v>0</v>
      </c>
      <c r="L335" s="9">
        <f>IF(IF(SelectedScope="All India",TRUE,'RAW_QUIZ'!$B334=SelectedScope),'RAW_QUIZ'!L334,"")</f>
        <v>0</v>
      </c>
      <c r="M335" s="9">
        <f>IF(IF(SelectedScope="All India",TRUE,'RAW_QUIZ'!$B334=SelectedScope),'RAW_QUIZ'!M334,"")</f>
        <v>0</v>
      </c>
      <c r="N335" s="9">
        <f>IF(IF(SelectedScope="All India",TRUE,'RAW_QUIZ'!$B334=SelectedScope),'RAW_QUIZ'!N334,"")</f>
        <v>0</v>
      </c>
      <c r="O335" s="9">
        <f>IF(IF(SelectedScope="All India",TRUE,'RAW_QUIZ'!$B334=SelectedScope),'RAW_QUIZ'!O334,"")</f>
        <v>0</v>
      </c>
      <c r="P335" s="9">
        <f>IF(IF(SelectedScope="All India",TRUE,'RAW_QUIZ'!$B334=SelectedScope),'RAW_QUIZ'!P334,"")</f>
        <v>0</v>
      </c>
      <c r="Q335" s="9">
        <f>IF(IF(SelectedScope="All India",TRUE,'RAW_QUIZ'!$B334=SelectedScope),'RAW_QUIZ'!Q334,"")</f>
        <v>0</v>
      </c>
    </row>
    <row r="336" spans="1:17" ht="15" customHeight="1" x14ac:dyDescent="0.3">
      <c r="A336" s="12">
        <f>IF(IF(SelectedScope="All India",TRUE,'RAW_QUIZ'!$B335=SelectedScope),'RAW_QUIZ'!A335,"")</f>
        <v>332</v>
      </c>
      <c r="B336" s="12" t="str">
        <f>IF(IF(SelectedScope="All India",TRUE,'RAW_QUIZ'!$B335=SelectedScope),'RAW_QUIZ'!B335,"")</f>
        <v>Uttar Pradesh</v>
      </c>
      <c r="C336" s="12" t="str">
        <f>IF(IF(SelectedScope="All India",TRUE,'RAW_QUIZ'!$B335=SelectedScope),'RAW_QUIZ'!C335,"")</f>
        <v>Biology</v>
      </c>
      <c r="D336" s="12" t="str">
        <f>IF(IF(SelectedScope="All India",TRUE,'RAW_QUIZ'!$B335=SelectedScope),'RAW_QUIZ'!D335,"")</f>
        <v>Class 9</v>
      </c>
      <c r="E336" s="12" t="str">
        <f>IF(IF(SelectedScope="All India",TRUE,'RAW_QUIZ'!$B335=SelectedScope),'RAW_QUIZ'!E335,"")</f>
        <v>Cell Division — Unit Quiz</v>
      </c>
      <c r="F336" s="12">
        <f>IF(IF(SelectedScope="All India",TRUE,'RAW_QUIZ'!$B335=SelectedScope),'RAW_QUIZ'!F335,"")</f>
        <v>0</v>
      </c>
      <c r="G336" s="12" t="str">
        <f>IF(IF(SelectedScope="All India",TRUE,'RAW_QUIZ'!$B335=SelectedScope),'RAW_QUIZ'!G335,"")</f>
        <v>Active</v>
      </c>
      <c r="H336" s="12">
        <f>IF(IF(SelectedScope="All India",TRUE,'RAW_QUIZ'!$B335=SelectedScope),'RAW_QUIZ'!H335,"")</f>
        <v>0</v>
      </c>
      <c r="I336" s="12">
        <f>IF(IF(SelectedScope="All India",TRUE,'RAW_QUIZ'!$B335=SelectedScope),'RAW_QUIZ'!I335,"")</f>
        <v>0</v>
      </c>
      <c r="J336" s="12">
        <f>IF(IF(SelectedScope="All India",TRUE,'RAW_QUIZ'!$B335=SelectedScope),'RAW_QUIZ'!J335,"")</f>
        <v>0</v>
      </c>
      <c r="K336" s="12">
        <f>IF(IF(SelectedScope="All India",TRUE,'RAW_QUIZ'!$B335=SelectedScope),'RAW_QUIZ'!K335,"")</f>
        <v>0</v>
      </c>
      <c r="L336" s="12">
        <f>IF(IF(SelectedScope="All India",TRUE,'RAW_QUIZ'!$B335=SelectedScope),'RAW_QUIZ'!L335,"")</f>
        <v>0</v>
      </c>
      <c r="M336" s="12">
        <f>IF(IF(SelectedScope="All India",TRUE,'RAW_QUIZ'!$B335=SelectedScope),'RAW_QUIZ'!M335,"")</f>
        <v>0</v>
      </c>
      <c r="N336" s="12">
        <f>IF(IF(SelectedScope="All India",TRUE,'RAW_QUIZ'!$B335=SelectedScope),'RAW_QUIZ'!N335,"")</f>
        <v>0</v>
      </c>
      <c r="O336" s="12">
        <f>IF(IF(SelectedScope="All India",TRUE,'RAW_QUIZ'!$B335=SelectedScope),'RAW_QUIZ'!O335,"")</f>
        <v>0</v>
      </c>
      <c r="P336" s="12">
        <f>IF(IF(SelectedScope="All India",TRUE,'RAW_QUIZ'!$B335=SelectedScope),'RAW_QUIZ'!P335,"")</f>
        <v>0</v>
      </c>
      <c r="Q336" s="12">
        <f>IF(IF(SelectedScope="All India",TRUE,'RAW_QUIZ'!$B335=SelectedScope),'RAW_QUIZ'!Q335,"")</f>
        <v>0</v>
      </c>
    </row>
    <row r="337" spans="1:17" ht="15" customHeight="1" x14ac:dyDescent="0.3">
      <c r="A337" s="9">
        <f>IF(IF(SelectedScope="All India",TRUE,'RAW_QUIZ'!$B336=SelectedScope),'RAW_QUIZ'!A336,"")</f>
        <v>333</v>
      </c>
      <c r="B337" s="9" t="str">
        <f>IF(IF(SelectedScope="All India",TRUE,'RAW_QUIZ'!$B336=SelectedScope),'RAW_QUIZ'!B336,"")</f>
        <v>Uttar Pradesh</v>
      </c>
      <c r="C337" s="9" t="str">
        <f>IF(IF(SelectedScope="All India",TRUE,'RAW_QUIZ'!$B336=SelectedScope),'RAW_QUIZ'!C336,"")</f>
        <v>Chemistry</v>
      </c>
      <c r="D337" s="9" t="str">
        <f>IF(IF(SelectedScope="All India",TRUE,'RAW_QUIZ'!$B336=SelectedScope),'RAW_QUIZ'!D336,"")</f>
        <v>Class 9</v>
      </c>
      <c r="E337" s="9" t="str">
        <f>IF(IF(SelectedScope="All India",TRUE,'RAW_QUIZ'!$B336=SelectedScope),'RAW_QUIZ'!E336,"")</f>
        <v>Atoms and Molecules — Unit Quiz</v>
      </c>
      <c r="F337" s="9">
        <f>IF(IF(SelectedScope="All India",TRUE,'RAW_QUIZ'!$B336=SelectedScope),'RAW_QUIZ'!F336,"")</f>
        <v>0</v>
      </c>
      <c r="G337" s="9" t="str">
        <f>IF(IF(SelectedScope="All India",TRUE,'RAW_QUIZ'!$B336=SelectedScope),'RAW_QUIZ'!G336,"")</f>
        <v>Active</v>
      </c>
      <c r="H337" s="9">
        <f>IF(IF(SelectedScope="All India",TRUE,'RAW_QUIZ'!$B336=SelectedScope),'RAW_QUIZ'!H336,"")</f>
        <v>0</v>
      </c>
      <c r="I337" s="9">
        <f>IF(IF(SelectedScope="All India",TRUE,'RAW_QUIZ'!$B336=SelectedScope),'RAW_QUIZ'!I336,"")</f>
        <v>0</v>
      </c>
      <c r="J337" s="9">
        <f>IF(IF(SelectedScope="All India",TRUE,'RAW_QUIZ'!$B336=SelectedScope),'RAW_QUIZ'!J336,"")</f>
        <v>0</v>
      </c>
      <c r="K337" s="9">
        <f>IF(IF(SelectedScope="All India",TRUE,'RAW_QUIZ'!$B336=SelectedScope),'RAW_QUIZ'!K336,"")</f>
        <v>0</v>
      </c>
      <c r="L337" s="9">
        <f>IF(IF(SelectedScope="All India",TRUE,'RAW_QUIZ'!$B336=SelectedScope),'RAW_QUIZ'!L336,"")</f>
        <v>0</v>
      </c>
      <c r="M337" s="9">
        <f>IF(IF(SelectedScope="All India",TRUE,'RAW_QUIZ'!$B336=SelectedScope),'RAW_QUIZ'!M336,"")</f>
        <v>0</v>
      </c>
      <c r="N337" s="9">
        <f>IF(IF(SelectedScope="All India",TRUE,'RAW_QUIZ'!$B336=SelectedScope),'RAW_QUIZ'!N336,"")</f>
        <v>0</v>
      </c>
      <c r="O337" s="9">
        <f>IF(IF(SelectedScope="All India",TRUE,'RAW_QUIZ'!$B336=SelectedScope),'RAW_QUIZ'!O336,"")</f>
        <v>0</v>
      </c>
      <c r="P337" s="9">
        <f>IF(IF(SelectedScope="All India",TRUE,'RAW_QUIZ'!$B336=SelectedScope),'RAW_QUIZ'!P336,"")</f>
        <v>0</v>
      </c>
      <c r="Q337" s="9">
        <f>IF(IF(SelectedScope="All India",TRUE,'RAW_QUIZ'!$B336=SelectedScope),'RAW_QUIZ'!Q336,"")</f>
        <v>0</v>
      </c>
    </row>
    <row r="338" spans="1:17" ht="15" customHeight="1" x14ac:dyDescent="0.3">
      <c r="A338" s="12">
        <f>IF(IF(SelectedScope="All India",TRUE,'RAW_QUIZ'!$B337=SelectedScope),'RAW_QUIZ'!A337,"")</f>
        <v>334</v>
      </c>
      <c r="B338" s="12" t="str">
        <f>IF(IF(SelectedScope="All India",TRUE,'RAW_QUIZ'!$B337=SelectedScope),'RAW_QUIZ'!B337,"")</f>
        <v>Uttar Pradesh</v>
      </c>
      <c r="C338" s="12" t="str">
        <f>IF(IF(SelectedScope="All India",TRUE,'RAW_QUIZ'!$B337=SelectedScope),'RAW_QUIZ'!C337,"")</f>
        <v>Mathematics</v>
      </c>
      <c r="D338" s="12" t="str">
        <f>IF(IF(SelectedScope="All India",TRUE,'RAW_QUIZ'!$B337=SelectedScope),'RAW_QUIZ'!D337,"")</f>
        <v>Class 7</v>
      </c>
      <c r="E338" s="12" t="str">
        <f>IF(IF(SelectedScope="All India",TRUE,'RAW_QUIZ'!$B337=SelectedScope),'RAW_QUIZ'!E337,"")</f>
        <v>Fractions — Unit Quiz</v>
      </c>
      <c r="F338" s="12">
        <f>IF(IF(SelectedScope="All India",TRUE,'RAW_QUIZ'!$B337=SelectedScope),'RAW_QUIZ'!F337,"")</f>
        <v>0</v>
      </c>
      <c r="G338" s="12" t="str">
        <f>IF(IF(SelectedScope="All India",TRUE,'RAW_QUIZ'!$B337=SelectedScope),'RAW_QUIZ'!G337,"")</f>
        <v>Active</v>
      </c>
      <c r="H338" s="12">
        <f>IF(IF(SelectedScope="All India",TRUE,'RAW_QUIZ'!$B337=SelectedScope),'RAW_QUIZ'!H337,"")</f>
        <v>0</v>
      </c>
      <c r="I338" s="12">
        <f>IF(IF(SelectedScope="All India",TRUE,'RAW_QUIZ'!$B337=SelectedScope),'RAW_QUIZ'!I337,"")</f>
        <v>0</v>
      </c>
      <c r="J338" s="12">
        <f>IF(IF(SelectedScope="All India",TRUE,'RAW_QUIZ'!$B337=SelectedScope),'RAW_QUIZ'!J337,"")</f>
        <v>0</v>
      </c>
      <c r="K338" s="12">
        <f>IF(IF(SelectedScope="All India",TRUE,'RAW_QUIZ'!$B337=SelectedScope),'RAW_QUIZ'!K337,"")</f>
        <v>0</v>
      </c>
      <c r="L338" s="12">
        <f>IF(IF(SelectedScope="All India",TRUE,'RAW_QUIZ'!$B337=SelectedScope),'RAW_QUIZ'!L337,"")</f>
        <v>0</v>
      </c>
      <c r="M338" s="12">
        <f>IF(IF(SelectedScope="All India",TRUE,'RAW_QUIZ'!$B337=SelectedScope),'RAW_QUIZ'!M337,"")</f>
        <v>0</v>
      </c>
      <c r="N338" s="12">
        <f>IF(IF(SelectedScope="All India",TRUE,'RAW_QUIZ'!$B337=SelectedScope),'RAW_QUIZ'!N337,"")</f>
        <v>0</v>
      </c>
      <c r="O338" s="12">
        <f>IF(IF(SelectedScope="All India",TRUE,'RAW_QUIZ'!$B337=SelectedScope),'RAW_QUIZ'!O337,"")</f>
        <v>0</v>
      </c>
      <c r="P338" s="12">
        <f>IF(IF(SelectedScope="All India",TRUE,'RAW_QUIZ'!$B337=SelectedScope),'RAW_QUIZ'!P337,"")</f>
        <v>0</v>
      </c>
      <c r="Q338" s="12">
        <f>IF(IF(SelectedScope="All India",TRUE,'RAW_QUIZ'!$B337=SelectedScope),'RAW_QUIZ'!Q337,"")</f>
        <v>0</v>
      </c>
    </row>
    <row r="339" spans="1:17" ht="15" customHeight="1" x14ac:dyDescent="0.3">
      <c r="A339" s="9">
        <f>IF(IF(SelectedScope="All India",TRUE,'RAW_QUIZ'!$B338=SelectedScope),'RAW_QUIZ'!A338,"")</f>
        <v>335</v>
      </c>
      <c r="B339" s="9" t="str">
        <f>IF(IF(SelectedScope="All India",TRUE,'RAW_QUIZ'!$B338=SelectedScope),'RAW_QUIZ'!B338,"")</f>
        <v>Uttar Pradesh</v>
      </c>
      <c r="C339" s="9" t="str">
        <f>IF(IF(SelectedScope="All India",TRUE,'RAW_QUIZ'!$B338=SelectedScope),'RAW_QUIZ'!C338,"")</f>
        <v>Mathematics</v>
      </c>
      <c r="D339" s="9" t="str">
        <f>IF(IF(SelectedScope="All India",TRUE,'RAW_QUIZ'!$B338=SelectedScope),'RAW_QUIZ'!D338,"")</f>
        <v>Class 10</v>
      </c>
      <c r="E339" s="9" t="str">
        <f>IF(IF(SelectedScope="All India",TRUE,'RAW_QUIZ'!$B338=SelectedScope),'RAW_QUIZ'!E338,"")</f>
        <v>Trigonometry — Unit Quiz</v>
      </c>
      <c r="F339" s="9">
        <f>IF(IF(SelectedScope="All India",TRUE,'RAW_QUIZ'!$B338=SelectedScope),'RAW_QUIZ'!F338,"")</f>
        <v>0</v>
      </c>
      <c r="G339" s="9" t="str">
        <f>IF(IF(SelectedScope="All India",TRUE,'RAW_QUIZ'!$B338=SelectedScope),'RAW_QUIZ'!G338,"")</f>
        <v>Active</v>
      </c>
      <c r="H339" s="9">
        <f>IF(IF(SelectedScope="All India",TRUE,'RAW_QUIZ'!$B338=SelectedScope),'RAW_QUIZ'!H338,"")</f>
        <v>0</v>
      </c>
      <c r="I339" s="9">
        <f>IF(IF(SelectedScope="All India",TRUE,'RAW_QUIZ'!$B338=SelectedScope),'RAW_QUIZ'!I338,"")</f>
        <v>0</v>
      </c>
      <c r="J339" s="9">
        <f>IF(IF(SelectedScope="All India",TRUE,'RAW_QUIZ'!$B338=SelectedScope),'RAW_QUIZ'!J338,"")</f>
        <v>0</v>
      </c>
      <c r="K339" s="9">
        <f>IF(IF(SelectedScope="All India",TRUE,'RAW_QUIZ'!$B338=SelectedScope),'RAW_QUIZ'!K338,"")</f>
        <v>0</v>
      </c>
      <c r="L339" s="9">
        <f>IF(IF(SelectedScope="All India",TRUE,'RAW_QUIZ'!$B338=SelectedScope),'RAW_QUIZ'!L338,"")</f>
        <v>0</v>
      </c>
      <c r="M339" s="9">
        <f>IF(IF(SelectedScope="All India",TRUE,'RAW_QUIZ'!$B338=SelectedScope),'RAW_QUIZ'!M338,"")</f>
        <v>0</v>
      </c>
      <c r="N339" s="9">
        <f>IF(IF(SelectedScope="All India",TRUE,'RAW_QUIZ'!$B338=SelectedScope),'RAW_QUIZ'!N338,"")</f>
        <v>0</v>
      </c>
      <c r="O339" s="9">
        <f>IF(IF(SelectedScope="All India",TRUE,'RAW_QUIZ'!$B338=SelectedScope),'RAW_QUIZ'!O338,"")</f>
        <v>0</v>
      </c>
      <c r="P339" s="9">
        <f>IF(IF(SelectedScope="All India",TRUE,'RAW_QUIZ'!$B338=SelectedScope),'RAW_QUIZ'!P338,"")</f>
        <v>0</v>
      </c>
      <c r="Q339" s="9">
        <f>IF(IF(SelectedScope="All India",TRUE,'RAW_QUIZ'!$B338=SelectedScope),'RAW_QUIZ'!Q338,"")</f>
        <v>0</v>
      </c>
    </row>
    <row r="340" spans="1:17" ht="15" customHeight="1" x14ac:dyDescent="0.3">
      <c r="A340" s="12">
        <f>IF(IF(SelectedScope="All India",TRUE,'RAW_QUIZ'!$B339=SelectedScope),'RAW_QUIZ'!A339,"")</f>
        <v>336</v>
      </c>
      <c r="B340" s="12" t="str">
        <f>IF(IF(SelectedScope="All India",TRUE,'RAW_QUIZ'!$B339=SelectedScope),'RAW_QUIZ'!B339,"")</f>
        <v>Uttar Pradesh</v>
      </c>
      <c r="C340" s="12" t="str">
        <f>IF(IF(SelectedScope="All India",TRUE,'RAW_QUIZ'!$B339=SelectedScope),'RAW_QUIZ'!C339,"")</f>
        <v>History</v>
      </c>
      <c r="D340" s="12" t="str">
        <f>IF(IF(SelectedScope="All India",TRUE,'RAW_QUIZ'!$B339=SelectedScope),'RAW_QUIZ'!D339,"")</f>
        <v>Class 10</v>
      </c>
      <c r="E340" s="12" t="str">
        <f>IF(IF(SelectedScope="All India",TRUE,'RAW_QUIZ'!$B339=SelectedScope),'RAW_QUIZ'!E339,"")</f>
        <v>Mughal Empire — Unit Quiz</v>
      </c>
      <c r="F340" s="12">
        <f>IF(IF(SelectedScope="All India",TRUE,'RAW_QUIZ'!$B339=SelectedScope),'RAW_QUIZ'!F339,"")</f>
        <v>0</v>
      </c>
      <c r="G340" s="12" t="str">
        <f>IF(IF(SelectedScope="All India",TRUE,'RAW_QUIZ'!$B339=SelectedScope),'RAW_QUIZ'!G339,"")</f>
        <v>Active</v>
      </c>
      <c r="H340" s="12">
        <f>IF(IF(SelectedScope="All India",TRUE,'RAW_QUIZ'!$B339=SelectedScope),'RAW_QUIZ'!H339,"")</f>
        <v>0</v>
      </c>
      <c r="I340" s="12">
        <f>IF(IF(SelectedScope="All India",TRUE,'RAW_QUIZ'!$B339=SelectedScope),'RAW_QUIZ'!I339,"")</f>
        <v>0</v>
      </c>
      <c r="J340" s="12">
        <f>IF(IF(SelectedScope="All India",TRUE,'RAW_QUIZ'!$B339=SelectedScope),'RAW_QUIZ'!J339,"")</f>
        <v>0</v>
      </c>
      <c r="K340" s="12">
        <f>IF(IF(SelectedScope="All India",TRUE,'RAW_QUIZ'!$B339=SelectedScope),'RAW_QUIZ'!K339,"")</f>
        <v>0</v>
      </c>
      <c r="L340" s="12">
        <f>IF(IF(SelectedScope="All India",TRUE,'RAW_QUIZ'!$B339=SelectedScope),'RAW_QUIZ'!L339,"")</f>
        <v>0</v>
      </c>
      <c r="M340" s="12">
        <f>IF(IF(SelectedScope="All India",TRUE,'RAW_QUIZ'!$B339=SelectedScope),'RAW_QUIZ'!M339,"")</f>
        <v>0</v>
      </c>
      <c r="N340" s="12">
        <f>IF(IF(SelectedScope="All India",TRUE,'RAW_QUIZ'!$B339=SelectedScope),'RAW_QUIZ'!N339,"")</f>
        <v>0</v>
      </c>
      <c r="O340" s="12">
        <f>IF(IF(SelectedScope="All India",TRUE,'RAW_QUIZ'!$B339=SelectedScope),'RAW_QUIZ'!O339,"")</f>
        <v>0</v>
      </c>
      <c r="P340" s="12">
        <f>IF(IF(SelectedScope="All India",TRUE,'RAW_QUIZ'!$B339=SelectedScope),'RAW_QUIZ'!P339,"")</f>
        <v>0</v>
      </c>
      <c r="Q340" s="12">
        <f>IF(IF(SelectedScope="All India",TRUE,'RAW_QUIZ'!$B339=SelectedScope),'RAW_QUIZ'!Q339,"")</f>
        <v>0</v>
      </c>
    </row>
    <row r="341" spans="1:17" ht="15" customHeight="1" x14ac:dyDescent="0.3">
      <c r="A341" s="9">
        <f>IF(IF(SelectedScope="All India",TRUE,'RAW_QUIZ'!$B340=SelectedScope),'RAW_QUIZ'!A340,"")</f>
        <v>337</v>
      </c>
      <c r="B341" s="9" t="str">
        <f>IF(IF(SelectedScope="All India",TRUE,'RAW_QUIZ'!$B340=SelectedScope),'RAW_QUIZ'!B340,"")</f>
        <v>Uttar Pradesh</v>
      </c>
      <c r="C341" s="9" t="str">
        <f>IF(IF(SelectedScope="All India",TRUE,'RAW_QUIZ'!$B340=SelectedScope),'RAW_QUIZ'!C340,"")</f>
        <v>Physics</v>
      </c>
      <c r="D341" s="9" t="str">
        <f>IF(IF(SelectedScope="All India",TRUE,'RAW_QUIZ'!$B340=SelectedScope),'RAW_QUIZ'!D340,"")</f>
        <v>Class 9</v>
      </c>
      <c r="E341" s="9" t="str">
        <f>IF(IF(SelectedScope="All India",TRUE,'RAW_QUIZ'!$B340=SelectedScope),'RAW_QUIZ'!E340,"")</f>
        <v>Laws of Motion — Unit Quiz</v>
      </c>
      <c r="F341" s="9">
        <f>IF(IF(SelectedScope="All India",TRUE,'RAW_QUIZ'!$B340=SelectedScope),'RAW_QUIZ'!F340,"")</f>
        <v>0</v>
      </c>
      <c r="G341" s="9" t="str">
        <f>IF(IF(SelectedScope="All India",TRUE,'RAW_QUIZ'!$B340=SelectedScope),'RAW_QUIZ'!G340,"")</f>
        <v>Active</v>
      </c>
      <c r="H341" s="9">
        <f>IF(IF(SelectedScope="All India",TRUE,'RAW_QUIZ'!$B340=SelectedScope),'RAW_QUIZ'!H340,"")</f>
        <v>0</v>
      </c>
      <c r="I341" s="9">
        <f>IF(IF(SelectedScope="All India",TRUE,'RAW_QUIZ'!$B340=SelectedScope),'RAW_QUIZ'!I340,"")</f>
        <v>0</v>
      </c>
      <c r="J341" s="9">
        <f>IF(IF(SelectedScope="All India",TRUE,'RAW_QUIZ'!$B340=SelectedScope),'RAW_QUIZ'!J340,"")</f>
        <v>0</v>
      </c>
      <c r="K341" s="9">
        <f>IF(IF(SelectedScope="All India",TRUE,'RAW_QUIZ'!$B340=SelectedScope),'RAW_QUIZ'!K340,"")</f>
        <v>0</v>
      </c>
      <c r="L341" s="9">
        <f>IF(IF(SelectedScope="All India",TRUE,'RAW_QUIZ'!$B340=SelectedScope),'RAW_QUIZ'!L340,"")</f>
        <v>0</v>
      </c>
      <c r="M341" s="9">
        <f>IF(IF(SelectedScope="All India",TRUE,'RAW_QUIZ'!$B340=SelectedScope),'RAW_QUIZ'!M340,"")</f>
        <v>0</v>
      </c>
      <c r="N341" s="9">
        <f>IF(IF(SelectedScope="All India",TRUE,'RAW_QUIZ'!$B340=SelectedScope),'RAW_QUIZ'!N340,"")</f>
        <v>0</v>
      </c>
      <c r="O341" s="9">
        <f>IF(IF(SelectedScope="All India",TRUE,'RAW_QUIZ'!$B340=SelectedScope),'RAW_QUIZ'!O340,"")</f>
        <v>0</v>
      </c>
      <c r="P341" s="9">
        <f>IF(IF(SelectedScope="All India",TRUE,'RAW_QUIZ'!$B340=SelectedScope),'RAW_QUIZ'!P340,"")</f>
        <v>0</v>
      </c>
      <c r="Q341" s="9">
        <f>IF(IF(SelectedScope="All India",TRUE,'RAW_QUIZ'!$B340=SelectedScope),'RAW_QUIZ'!Q340,"")</f>
        <v>0</v>
      </c>
    </row>
    <row r="342" spans="1:17" ht="15" customHeight="1" x14ac:dyDescent="0.3">
      <c r="A342" s="12">
        <f>IF(IF(SelectedScope="All India",TRUE,'RAW_QUIZ'!$B341=SelectedScope),'RAW_QUIZ'!A341,"")</f>
        <v>338</v>
      </c>
      <c r="B342" s="12" t="str">
        <f>IF(IF(SelectedScope="All India",TRUE,'RAW_QUIZ'!$B341=SelectedScope),'RAW_QUIZ'!B341,"")</f>
        <v>Uttar Pradesh</v>
      </c>
      <c r="C342" s="12" t="str">
        <f>IF(IF(SelectedScope="All India",TRUE,'RAW_QUIZ'!$B341=SelectedScope),'RAW_QUIZ'!C341,"")</f>
        <v>Physics</v>
      </c>
      <c r="D342" s="12" t="str">
        <f>IF(IF(SelectedScope="All India",TRUE,'RAW_QUIZ'!$B341=SelectedScope),'RAW_QUIZ'!D341,"")</f>
        <v>Class 10</v>
      </c>
      <c r="E342" s="12" t="str">
        <f>IF(IF(SelectedScope="All India",TRUE,'RAW_QUIZ'!$B341=SelectedScope),'RAW_QUIZ'!E341,"")</f>
        <v>Electricity — Unit Quiz</v>
      </c>
      <c r="F342" s="12">
        <f>IF(IF(SelectedScope="All India",TRUE,'RAW_QUIZ'!$B341=SelectedScope),'RAW_QUIZ'!F341,"")</f>
        <v>0</v>
      </c>
      <c r="G342" s="12" t="str">
        <f>IF(IF(SelectedScope="All India",TRUE,'RAW_QUIZ'!$B341=SelectedScope),'RAW_QUIZ'!G341,"")</f>
        <v>Active</v>
      </c>
      <c r="H342" s="12">
        <f>IF(IF(SelectedScope="All India",TRUE,'RAW_QUIZ'!$B341=SelectedScope),'RAW_QUIZ'!H341,"")</f>
        <v>0</v>
      </c>
      <c r="I342" s="12">
        <f>IF(IF(SelectedScope="All India",TRUE,'RAW_QUIZ'!$B341=SelectedScope),'RAW_QUIZ'!I341,"")</f>
        <v>0</v>
      </c>
      <c r="J342" s="12">
        <f>IF(IF(SelectedScope="All India",TRUE,'RAW_QUIZ'!$B341=SelectedScope),'RAW_QUIZ'!J341,"")</f>
        <v>0</v>
      </c>
      <c r="K342" s="12">
        <f>IF(IF(SelectedScope="All India",TRUE,'RAW_QUIZ'!$B341=SelectedScope),'RAW_QUIZ'!K341,"")</f>
        <v>0</v>
      </c>
      <c r="L342" s="12">
        <f>IF(IF(SelectedScope="All India",TRUE,'RAW_QUIZ'!$B341=SelectedScope),'RAW_QUIZ'!L341,"")</f>
        <v>0</v>
      </c>
      <c r="M342" s="12">
        <f>IF(IF(SelectedScope="All India",TRUE,'RAW_QUIZ'!$B341=SelectedScope),'RAW_QUIZ'!M341,"")</f>
        <v>0</v>
      </c>
      <c r="N342" s="12">
        <f>IF(IF(SelectedScope="All India",TRUE,'RAW_QUIZ'!$B341=SelectedScope),'RAW_QUIZ'!N341,"")</f>
        <v>0</v>
      </c>
      <c r="O342" s="12">
        <f>IF(IF(SelectedScope="All India",TRUE,'RAW_QUIZ'!$B341=SelectedScope),'RAW_QUIZ'!O341,"")</f>
        <v>0</v>
      </c>
      <c r="P342" s="12">
        <f>IF(IF(SelectedScope="All India",TRUE,'RAW_QUIZ'!$B341=SelectedScope),'RAW_QUIZ'!P341,"")</f>
        <v>0</v>
      </c>
      <c r="Q342" s="12">
        <f>IF(IF(SelectedScope="All India",TRUE,'RAW_QUIZ'!$B341=SelectedScope),'RAW_QUIZ'!Q341,"")</f>
        <v>0</v>
      </c>
    </row>
    <row r="343" spans="1:17" ht="15" customHeight="1" x14ac:dyDescent="0.3">
      <c r="A343" s="9">
        <f>IF(IF(SelectedScope="All India",TRUE,'RAW_QUIZ'!$B342=SelectedScope),'RAW_QUIZ'!A342,"")</f>
        <v>339</v>
      </c>
      <c r="B343" s="9" t="str">
        <f>IF(IF(SelectedScope="All India",TRUE,'RAW_QUIZ'!$B342=SelectedScope),'RAW_QUIZ'!B342,"")</f>
        <v>Uttar Pradesh</v>
      </c>
      <c r="C343" s="9" t="str">
        <f>IF(IF(SelectedScope="All India",TRUE,'RAW_QUIZ'!$B342=SelectedScope),'RAW_QUIZ'!C342,"")</f>
        <v>Civics</v>
      </c>
      <c r="D343" s="9" t="str">
        <f>IF(IF(SelectedScope="All India",TRUE,'RAW_QUIZ'!$B342=SelectedScope),'RAW_QUIZ'!D342,"")</f>
        <v>Class 9</v>
      </c>
      <c r="E343" s="9" t="str">
        <f>IF(IF(SelectedScope="All India",TRUE,'RAW_QUIZ'!$B342=SelectedScope),'RAW_QUIZ'!E342,"")</f>
        <v>Indian Constitution — Unit Quiz</v>
      </c>
      <c r="F343" s="9">
        <f>IF(IF(SelectedScope="All India",TRUE,'RAW_QUIZ'!$B342=SelectedScope),'RAW_QUIZ'!F342,"")</f>
        <v>0</v>
      </c>
      <c r="G343" s="9" t="str">
        <f>IF(IF(SelectedScope="All India",TRUE,'RAW_QUIZ'!$B342=SelectedScope),'RAW_QUIZ'!G342,"")</f>
        <v>Active</v>
      </c>
      <c r="H343" s="9">
        <f>IF(IF(SelectedScope="All India",TRUE,'RAW_QUIZ'!$B342=SelectedScope),'RAW_QUIZ'!H342,"")</f>
        <v>0</v>
      </c>
      <c r="I343" s="9">
        <f>IF(IF(SelectedScope="All India",TRUE,'RAW_QUIZ'!$B342=SelectedScope),'RAW_QUIZ'!I342,"")</f>
        <v>0</v>
      </c>
      <c r="J343" s="9">
        <f>IF(IF(SelectedScope="All India",TRUE,'RAW_QUIZ'!$B342=SelectedScope),'RAW_QUIZ'!J342,"")</f>
        <v>0</v>
      </c>
      <c r="K343" s="9">
        <f>IF(IF(SelectedScope="All India",TRUE,'RAW_QUIZ'!$B342=SelectedScope),'RAW_QUIZ'!K342,"")</f>
        <v>0</v>
      </c>
      <c r="L343" s="9">
        <f>IF(IF(SelectedScope="All India",TRUE,'RAW_QUIZ'!$B342=SelectedScope),'RAW_QUIZ'!L342,"")</f>
        <v>0</v>
      </c>
      <c r="M343" s="9">
        <f>IF(IF(SelectedScope="All India",TRUE,'RAW_QUIZ'!$B342=SelectedScope),'RAW_QUIZ'!M342,"")</f>
        <v>0</v>
      </c>
      <c r="N343" s="9">
        <f>IF(IF(SelectedScope="All India",TRUE,'RAW_QUIZ'!$B342=SelectedScope),'RAW_QUIZ'!N342,"")</f>
        <v>0</v>
      </c>
      <c r="O343" s="9">
        <f>IF(IF(SelectedScope="All India",TRUE,'RAW_QUIZ'!$B342=SelectedScope),'RAW_QUIZ'!O342,"")</f>
        <v>0</v>
      </c>
      <c r="P343" s="9">
        <f>IF(IF(SelectedScope="All India",TRUE,'RAW_QUIZ'!$B342=SelectedScope),'RAW_QUIZ'!P342,"")</f>
        <v>0</v>
      </c>
      <c r="Q343" s="9">
        <f>IF(IF(SelectedScope="All India",TRUE,'RAW_QUIZ'!$B342=SelectedScope),'RAW_QUIZ'!Q342,"")</f>
        <v>0</v>
      </c>
    </row>
    <row r="344" spans="1:17" ht="15" customHeight="1" x14ac:dyDescent="0.3">
      <c r="A344" s="12">
        <f>IF(IF(SelectedScope="All India",TRUE,'RAW_QUIZ'!$B343=SelectedScope),'RAW_QUIZ'!A343,"")</f>
        <v>340</v>
      </c>
      <c r="B344" s="12" t="str">
        <f>IF(IF(SelectedScope="All India",TRUE,'RAW_QUIZ'!$B343=SelectedScope),'RAW_QUIZ'!B343,"")</f>
        <v>Uttar Pradesh</v>
      </c>
      <c r="C344" s="12" t="str">
        <f>IF(IF(SelectedScope="All India",TRUE,'RAW_QUIZ'!$B343=SelectedScope),'RAW_QUIZ'!C343,"")</f>
        <v>Mathematics</v>
      </c>
      <c r="D344" s="12" t="str">
        <f>IF(IF(SelectedScope="All India",TRUE,'RAW_QUIZ'!$B343=SelectedScope),'RAW_QUIZ'!D343,"")</f>
        <v>Class 10</v>
      </c>
      <c r="E344" s="12" t="str">
        <f>IF(IF(SelectedScope="All India",TRUE,'RAW_QUIZ'!$B343=SelectedScope),'RAW_QUIZ'!E343,"")</f>
        <v>Quadratic Equations — Unit Quiz</v>
      </c>
      <c r="F344" s="12">
        <f>IF(IF(SelectedScope="All India",TRUE,'RAW_QUIZ'!$B343=SelectedScope),'RAW_QUIZ'!F343,"")</f>
        <v>0</v>
      </c>
      <c r="G344" s="12" t="str">
        <f>IF(IF(SelectedScope="All India",TRUE,'RAW_QUIZ'!$B343=SelectedScope),'RAW_QUIZ'!G343,"")</f>
        <v>Active</v>
      </c>
      <c r="H344" s="12">
        <f>IF(IF(SelectedScope="All India",TRUE,'RAW_QUIZ'!$B343=SelectedScope),'RAW_QUIZ'!H343,"")</f>
        <v>0</v>
      </c>
      <c r="I344" s="12">
        <f>IF(IF(SelectedScope="All India",TRUE,'RAW_QUIZ'!$B343=SelectedScope),'RAW_QUIZ'!I343,"")</f>
        <v>0</v>
      </c>
      <c r="J344" s="12">
        <f>IF(IF(SelectedScope="All India",TRUE,'RAW_QUIZ'!$B343=SelectedScope),'RAW_QUIZ'!J343,"")</f>
        <v>0</v>
      </c>
      <c r="K344" s="12">
        <f>IF(IF(SelectedScope="All India",TRUE,'RAW_QUIZ'!$B343=SelectedScope),'RAW_QUIZ'!K343,"")</f>
        <v>0</v>
      </c>
      <c r="L344" s="12">
        <f>IF(IF(SelectedScope="All India",TRUE,'RAW_QUIZ'!$B343=SelectedScope),'RAW_QUIZ'!L343,"")</f>
        <v>0</v>
      </c>
      <c r="M344" s="12">
        <f>IF(IF(SelectedScope="All India",TRUE,'RAW_QUIZ'!$B343=SelectedScope),'RAW_QUIZ'!M343,"")</f>
        <v>0</v>
      </c>
      <c r="N344" s="12">
        <f>IF(IF(SelectedScope="All India",TRUE,'RAW_QUIZ'!$B343=SelectedScope),'RAW_QUIZ'!N343,"")</f>
        <v>0</v>
      </c>
      <c r="O344" s="12">
        <f>IF(IF(SelectedScope="All India",TRUE,'RAW_QUIZ'!$B343=SelectedScope),'RAW_QUIZ'!O343,"")</f>
        <v>0</v>
      </c>
      <c r="P344" s="12">
        <f>IF(IF(SelectedScope="All India",TRUE,'RAW_QUIZ'!$B343=SelectedScope),'RAW_QUIZ'!P343,"")</f>
        <v>0</v>
      </c>
      <c r="Q344" s="12">
        <f>IF(IF(SelectedScope="All India",TRUE,'RAW_QUIZ'!$B343=SelectedScope),'RAW_QUIZ'!Q343,"")</f>
        <v>0</v>
      </c>
    </row>
    <row r="345" spans="1:17" ht="15" customHeight="1" x14ac:dyDescent="0.3">
      <c r="A345" s="9">
        <f>IF(IF(SelectedScope="All India",TRUE,'RAW_QUIZ'!$B344=SelectedScope),'RAW_QUIZ'!A344,"")</f>
        <v>341</v>
      </c>
      <c r="B345" s="9" t="str">
        <f>IF(IF(SelectedScope="All India",TRUE,'RAW_QUIZ'!$B344=SelectedScope),'RAW_QUIZ'!B344,"")</f>
        <v>Uttarakhand</v>
      </c>
      <c r="C345" s="9" t="str">
        <f>IF(IF(SelectedScope="All India",TRUE,'RAW_QUIZ'!$B344=SelectedScope),'RAW_QUIZ'!C344,"")</f>
        <v>Science</v>
      </c>
      <c r="D345" s="9" t="str">
        <f>IF(IF(SelectedScope="All India",TRUE,'RAW_QUIZ'!$B344=SelectedScope),'RAW_QUIZ'!D344,"")</f>
        <v>Class 8</v>
      </c>
      <c r="E345" s="9" t="str">
        <f>IF(IF(SelectedScope="All India",TRUE,'RAW_QUIZ'!$B344=SelectedScope),'RAW_QUIZ'!E344,"")</f>
        <v>Solar System — Unit Quiz</v>
      </c>
      <c r="F345" s="9">
        <f>IF(IF(SelectedScope="All India",TRUE,'RAW_QUIZ'!$B344=SelectedScope),'RAW_QUIZ'!F344,"")</f>
        <v>0</v>
      </c>
      <c r="G345" s="9" t="str">
        <f>IF(IF(SelectedScope="All India",TRUE,'RAW_QUIZ'!$B344=SelectedScope),'RAW_QUIZ'!G344,"")</f>
        <v>Active</v>
      </c>
      <c r="H345" s="9">
        <f>IF(IF(SelectedScope="All India",TRUE,'RAW_QUIZ'!$B344=SelectedScope),'RAW_QUIZ'!H344,"")</f>
        <v>0</v>
      </c>
      <c r="I345" s="9">
        <f>IF(IF(SelectedScope="All India",TRUE,'RAW_QUIZ'!$B344=SelectedScope),'RAW_QUIZ'!I344,"")</f>
        <v>0</v>
      </c>
      <c r="J345" s="9">
        <f>IF(IF(SelectedScope="All India",TRUE,'RAW_QUIZ'!$B344=SelectedScope),'RAW_QUIZ'!J344,"")</f>
        <v>0</v>
      </c>
      <c r="K345" s="9">
        <f>IF(IF(SelectedScope="All India",TRUE,'RAW_QUIZ'!$B344=SelectedScope),'RAW_QUIZ'!K344,"")</f>
        <v>0</v>
      </c>
      <c r="L345" s="9">
        <f>IF(IF(SelectedScope="All India",TRUE,'RAW_QUIZ'!$B344=SelectedScope),'RAW_QUIZ'!L344,"")</f>
        <v>0</v>
      </c>
      <c r="M345" s="9">
        <f>IF(IF(SelectedScope="All India",TRUE,'RAW_QUIZ'!$B344=SelectedScope),'RAW_QUIZ'!M344,"")</f>
        <v>0</v>
      </c>
      <c r="N345" s="9">
        <f>IF(IF(SelectedScope="All India",TRUE,'RAW_QUIZ'!$B344=SelectedScope),'RAW_QUIZ'!N344,"")</f>
        <v>0</v>
      </c>
      <c r="O345" s="9">
        <f>IF(IF(SelectedScope="All India",TRUE,'RAW_QUIZ'!$B344=SelectedScope),'RAW_QUIZ'!O344,"")</f>
        <v>0</v>
      </c>
      <c r="P345" s="9">
        <f>IF(IF(SelectedScope="All India",TRUE,'RAW_QUIZ'!$B344=SelectedScope),'RAW_QUIZ'!P344,"")</f>
        <v>0</v>
      </c>
      <c r="Q345" s="9">
        <f>IF(IF(SelectedScope="All India",TRUE,'RAW_QUIZ'!$B344=SelectedScope),'RAW_QUIZ'!Q344,"")</f>
        <v>0</v>
      </c>
    </row>
    <row r="346" spans="1:17" ht="15" customHeight="1" x14ac:dyDescent="0.3">
      <c r="A346" s="12">
        <f>IF(IF(SelectedScope="All India",TRUE,'RAW_QUIZ'!$B345=SelectedScope),'RAW_QUIZ'!A345,"")</f>
        <v>342</v>
      </c>
      <c r="B346" s="12" t="str">
        <f>IF(IF(SelectedScope="All India",TRUE,'RAW_QUIZ'!$B345=SelectedScope),'RAW_QUIZ'!B345,"")</f>
        <v>Uttarakhand</v>
      </c>
      <c r="C346" s="12" t="str">
        <f>IF(IF(SelectedScope="All India",TRUE,'RAW_QUIZ'!$B345=SelectedScope),'RAW_QUIZ'!C345,"")</f>
        <v>Biology</v>
      </c>
      <c r="D346" s="12" t="str">
        <f>IF(IF(SelectedScope="All India",TRUE,'RAW_QUIZ'!$B345=SelectedScope),'RAW_QUIZ'!D345,"")</f>
        <v>Class 9</v>
      </c>
      <c r="E346" s="12" t="str">
        <f>IF(IF(SelectedScope="All India",TRUE,'RAW_QUIZ'!$B345=SelectedScope),'RAW_QUIZ'!E345,"")</f>
        <v>Cell Division — Unit Quiz</v>
      </c>
      <c r="F346" s="12">
        <f>IF(IF(SelectedScope="All India",TRUE,'RAW_QUIZ'!$B345=SelectedScope),'RAW_QUIZ'!F345,"")</f>
        <v>0</v>
      </c>
      <c r="G346" s="12" t="str">
        <f>IF(IF(SelectedScope="All India",TRUE,'RAW_QUIZ'!$B345=SelectedScope),'RAW_QUIZ'!G345,"")</f>
        <v>Active</v>
      </c>
      <c r="H346" s="12">
        <f>IF(IF(SelectedScope="All India",TRUE,'RAW_QUIZ'!$B345=SelectedScope),'RAW_QUIZ'!H345,"")</f>
        <v>0</v>
      </c>
      <c r="I346" s="12">
        <f>IF(IF(SelectedScope="All India",TRUE,'RAW_QUIZ'!$B345=SelectedScope),'RAW_QUIZ'!I345,"")</f>
        <v>0</v>
      </c>
      <c r="J346" s="12">
        <f>IF(IF(SelectedScope="All India",TRUE,'RAW_QUIZ'!$B345=SelectedScope),'RAW_QUIZ'!J345,"")</f>
        <v>0</v>
      </c>
      <c r="K346" s="12">
        <f>IF(IF(SelectedScope="All India",TRUE,'RAW_QUIZ'!$B345=SelectedScope),'RAW_QUIZ'!K345,"")</f>
        <v>0</v>
      </c>
      <c r="L346" s="12">
        <f>IF(IF(SelectedScope="All India",TRUE,'RAW_QUIZ'!$B345=SelectedScope),'RAW_QUIZ'!L345,"")</f>
        <v>0</v>
      </c>
      <c r="M346" s="12">
        <f>IF(IF(SelectedScope="All India",TRUE,'RAW_QUIZ'!$B345=SelectedScope),'RAW_QUIZ'!M345,"")</f>
        <v>0</v>
      </c>
      <c r="N346" s="12">
        <f>IF(IF(SelectedScope="All India",TRUE,'RAW_QUIZ'!$B345=SelectedScope),'RAW_QUIZ'!N345,"")</f>
        <v>0</v>
      </c>
      <c r="O346" s="12">
        <f>IF(IF(SelectedScope="All India",TRUE,'RAW_QUIZ'!$B345=SelectedScope),'RAW_QUIZ'!O345,"")</f>
        <v>0</v>
      </c>
      <c r="P346" s="12">
        <f>IF(IF(SelectedScope="All India",TRUE,'RAW_QUIZ'!$B345=SelectedScope),'RAW_QUIZ'!P345,"")</f>
        <v>0</v>
      </c>
      <c r="Q346" s="12">
        <f>IF(IF(SelectedScope="All India",TRUE,'RAW_QUIZ'!$B345=SelectedScope),'RAW_QUIZ'!Q345,"")</f>
        <v>0</v>
      </c>
    </row>
    <row r="347" spans="1:17" ht="15" customHeight="1" x14ac:dyDescent="0.3">
      <c r="A347" s="9">
        <f>IF(IF(SelectedScope="All India",TRUE,'RAW_QUIZ'!$B346=SelectedScope),'RAW_QUIZ'!A346,"")</f>
        <v>343</v>
      </c>
      <c r="B347" s="9" t="str">
        <f>IF(IF(SelectedScope="All India",TRUE,'RAW_QUIZ'!$B346=SelectedScope),'RAW_QUIZ'!B346,"")</f>
        <v>Uttarakhand</v>
      </c>
      <c r="C347" s="9" t="str">
        <f>IF(IF(SelectedScope="All India",TRUE,'RAW_QUIZ'!$B346=SelectedScope),'RAW_QUIZ'!C346,"")</f>
        <v>Chemistry</v>
      </c>
      <c r="D347" s="9" t="str">
        <f>IF(IF(SelectedScope="All India",TRUE,'RAW_QUIZ'!$B346=SelectedScope),'RAW_QUIZ'!D346,"")</f>
        <v>Class 9</v>
      </c>
      <c r="E347" s="9" t="str">
        <f>IF(IF(SelectedScope="All India",TRUE,'RAW_QUIZ'!$B346=SelectedScope),'RAW_QUIZ'!E346,"")</f>
        <v>Atoms and Molecules — Unit Quiz</v>
      </c>
      <c r="F347" s="9">
        <f>IF(IF(SelectedScope="All India",TRUE,'RAW_QUIZ'!$B346=SelectedScope),'RAW_QUIZ'!F346,"")</f>
        <v>0</v>
      </c>
      <c r="G347" s="9" t="str">
        <f>IF(IF(SelectedScope="All India",TRUE,'RAW_QUIZ'!$B346=SelectedScope),'RAW_QUIZ'!G346,"")</f>
        <v>Active</v>
      </c>
      <c r="H347" s="9">
        <f>IF(IF(SelectedScope="All India",TRUE,'RAW_QUIZ'!$B346=SelectedScope),'RAW_QUIZ'!H346,"")</f>
        <v>0</v>
      </c>
      <c r="I347" s="9">
        <f>IF(IF(SelectedScope="All India",TRUE,'RAW_QUIZ'!$B346=SelectedScope),'RAW_QUIZ'!I346,"")</f>
        <v>0</v>
      </c>
      <c r="J347" s="9">
        <f>IF(IF(SelectedScope="All India",TRUE,'RAW_QUIZ'!$B346=SelectedScope),'RAW_QUIZ'!J346,"")</f>
        <v>0</v>
      </c>
      <c r="K347" s="9">
        <f>IF(IF(SelectedScope="All India",TRUE,'RAW_QUIZ'!$B346=SelectedScope),'RAW_QUIZ'!K346,"")</f>
        <v>0</v>
      </c>
      <c r="L347" s="9">
        <f>IF(IF(SelectedScope="All India",TRUE,'RAW_QUIZ'!$B346=SelectedScope),'RAW_QUIZ'!L346,"")</f>
        <v>0</v>
      </c>
      <c r="M347" s="9">
        <f>IF(IF(SelectedScope="All India",TRUE,'RAW_QUIZ'!$B346=SelectedScope),'RAW_QUIZ'!M346,"")</f>
        <v>0</v>
      </c>
      <c r="N347" s="9">
        <f>IF(IF(SelectedScope="All India",TRUE,'RAW_QUIZ'!$B346=SelectedScope),'RAW_QUIZ'!N346,"")</f>
        <v>0</v>
      </c>
      <c r="O347" s="9">
        <f>IF(IF(SelectedScope="All India",TRUE,'RAW_QUIZ'!$B346=SelectedScope),'RAW_QUIZ'!O346,"")</f>
        <v>0</v>
      </c>
      <c r="P347" s="9">
        <f>IF(IF(SelectedScope="All India",TRUE,'RAW_QUIZ'!$B346=SelectedScope),'RAW_QUIZ'!P346,"")</f>
        <v>0</v>
      </c>
      <c r="Q347" s="9">
        <f>IF(IF(SelectedScope="All India",TRUE,'RAW_QUIZ'!$B346=SelectedScope),'RAW_QUIZ'!Q346,"")</f>
        <v>0</v>
      </c>
    </row>
    <row r="348" spans="1:17" ht="15" customHeight="1" x14ac:dyDescent="0.3">
      <c r="A348" s="12">
        <f>IF(IF(SelectedScope="All India",TRUE,'RAW_QUIZ'!$B347=SelectedScope),'RAW_QUIZ'!A347,"")</f>
        <v>344</v>
      </c>
      <c r="B348" s="12" t="str">
        <f>IF(IF(SelectedScope="All India",TRUE,'RAW_QUIZ'!$B347=SelectedScope),'RAW_QUIZ'!B347,"")</f>
        <v>Uttarakhand</v>
      </c>
      <c r="C348" s="12" t="str">
        <f>IF(IF(SelectedScope="All India",TRUE,'RAW_QUIZ'!$B347=SelectedScope),'RAW_QUIZ'!C347,"")</f>
        <v>Mathematics</v>
      </c>
      <c r="D348" s="12" t="str">
        <f>IF(IF(SelectedScope="All India",TRUE,'RAW_QUIZ'!$B347=SelectedScope),'RAW_QUIZ'!D347,"")</f>
        <v>Class 7</v>
      </c>
      <c r="E348" s="12" t="str">
        <f>IF(IF(SelectedScope="All India",TRUE,'RAW_QUIZ'!$B347=SelectedScope),'RAW_QUIZ'!E347,"")</f>
        <v>Fractions — Unit Quiz</v>
      </c>
      <c r="F348" s="12">
        <f>IF(IF(SelectedScope="All India",TRUE,'RAW_QUIZ'!$B347=SelectedScope),'RAW_QUIZ'!F347,"")</f>
        <v>0</v>
      </c>
      <c r="G348" s="12" t="str">
        <f>IF(IF(SelectedScope="All India",TRUE,'RAW_QUIZ'!$B347=SelectedScope),'RAW_QUIZ'!G347,"")</f>
        <v>Active</v>
      </c>
      <c r="H348" s="12">
        <f>IF(IF(SelectedScope="All India",TRUE,'RAW_QUIZ'!$B347=SelectedScope),'RAW_QUIZ'!H347,"")</f>
        <v>0</v>
      </c>
      <c r="I348" s="12">
        <f>IF(IF(SelectedScope="All India",TRUE,'RAW_QUIZ'!$B347=SelectedScope),'RAW_QUIZ'!I347,"")</f>
        <v>0</v>
      </c>
      <c r="J348" s="12">
        <f>IF(IF(SelectedScope="All India",TRUE,'RAW_QUIZ'!$B347=SelectedScope),'RAW_QUIZ'!J347,"")</f>
        <v>0</v>
      </c>
      <c r="K348" s="12">
        <f>IF(IF(SelectedScope="All India",TRUE,'RAW_QUIZ'!$B347=SelectedScope),'RAW_QUIZ'!K347,"")</f>
        <v>0</v>
      </c>
      <c r="L348" s="12">
        <f>IF(IF(SelectedScope="All India",TRUE,'RAW_QUIZ'!$B347=SelectedScope),'RAW_QUIZ'!L347,"")</f>
        <v>0</v>
      </c>
      <c r="M348" s="12">
        <f>IF(IF(SelectedScope="All India",TRUE,'RAW_QUIZ'!$B347=SelectedScope),'RAW_QUIZ'!M347,"")</f>
        <v>0</v>
      </c>
      <c r="N348" s="12">
        <f>IF(IF(SelectedScope="All India",TRUE,'RAW_QUIZ'!$B347=SelectedScope),'RAW_QUIZ'!N347,"")</f>
        <v>0</v>
      </c>
      <c r="O348" s="12">
        <f>IF(IF(SelectedScope="All India",TRUE,'RAW_QUIZ'!$B347=SelectedScope),'RAW_QUIZ'!O347,"")</f>
        <v>0</v>
      </c>
      <c r="P348" s="12">
        <f>IF(IF(SelectedScope="All India",TRUE,'RAW_QUIZ'!$B347=SelectedScope),'RAW_QUIZ'!P347,"")</f>
        <v>0</v>
      </c>
      <c r="Q348" s="12">
        <f>IF(IF(SelectedScope="All India",TRUE,'RAW_QUIZ'!$B347=SelectedScope),'RAW_QUIZ'!Q347,"")</f>
        <v>0</v>
      </c>
    </row>
    <row r="349" spans="1:17" ht="15" customHeight="1" x14ac:dyDescent="0.3">
      <c r="A349" s="9">
        <f>IF(IF(SelectedScope="All India",TRUE,'RAW_QUIZ'!$B348=SelectedScope),'RAW_QUIZ'!A348,"")</f>
        <v>345</v>
      </c>
      <c r="B349" s="9" t="str">
        <f>IF(IF(SelectedScope="All India",TRUE,'RAW_QUIZ'!$B348=SelectedScope),'RAW_QUIZ'!B348,"")</f>
        <v>Uttarakhand</v>
      </c>
      <c r="C349" s="9" t="str">
        <f>IF(IF(SelectedScope="All India",TRUE,'RAW_QUIZ'!$B348=SelectedScope),'RAW_QUIZ'!C348,"")</f>
        <v>Mathematics</v>
      </c>
      <c r="D349" s="9" t="str">
        <f>IF(IF(SelectedScope="All India",TRUE,'RAW_QUIZ'!$B348=SelectedScope),'RAW_QUIZ'!D348,"")</f>
        <v>Class 10</v>
      </c>
      <c r="E349" s="9" t="str">
        <f>IF(IF(SelectedScope="All India",TRUE,'RAW_QUIZ'!$B348=SelectedScope),'RAW_QUIZ'!E348,"")</f>
        <v>Trigonometry — Unit Quiz</v>
      </c>
      <c r="F349" s="9">
        <f>IF(IF(SelectedScope="All India",TRUE,'RAW_QUIZ'!$B348=SelectedScope),'RAW_QUIZ'!F348,"")</f>
        <v>0</v>
      </c>
      <c r="G349" s="9" t="str">
        <f>IF(IF(SelectedScope="All India",TRUE,'RAW_QUIZ'!$B348=SelectedScope),'RAW_QUIZ'!G348,"")</f>
        <v>Active</v>
      </c>
      <c r="H349" s="9">
        <f>IF(IF(SelectedScope="All India",TRUE,'RAW_QUIZ'!$B348=SelectedScope),'RAW_QUIZ'!H348,"")</f>
        <v>0</v>
      </c>
      <c r="I349" s="9">
        <f>IF(IF(SelectedScope="All India",TRUE,'RAW_QUIZ'!$B348=SelectedScope),'RAW_QUIZ'!I348,"")</f>
        <v>0</v>
      </c>
      <c r="J349" s="9">
        <f>IF(IF(SelectedScope="All India",TRUE,'RAW_QUIZ'!$B348=SelectedScope),'RAW_QUIZ'!J348,"")</f>
        <v>0</v>
      </c>
      <c r="K349" s="9">
        <f>IF(IF(SelectedScope="All India",TRUE,'RAW_QUIZ'!$B348=SelectedScope),'RAW_QUIZ'!K348,"")</f>
        <v>0</v>
      </c>
      <c r="L349" s="9">
        <f>IF(IF(SelectedScope="All India",TRUE,'RAW_QUIZ'!$B348=SelectedScope),'RAW_QUIZ'!L348,"")</f>
        <v>0</v>
      </c>
      <c r="M349" s="9">
        <f>IF(IF(SelectedScope="All India",TRUE,'RAW_QUIZ'!$B348=SelectedScope),'RAW_QUIZ'!M348,"")</f>
        <v>0</v>
      </c>
      <c r="N349" s="9">
        <f>IF(IF(SelectedScope="All India",TRUE,'RAW_QUIZ'!$B348=SelectedScope),'RAW_QUIZ'!N348,"")</f>
        <v>0</v>
      </c>
      <c r="O349" s="9">
        <f>IF(IF(SelectedScope="All India",TRUE,'RAW_QUIZ'!$B348=SelectedScope),'RAW_QUIZ'!O348,"")</f>
        <v>0</v>
      </c>
      <c r="P349" s="9">
        <f>IF(IF(SelectedScope="All India",TRUE,'RAW_QUIZ'!$B348=SelectedScope),'RAW_QUIZ'!P348,"")</f>
        <v>0</v>
      </c>
      <c r="Q349" s="9">
        <f>IF(IF(SelectedScope="All India",TRUE,'RAW_QUIZ'!$B348=SelectedScope),'RAW_QUIZ'!Q348,"")</f>
        <v>0</v>
      </c>
    </row>
    <row r="350" spans="1:17" ht="15" customHeight="1" x14ac:dyDescent="0.3">
      <c r="A350" s="12">
        <f>IF(IF(SelectedScope="All India",TRUE,'RAW_QUIZ'!$B349=SelectedScope),'RAW_QUIZ'!A349,"")</f>
        <v>346</v>
      </c>
      <c r="B350" s="12" t="str">
        <f>IF(IF(SelectedScope="All India",TRUE,'RAW_QUIZ'!$B349=SelectedScope),'RAW_QUIZ'!B349,"")</f>
        <v>Uttarakhand</v>
      </c>
      <c r="C350" s="12" t="str">
        <f>IF(IF(SelectedScope="All India",TRUE,'RAW_QUIZ'!$B349=SelectedScope),'RAW_QUIZ'!C349,"")</f>
        <v>History</v>
      </c>
      <c r="D350" s="12" t="str">
        <f>IF(IF(SelectedScope="All India",TRUE,'RAW_QUIZ'!$B349=SelectedScope),'RAW_QUIZ'!D349,"")</f>
        <v>Class 10</v>
      </c>
      <c r="E350" s="12" t="str">
        <f>IF(IF(SelectedScope="All India",TRUE,'RAW_QUIZ'!$B349=SelectedScope),'RAW_QUIZ'!E349,"")</f>
        <v>Mughal Empire — Unit Quiz</v>
      </c>
      <c r="F350" s="12">
        <f>IF(IF(SelectedScope="All India",TRUE,'RAW_QUIZ'!$B349=SelectedScope),'RAW_QUIZ'!F349,"")</f>
        <v>0</v>
      </c>
      <c r="G350" s="12" t="str">
        <f>IF(IF(SelectedScope="All India",TRUE,'RAW_QUIZ'!$B349=SelectedScope),'RAW_QUIZ'!G349,"")</f>
        <v>Active</v>
      </c>
      <c r="H350" s="12">
        <f>IF(IF(SelectedScope="All India",TRUE,'RAW_QUIZ'!$B349=SelectedScope),'RAW_QUIZ'!H349,"")</f>
        <v>0</v>
      </c>
      <c r="I350" s="12">
        <f>IF(IF(SelectedScope="All India",TRUE,'RAW_QUIZ'!$B349=SelectedScope),'RAW_QUIZ'!I349,"")</f>
        <v>0</v>
      </c>
      <c r="J350" s="12">
        <f>IF(IF(SelectedScope="All India",TRUE,'RAW_QUIZ'!$B349=SelectedScope),'RAW_QUIZ'!J349,"")</f>
        <v>0</v>
      </c>
      <c r="K350" s="12">
        <f>IF(IF(SelectedScope="All India",TRUE,'RAW_QUIZ'!$B349=SelectedScope),'RAW_QUIZ'!K349,"")</f>
        <v>0</v>
      </c>
      <c r="L350" s="12">
        <f>IF(IF(SelectedScope="All India",TRUE,'RAW_QUIZ'!$B349=SelectedScope),'RAW_QUIZ'!L349,"")</f>
        <v>0</v>
      </c>
      <c r="M350" s="12">
        <f>IF(IF(SelectedScope="All India",TRUE,'RAW_QUIZ'!$B349=SelectedScope),'RAW_QUIZ'!M349,"")</f>
        <v>0</v>
      </c>
      <c r="N350" s="12">
        <f>IF(IF(SelectedScope="All India",TRUE,'RAW_QUIZ'!$B349=SelectedScope),'RAW_QUIZ'!N349,"")</f>
        <v>0</v>
      </c>
      <c r="O350" s="12">
        <f>IF(IF(SelectedScope="All India",TRUE,'RAW_QUIZ'!$B349=SelectedScope),'RAW_QUIZ'!O349,"")</f>
        <v>0</v>
      </c>
      <c r="P350" s="12">
        <f>IF(IF(SelectedScope="All India",TRUE,'RAW_QUIZ'!$B349=SelectedScope),'RAW_QUIZ'!P349,"")</f>
        <v>0</v>
      </c>
      <c r="Q350" s="12">
        <f>IF(IF(SelectedScope="All India",TRUE,'RAW_QUIZ'!$B349=SelectedScope),'RAW_QUIZ'!Q349,"")</f>
        <v>0</v>
      </c>
    </row>
    <row r="351" spans="1:17" ht="15" customHeight="1" x14ac:dyDescent="0.3">
      <c r="A351" s="9">
        <f>IF(IF(SelectedScope="All India",TRUE,'RAW_QUIZ'!$B350=SelectedScope),'RAW_QUIZ'!A350,"")</f>
        <v>347</v>
      </c>
      <c r="B351" s="9" t="str">
        <f>IF(IF(SelectedScope="All India",TRUE,'RAW_QUIZ'!$B350=SelectedScope),'RAW_QUIZ'!B350,"")</f>
        <v>Uttarakhand</v>
      </c>
      <c r="C351" s="9" t="str">
        <f>IF(IF(SelectedScope="All India",TRUE,'RAW_QUIZ'!$B350=SelectedScope),'RAW_QUIZ'!C350,"")</f>
        <v>Physics</v>
      </c>
      <c r="D351" s="9" t="str">
        <f>IF(IF(SelectedScope="All India",TRUE,'RAW_QUIZ'!$B350=SelectedScope),'RAW_QUIZ'!D350,"")</f>
        <v>Class 9</v>
      </c>
      <c r="E351" s="9" t="str">
        <f>IF(IF(SelectedScope="All India",TRUE,'RAW_QUIZ'!$B350=SelectedScope),'RAW_QUIZ'!E350,"")</f>
        <v>Laws of Motion — Unit Quiz</v>
      </c>
      <c r="F351" s="9">
        <f>IF(IF(SelectedScope="All India",TRUE,'RAW_QUIZ'!$B350=SelectedScope),'RAW_QUIZ'!F350,"")</f>
        <v>0</v>
      </c>
      <c r="G351" s="9" t="str">
        <f>IF(IF(SelectedScope="All India",TRUE,'RAW_QUIZ'!$B350=SelectedScope),'RAW_QUIZ'!G350,"")</f>
        <v>Active</v>
      </c>
      <c r="H351" s="9">
        <f>IF(IF(SelectedScope="All India",TRUE,'RAW_QUIZ'!$B350=SelectedScope),'RAW_QUIZ'!H350,"")</f>
        <v>0</v>
      </c>
      <c r="I351" s="9">
        <f>IF(IF(SelectedScope="All India",TRUE,'RAW_QUIZ'!$B350=SelectedScope),'RAW_QUIZ'!I350,"")</f>
        <v>0</v>
      </c>
      <c r="J351" s="9">
        <f>IF(IF(SelectedScope="All India",TRUE,'RAW_QUIZ'!$B350=SelectedScope),'RAW_QUIZ'!J350,"")</f>
        <v>0</v>
      </c>
      <c r="K351" s="9">
        <f>IF(IF(SelectedScope="All India",TRUE,'RAW_QUIZ'!$B350=SelectedScope),'RAW_QUIZ'!K350,"")</f>
        <v>0</v>
      </c>
      <c r="L351" s="9">
        <f>IF(IF(SelectedScope="All India",TRUE,'RAW_QUIZ'!$B350=SelectedScope),'RAW_QUIZ'!L350,"")</f>
        <v>0</v>
      </c>
      <c r="M351" s="9">
        <f>IF(IF(SelectedScope="All India",TRUE,'RAW_QUIZ'!$B350=SelectedScope),'RAW_QUIZ'!M350,"")</f>
        <v>0</v>
      </c>
      <c r="N351" s="9">
        <f>IF(IF(SelectedScope="All India",TRUE,'RAW_QUIZ'!$B350=SelectedScope),'RAW_QUIZ'!N350,"")</f>
        <v>0</v>
      </c>
      <c r="O351" s="9">
        <f>IF(IF(SelectedScope="All India",TRUE,'RAW_QUIZ'!$B350=SelectedScope),'RAW_QUIZ'!O350,"")</f>
        <v>0</v>
      </c>
      <c r="P351" s="9">
        <f>IF(IF(SelectedScope="All India",TRUE,'RAW_QUIZ'!$B350=SelectedScope),'RAW_QUIZ'!P350,"")</f>
        <v>0</v>
      </c>
      <c r="Q351" s="9">
        <f>IF(IF(SelectedScope="All India",TRUE,'RAW_QUIZ'!$B350=SelectedScope),'RAW_QUIZ'!Q350,"")</f>
        <v>0</v>
      </c>
    </row>
    <row r="352" spans="1:17" ht="15" customHeight="1" x14ac:dyDescent="0.3">
      <c r="A352" s="12">
        <f>IF(IF(SelectedScope="All India",TRUE,'RAW_QUIZ'!$B351=SelectedScope),'RAW_QUIZ'!A351,"")</f>
        <v>348</v>
      </c>
      <c r="B352" s="12" t="str">
        <f>IF(IF(SelectedScope="All India",TRUE,'RAW_QUIZ'!$B351=SelectedScope),'RAW_QUIZ'!B351,"")</f>
        <v>Uttarakhand</v>
      </c>
      <c r="C352" s="12" t="str">
        <f>IF(IF(SelectedScope="All India",TRUE,'RAW_QUIZ'!$B351=SelectedScope),'RAW_QUIZ'!C351,"")</f>
        <v>Physics</v>
      </c>
      <c r="D352" s="12" t="str">
        <f>IF(IF(SelectedScope="All India",TRUE,'RAW_QUIZ'!$B351=SelectedScope),'RAW_QUIZ'!D351,"")</f>
        <v>Class 10</v>
      </c>
      <c r="E352" s="12" t="str">
        <f>IF(IF(SelectedScope="All India",TRUE,'RAW_QUIZ'!$B351=SelectedScope),'RAW_QUIZ'!E351,"")</f>
        <v>Electricity — Unit Quiz</v>
      </c>
      <c r="F352" s="12">
        <f>IF(IF(SelectedScope="All India",TRUE,'RAW_QUIZ'!$B351=SelectedScope),'RAW_QUIZ'!F351,"")</f>
        <v>0</v>
      </c>
      <c r="G352" s="12" t="str">
        <f>IF(IF(SelectedScope="All India",TRUE,'RAW_QUIZ'!$B351=SelectedScope),'RAW_QUIZ'!G351,"")</f>
        <v>Active</v>
      </c>
      <c r="H352" s="12">
        <f>IF(IF(SelectedScope="All India",TRUE,'RAW_QUIZ'!$B351=SelectedScope),'RAW_QUIZ'!H351,"")</f>
        <v>0</v>
      </c>
      <c r="I352" s="12">
        <f>IF(IF(SelectedScope="All India",TRUE,'RAW_QUIZ'!$B351=SelectedScope),'RAW_QUIZ'!I351,"")</f>
        <v>0</v>
      </c>
      <c r="J352" s="12">
        <f>IF(IF(SelectedScope="All India",TRUE,'RAW_QUIZ'!$B351=SelectedScope),'RAW_QUIZ'!J351,"")</f>
        <v>0</v>
      </c>
      <c r="K352" s="12">
        <f>IF(IF(SelectedScope="All India",TRUE,'RAW_QUIZ'!$B351=SelectedScope),'RAW_QUIZ'!K351,"")</f>
        <v>0</v>
      </c>
      <c r="L352" s="12">
        <f>IF(IF(SelectedScope="All India",TRUE,'RAW_QUIZ'!$B351=SelectedScope),'RAW_QUIZ'!L351,"")</f>
        <v>0</v>
      </c>
      <c r="M352" s="12">
        <f>IF(IF(SelectedScope="All India",TRUE,'RAW_QUIZ'!$B351=SelectedScope),'RAW_QUIZ'!M351,"")</f>
        <v>0</v>
      </c>
      <c r="N352" s="12">
        <f>IF(IF(SelectedScope="All India",TRUE,'RAW_QUIZ'!$B351=SelectedScope),'RAW_QUIZ'!N351,"")</f>
        <v>0</v>
      </c>
      <c r="O352" s="12">
        <f>IF(IF(SelectedScope="All India",TRUE,'RAW_QUIZ'!$B351=SelectedScope),'RAW_QUIZ'!O351,"")</f>
        <v>0</v>
      </c>
      <c r="P352" s="12">
        <f>IF(IF(SelectedScope="All India",TRUE,'RAW_QUIZ'!$B351=SelectedScope),'RAW_QUIZ'!P351,"")</f>
        <v>0</v>
      </c>
      <c r="Q352" s="12">
        <f>IF(IF(SelectedScope="All India",TRUE,'RAW_QUIZ'!$B351=SelectedScope),'RAW_QUIZ'!Q351,"")</f>
        <v>0</v>
      </c>
    </row>
    <row r="353" spans="1:17" ht="15" customHeight="1" x14ac:dyDescent="0.3">
      <c r="A353" s="9">
        <f>IF(IF(SelectedScope="All India",TRUE,'RAW_QUIZ'!$B352=SelectedScope),'RAW_QUIZ'!A352,"")</f>
        <v>349</v>
      </c>
      <c r="B353" s="9" t="str">
        <f>IF(IF(SelectedScope="All India",TRUE,'RAW_QUIZ'!$B352=SelectedScope),'RAW_QUIZ'!B352,"")</f>
        <v>Uttarakhand</v>
      </c>
      <c r="C353" s="9" t="str">
        <f>IF(IF(SelectedScope="All India",TRUE,'RAW_QUIZ'!$B352=SelectedScope),'RAW_QUIZ'!C352,"")</f>
        <v>Civics</v>
      </c>
      <c r="D353" s="9" t="str">
        <f>IF(IF(SelectedScope="All India",TRUE,'RAW_QUIZ'!$B352=SelectedScope),'RAW_QUIZ'!D352,"")</f>
        <v>Class 9</v>
      </c>
      <c r="E353" s="9" t="str">
        <f>IF(IF(SelectedScope="All India",TRUE,'RAW_QUIZ'!$B352=SelectedScope),'RAW_QUIZ'!E352,"")</f>
        <v>Indian Constitution — Unit Quiz</v>
      </c>
      <c r="F353" s="9">
        <f>IF(IF(SelectedScope="All India",TRUE,'RAW_QUIZ'!$B352=SelectedScope),'RAW_QUIZ'!F352,"")</f>
        <v>0</v>
      </c>
      <c r="G353" s="9" t="str">
        <f>IF(IF(SelectedScope="All India",TRUE,'RAW_QUIZ'!$B352=SelectedScope),'RAW_QUIZ'!G352,"")</f>
        <v>Active</v>
      </c>
      <c r="H353" s="9">
        <f>IF(IF(SelectedScope="All India",TRUE,'RAW_QUIZ'!$B352=SelectedScope),'RAW_QUIZ'!H352,"")</f>
        <v>0</v>
      </c>
      <c r="I353" s="9">
        <f>IF(IF(SelectedScope="All India",TRUE,'RAW_QUIZ'!$B352=SelectedScope),'RAW_QUIZ'!I352,"")</f>
        <v>0</v>
      </c>
      <c r="J353" s="9">
        <f>IF(IF(SelectedScope="All India",TRUE,'RAW_QUIZ'!$B352=SelectedScope),'RAW_QUIZ'!J352,"")</f>
        <v>0</v>
      </c>
      <c r="K353" s="9">
        <f>IF(IF(SelectedScope="All India",TRUE,'RAW_QUIZ'!$B352=SelectedScope),'RAW_QUIZ'!K352,"")</f>
        <v>0</v>
      </c>
      <c r="L353" s="9">
        <f>IF(IF(SelectedScope="All India",TRUE,'RAW_QUIZ'!$B352=SelectedScope),'RAW_QUIZ'!L352,"")</f>
        <v>0</v>
      </c>
      <c r="M353" s="9">
        <f>IF(IF(SelectedScope="All India",TRUE,'RAW_QUIZ'!$B352=SelectedScope),'RAW_QUIZ'!M352,"")</f>
        <v>0</v>
      </c>
      <c r="N353" s="9">
        <f>IF(IF(SelectedScope="All India",TRUE,'RAW_QUIZ'!$B352=SelectedScope),'RAW_QUIZ'!N352,"")</f>
        <v>0</v>
      </c>
      <c r="O353" s="9">
        <f>IF(IF(SelectedScope="All India",TRUE,'RAW_QUIZ'!$B352=SelectedScope),'RAW_QUIZ'!O352,"")</f>
        <v>0</v>
      </c>
      <c r="P353" s="9">
        <f>IF(IF(SelectedScope="All India",TRUE,'RAW_QUIZ'!$B352=SelectedScope),'RAW_QUIZ'!P352,"")</f>
        <v>0</v>
      </c>
      <c r="Q353" s="9">
        <f>IF(IF(SelectedScope="All India",TRUE,'RAW_QUIZ'!$B352=SelectedScope),'RAW_QUIZ'!Q352,"")</f>
        <v>0</v>
      </c>
    </row>
    <row r="354" spans="1:17" ht="15" customHeight="1" x14ac:dyDescent="0.3">
      <c r="A354" s="12">
        <f>IF(IF(SelectedScope="All India",TRUE,'RAW_QUIZ'!$B353=SelectedScope),'RAW_QUIZ'!A353,"")</f>
        <v>350</v>
      </c>
      <c r="B354" s="12" t="str">
        <f>IF(IF(SelectedScope="All India",TRUE,'RAW_QUIZ'!$B353=SelectedScope),'RAW_QUIZ'!B353,"")</f>
        <v>Uttarakhand</v>
      </c>
      <c r="C354" s="12" t="str">
        <f>IF(IF(SelectedScope="All India",TRUE,'RAW_QUIZ'!$B353=SelectedScope),'RAW_QUIZ'!C353,"")</f>
        <v>Mathematics</v>
      </c>
      <c r="D354" s="12" t="str">
        <f>IF(IF(SelectedScope="All India",TRUE,'RAW_QUIZ'!$B353=SelectedScope),'RAW_QUIZ'!D353,"")</f>
        <v>Class 10</v>
      </c>
      <c r="E354" s="12" t="str">
        <f>IF(IF(SelectedScope="All India",TRUE,'RAW_QUIZ'!$B353=SelectedScope),'RAW_QUIZ'!E353,"")</f>
        <v>Quadratic Equations — Unit Quiz</v>
      </c>
      <c r="F354" s="12">
        <f>IF(IF(SelectedScope="All India",TRUE,'RAW_QUIZ'!$B353=SelectedScope),'RAW_QUIZ'!F353,"")</f>
        <v>0</v>
      </c>
      <c r="G354" s="12" t="str">
        <f>IF(IF(SelectedScope="All India",TRUE,'RAW_QUIZ'!$B353=SelectedScope),'RAW_QUIZ'!G353,"")</f>
        <v>Active</v>
      </c>
      <c r="H354" s="12">
        <f>IF(IF(SelectedScope="All India",TRUE,'RAW_QUIZ'!$B353=SelectedScope),'RAW_QUIZ'!H353,"")</f>
        <v>0</v>
      </c>
      <c r="I354" s="12">
        <f>IF(IF(SelectedScope="All India",TRUE,'RAW_QUIZ'!$B353=SelectedScope),'RAW_QUIZ'!I353,"")</f>
        <v>0</v>
      </c>
      <c r="J354" s="12">
        <f>IF(IF(SelectedScope="All India",TRUE,'RAW_QUIZ'!$B353=SelectedScope),'RAW_QUIZ'!J353,"")</f>
        <v>0</v>
      </c>
      <c r="K354" s="12">
        <f>IF(IF(SelectedScope="All India",TRUE,'RAW_QUIZ'!$B353=SelectedScope),'RAW_QUIZ'!K353,"")</f>
        <v>0</v>
      </c>
      <c r="L354" s="12">
        <f>IF(IF(SelectedScope="All India",TRUE,'RAW_QUIZ'!$B353=SelectedScope),'RAW_QUIZ'!L353,"")</f>
        <v>0</v>
      </c>
      <c r="M354" s="12">
        <f>IF(IF(SelectedScope="All India",TRUE,'RAW_QUIZ'!$B353=SelectedScope),'RAW_QUIZ'!M353,"")</f>
        <v>0</v>
      </c>
      <c r="N354" s="12">
        <f>IF(IF(SelectedScope="All India",TRUE,'RAW_QUIZ'!$B353=SelectedScope),'RAW_QUIZ'!N353,"")</f>
        <v>0</v>
      </c>
      <c r="O354" s="12">
        <f>IF(IF(SelectedScope="All India",TRUE,'RAW_QUIZ'!$B353=SelectedScope),'RAW_QUIZ'!O353,"")</f>
        <v>0</v>
      </c>
      <c r="P354" s="12">
        <f>IF(IF(SelectedScope="All India",TRUE,'RAW_QUIZ'!$B353=SelectedScope),'RAW_QUIZ'!P353,"")</f>
        <v>0</v>
      </c>
      <c r="Q354" s="12">
        <f>IF(IF(SelectedScope="All India",TRUE,'RAW_QUIZ'!$B353=SelectedScope),'RAW_QUIZ'!Q353,"")</f>
        <v>0</v>
      </c>
    </row>
    <row r="355" spans="1:17" ht="15" customHeight="1" x14ac:dyDescent="0.3">
      <c r="A355" s="9">
        <f>IF(IF(SelectedScope="All India",TRUE,'RAW_QUIZ'!$B354=SelectedScope),'RAW_QUIZ'!A354,"")</f>
        <v>351</v>
      </c>
      <c r="B355" s="9" t="str">
        <f>IF(IF(SelectedScope="All India",TRUE,'RAW_QUIZ'!$B354=SelectedScope),'RAW_QUIZ'!B354,"")</f>
        <v>West Bengal</v>
      </c>
      <c r="C355" s="9" t="str">
        <f>IF(IF(SelectedScope="All India",TRUE,'RAW_QUIZ'!$B354=SelectedScope),'RAW_QUIZ'!C354,"")</f>
        <v>Science</v>
      </c>
      <c r="D355" s="9" t="str">
        <f>IF(IF(SelectedScope="All India",TRUE,'RAW_QUIZ'!$B354=SelectedScope),'RAW_QUIZ'!D354,"")</f>
        <v>Class 8</v>
      </c>
      <c r="E355" s="9" t="str">
        <f>IF(IF(SelectedScope="All India",TRUE,'RAW_QUIZ'!$B354=SelectedScope),'RAW_QUIZ'!E354,"")</f>
        <v>Solar System — Unit Quiz</v>
      </c>
      <c r="F355" s="9">
        <f>IF(IF(SelectedScope="All India",TRUE,'RAW_QUIZ'!$B354=SelectedScope),'RAW_QUIZ'!F354,"")</f>
        <v>0</v>
      </c>
      <c r="G355" s="9" t="str">
        <f>IF(IF(SelectedScope="All India",TRUE,'RAW_QUIZ'!$B354=SelectedScope),'RAW_QUIZ'!G354,"")</f>
        <v>Active</v>
      </c>
      <c r="H355" s="9">
        <f>IF(IF(SelectedScope="All India",TRUE,'RAW_QUIZ'!$B354=SelectedScope),'RAW_QUIZ'!H354,"")</f>
        <v>0</v>
      </c>
      <c r="I355" s="9">
        <f>IF(IF(SelectedScope="All India",TRUE,'RAW_QUIZ'!$B354=SelectedScope),'RAW_QUIZ'!I354,"")</f>
        <v>0</v>
      </c>
      <c r="J355" s="9">
        <f>IF(IF(SelectedScope="All India",TRUE,'RAW_QUIZ'!$B354=SelectedScope),'RAW_QUIZ'!J354,"")</f>
        <v>0</v>
      </c>
      <c r="K355" s="9">
        <f>IF(IF(SelectedScope="All India",TRUE,'RAW_QUIZ'!$B354=SelectedScope),'RAW_QUIZ'!K354,"")</f>
        <v>0</v>
      </c>
      <c r="L355" s="9">
        <f>IF(IF(SelectedScope="All India",TRUE,'RAW_QUIZ'!$B354=SelectedScope),'RAW_QUIZ'!L354,"")</f>
        <v>0</v>
      </c>
      <c r="M355" s="9">
        <f>IF(IF(SelectedScope="All India",TRUE,'RAW_QUIZ'!$B354=SelectedScope),'RAW_QUIZ'!M354,"")</f>
        <v>0</v>
      </c>
      <c r="N355" s="9">
        <f>IF(IF(SelectedScope="All India",TRUE,'RAW_QUIZ'!$B354=SelectedScope),'RAW_QUIZ'!N354,"")</f>
        <v>0</v>
      </c>
      <c r="O355" s="9">
        <f>IF(IF(SelectedScope="All India",TRUE,'RAW_QUIZ'!$B354=SelectedScope),'RAW_QUIZ'!O354,"")</f>
        <v>0</v>
      </c>
      <c r="P355" s="9">
        <f>IF(IF(SelectedScope="All India",TRUE,'RAW_QUIZ'!$B354=SelectedScope),'RAW_QUIZ'!P354,"")</f>
        <v>0</v>
      </c>
      <c r="Q355" s="9">
        <f>IF(IF(SelectedScope="All India",TRUE,'RAW_QUIZ'!$B354=SelectedScope),'RAW_QUIZ'!Q354,"")</f>
        <v>0</v>
      </c>
    </row>
    <row r="356" spans="1:17" ht="15" customHeight="1" x14ac:dyDescent="0.3">
      <c r="A356" s="12">
        <f>IF(IF(SelectedScope="All India",TRUE,'RAW_QUIZ'!$B355=SelectedScope),'RAW_QUIZ'!A355,"")</f>
        <v>352</v>
      </c>
      <c r="B356" s="12" t="str">
        <f>IF(IF(SelectedScope="All India",TRUE,'RAW_QUIZ'!$B355=SelectedScope),'RAW_QUIZ'!B355,"")</f>
        <v>West Bengal</v>
      </c>
      <c r="C356" s="12" t="str">
        <f>IF(IF(SelectedScope="All India",TRUE,'RAW_QUIZ'!$B355=SelectedScope),'RAW_QUIZ'!C355,"")</f>
        <v>Biology</v>
      </c>
      <c r="D356" s="12" t="str">
        <f>IF(IF(SelectedScope="All India",TRUE,'RAW_QUIZ'!$B355=SelectedScope),'RAW_QUIZ'!D355,"")</f>
        <v>Class 9</v>
      </c>
      <c r="E356" s="12" t="str">
        <f>IF(IF(SelectedScope="All India",TRUE,'RAW_QUIZ'!$B355=SelectedScope),'RAW_QUIZ'!E355,"")</f>
        <v>Cell Division — Unit Quiz</v>
      </c>
      <c r="F356" s="12">
        <f>IF(IF(SelectedScope="All India",TRUE,'RAW_QUIZ'!$B355=SelectedScope),'RAW_QUIZ'!F355,"")</f>
        <v>0</v>
      </c>
      <c r="G356" s="12" t="str">
        <f>IF(IF(SelectedScope="All India",TRUE,'RAW_QUIZ'!$B355=SelectedScope),'RAW_QUIZ'!G355,"")</f>
        <v>Active</v>
      </c>
      <c r="H356" s="12">
        <f>IF(IF(SelectedScope="All India",TRUE,'RAW_QUIZ'!$B355=SelectedScope),'RAW_QUIZ'!H355,"")</f>
        <v>0</v>
      </c>
      <c r="I356" s="12">
        <f>IF(IF(SelectedScope="All India",TRUE,'RAW_QUIZ'!$B355=SelectedScope),'RAW_QUIZ'!I355,"")</f>
        <v>0</v>
      </c>
      <c r="J356" s="12">
        <f>IF(IF(SelectedScope="All India",TRUE,'RAW_QUIZ'!$B355=SelectedScope),'RAW_QUIZ'!J355,"")</f>
        <v>0</v>
      </c>
      <c r="K356" s="12">
        <f>IF(IF(SelectedScope="All India",TRUE,'RAW_QUIZ'!$B355=SelectedScope),'RAW_QUIZ'!K355,"")</f>
        <v>0</v>
      </c>
      <c r="L356" s="12">
        <f>IF(IF(SelectedScope="All India",TRUE,'RAW_QUIZ'!$B355=SelectedScope),'RAW_QUIZ'!L355,"")</f>
        <v>0</v>
      </c>
      <c r="M356" s="12">
        <f>IF(IF(SelectedScope="All India",TRUE,'RAW_QUIZ'!$B355=SelectedScope),'RAW_QUIZ'!M355,"")</f>
        <v>0</v>
      </c>
      <c r="N356" s="12">
        <f>IF(IF(SelectedScope="All India",TRUE,'RAW_QUIZ'!$B355=SelectedScope),'RAW_QUIZ'!N355,"")</f>
        <v>0</v>
      </c>
      <c r="O356" s="12">
        <f>IF(IF(SelectedScope="All India",TRUE,'RAW_QUIZ'!$B355=SelectedScope),'RAW_QUIZ'!O355,"")</f>
        <v>0</v>
      </c>
      <c r="P356" s="12">
        <f>IF(IF(SelectedScope="All India",TRUE,'RAW_QUIZ'!$B355=SelectedScope),'RAW_QUIZ'!P355,"")</f>
        <v>0</v>
      </c>
      <c r="Q356" s="12">
        <f>IF(IF(SelectedScope="All India",TRUE,'RAW_QUIZ'!$B355=SelectedScope),'RAW_QUIZ'!Q355,"")</f>
        <v>0</v>
      </c>
    </row>
    <row r="357" spans="1:17" ht="15" customHeight="1" x14ac:dyDescent="0.3">
      <c r="A357" s="9">
        <f>IF(IF(SelectedScope="All India",TRUE,'RAW_QUIZ'!$B356=SelectedScope),'RAW_QUIZ'!A356,"")</f>
        <v>353</v>
      </c>
      <c r="B357" s="9" t="str">
        <f>IF(IF(SelectedScope="All India",TRUE,'RAW_QUIZ'!$B356=SelectedScope),'RAW_QUIZ'!B356,"")</f>
        <v>West Bengal</v>
      </c>
      <c r="C357" s="9" t="str">
        <f>IF(IF(SelectedScope="All India",TRUE,'RAW_QUIZ'!$B356=SelectedScope),'RAW_QUIZ'!C356,"")</f>
        <v>Chemistry</v>
      </c>
      <c r="D357" s="9" t="str">
        <f>IF(IF(SelectedScope="All India",TRUE,'RAW_QUIZ'!$B356=SelectedScope),'RAW_QUIZ'!D356,"")</f>
        <v>Class 9</v>
      </c>
      <c r="E357" s="9" t="str">
        <f>IF(IF(SelectedScope="All India",TRUE,'RAW_QUIZ'!$B356=SelectedScope),'RAW_QUIZ'!E356,"")</f>
        <v>Atoms and Molecules — Unit Quiz</v>
      </c>
      <c r="F357" s="9">
        <f>IF(IF(SelectedScope="All India",TRUE,'RAW_QUIZ'!$B356=SelectedScope),'RAW_QUIZ'!F356,"")</f>
        <v>0</v>
      </c>
      <c r="G357" s="9" t="str">
        <f>IF(IF(SelectedScope="All India",TRUE,'RAW_QUIZ'!$B356=SelectedScope),'RAW_QUIZ'!G356,"")</f>
        <v>Active</v>
      </c>
      <c r="H357" s="9">
        <f>IF(IF(SelectedScope="All India",TRUE,'RAW_QUIZ'!$B356=SelectedScope),'RAW_QUIZ'!H356,"")</f>
        <v>0</v>
      </c>
      <c r="I357" s="9">
        <f>IF(IF(SelectedScope="All India",TRUE,'RAW_QUIZ'!$B356=SelectedScope),'RAW_QUIZ'!I356,"")</f>
        <v>0</v>
      </c>
      <c r="J357" s="9">
        <f>IF(IF(SelectedScope="All India",TRUE,'RAW_QUIZ'!$B356=SelectedScope),'RAW_QUIZ'!J356,"")</f>
        <v>0</v>
      </c>
      <c r="K357" s="9">
        <f>IF(IF(SelectedScope="All India",TRUE,'RAW_QUIZ'!$B356=SelectedScope),'RAW_QUIZ'!K356,"")</f>
        <v>0</v>
      </c>
      <c r="L357" s="9">
        <f>IF(IF(SelectedScope="All India",TRUE,'RAW_QUIZ'!$B356=SelectedScope),'RAW_QUIZ'!L356,"")</f>
        <v>0</v>
      </c>
      <c r="M357" s="9">
        <f>IF(IF(SelectedScope="All India",TRUE,'RAW_QUIZ'!$B356=SelectedScope),'RAW_QUIZ'!M356,"")</f>
        <v>0</v>
      </c>
      <c r="N357" s="9">
        <f>IF(IF(SelectedScope="All India",TRUE,'RAW_QUIZ'!$B356=SelectedScope),'RAW_QUIZ'!N356,"")</f>
        <v>0</v>
      </c>
      <c r="O357" s="9">
        <f>IF(IF(SelectedScope="All India",TRUE,'RAW_QUIZ'!$B356=SelectedScope),'RAW_QUIZ'!O356,"")</f>
        <v>0</v>
      </c>
      <c r="P357" s="9">
        <f>IF(IF(SelectedScope="All India",TRUE,'RAW_QUIZ'!$B356=SelectedScope),'RAW_QUIZ'!P356,"")</f>
        <v>0</v>
      </c>
      <c r="Q357" s="9">
        <f>IF(IF(SelectedScope="All India",TRUE,'RAW_QUIZ'!$B356=SelectedScope),'RAW_QUIZ'!Q356,"")</f>
        <v>0</v>
      </c>
    </row>
    <row r="358" spans="1:17" ht="15" customHeight="1" x14ac:dyDescent="0.3">
      <c r="A358" s="12">
        <f>IF(IF(SelectedScope="All India",TRUE,'RAW_QUIZ'!$B357=SelectedScope),'RAW_QUIZ'!A357,"")</f>
        <v>354</v>
      </c>
      <c r="B358" s="12" t="str">
        <f>IF(IF(SelectedScope="All India",TRUE,'RAW_QUIZ'!$B357=SelectedScope),'RAW_QUIZ'!B357,"")</f>
        <v>West Bengal</v>
      </c>
      <c r="C358" s="12" t="str">
        <f>IF(IF(SelectedScope="All India",TRUE,'RAW_QUIZ'!$B357=SelectedScope),'RAW_QUIZ'!C357,"")</f>
        <v>Mathematics</v>
      </c>
      <c r="D358" s="12" t="str">
        <f>IF(IF(SelectedScope="All India",TRUE,'RAW_QUIZ'!$B357=SelectedScope),'RAW_QUIZ'!D357,"")</f>
        <v>Class 7</v>
      </c>
      <c r="E358" s="12" t="str">
        <f>IF(IF(SelectedScope="All India",TRUE,'RAW_QUIZ'!$B357=SelectedScope),'RAW_QUIZ'!E357,"")</f>
        <v>Fractions — Unit Quiz</v>
      </c>
      <c r="F358" s="12">
        <f>IF(IF(SelectedScope="All India",TRUE,'RAW_QUIZ'!$B357=SelectedScope),'RAW_QUIZ'!F357,"")</f>
        <v>0</v>
      </c>
      <c r="G358" s="12" t="str">
        <f>IF(IF(SelectedScope="All India",TRUE,'RAW_QUIZ'!$B357=SelectedScope),'RAW_QUIZ'!G357,"")</f>
        <v>Active</v>
      </c>
      <c r="H358" s="12">
        <f>IF(IF(SelectedScope="All India",TRUE,'RAW_QUIZ'!$B357=SelectedScope),'RAW_QUIZ'!H357,"")</f>
        <v>0</v>
      </c>
      <c r="I358" s="12">
        <f>IF(IF(SelectedScope="All India",TRUE,'RAW_QUIZ'!$B357=SelectedScope),'RAW_QUIZ'!I357,"")</f>
        <v>0</v>
      </c>
      <c r="J358" s="12">
        <f>IF(IF(SelectedScope="All India",TRUE,'RAW_QUIZ'!$B357=SelectedScope),'RAW_QUIZ'!J357,"")</f>
        <v>0</v>
      </c>
      <c r="K358" s="12">
        <f>IF(IF(SelectedScope="All India",TRUE,'RAW_QUIZ'!$B357=SelectedScope),'RAW_QUIZ'!K357,"")</f>
        <v>0</v>
      </c>
      <c r="L358" s="12">
        <f>IF(IF(SelectedScope="All India",TRUE,'RAW_QUIZ'!$B357=SelectedScope),'RAW_QUIZ'!L357,"")</f>
        <v>0</v>
      </c>
      <c r="M358" s="12">
        <f>IF(IF(SelectedScope="All India",TRUE,'RAW_QUIZ'!$B357=SelectedScope),'RAW_QUIZ'!M357,"")</f>
        <v>0</v>
      </c>
      <c r="N358" s="12">
        <f>IF(IF(SelectedScope="All India",TRUE,'RAW_QUIZ'!$B357=SelectedScope),'RAW_QUIZ'!N357,"")</f>
        <v>0</v>
      </c>
      <c r="O358" s="12">
        <f>IF(IF(SelectedScope="All India",TRUE,'RAW_QUIZ'!$B357=SelectedScope),'RAW_QUIZ'!O357,"")</f>
        <v>0</v>
      </c>
      <c r="P358" s="12">
        <f>IF(IF(SelectedScope="All India",TRUE,'RAW_QUIZ'!$B357=SelectedScope),'RAW_QUIZ'!P357,"")</f>
        <v>0</v>
      </c>
      <c r="Q358" s="12">
        <f>IF(IF(SelectedScope="All India",TRUE,'RAW_QUIZ'!$B357=SelectedScope),'RAW_QUIZ'!Q357,"")</f>
        <v>0</v>
      </c>
    </row>
    <row r="359" spans="1:17" ht="15" customHeight="1" x14ac:dyDescent="0.3">
      <c r="A359" s="9">
        <f>IF(IF(SelectedScope="All India",TRUE,'RAW_QUIZ'!$B358=SelectedScope),'RAW_QUIZ'!A358,"")</f>
        <v>355</v>
      </c>
      <c r="B359" s="9" t="str">
        <f>IF(IF(SelectedScope="All India",TRUE,'RAW_QUIZ'!$B358=SelectedScope),'RAW_QUIZ'!B358,"")</f>
        <v>West Bengal</v>
      </c>
      <c r="C359" s="9" t="str">
        <f>IF(IF(SelectedScope="All India",TRUE,'RAW_QUIZ'!$B358=SelectedScope),'RAW_QUIZ'!C358,"")</f>
        <v>Mathematics</v>
      </c>
      <c r="D359" s="9" t="str">
        <f>IF(IF(SelectedScope="All India",TRUE,'RAW_QUIZ'!$B358=SelectedScope),'RAW_QUIZ'!D358,"")</f>
        <v>Class 10</v>
      </c>
      <c r="E359" s="9" t="str">
        <f>IF(IF(SelectedScope="All India",TRUE,'RAW_QUIZ'!$B358=SelectedScope),'RAW_QUIZ'!E358,"")</f>
        <v>Trigonometry — Unit Quiz</v>
      </c>
      <c r="F359" s="9">
        <f>IF(IF(SelectedScope="All India",TRUE,'RAW_QUIZ'!$B358=SelectedScope),'RAW_QUIZ'!F358,"")</f>
        <v>0</v>
      </c>
      <c r="G359" s="9" t="str">
        <f>IF(IF(SelectedScope="All India",TRUE,'RAW_QUIZ'!$B358=SelectedScope),'RAW_QUIZ'!G358,"")</f>
        <v>Active</v>
      </c>
      <c r="H359" s="9">
        <f>IF(IF(SelectedScope="All India",TRUE,'RAW_QUIZ'!$B358=SelectedScope),'RAW_QUIZ'!H358,"")</f>
        <v>0</v>
      </c>
      <c r="I359" s="9">
        <f>IF(IF(SelectedScope="All India",TRUE,'RAW_QUIZ'!$B358=SelectedScope),'RAW_QUIZ'!I358,"")</f>
        <v>0</v>
      </c>
      <c r="J359" s="9">
        <f>IF(IF(SelectedScope="All India",TRUE,'RAW_QUIZ'!$B358=SelectedScope),'RAW_QUIZ'!J358,"")</f>
        <v>0</v>
      </c>
      <c r="K359" s="9">
        <f>IF(IF(SelectedScope="All India",TRUE,'RAW_QUIZ'!$B358=SelectedScope),'RAW_QUIZ'!K358,"")</f>
        <v>0</v>
      </c>
      <c r="L359" s="9">
        <f>IF(IF(SelectedScope="All India",TRUE,'RAW_QUIZ'!$B358=SelectedScope),'RAW_QUIZ'!L358,"")</f>
        <v>0</v>
      </c>
      <c r="M359" s="9">
        <f>IF(IF(SelectedScope="All India",TRUE,'RAW_QUIZ'!$B358=SelectedScope),'RAW_QUIZ'!M358,"")</f>
        <v>0</v>
      </c>
      <c r="N359" s="9">
        <f>IF(IF(SelectedScope="All India",TRUE,'RAW_QUIZ'!$B358=SelectedScope),'RAW_QUIZ'!N358,"")</f>
        <v>0</v>
      </c>
      <c r="O359" s="9">
        <f>IF(IF(SelectedScope="All India",TRUE,'RAW_QUIZ'!$B358=SelectedScope),'RAW_QUIZ'!O358,"")</f>
        <v>0</v>
      </c>
      <c r="P359" s="9">
        <f>IF(IF(SelectedScope="All India",TRUE,'RAW_QUIZ'!$B358=SelectedScope),'RAW_QUIZ'!P358,"")</f>
        <v>0</v>
      </c>
      <c r="Q359" s="9">
        <f>IF(IF(SelectedScope="All India",TRUE,'RAW_QUIZ'!$B358=SelectedScope),'RAW_QUIZ'!Q358,"")</f>
        <v>0</v>
      </c>
    </row>
    <row r="360" spans="1:17" ht="15" customHeight="1" x14ac:dyDescent="0.3">
      <c r="A360" s="12">
        <f>IF(IF(SelectedScope="All India",TRUE,'RAW_QUIZ'!$B359=SelectedScope),'RAW_QUIZ'!A359,"")</f>
        <v>356</v>
      </c>
      <c r="B360" s="12" t="str">
        <f>IF(IF(SelectedScope="All India",TRUE,'RAW_QUIZ'!$B359=SelectedScope),'RAW_QUIZ'!B359,"")</f>
        <v>West Bengal</v>
      </c>
      <c r="C360" s="12" t="str">
        <f>IF(IF(SelectedScope="All India",TRUE,'RAW_QUIZ'!$B359=SelectedScope),'RAW_QUIZ'!C359,"")</f>
        <v>History</v>
      </c>
      <c r="D360" s="12" t="str">
        <f>IF(IF(SelectedScope="All India",TRUE,'RAW_QUIZ'!$B359=SelectedScope),'RAW_QUIZ'!D359,"")</f>
        <v>Class 10</v>
      </c>
      <c r="E360" s="12" t="str">
        <f>IF(IF(SelectedScope="All India",TRUE,'RAW_QUIZ'!$B359=SelectedScope),'RAW_QUIZ'!E359,"")</f>
        <v>Mughal Empire — Unit Quiz</v>
      </c>
      <c r="F360" s="12">
        <f>IF(IF(SelectedScope="All India",TRUE,'RAW_QUIZ'!$B359=SelectedScope),'RAW_QUIZ'!F359,"")</f>
        <v>0</v>
      </c>
      <c r="G360" s="12" t="str">
        <f>IF(IF(SelectedScope="All India",TRUE,'RAW_QUIZ'!$B359=SelectedScope),'RAW_QUIZ'!G359,"")</f>
        <v>Active</v>
      </c>
      <c r="H360" s="12">
        <f>IF(IF(SelectedScope="All India",TRUE,'RAW_QUIZ'!$B359=SelectedScope),'RAW_QUIZ'!H359,"")</f>
        <v>0</v>
      </c>
      <c r="I360" s="12">
        <f>IF(IF(SelectedScope="All India",TRUE,'RAW_QUIZ'!$B359=SelectedScope),'RAW_QUIZ'!I359,"")</f>
        <v>0</v>
      </c>
      <c r="J360" s="12">
        <f>IF(IF(SelectedScope="All India",TRUE,'RAW_QUIZ'!$B359=SelectedScope),'RAW_QUIZ'!J359,"")</f>
        <v>0</v>
      </c>
      <c r="K360" s="12">
        <f>IF(IF(SelectedScope="All India",TRUE,'RAW_QUIZ'!$B359=SelectedScope),'RAW_QUIZ'!K359,"")</f>
        <v>0</v>
      </c>
      <c r="L360" s="12">
        <f>IF(IF(SelectedScope="All India",TRUE,'RAW_QUIZ'!$B359=SelectedScope),'RAW_QUIZ'!L359,"")</f>
        <v>0</v>
      </c>
      <c r="M360" s="12">
        <f>IF(IF(SelectedScope="All India",TRUE,'RAW_QUIZ'!$B359=SelectedScope),'RAW_QUIZ'!M359,"")</f>
        <v>0</v>
      </c>
      <c r="N360" s="12">
        <f>IF(IF(SelectedScope="All India",TRUE,'RAW_QUIZ'!$B359=SelectedScope),'RAW_QUIZ'!N359,"")</f>
        <v>0</v>
      </c>
      <c r="O360" s="12">
        <f>IF(IF(SelectedScope="All India",TRUE,'RAW_QUIZ'!$B359=SelectedScope),'RAW_QUIZ'!O359,"")</f>
        <v>0</v>
      </c>
      <c r="P360" s="12">
        <f>IF(IF(SelectedScope="All India",TRUE,'RAW_QUIZ'!$B359=SelectedScope),'RAW_QUIZ'!P359,"")</f>
        <v>0</v>
      </c>
      <c r="Q360" s="12">
        <f>IF(IF(SelectedScope="All India",TRUE,'RAW_QUIZ'!$B359=SelectedScope),'RAW_QUIZ'!Q359,"")</f>
        <v>0</v>
      </c>
    </row>
    <row r="361" spans="1:17" ht="15" customHeight="1" x14ac:dyDescent="0.3">
      <c r="A361" s="9">
        <f>IF(IF(SelectedScope="All India",TRUE,'RAW_QUIZ'!$B360=SelectedScope),'RAW_QUIZ'!A360,"")</f>
        <v>357</v>
      </c>
      <c r="B361" s="9" t="str">
        <f>IF(IF(SelectedScope="All India",TRUE,'RAW_QUIZ'!$B360=SelectedScope),'RAW_QUIZ'!B360,"")</f>
        <v>West Bengal</v>
      </c>
      <c r="C361" s="9" t="str">
        <f>IF(IF(SelectedScope="All India",TRUE,'RAW_QUIZ'!$B360=SelectedScope),'RAW_QUIZ'!C360,"")</f>
        <v>Physics</v>
      </c>
      <c r="D361" s="9" t="str">
        <f>IF(IF(SelectedScope="All India",TRUE,'RAW_QUIZ'!$B360=SelectedScope),'RAW_QUIZ'!D360,"")</f>
        <v>Class 9</v>
      </c>
      <c r="E361" s="9" t="str">
        <f>IF(IF(SelectedScope="All India",TRUE,'RAW_QUIZ'!$B360=SelectedScope),'RAW_QUIZ'!E360,"")</f>
        <v>Laws of Motion — Unit Quiz</v>
      </c>
      <c r="F361" s="9">
        <f>IF(IF(SelectedScope="All India",TRUE,'RAW_QUIZ'!$B360=SelectedScope),'RAW_QUIZ'!F360,"")</f>
        <v>0</v>
      </c>
      <c r="G361" s="9" t="str">
        <f>IF(IF(SelectedScope="All India",TRUE,'RAW_QUIZ'!$B360=SelectedScope),'RAW_QUIZ'!G360,"")</f>
        <v>Active</v>
      </c>
      <c r="H361" s="9">
        <f>IF(IF(SelectedScope="All India",TRUE,'RAW_QUIZ'!$B360=SelectedScope),'RAW_QUIZ'!H360,"")</f>
        <v>0</v>
      </c>
      <c r="I361" s="9">
        <f>IF(IF(SelectedScope="All India",TRUE,'RAW_QUIZ'!$B360=SelectedScope),'RAW_QUIZ'!I360,"")</f>
        <v>0</v>
      </c>
      <c r="J361" s="9">
        <f>IF(IF(SelectedScope="All India",TRUE,'RAW_QUIZ'!$B360=SelectedScope),'RAW_QUIZ'!J360,"")</f>
        <v>0</v>
      </c>
      <c r="K361" s="9">
        <f>IF(IF(SelectedScope="All India",TRUE,'RAW_QUIZ'!$B360=SelectedScope),'RAW_QUIZ'!K360,"")</f>
        <v>0</v>
      </c>
      <c r="L361" s="9">
        <f>IF(IF(SelectedScope="All India",TRUE,'RAW_QUIZ'!$B360=SelectedScope),'RAW_QUIZ'!L360,"")</f>
        <v>0</v>
      </c>
      <c r="M361" s="9">
        <f>IF(IF(SelectedScope="All India",TRUE,'RAW_QUIZ'!$B360=SelectedScope),'RAW_QUIZ'!M360,"")</f>
        <v>0</v>
      </c>
      <c r="N361" s="9">
        <f>IF(IF(SelectedScope="All India",TRUE,'RAW_QUIZ'!$B360=SelectedScope),'RAW_QUIZ'!N360,"")</f>
        <v>0</v>
      </c>
      <c r="O361" s="9">
        <f>IF(IF(SelectedScope="All India",TRUE,'RAW_QUIZ'!$B360=SelectedScope),'RAW_QUIZ'!O360,"")</f>
        <v>0</v>
      </c>
      <c r="P361" s="9">
        <f>IF(IF(SelectedScope="All India",TRUE,'RAW_QUIZ'!$B360=SelectedScope),'RAW_QUIZ'!P360,"")</f>
        <v>0</v>
      </c>
      <c r="Q361" s="9">
        <f>IF(IF(SelectedScope="All India",TRUE,'RAW_QUIZ'!$B360=SelectedScope),'RAW_QUIZ'!Q360,"")</f>
        <v>0</v>
      </c>
    </row>
    <row r="362" spans="1:17" ht="15" customHeight="1" x14ac:dyDescent="0.3">
      <c r="A362" s="12">
        <f>IF(IF(SelectedScope="All India",TRUE,'RAW_QUIZ'!$B361=SelectedScope),'RAW_QUIZ'!A361,"")</f>
        <v>358</v>
      </c>
      <c r="B362" s="12" t="str">
        <f>IF(IF(SelectedScope="All India",TRUE,'RAW_QUIZ'!$B361=SelectedScope),'RAW_QUIZ'!B361,"")</f>
        <v>West Bengal</v>
      </c>
      <c r="C362" s="12" t="str">
        <f>IF(IF(SelectedScope="All India",TRUE,'RAW_QUIZ'!$B361=SelectedScope),'RAW_QUIZ'!C361,"")</f>
        <v>Physics</v>
      </c>
      <c r="D362" s="12" t="str">
        <f>IF(IF(SelectedScope="All India",TRUE,'RAW_QUIZ'!$B361=SelectedScope),'RAW_QUIZ'!D361,"")</f>
        <v>Class 10</v>
      </c>
      <c r="E362" s="12" t="str">
        <f>IF(IF(SelectedScope="All India",TRUE,'RAW_QUIZ'!$B361=SelectedScope),'RAW_QUIZ'!E361,"")</f>
        <v>Electricity — Unit Quiz</v>
      </c>
      <c r="F362" s="12">
        <f>IF(IF(SelectedScope="All India",TRUE,'RAW_QUIZ'!$B361=SelectedScope),'RAW_QUIZ'!F361,"")</f>
        <v>0</v>
      </c>
      <c r="G362" s="12" t="str">
        <f>IF(IF(SelectedScope="All India",TRUE,'RAW_QUIZ'!$B361=SelectedScope),'RAW_QUIZ'!G361,"")</f>
        <v>Active</v>
      </c>
      <c r="H362" s="12">
        <f>IF(IF(SelectedScope="All India",TRUE,'RAW_QUIZ'!$B361=SelectedScope),'RAW_QUIZ'!H361,"")</f>
        <v>0</v>
      </c>
      <c r="I362" s="12">
        <f>IF(IF(SelectedScope="All India",TRUE,'RAW_QUIZ'!$B361=SelectedScope),'RAW_QUIZ'!I361,"")</f>
        <v>0</v>
      </c>
      <c r="J362" s="12">
        <f>IF(IF(SelectedScope="All India",TRUE,'RAW_QUIZ'!$B361=SelectedScope),'RAW_QUIZ'!J361,"")</f>
        <v>0</v>
      </c>
      <c r="K362" s="12">
        <f>IF(IF(SelectedScope="All India",TRUE,'RAW_QUIZ'!$B361=SelectedScope),'RAW_QUIZ'!K361,"")</f>
        <v>0</v>
      </c>
      <c r="L362" s="12">
        <f>IF(IF(SelectedScope="All India",TRUE,'RAW_QUIZ'!$B361=SelectedScope),'RAW_QUIZ'!L361,"")</f>
        <v>0</v>
      </c>
      <c r="M362" s="12">
        <f>IF(IF(SelectedScope="All India",TRUE,'RAW_QUIZ'!$B361=SelectedScope),'RAW_QUIZ'!M361,"")</f>
        <v>0</v>
      </c>
      <c r="N362" s="12">
        <f>IF(IF(SelectedScope="All India",TRUE,'RAW_QUIZ'!$B361=SelectedScope),'RAW_QUIZ'!N361,"")</f>
        <v>0</v>
      </c>
      <c r="O362" s="12">
        <f>IF(IF(SelectedScope="All India",TRUE,'RAW_QUIZ'!$B361=SelectedScope),'RAW_QUIZ'!O361,"")</f>
        <v>0</v>
      </c>
      <c r="P362" s="12">
        <f>IF(IF(SelectedScope="All India",TRUE,'RAW_QUIZ'!$B361=SelectedScope),'RAW_QUIZ'!P361,"")</f>
        <v>0</v>
      </c>
      <c r="Q362" s="12">
        <f>IF(IF(SelectedScope="All India",TRUE,'RAW_QUIZ'!$B361=SelectedScope),'RAW_QUIZ'!Q361,"")</f>
        <v>0</v>
      </c>
    </row>
    <row r="363" spans="1:17" ht="15" customHeight="1" x14ac:dyDescent="0.3">
      <c r="A363" s="9">
        <f>IF(IF(SelectedScope="All India",TRUE,'RAW_QUIZ'!$B362=SelectedScope),'RAW_QUIZ'!A362,"")</f>
        <v>359</v>
      </c>
      <c r="B363" s="9" t="str">
        <f>IF(IF(SelectedScope="All India",TRUE,'RAW_QUIZ'!$B362=SelectedScope),'RAW_QUIZ'!B362,"")</f>
        <v>West Bengal</v>
      </c>
      <c r="C363" s="9" t="str">
        <f>IF(IF(SelectedScope="All India",TRUE,'RAW_QUIZ'!$B362=SelectedScope),'RAW_QUIZ'!C362,"")</f>
        <v>Civics</v>
      </c>
      <c r="D363" s="9" t="str">
        <f>IF(IF(SelectedScope="All India",TRUE,'RAW_QUIZ'!$B362=SelectedScope),'RAW_QUIZ'!D362,"")</f>
        <v>Class 9</v>
      </c>
      <c r="E363" s="9" t="str">
        <f>IF(IF(SelectedScope="All India",TRUE,'RAW_QUIZ'!$B362=SelectedScope),'RAW_QUIZ'!E362,"")</f>
        <v>Indian Constitution — Unit Quiz</v>
      </c>
      <c r="F363" s="9">
        <f>IF(IF(SelectedScope="All India",TRUE,'RAW_QUIZ'!$B362=SelectedScope),'RAW_QUIZ'!F362,"")</f>
        <v>0</v>
      </c>
      <c r="G363" s="9" t="str">
        <f>IF(IF(SelectedScope="All India",TRUE,'RAW_QUIZ'!$B362=SelectedScope),'RAW_QUIZ'!G362,"")</f>
        <v>Active</v>
      </c>
      <c r="H363" s="9">
        <f>IF(IF(SelectedScope="All India",TRUE,'RAW_QUIZ'!$B362=SelectedScope),'RAW_QUIZ'!H362,"")</f>
        <v>0</v>
      </c>
      <c r="I363" s="9">
        <f>IF(IF(SelectedScope="All India",TRUE,'RAW_QUIZ'!$B362=SelectedScope),'RAW_QUIZ'!I362,"")</f>
        <v>0</v>
      </c>
      <c r="J363" s="9">
        <f>IF(IF(SelectedScope="All India",TRUE,'RAW_QUIZ'!$B362=SelectedScope),'RAW_QUIZ'!J362,"")</f>
        <v>0</v>
      </c>
      <c r="K363" s="9">
        <f>IF(IF(SelectedScope="All India",TRUE,'RAW_QUIZ'!$B362=SelectedScope),'RAW_QUIZ'!K362,"")</f>
        <v>0</v>
      </c>
      <c r="L363" s="9">
        <f>IF(IF(SelectedScope="All India",TRUE,'RAW_QUIZ'!$B362=SelectedScope),'RAW_QUIZ'!L362,"")</f>
        <v>0</v>
      </c>
      <c r="M363" s="9">
        <f>IF(IF(SelectedScope="All India",TRUE,'RAW_QUIZ'!$B362=SelectedScope),'RAW_QUIZ'!M362,"")</f>
        <v>0</v>
      </c>
      <c r="N363" s="9">
        <f>IF(IF(SelectedScope="All India",TRUE,'RAW_QUIZ'!$B362=SelectedScope),'RAW_QUIZ'!N362,"")</f>
        <v>0</v>
      </c>
      <c r="O363" s="9">
        <f>IF(IF(SelectedScope="All India",TRUE,'RAW_QUIZ'!$B362=SelectedScope),'RAW_QUIZ'!O362,"")</f>
        <v>0</v>
      </c>
      <c r="P363" s="9">
        <f>IF(IF(SelectedScope="All India",TRUE,'RAW_QUIZ'!$B362=SelectedScope),'RAW_QUIZ'!P362,"")</f>
        <v>0</v>
      </c>
      <c r="Q363" s="9">
        <f>IF(IF(SelectedScope="All India",TRUE,'RAW_QUIZ'!$B362=SelectedScope),'RAW_QUIZ'!Q362,"")</f>
        <v>0</v>
      </c>
    </row>
    <row r="364" spans="1:17" ht="15" customHeight="1" x14ac:dyDescent="0.3">
      <c r="A364" s="12">
        <f>IF(IF(SelectedScope="All India",TRUE,'RAW_QUIZ'!$B363=SelectedScope),'RAW_QUIZ'!A363,"")</f>
        <v>360</v>
      </c>
      <c r="B364" s="12" t="str">
        <f>IF(IF(SelectedScope="All India",TRUE,'RAW_QUIZ'!$B363=SelectedScope),'RAW_QUIZ'!B363,"")</f>
        <v>West Bengal</v>
      </c>
      <c r="C364" s="12" t="str">
        <f>IF(IF(SelectedScope="All India",TRUE,'RAW_QUIZ'!$B363=SelectedScope),'RAW_QUIZ'!C363,"")</f>
        <v>Mathematics</v>
      </c>
      <c r="D364" s="12" t="str">
        <f>IF(IF(SelectedScope="All India",TRUE,'RAW_QUIZ'!$B363=SelectedScope),'RAW_QUIZ'!D363,"")</f>
        <v>Class 10</v>
      </c>
      <c r="E364" s="12" t="str">
        <f>IF(IF(SelectedScope="All India",TRUE,'RAW_QUIZ'!$B363=SelectedScope),'RAW_QUIZ'!E363,"")</f>
        <v>Quadratic Equations — Unit Quiz</v>
      </c>
      <c r="F364" s="12">
        <f>IF(IF(SelectedScope="All India",TRUE,'RAW_QUIZ'!$B363=SelectedScope),'RAW_QUIZ'!F363,"")</f>
        <v>0</v>
      </c>
      <c r="G364" s="12" t="str">
        <f>IF(IF(SelectedScope="All India",TRUE,'RAW_QUIZ'!$B363=SelectedScope),'RAW_QUIZ'!G363,"")</f>
        <v>Active</v>
      </c>
      <c r="H364" s="12">
        <f>IF(IF(SelectedScope="All India",TRUE,'RAW_QUIZ'!$B363=SelectedScope),'RAW_QUIZ'!H363,"")</f>
        <v>0</v>
      </c>
      <c r="I364" s="12">
        <f>IF(IF(SelectedScope="All India",TRUE,'RAW_QUIZ'!$B363=SelectedScope),'RAW_QUIZ'!I363,"")</f>
        <v>0</v>
      </c>
      <c r="J364" s="12">
        <f>IF(IF(SelectedScope="All India",TRUE,'RAW_QUIZ'!$B363=SelectedScope),'RAW_QUIZ'!J363,"")</f>
        <v>0</v>
      </c>
      <c r="K364" s="12">
        <f>IF(IF(SelectedScope="All India",TRUE,'RAW_QUIZ'!$B363=SelectedScope),'RAW_QUIZ'!K363,"")</f>
        <v>0</v>
      </c>
      <c r="L364" s="12">
        <f>IF(IF(SelectedScope="All India",TRUE,'RAW_QUIZ'!$B363=SelectedScope),'RAW_QUIZ'!L363,"")</f>
        <v>0</v>
      </c>
      <c r="M364" s="12">
        <f>IF(IF(SelectedScope="All India",TRUE,'RAW_QUIZ'!$B363=SelectedScope),'RAW_QUIZ'!M363,"")</f>
        <v>0</v>
      </c>
      <c r="N364" s="12">
        <f>IF(IF(SelectedScope="All India",TRUE,'RAW_QUIZ'!$B363=SelectedScope),'RAW_QUIZ'!N363,"")</f>
        <v>0</v>
      </c>
      <c r="O364" s="12">
        <f>IF(IF(SelectedScope="All India",TRUE,'RAW_QUIZ'!$B363=SelectedScope),'RAW_QUIZ'!O363,"")</f>
        <v>0</v>
      </c>
      <c r="P364" s="12">
        <f>IF(IF(SelectedScope="All India",TRUE,'RAW_QUIZ'!$B363=SelectedScope),'RAW_QUIZ'!P363,"")</f>
        <v>0</v>
      </c>
      <c r="Q364" s="12">
        <f>IF(IF(SelectedScope="All India",TRUE,'RAW_QUIZ'!$B363=SelectedScope),'RAW_QUIZ'!Q363,"")</f>
        <v>0</v>
      </c>
    </row>
  </sheetData>
  <autoFilter ref="A4:Q364" xr:uid="{00000000-0009-0000-0000-000007000000}"/>
  <mergeCells count="3">
    <mergeCell ref="A3:Q3"/>
    <mergeCell ref="A2:Q2"/>
    <mergeCell ref="A1:Q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25"/>
  <sheetViews>
    <sheetView showGridLines="0" workbookViewId="0">
      <selection sqref="A1:I1"/>
    </sheetView>
  </sheetViews>
  <sheetFormatPr defaultRowHeight="14.4" x14ac:dyDescent="0.3"/>
  <cols>
    <col min="1" max="1" width="4" customWidth="1"/>
    <col min="2" max="2" width="26" customWidth="1"/>
    <col min="3" max="3" width="18" customWidth="1"/>
    <col min="4" max="8" width="14" customWidth="1"/>
    <col min="9" max="9" width="22" customWidth="1"/>
  </cols>
  <sheetData>
    <row r="1" spans="1:9" ht="28.05" customHeight="1" x14ac:dyDescent="0.3">
      <c r="A1" s="32" t="s">
        <v>265</v>
      </c>
      <c r="B1" s="33"/>
      <c r="C1" s="33"/>
      <c r="D1" s="33"/>
      <c r="E1" s="33"/>
      <c r="F1" s="33"/>
      <c r="G1" s="33"/>
      <c r="H1" s="33"/>
      <c r="I1" s="33"/>
    </row>
    <row r="2" spans="1:9" ht="18" customHeight="1" x14ac:dyDescent="0.3">
      <c r="A2" s="38" t="str">
        <f>IF(SelectedScope="All India","NATIONAL VIEW — ALL INDIA","STATE VIEW — "&amp;SelectedScope)</f>
        <v>NATIONAL VIEW — ALL INDIA</v>
      </c>
      <c r="B2" s="33"/>
      <c r="C2" s="33"/>
      <c r="D2" s="33"/>
      <c r="E2" s="33"/>
      <c r="F2" s="33"/>
      <c r="G2" s="33"/>
      <c r="H2" s="33"/>
      <c r="I2" s="33"/>
    </row>
    <row r="3" spans="1:9" ht="16.05" customHeight="1" x14ac:dyDescent="0.3">
      <c r="A3" s="39" t="s">
        <v>266</v>
      </c>
      <c r="B3" s="33"/>
      <c r="C3" s="33"/>
      <c r="D3" s="33"/>
      <c r="E3" s="33"/>
      <c r="F3" s="33"/>
      <c r="G3" s="33"/>
      <c r="H3" s="33"/>
      <c r="I3" s="33"/>
    </row>
    <row r="4" spans="1:9" ht="19.95" customHeight="1" x14ac:dyDescent="0.3">
      <c r="A4" s="37" t="s">
        <v>267</v>
      </c>
      <c r="B4" s="33"/>
      <c r="C4" s="33"/>
      <c r="D4" s="33"/>
      <c r="E4" s="33"/>
      <c r="F4" s="33"/>
      <c r="G4" s="33"/>
      <c r="H4" s="33"/>
      <c r="I4" s="33"/>
    </row>
    <row r="5" spans="1:9" ht="31.95" customHeight="1" x14ac:dyDescent="0.3">
      <c r="A5" s="15" t="s">
        <v>78</v>
      </c>
      <c r="B5" s="15" t="s">
        <v>195</v>
      </c>
      <c r="C5" s="15" t="s">
        <v>117</v>
      </c>
      <c r="D5" s="15" t="s">
        <v>268</v>
      </c>
      <c r="E5" s="15" t="s">
        <v>269</v>
      </c>
      <c r="F5" s="15" t="s">
        <v>119</v>
      </c>
      <c r="G5" s="15" t="s">
        <v>270</v>
      </c>
      <c r="H5" s="15" t="s">
        <v>271</v>
      </c>
      <c r="I5" s="15" t="s">
        <v>86</v>
      </c>
    </row>
    <row r="6" spans="1:9" ht="16.05" customHeight="1" x14ac:dyDescent="0.3">
      <c r="A6" s="16">
        <v>1</v>
      </c>
      <c r="B6" s="16" t="s">
        <v>272</v>
      </c>
      <c r="C6" s="12">
        <f>SUMPRODUCT((IF(SelectedScope="All India",1,'RAW_DISTRICT'!$B$4:$B$745=SelectedScope))*('RAW_DISTRICT'!$S$4:$S$745=$B6))</f>
        <v>0</v>
      </c>
      <c r="D6" s="20" t="str">
        <f ca="1">IFERROR(C6/F(SelectedScope="All India",COUNTA('RAW_DISTRICT'!$C$4:$C$745),COUNTIFS('RAW_DISTRICT'!$B$4:$B$745,SelectedScope)),"")</f>
        <v/>
      </c>
      <c r="E6" s="12" t="str">
        <f>IFERROR((SUMPRODUCT((IF(SelectedScope="All India",1,'RAW_DISTRICT'!$B$4:$B$745=SelectedScope))*('RAW_DISTRICT'!$S$4:$S$745=$B6)*'RAW_DISTRICT'!$F$4:$F$745))/C6,"")</f>
        <v/>
      </c>
      <c r="F6" s="20" t="str">
        <f>IFERROR((SUMPRODUCT((IF(SelectedScope="All India",1,'RAW_DISTRICT'!$B$4:$B$745=SelectedScope))*('RAW_DISTRICT'!$S$4:$S$745=$B6)*'RAW_DISTRICT'!$I$4:$I$745))/(SUMPRODUCT((IF(SelectedScope="All India",1,'RAW_DISTRICT'!$B$4:$B$745=SelectedScope))*('RAW_DISTRICT'!$S$4:$S$745=$B6)*'RAW_DISTRICT'!$H$4:$H$745)),"")</f>
        <v/>
      </c>
      <c r="G6" s="16"/>
      <c r="H6" s="16"/>
      <c r="I6" s="16"/>
    </row>
    <row r="7" spans="1:9" ht="16.05" customHeight="1" x14ac:dyDescent="0.3">
      <c r="A7" s="18">
        <v>2</v>
      </c>
      <c r="B7" s="18" t="s">
        <v>273</v>
      </c>
      <c r="C7" s="9">
        <f>SUMPRODUCT((IF(SelectedScope="All India",1,'RAW_DISTRICT'!$B$4:$B$745=SelectedScope))*('RAW_DISTRICT'!$S$4:$S$745=$B7))</f>
        <v>0</v>
      </c>
      <c r="D7" s="21" t="str">
        <f ca="1">IFERROR(C7/F(SelectedScope="All India",COUNTA('RAW_DISTRICT'!$C$4:$C$745),COUNTIFS('RAW_DISTRICT'!$B$4:$B$745,SelectedScope)),"")</f>
        <v/>
      </c>
      <c r="E7" s="9" t="str">
        <f>IFERROR((SUMPRODUCT((IF(SelectedScope="All India",1,'RAW_DISTRICT'!$B$4:$B$745=SelectedScope))*('RAW_DISTRICT'!$S$4:$S$745=$B7)*'RAW_DISTRICT'!$F$4:$F$745))/C7,"")</f>
        <v/>
      </c>
      <c r="F7" s="21" t="str">
        <f>IFERROR((SUMPRODUCT((IF(SelectedScope="All India",1,'RAW_DISTRICT'!$B$4:$B$745=SelectedScope))*('RAW_DISTRICT'!$S$4:$S$745=$B7)*'RAW_DISTRICT'!$I$4:$I$745))/(SUMPRODUCT((IF(SelectedScope="All India",1,'RAW_DISTRICT'!$B$4:$B$745=SelectedScope))*('RAW_DISTRICT'!$S$4:$S$745=$B7)*'RAW_DISTRICT'!$H$4:$H$745)),"")</f>
        <v/>
      </c>
      <c r="G7" s="18"/>
      <c r="H7" s="18"/>
      <c r="I7" s="18"/>
    </row>
    <row r="8" spans="1:9" ht="16.05" customHeight="1" x14ac:dyDescent="0.3">
      <c r="A8" s="16">
        <v>3</v>
      </c>
      <c r="B8" s="16" t="s">
        <v>274</v>
      </c>
      <c r="C8" s="12">
        <f>SUMPRODUCT((IF(SelectedScope="All India",1,'RAW_DISTRICT'!$B$4:$B$745=SelectedScope))*('RAW_DISTRICT'!$S$4:$S$745=$B8))</f>
        <v>0</v>
      </c>
      <c r="D8" s="20" t="str">
        <f ca="1">IFERROR(C8/F(SelectedScope="All India",COUNTA('RAW_DISTRICT'!$C$4:$C$745),COUNTIFS('RAW_DISTRICT'!$B$4:$B$745,SelectedScope)),"")</f>
        <v/>
      </c>
      <c r="E8" s="12" t="str">
        <f>IFERROR((SUMPRODUCT((IF(SelectedScope="All India",1,'RAW_DISTRICT'!$B$4:$B$745=SelectedScope))*('RAW_DISTRICT'!$S$4:$S$745=$B8)*'RAW_DISTRICT'!$F$4:$F$745))/C8,"")</f>
        <v/>
      </c>
      <c r="F8" s="20" t="str">
        <f>IFERROR((SUMPRODUCT((IF(SelectedScope="All India",1,'RAW_DISTRICT'!$B$4:$B$745=SelectedScope))*('RAW_DISTRICT'!$S$4:$S$745=$B8)*'RAW_DISTRICT'!$I$4:$I$745))/(SUMPRODUCT((IF(SelectedScope="All India",1,'RAW_DISTRICT'!$B$4:$B$745=SelectedScope))*('RAW_DISTRICT'!$S$4:$S$745=$B8)*'RAW_DISTRICT'!$H$4:$H$745)),"")</f>
        <v/>
      </c>
      <c r="G8" s="16"/>
      <c r="H8" s="16"/>
      <c r="I8" s="16"/>
    </row>
    <row r="9" spans="1:9" ht="16.05" customHeight="1" x14ac:dyDescent="0.3">
      <c r="A9" s="18">
        <v>4</v>
      </c>
      <c r="B9" s="18" t="s">
        <v>275</v>
      </c>
      <c r="C9" s="9">
        <f>SUMPRODUCT((IF(SelectedScope="All India",1,'RAW_DISTRICT'!$B$4:$B$745=SelectedScope))*('RAW_DISTRICT'!$S$4:$S$745=$B9))</f>
        <v>0</v>
      </c>
      <c r="D9" s="21" t="str">
        <f ca="1">IFERROR(C9/F(SelectedScope="All India",COUNTA('RAW_DISTRICT'!$C$4:$C$745),COUNTIFS('RAW_DISTRICT'!$B$4:$B$745,SelectedScope)),"")</f>
        <v/>
      </c>
      <c r="E9" s="9" t="str">
        <f>IFERROR((SUMPRODUCT((IF(SelectedScope="All India",1,'RAW_DISTRICT'!$B$4:$B$745=SelectedScope))*('RAW_DISTRICT'!$S$4:$S$745=$B9)*'RAW_DISTRICT'!$F$4:$F$745))/C9,"")</f>
        <v/>
      </c>
      <c r="F9" s="21" t="str">
        <f>IFERROR((SUMPRODUCT((IF(SelectedScope="All India",1,'RAW_DISTRICT'!$B$4:$B$745=SelectedScope))*('RAW_DISTRICT'!$S$4:$S$745=$B9)*'RAW_DISTRICT'!$I$4:$I$745))/(SUMPRODUCT((IF(SelectedScope="All India",1,'RAW_DISTRICT'!$B$4:$B$745=SelectedScope))*('RAW_DISTRICT'!$S$4:$S$745=$B9)*'RAW_DISTRICT'!$H$4:$H$745)),"")</f>
        <v/>
      </c>
      <c r="G9" s="18"/>
      <c r="H9" s="18"/>
      <c r="I9" s="18"/>
    </row>
    <row r="11" spans="1:9" ht="19.95" customHeight="1" x14ac:dyDescent="0.3">
      <c r="A11" s="37" t="s">
        <v>276</v>
      </c>
      <c r="B11" s="33"/>
      <c r="C11" s="33"/>
      <c r="D11" s="33"/>
      <c r="E11" s="33"/>
      <c r="F11" s="33"/>
      <c r="G11" s="33"/>
      <c r="H11" s="33"/>
      <c r="I11" s="33"/>
    </row>
    <row r="12" spans="1:9" ht="31.95" customHeight="1" x14ac:dyDescent="0.3">
      <c r="A12" s="15" t="s">
        <v>78</v>
      </c>
      <c r="B12" s="15" t="s">
        <v>79</v>
      </c>
      <c r="C12" s="15" t="s">
        <v>80</v>
      </c>
      <c r="D12" s="15" t="s">
        <v>277</v>
      </c>
      <c r="E12" s="15" t="s">
        <v>278</v>
      </c>
      <c r="F12" s="15" t="s">
        <v>279</v>
      </c>
      <c r="G12" s="15" t="s">
        <v>280</v>
      </c>
      <c r="H12" s="15" t="s">
        <v>81</v>
      </c>
      <c r="I12" s="15" t="s">
        <v>86</v>
      </c>
    </row>
    <row r="13" spans="1:9" ht="16.05" customHeight="1" x14ac:dyDescent="0.3">
      <c r="A13" s="18" t="s">
        <v>87</v>
      </c>
      <c r="B13" s="18" t="s">
        <v>281</v>
      </c>
      <c r="C13" s="9">
        <f>SUMPRODUCT((IF(SelectedScope="All India",1,'RAW_DISTRICT'!$B$4:$B$745=SelectedScope))*('RAW_DISTRICT'!$T$4:$T$745="Yes"))</f>
        <v>0</v>
      </c>
      <c r="D13" s="18"/>
      <c r="E13" s="21" t="str">
        <f>IFERROR((SUMPRODUCT((IF(SelectedScope="All India",1,'RAW_DISTRICT'!$B$4:$B$745=SelectedScope))*('RAW_DISTRICT'!$T$4:$T$745="Yes")*'RAW_DISTRICT'!$I$4:$I$745))/(SUMPRODUCT((IF(SelectedScope="All India",1,'RAW_DISTRICT'!$B$4:$B$745=SelectedScope))*('RAW_DISTRICT'!$T$4:$T$745="Yes")*'RAW_DISTRICT'!$H$4:$H$745)),"")</f>
        <v/>
      </c>
      <c r="F13" s="18"/>
      <c r="G13" s="18"/>
      <c r="H13" s="18" t="s">
        <v>282</v>
      </c>
      <c r="I13" s="18"/>
    </row>
    <row r="15" spans="1:9" ht="19.95" customHeight="1" x14ac:dyDescent="0.3">
      <c r="A15" s="37" t="s">
        <v>283</v>
      </c>
      <c r="B15" s="33"/>
      <c r="C15" s="33"/>
      <c r="D15" s="33"/>
      <c r="E15" s="33"/>
      <c r="F15" s="33"/>
      <c r="G15" s="33"/>
      <c r="H15" s="33"/>
      <c r="I15" s="33"/>
    </row>
    <row r="16" spans="1:9" ht="31.95" customHeight="1" x14ac:dyDescent="0.3">
      <c r="A16" s="15" t="s">
        <v>78</v>
      </c>
      <c r="B16" s="15" t="s">
        <v>284</v>
      </c>
      <c r="C16" s="15" t="s">
        <v>247</v>
      </c>
      <c r="D16" s="15" t="s">
        <v>285</v>
      </c>
      <c r="E16" s="15" t="s">
        <v>195</v>
      </c>
      <c r="F16" s="15" t="s">
        <v>286</v>
      </c>
      <c r="G16" s="15" t="s">
        <v>287</v>
      </c>
      <c r="H16" s="15" t="s">
        <v>288</v>
      </c>
      <c r="I16" s="15" t="s">
        <v>86</v>
      </c>
    </row>
    <row r="17" spans="1:9" ht="16.05" customHeight="1" x14ac:dyDescent="0.3">
      <c r="A17" s="18" t="s">
        <v>87</v>
      </c>
      <c r="B17" s="18" t="s">
        <v>289</v>
      </c>
      <c r="C17" s="18"/>
      <c r="D17" s="18" t="s">
        <v>290</v>
      </c>
      <c r="E17" s="18" t="s">
        <v>291</v>
      </c>
      <c r="F17" s="18" t="s">
        <v>292</v>
      </c>
      <c r="G17" s="18"/>
      <c r="H17" s="18" t="s">
        <v>293</v>
      </c>
      <c r="I17" s="18"/>
    </row>
    <row r="18" spans="1:9" ht="16.05" customHeight="1" x14ac:dyDescent="0.3">
      <c r="A18" s="16" t="s">
        <v>90</v>
      </c>
      <c r="B18" s="16" t="s">
        <v>294</v>
      </c>
      <c r="C18" s="16"/>
      <c r="D18" s="16" t="s">
        <v>290</v>
      </c>
      <c r="E18" s="16" t="s">
        <v>295</v>
      </c>
      <c r="F18" s="16" t="s">
        <v>296</v>
      </c>
      <c r="G18" s="16"/>
      <c r="H18" s="16" t="s">
        <v>293</v>
      </c>
      <c r="I18" s="16" t="s">
        <v>297</v>
      </c>
    </row>
    <row r="19" spans="1:9" ht="16.05" customHeight="1" x14ac:dyDescent="0.3">
      <c r="A19" s="18" t="s">
        <v>92</v>
      </c>
      <c r="B19" s="18" t="s">
        <v>298</v>
      </c>
      <c r="C19" s="18"/>
      <c r="D19" s="18" t="s">
        <v>290</v>
      </c>
      <c r="E19" s="18" t="s">
        <v>295</v>
      </c>
      <c r="F19" s="18" t="s">
        <v>299</v>
      </c>
      <c r="G19" s="18"/>
      <c r="H19" s="18" t="s">
        <v>293</v>
      </c>
      <c r="I19" s="18"/>
    </row>
    <row r="20" spans="1:9" ht="16.05" customHeight="1" x14ac:dyDescent="0.3">
      <c r="A20" s="16" t="s">
        <v>94</v>
      </c>
      <c r="B20" s="16" t="s">
        <v>300</v>
      </c>
      <c r="C20" s="16"/>
      <c r="D20" s="16" t="s">
        <v>290</v>
      </c>
      <c r="E20" s="16" t="s">
        <v>275</v>
      </c>
      <c r="F20" s="16" t="s">
        <v>301</v>
      </c>
      <c r="G20" s="16"/>
      <c r="H20" s="16" t="s">
        <v>302</v>
      </c>
      <c r="I20" s="16" t="s">
        <v>303</v>
      </c>
    </row>
    <row r="21" spans="1:9" ht="16.05" customHeight="1" x14ac:dyDescent="0.3">
      <c r="A21" s="18" t="s">
        <v>96</v>
      </c>
      <c r="B21" s="18" t="s">
        <v>304</v>
      </c>
      <c r="C21" s="18"/>
      <c r="D21" s="18" t="s">
        <v>290</v>
      </c>
      <c r="E21" s="18" t="s">
        <v>275</v>
      </c>
      <c r="F21" s="18" t="s">
        <v>301</v>
      </c>
      <c r="G21" s="18"/>
      <c r="H21" s="18" t="s">
        <v>302</v>
      </c>
      <c r="I21" s="18" t="s">
        <v>305</v>
      </c>
    </row>
    <row r="22" spans="1:9" ht="16.05" customHeight="1" x14ac:dyDescent="0.3">
      <c r="A22" s="16" t="s">
        <v>99</v>
      </c>
      <c r="B22" s="16" t="s">
        <v>306</v>
      </c>
      <c r="C22" s="16"/>
      <c r="D22" s="16" t="s">
        <v>307</v>
      </c>
      <c r="E22" s="16" t="s">
        <v>275</v>
      </c>
      <c r="F22" s="16" t="s">
        <v>301</v>
      </c>
      <c r="G22" s="16"/>
      <c r="H22" s="16" t="s">
        <v>308</v>
      </c>
      <c r="I22" s="16"/>
    </row>
    <row r="23" spans="1:9" ht="16.05" customHeight="1" x14ac:dyDescent="0.3">
      <c r="A23" s="18" t="s">
        <v>101</v>
      </c>
      <c r="B23" s="18" t="s">
        <v>309</v>
      </c>
      <c r="C23" s="18"/>
      <c r="D23" s="18" t="s">
        <v>290</v>
      </c>
      <c r="E23" s="18" t="s">
        <v>295</v>
      </c>
      <c r="F23" s="18" t="s">
        <v>310</v>
      </c>
      <c r="G23" s="18"/>
      <c r="H23" s="18" t="s">
        <v>311</v>
      </c>
      <c r="I23" s="18"/>
    </row>
    <row r="24" spans="1:9" ht="16.05" customHeight="1" x14ac:dyDescent="0.3">
      <c r="A24" s="16" t="s">
        <v>104</v>
      </c>
      <c r="B24" s="16" t="s">
        <v>312</v>
      </c>
      <c r="C24" s="16"/>
      <c r="D24" s="16" t="s">
        <v>290</v>
      </c>
      <c r="E24" s="16" t="s">
        <v>295</v>
      </c>
      <c r="F24" s="16" t="s">
        <v>310</v>
      </c>
      <c r="G24" s="16"/>
      <c r="H24" s="16" t="s">
        <v>313</v>
      </c>
      <c r="I24" s="16"/>
    </row>
    <row r="25" spans="1:9" ht="16.05" customHeight="1" x14ac:dyDescent="0.3">
      <c r="A25" s="18" t="s">
        <v>106</v>
      </c>
      <c r="B25" s="18" t="s">
        <v>314</v>
      </c>
      <c r="C25" s="18"/>
      <c r="D25" s="18" t="s">
        <v>315</v>
      </c>
      <c r="E25" s="18" t="s">
        <v>275</v>
      </c>
      <c r="F25" s="18" t="s">
        <v>316</v>
      </c>
      <c r="G25" s="18"/>
      <c r="H25" s="18" t="s">
        <v>317</v>
      </c>
      <c r="I25" s="18"/>
    </row>
  </sheetData>
  <mergeCells count="6">
    <mergeCell ref="A15:I15"/>
    <mergeCell ref="A2:I2"/>
    <mergeCell ref="A11:I11"/>
    <mergeCell ref="A1:I1"/>
    <mergeCell ref="A3:I3"/>
    <mergeCell ref="A4:I4"/>
  </mergeCell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0000000-0002-0000-0800-000000000000}">
          <x14:formula1>
            <xm:f>REF!$Q$2:$Q$5</xm:f>
          </x14:formula1>
          <xm:sqref>C17:C25</xm:sqref>
        </x14:dataValidation>
        <x14:dataValidation type="list" allowBlank="1" xr:uid="{00000000-0002-0000-0800-000001000000}">
          <x14:formula1>
            <xm:f>REF!$I$2:$I$5</xm:f>
          </x14:formula1>
          <xm:sqref>E17:E25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50"/>
  <sheetViews>
    <sheetView showGridLines="0" workbookViewId="0">
      <selection sqref="A1:H1"/>
    </sheetView>
  </sheetViews>
  <sheetFormatPr defaultRowHeight="14.4" x14ac:dyDescent="0.3"/>
  <cols>
    <col min="1" max="1" width="4" customWidth="1"/>
    <col min="2" max="2" width="44" customWidth="1"/>
    <col min="3" max="3" width="18" customWidth="1"/>
    <col min="4" max="7" width="16" customWidth="1"/>
    <col min="8" max="8" width="22" customWidth="1"/>
  </cols>
  <sheetData>
    <row r="1" spans="1:8" ht="28.05" customHeight="1" x14ac:dyDescent="0.3">
      <c r="A1" s="44" t="s">
        <v>318</v>
      </c>
      <c r="B1" s="33"/>
      <c r="C1" s="33"/>
      <c r="D1" s="33"/>
      <c r="E1" s="33"/>
      <c r="F1" s="33"/>
      <c r="G1" s="33"/>
      <c r="H1" s="33"/>
    </row>
    <row r="2" spans="1:8" ht="18" customHeight="1" x14ac:dyDescent="0.3">
      <c r="A2" s="42" t="str">
        <f>IF(SelectedScope="All India","NATIONAL SUMMARY — ALL INDIA","STATE SUMMARY — "&amp;SelectedScope)&amp;"  |  Ministry of Education, Govt. of India  |  CONFIDENTIAL"</f>
        <v>NATIONAL SUMMARY — ALL INDIA  |  Ministry of Education, Govt. of India  |  CONFIDENTIAL</v>
      </c>
      <c r="B2" s="33"/>
      <c r="C2" s="33"/>
      <c r="D2" s="33"/>
      <c r="E2" s="33"/>
      <c r="F2" s="33"/>
      <c r="G2" s="33"/>
      <c r="H2" s="33"/>
    </row>
    <row r="3" spans="1:8" ht="19.95" customHeight="1" x14ac:dyDescent="0.3">
      <c r="A3" s="40" t="s">
        <v>319</v>
      </c>
      <c r="B3" s="33"/>
      <c r="C3" s="33"/>
      <c r="D3" s="33"/>
      <c r="E3" s="33"/>
      <c r="F3" s="33"/>
      <c r="G3" s="33"/>
      <c r="H3" s="33"/>
    </row>
    <row r="4" spans="1:8" ht="31.95" customHeight="1" x14ac:dyDescent="0.3">
      <c r="A4" s="15" t="s">
        <v>78</v>
      </c>
      <c r="B4" s="15" t="s">
        <v>320</v>
      </c>
      <c r="C4" s="15" t="s">
        <v>80</v>
      </c>
      <c r="D4" s="15" t="s">
        <v>81</v>
      </c>
      <c r="E4" s="15" t="s">
        <v>82</v>
      </c>
      <c r="F4" s="15" t="s">
        <v>321</v>
      </c>
      <c r="G4" s="15" t="s">
        <v>322</v>
      </c>
      <c r="H4" s="15" t="s">
        <v>86</v>
      </c>
    </row>
    <row r="5" spans="1:8" ht="16.05" customHeight="1" x14ac:dyDescent="0.3">
      <c r="A5" s="18" t="s">
        <v>87</v>
      </c>
      <c r="B5" s="18" t="s">
        <v>88</v>
      </c>
      <c r="C5" s="9">
        <f>'03. Reach &amp; Engagement'!C6</f>
        <v>0</v>
      </c>
      <c r="D5" s="18" t="s">
        <v>89</v>
      </c>
      <c r="E5" s="18"/>
      <c r="F5" s="18">
        <f>'03. Reach &amp; Engagement'!F6</f>
        <v>742</v>
      </c>
      <c r="G5" s="18" t="s">
        <v>323</v>
      </c>
      <c r="H5" s="18"/>
    </row>
    <row r="6" spans="1:8" ht="16.05" customHeight="1" x14ac:dyDescent="0.3">
      <c r="A6" s="16" t="s">
        <v>90</v>
      </c>
      <c r="B6" s="16" t="s">
        <v>91</v>
      </c>
      <c r="C6" s="12">
        <f>'03. Reach &amp; Engagement'!C7</f>
        <v>0</v>
      </c>
      <c r="D6" s="16" t="s">
        <v>89</v>
      </c>
      <c r="E6" s="16"/>
      <c r="F6" s="16"/>
      <c r="G6" s="16" t="s">
        <v>323</v>
      </c>
      <c r="H6" s="16"/>
    </row>
    <row r="7" spans="1:8" ht="16.05" customHeight="1" x14ac:dyDescent="0.3">
      <c r="A7" s="18" t="s">
        <v>92</v>
      </c>
      <c r="B7" s="18" t="s">
        <v>93</v>
      </c>
      <c r="C7" s="9">
        <f>'03. Reach &amp; Engagement'!C8</f>
        <v>0</v>
      </c>
      <c r="D7" s="18" t="s">
        <v>89</v>
      </c>
      <c r="E7" s="18"/>
      <c r="F7" s="18"/>
      <c r="G7" s="18" t="s">
        <v>323</v>
      </c>
      <c r="H7" s="18"/>
    </row>
    <row r="8" spans="1:8" ht="16.05" customHeight="1" x14ac:dyDescent="0.3">
      <c r="A8" s="16" t="s">
        <v>94</v>
      </c>
      <c r="B8" s="16" t="s">
        <v>97</v>
      </c>
      <c r="C8" s="12" t="str">
        <f>'03. Reach &amp; Engagement'!C10</f>
        <v/>
      </c>
      <c r="D8" s="16" t="s">
        <v>98</v>
      </c>
      <c r="E8" s="16"/>
      <c r="F8" s="16"/>
      <c r="G8" s="16" t="s">
        <v>324</v>
      </c>
      <c r="H8" s="16"/>
    </row>
    <row r="9" spans="1:8" ht="16.05" customHeight="1" x14ac:dyDescent="0.3">
      <c r="A9" s="18" t="s">
        <v>96</v>
      </c>
      <c r="B9" s="18" t="s">
        <v>102</v>
      </c>
      <c r="C9" s="9" t="str">
        <f>'03. Reach &amp; Engagement'!C12</f>
        <v/>
      </c>
      <c r="D9" s="18" t="s">
        <v>103</v>
      </c>
      <c r="E9" s="18"/>
      <c r="F9" s="18"/>
      <c r="G9" s="18" t="s">
        <v>324</v>
      </c>
      <c r="H9" s="18"/>
    </row>
    <row r="10" spans="1:8" ht="16.05" customHeight="1" x14ac:dyDescent="0.3">
      <c r="A10" s="16" t="s">
        <v>99</v>
      </c>
      <c r="B10" s="16" t="s">
        <v>72</v>
      </c>
      <c r="C10" s="12" t="str">
        <f>'03. Reach &amp; Engagement'!C14</f>
        <v/>
      </c>
      <c r="D10" s="16" t="s">
        <v>107</v>
      </c>
      <c r="E10" s="16"/>
      <c r="F10" s="16"/>
      <c r="G10" s="16" t="s">
        <v>324</v>
      </c>
      <c r="H10" s="16"/>
    </row>
    <row r="11" spans="1:8" ht="16.05" customHeight="1" x14ac:dyDescent="0.3">
      <c r="A11" s="18" t="s">
        <v>101</v>
      </c>
      <c r="B11" s="18" t="s">
        <v>109</v>
      </c>
      <c r="C11" s="9" t="str">
        <f>'03. Reach &amp; Engagement'!C15</f>
        <v/>
      </c>
      <c r="D11" s="18" t="s">
        <v>110</v>
      </c>
      <c r="E11" s="18"/>
      <c r="F11" s="18"/>
      <c r="G11" s="18" t="s">
        <v>324</v>
      </c>
      <c r="H11" s="18"/>
    </row>
    <row r="12" spans="1:8" ht="16.05" customHeight="1" x14ac:dyDescent="0.3">
      <c r="A12" s="16" t="s">
        <v>104</v>
      </c>
      <c r="B12" s="16" t="s">
        <v>84</v>
      </c>
      <c r="C12" s="12">
        <f>'03. Reach &amp; Engagement'!C16</f>
        <v>0</v>
      </c>
      <c r="D12" s="16" t="s">
        <v>89</v>
      </c>
      <c r="E12" s="16"/>
      <c r="F12" s="16"/>
      <c r="G12" s="16" t="s">
        <v>323</v>
      </c>
      <c r="H12" s="16"/>
    </row>
    <row r="14" spans="1:8" ht="19.95" customHeight="1" x14ac:dyDescent="0.3">
      <c r="A14" s="40" t="s">
        <v>325</v>
      </c>
      <c r="B14" s="33"/>
      <c r="C14" s="33"/>
      <c r="D14" s="33"/>
      <c r="E14" s="33"/>
      <c r="F14" s="33"/>
      <c r="G14" s="33"/>
      <c r="H14" s="33"/>
    </row>
    <row r="15" spans="1:8" ht="31.95" customHeight="1" x14ac:dyDescent="0.3">
      <c r="A15" s="15" t="s">
        <v>78</v>
      </c>
      <c r="B15" s="15" t="s">
        <v>320</v>
      </c>
      <c r="C15" s="15" t="s">
        <v>80</v>
      </c>
      <c r="D15" s="15" t="s">
        <v>81</v>
      </c>
      <c r="E15" s="15" t="s">
        <v>326</v>
      </c>
      <c r="F15" s="15" t="s">
        <v>327</v>
      </c>
      <c r="G15" s="15" t="s">
        <v>322</v>
      </c>
      <c r="H15" s="15" t="s">
        <v>86</v>
      </c>
    </row>
    <row r="16" spans="1:8" ht="16.05" customHeight="1" x14ac:dyDescent="0.3">
      <c r="A16" s="16" t="s">
        <v>87</v>
      </c>
      <c r="B16" s="16" t="s">
        <v>328</v>
      </c>
      <c r="C16" s="20">
        <f>IFERROR(AVERAGE('04. Learning Outcomes'!D6:D18),"")</f>
        <v>0</v>
      </c>
      <c r="D16" s="16" t="s">
        <v>89</v>
      </c>
      <c r="E16" s="16"/>
      <c r="F16" s="16"/>
      <c r="G16" s="16" t="s">
        <v>329</v>
      </c>
      <c r="H16" s="16"/>
    </row>
    <row r="17" spans="1:8" ht="16.05" customHeight="1" x14ac:dyDescent="0.3">
      <c r="A17" s="18" t="s">
        <v>90</v>
      </c>
      <c r="B17" s="18" t="s">
        <v>330</v>
      </c>
      <c r="C17" s="21">
        <f>IFERROR(AVERAGE('04. Learning Outcomes'!E6:E18),"")</f>
        <v>0</v>
      </c>
      <c r="D17" s="18" t="s">
        <v>89</v>
      </c>
      <c r="E17" s="18"/>
      <c r="F17" s="18"/>
      <c r="G17" s="18" t="s">
        <v>329</v>
      </c>
      <c r="H17" s="18"/>
    </row>
    <row r="18" spans="1:8" ht="16.05" customHeight="1" x14ac:dyDescent="0.3">
      <c r="A18" s="16" t="s">
        <v>92</v>
      </c>
      <c r="B18" s="16" t="s">
        <v>331</v>
      </c>
      <c r="C18" s="20">
        <f>IFERROR(AVERAGE('04. Learning Outcomes'!F6:F18),"")</f>
        <v>0</v>
      </c>
      <c r="D18" s="16" t="s">
        <v>332</v>
      </c>
      <c r="E18" s="16"/>
      <c r="F18" s="16"/>
      <c r="G18" s="16" t="s">
        <v>329</v>
      </c>
      <c r="H18" s="16" t="s">
        <v>333</v>
      </c>
    </row>
    <row r="19" spans="1:8" ht="16.05" customHeight="1" x14ac:dyDescent="0.3">
      <c r="A19" s="18" t="s">
        <v>94</v>
      </c>
      <c r="B19" s="18" t="s">
        <v>334</v>
      </c>
      <c r="C19" s="21" t="str">
        <f>IFERROR(AVERAGE('04. Learning Outcomes'!G6:G18),"")</f>
        <v/>
      </c>
      <c r="D19" s="18" t="s">
        <v>103</v>
      </c>
      <c r="E19" s="18"/>
      <c r="F19" s="18"/>
      <c r="G19" s="18" t="s">
        <v>324</v>
      </c>
      <c r="H19" s="18"/>
    </row>
    <row r="20" spans="1:8" ht="16.05" customHeight="1" x14ac:dyDescent="0.3">
      <c r="A20" s="16" t="s">
        <v>96</v>
      </c>
      <c r="B20" s="16" t="s">
        <v>335</v>
      </c>
      <c r="C20" s="20" t="str">
        <f>IFERROR(AVERAGE('04. Learning Outcomes'!I6:I18),"")</f>
        <v/>
      </c>
      <c r="D20" s="16" t="s">
        <v>107</v>
      </c>
      <c r="E20" s="16"/>
      <c r="F20" s="16"/>
      <c r="G20" s="16" t="s">
        <v>324</v>
      </c>
      <c r="H20" s="16"/>
    </row>
    <row r="22" spans="1:8" ht="19.95" customHeight="1" x14ac:dyDescent="0.3">
      <c r="A22" s="40" t="s">
        <v>336</v>
      </c>
      <c r="B22" s="33"/>
      <c r="C22" s="33"/>
      <c r="D22" s="33"/>
      <c r="E22" s="33"/>
      <c r="F22" s="33"/>
      <c r="G22" s="33"/>
      <c r="H22" s="33"/>
    </row>
    <row r="23" spans="1:8" ht="31.95" customHeight="1" x14ac:dyDescent="0.3">
      <c r="A23" s="15" t="s">
        <v>78</v>
      </c>
      <c r="B23" s="15" t="s">
        <v>320</v>
      </c>
      <c r="C23" s="15" t="s">
        <v>80</v>
      </c>
      <c r="D23" s="15" t="s">
        <v>81</v>
      </c>
      <c r="E23" s="15" t="s">
        <v>82</v>
      </c>
      <c r="F23" s="15" t="s">
        <v>89</v>
      </c>
      <c r="G23" s="15" t="s">
        <v>322</v>
      </c>
      <c r="H23" s="15" t="s">
        <v>86</v>
      </c>
    </row>
    <row r="24" spans="1:8" ht="16.05" customHeight="1" x14ac:dyDescent="0.3">
      <c r="A24" s="16" t="s">
        <v>87</v>
      </c>
      <c r="B24" s="16" t="s">
        <v>337</v>
      </c>
      <c r="C24" s="20" t="str">
        <f>IFERROR(AVERAGE('06. Quiz Performance'!E6:E18),"")</f>
        <v/>
      </c>
      <c r="D24" s="16" t="s">
        <v>107</v>
      </c>
      <c r="E24" s="16"/>
      <c r="F24" s="16"/>
      <c r="G24" s="16" t="s">
        <v>329</v>
      </c>
      <c r="H24" s="16"/>
    </row>
    <row r="25" spans="1:8" ht="16.05" customHeight="1" x14ac:dyDescent="0.3">
      <c r="A25" s="18" t="s">
        <v>90</v>
      </c>
      <c r="B25" s="18" t="s">
        <v>338</v>
      </c>
      <c r="C25" s="21" t="str">
        <f>IFERROR(AVERAGE('06. Quiz Performance'!G6:G18),"")</f>
        <v/>
      </c>
      <c r="D25" s="18" t="s">
        <v>339</v>
      </c>
      <c r="E25" s="18"/>
      <c r="F25" s="18"/>
      <c r="G25" s="18" t="s">
        <v>329</v>
      </c>
      <c r="H25" s="18"/>
    </row>
    <row r="26" spans="1:8" ht="16.05" customHeight="1" x14ac:dyDescent="0.3">
      <c r="A26" s="16" t="s">
        <v>92</v>
      </c>
      <c r="B26" s="16" t="s">
        <v>340</v>
      </c>
      <c r="C26" s="20" t="str">
        <f>'06. Quiz Performance'!E21</f>
        <v>Avg Score %</v>
      </c>
      <c r="D26" s="16" t="s">
        <v>210</v>
      </c>
      <c r="E26" s="16"/>
      <c r="F26" s="16"/>
      <c r="G26" s="16" t="s">
        <v>329</v>
      </c>
      <c r="H26" s="16"/>
    </row>
    <row r="27" spans="1:8" ht="16.05" customHeight="1" x14ac:dyDescent="0.3">
      <c r="A27" s="18" t="s">
        <v>94</v>
      </c>
      <c r="B27" s="18" t="s">
        <v>341</v>
      </c>
      <c r="C27" s="21" t="str">
        <f>'06. Quiz Performance'!E23</f>
        <v/>
      </c>
      <c r="D27" s="18" t="s">
        <v>212</v>
      </c>
      <c r="E27" s="18"/>
      <c r="F27" s="18"/>
      <c r="G27" s="18" t="s">
        <v>329</v>
      </c>
      <c r="H27" s="18"/>
    </row>
    <row r="29" spans="1:8" ht="19.95" customHeight="1" x14ac:dyDescent="0.3">
      <c r="A29" s="41" t="s">
        <v>342</v>
      </c>
      <c r="B29" s="33"/>
      <c r="C29" s="33"/>
      <c r="D29" s="33"/>
      <c r="E29" s="33"/>
      <c r="F29" s="33"/>
      <c r="G29" s="33"/>
      <c r="H29" s="33"/>
    </row>
    <row r="30" spans="1:8" ht="31.95" customHeight="1" x14ac:dyDescent="0.3">
      <c r="A30" s="15" t="s">
        <v>78</v>
      </c>
      <c r="B30" s="15" t="s">
        <v>320</v>
      </c>
      <c r="C30" s="15" t="s">
        <v>80</v>
      </c>
      <c r="D30" s="15" t="s">
        <v>343</v>
      </c>
      <c r="E30" s="15" t="s">
        <v>344</v>
      </c>
      <c r="F30" s="15" t="s">
        <v>89</v>
      </c>
      <c r="G30" s="15" t="s">
        <v>322</v>
      </c>
      <c r="H30" s="15" t="s">
        <v>86</v>
      </c>
    </row>
    <row r="31" spans="1:8" ht="16.05" customHeight="1" x14ac:dyDescent="0.3">
      <c r="A31" s="18" t="s">
        <v>87</v>
      </c>
      <c r="B31" s="18" t="s">
        <v>345</v>
      </c>
      <c r="C31" s="9">
        <f>'09. Compliance &amp; Alerts'!C6</f>
        <v>0</v>
      </c>
      <c r="D31" s="21" t="str">
        <f ca="1">'09. Compliance &amp; Alerts'!D6</f>
        <v/>
      </c>
      <c r="E31" s="18" t="s">
        <v>275</v>
      </c>
      <c r="F31" s="18"/>
      <c r="G31" s="18" t="s">
        <v>346</v>
      </c>
      <c r="H31" s="18"/>
    </row>
    <row r="32" spans="1:8" ht="16.05" customHeight="1" x14ac:dyDescent="0.3">
      <c r="A32" s="16" t="s">
        <v>90</v>
      </c>
      <c r="B32" s="16" t="s">
        <v>347</v>
      </c>
      <c r="C32" s="12">
        <f>'09. Compliance &amp; Alerts'!C7</f>
        <v>0</v>
      </c>
      <c r="D32" s="20" t="str">
        <f ca="1">'09. Compliance &amp; Alerts'!D7</f>
        <v/>
      </c>
      <c r="E32" s="16" t="s">
        <v>295</v>
      </c>
      <c r="F32" s="16"/>
      <c r="G32" s="16" t="s">
        <v>346</v>
      </c>
      <c r="H32" s="16"/>
    </row>
    <row r="33" spans="1:8" ht="16.05" customHeight="1" x14ac:dyDescent="0.3">
      <c r="A33" s="18" t="s">
        <v>92</v>
      </c>
      <c r="B33" s="18" t="s">
        <v>348</v>
      </c>
      <c r="C33" s="9">
        <f>'09. Compliance &amp; Alerts'!C8</f>
        <v>0</v>
      </c>
      <c r="D33" s="21" t="str">
        <f ca="1">'09. Compliance &amp; Alerts'!D8</f>
        <v/>
      </c>
      <c r="E33" s="18" t="s">
        <v>349</v>
      </c>
      <c r="F33" s="18"/>
      <c r="G33" s="18" t="s">
        <v>346</v>
      </c>
      <c r="H33" s="18"/>
    </row>
    <row r="34" spans="1:8" ht="16.05" customHeight="1" x14ac:dyDescent="0.3">
      <c r="A34" s="16" t="s">
        <v>94</v>
      </c>
      <c r="B34" s="16" t="s">
        <v>281</v>
      </c>
      <c r="C34" s="12">
        <f>'09. Compliance &amp; Alerts'!C13</f>
        <v>0</v>
      </c>
      <c r="D34" s="20" t="s">
        <v>89</v>
      </c>
      <c r="E34" s="16" t="s">
        <v>295</v>
      </c>
      <c r="F34" s="16"/>
      <c r="G34" s="16" t="s">
        <v>346</v>
      </c>
      <c r="H34" s="16"/>
    </row>
    <row r="36" spans="1:8" ht="19.95" customHeight="1" x14ac:dyDescent="0.3">
      <c r="A36" s="40" t="s">
        <v>350</v>
      </c>
      <c r="B36" s="33"/>
      <c r="C36" s="33"/>
      <c r="D36" s="33"/>
      <c r="E36" s="33"/>
      <c r="F36" s="33"/>
      <c r="G36" s="33"/>
      <c r="H36" s="33"/>
    </row>
    <row r="37" spans="1:8" ht="31.95" customHeight="1" x14ac:dyDescent="0.3">
      <c r="A37" s="15" t="s">
        <v>78</v>
      </c>
      <c r="B37" s="15" t="s">
        <v>320</v>
      </c>
      <c r="C37" s="15" t="s">
        <v>80</v>
      </c>
      <c r="D37" s="15" t="s">
        <v>89</v>
      </c>
      <c r="E37" s="15" t="s">
        <v>89</v>
      </c>
      <c r="F37" s="15" t="s">
        <v>89</v>
      </c>
      <c r="G37" s="15" t="s">
        <v>322</v>
      </c>
      <c r="H37" s="15" t="s">
        <v>86</v>
      </c>
    </row>
    <row r="38" spans="1:8" ht="16.05" customHeight="1" x14ac:dyDescent="0.3">
      <c r="A38" s="16" t="s">
        <v>87</v>
      </c>
      <c r="B38" s="16" t="s">
        <v>351</v>
      </c>
      <c r="C38" s="12">
        <f>SUMPRODUCT(('07. Curriculum Tracker'!$E$5:$E$544&lt;&gt;"")*1)</f>
        <v>540</v>
      </c>
      <c r="D38" s="16"/>
      <c r="E38" s="16"/>
      <c r="F38" s="16"/>
      <c r="G38" s="16" t="s">
        <v>323</v>
      </c>
      <c r="H38" s="16"/>
    </row>
    <row r="39" spans="1:8" ht="16.05" customHeight="1" x14ac:dyDescent="0.3">
      <c r="A39" s="18" t="s">
        <v>90</v>
      </c>
      <c r="B39" s="18" t="s">
        <v>352</v>
      </c>
      <c r="C39" s="9">
        <f>SUMPRODUCT(('08. Quiz Bank Tracker'!$E$5:$E$364&lt;&gt;"")*1)</f>
        <v>360</v>
      </c>
      <c r="D39" s="18"/>
      <c r="E39" s="18"/>
      <c r="F39" s="18"/>
      <c r="G39" s="18" t="s">
        <v>323</v>
      </c>
      <c r="H39" s="18"/>
    </row>
    <row r="41" spans="1:8" ht="19.95" customHeight="1" x14ac:dyDescent="0.3">
      <c r="A41" s="43" t="s">
        <v>353</v>
      </c>
      <c r="B41" s="33"/>
      <c r="C41" s="33"/>
      <c r="D41" s="33"/>
      <c r="E41" s="33"/>
      <c r="F41" s="33"/>
      <c r="G41" s="33"/>
      <c r="H41" s="33"/>
    </row>
    <row r="42" spans="1:8" ht="31.95" customHeight="1" x14ac:dyDescent="0.3">
      <c r="A42" s="15" t="s">
        <v>78</v>
      </c>
      <c r="B42" s="15" t="s">
        <v>354</v>
      </c>
      <c r="C42" s="15" t="s">
        <v>355</v>
      </c>
      <c r="D42" s="15" t="s">
        <v>89</v>
      </c>
      <c r="E42" s="15" t="s">
        <v>89</v>
      </c>
      <c r="F42" s="15" t="s">
        <v>89</v>
      </c>
      <c r="G42" s="15" t="s">
        <v>89</v>
      </c>
      <c r="H42" s="15" t="s">
        <v>89</v>
      </c>
    </row>
    <row r="43" spans="1:8" ht="16.05" customHeight="1" x14ac:dyDescent="0.3">
      <c r="A43" s="18" t="s">
        <v>87</v>
      </c>
      <c r="B43" s="18" t="s">
        <v>356</v>
      </c>
      <c r="C43" s="18" t="s">
        <v>357</v>
      </c>
      <c r="D43" s="18"/>
      <c r="E43" s="18"/>
      <c r="F43" s="18"/>
      <c r="G43" s="18"/>
      <c r="H43" s="18"/>
    </row>
    <row r="44" spans="1:8" ht="16.05" customHeight="1" x14ac:dyDescent="0.3">
      <c r="A44" s="16" t="s">
        <v>90</v>
      </c>
      <c r="B44" s="16" t="s">
        <v>358</v>
      </c>
      <c r="C44" s="16" t="s">
        <v>359</v>
      </c>
      <c r="D44" s="16"/>
      <c r="E44" s="16"/>
      <c r="F44" s="16"/>
      <c r="G44" s="16"/>
      <c r="H44" s="16"/>
    </row>
    <row r="45" spans="1:8" ht="16.05" customHeight="1" x14ac:dyDescent="0.3">
      <c r="A45" s="18" t="s">
        <v>92</v>
      </c>
      <c r="B45" s="18" t="s">
        <v>360</v>
      </c>
      <c r="C45" s="18" t="s">
        <v>361</v>
      </c>
      <c r="D45" s="18"/>
      <c r="E45" s="18"/>
      <c r="F45" s="18"/>
      <c r="G45" s="18"/>
      <c r="H45" s="18"/>
    </row>
    <row r="46" spans="1:8" ht="16.05" customHeight="1" x14ac:dyDescent="0.3">
      <c r="A46" s="16" t="s">
        <v>94</v>
      </c>
      <c r="B46" s="16" t="s">
        <v>362</v>
      </c>
      <c r="C46" s="16" t="s">
        <v>363</v>
      </c>
      <c r="D46" s="16"/>
      <c r="E46" s="16"/>
      <c r="F46" s="16"/>
      <c r="G46" s="16"/>
      <c r="H46" s="16"/>
    </row>
    <row r="47" spans="1:8" ht="16.05" customHeight="1" x14ac:dyDescent="0.3">
      <c r="A47" s="18" t="s">
        <v>96</v>
      </c>
      <c r="B47" s="18" t="s">
        <v>364</v>
      </c>
      <c r="C47" s="18" t="s">
        <v>365</v>
      </c>
      <c r="D47" s="18"/>
      <c r="E47" s="18"/>
      <c r="F47" s="18"/>
      <c r="G47" s="18"/>
      <c r="H47" s="18"/>
    </row>
    <row r="48" spans="1:8" ht="16.05" customHeight="1" x14ac:dyDescent="0.3">
      <c r="A48" s="16" t="s">
        <v>99</v>
      </c>
      <c r="B48" s="16" t="s">
        <v>366</v>
      </c>
      <c r="C48" s="16" t="s">
        <v>367</v>
      </c>
      <c r="D48" s="16"/>
      <c r="E48" s="16"/>
      <c r="F48" s="16"/>
      <c r="G48" s="16"/>
      <c r="H48" s="16"/>
    </row>
    <row r="49" spans="1:8" ht="16.05" customHeight="1" x14ac:dyDescent="0.3">
      <c r="A49" s="18" t="s">
        <v>101</v>
      </c>
      <c r="B49" s="18" t="s">
        <v>368</v>
      </c>
      <c r="C49" s="18" t="s">
        <v>369</v>
      </c>
      <c r="D49" s="18"/>
      <c r="E49" s="18"/>
      <c r="F49" s="18"/>
      <c r="G49" s="18"/>
      <c r="H49" s="18"/>
    </row>
    <row r="50" spans="1:8" ht="16.05" customHeight="1" x14ac:dyDescent="0.3">
      <c r="A50" s="16" t="s">
        <v>104</v>
      </c>
      <c r="B50" s="16" t="s">
        <v>370</v>
      </c>
      <c r="C50" s="16" t="s">
        <v>371</v>
      </c>
      <c r="D50" s="16"/>
      <c r="E50" s="16"/>
      <c r="F50" s="16"/>
      <c r="G50" s="16"/>
      <c r="H50" s="16"/>
    </row>
  </sheetData>
  <mergeCells count="8">
    <mergeCell ref="A1:H1"/>
    <mergeCell ref="A22:H22"/>
    <mergeCell ref="A3:H3"/>
    <mergeCell ref="A29:H29"/>
    <mergeCell ref="A2:H2"/>
    <mergeCell ref="A41:H41"/>
    <mergeCell ref="A36:H36"/>
    <mergeCell ref="A14:H14"/>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85"/>
  <sheetViews>
    <sheetView showGridLines="0" workbookViewId="0">
      <selection sqref="A1:I1"/>
    </sheetView>
  </sheetViews>
  <sheetFormatPr defaultRowHeight="14.4" x14ac:dyDescent="0.3"/>
  <cols>
    <col min="1" max="1" width="4" customWidth="1"/>
    <col min="2" max="2" width="26" customWidth="1"/>
    <col min="3" max="3" width="16" customWidth="1"/>
    <col min="4" max="8" width="14" customWidth="1"/>
    <col min="9" max="9" width="22" customWidth="1"/>
  </cols>
  <sheetData>
    <row r="1" spans="1:9" ht="28.05" customHeight="1" x14ac:dyDescent="0.3">
      <c r="A1" s="32" t="s">
        <v>372</v>
      </c>
      <c r="B1" s="33"/>
      <c r="C1" s="33"/>
      <c r="D1" s="33"/>
      <c r="E1" s="33"/>
      <c r="F1" s="33"/>
      <c r="G1" s="33"/>
      <c r="H1" s="33"/>
      <c r="I1" s="33"/>
    </row>
    <row r="2" spans="1:9" ht="18" customHeight="1" x14ac:dyDescent="0.3">
      <c r="A2" s="38" t="str">
        <f>IF(SelectedScope="All India","NATIONAL VIEW — ALL INDIA","STATE VIEW — "&amp;SelectedScope)</f>
        <v>NATIONAL VIEW — ALL INDIA</v>
      </c>
      <c r="B2" s="33"/>
      <c r="C2" s="33"/>
      <c r="D2" s="33"/>
      <c r="E2" s="33"/>
      <c r="F2" s="33"/>
      <c r="G2" s="33"/>
      <c r="H2" s="33"/>
      <c r="I2" s="33"/>
    </row>
    <row r="3" spans="1:9" ht="16.05" customHeight="1" x14ac:dyDescent="0.3">
      <c r="A3" s="39" t="s">
        <v>373</v>
      </c>
      <c r="B3" s="33"/>
      <c r="C3" s="33"/>
      <c r="D3" s="33"/>
      <c r="E3" s="33"/>
      <c r="F3" s="33"/>
      <c r="G3" s="33"/>
      <c r="H3" s="33"/>
      <c r="I3" s="33"/>
    </row>
    <row r="4" spans="1:9" ht="19.95" customHeight="1" x14ac:dyDescent="0.3">
      <c r="A4" s="37" t="s">
        <v>374</v>
      </c>
      <c r="B4" s="33"/>
      <c r="C4" s="33"/>
      <c r="D4" s="33"/>
      <c r="E4" s="33"/>
      <c r="F4" s="33"/>
      <c r="G4" s="33"/>
      <c r="H4" s="33"/>
      <c r="I4" s="33"/>
    </row>
    <row r="5" spans="1:9" ht="31.95" customHeight="1" x14ac:dyDescent="0.3">
      <c r="A5" s="15" t="s">
        <v>78</v>
      </c>
      <c r="B5" s="15" t="s">
        <v>191</v>
      </c>
      <c r="C5" s="15" t="s">
        <v>193</v>
      </c>
      <c r="D5" s="15" t="s">
        <v>84</v>
      </c>
      <c r="E5" s="15" t="s">
        <v>375</v>
      </c>
      <c r="F5" s="15" t="s">
        <v>71</v>
      </c>
      <c r="G5" s="15" t="s">
        <v>72</v>
      </c>
      <c r="H5" s="15" t="s">
        <v>194</v>
      </c>
      <c r="I5" s="15" t="s">
        <v>195</v>
      </c>
    </row>
    <row r="6" spans="1:9" ht="15" customHeight="1" x14ac:dyDescent="0.3">
      <c r="A6" s="24">
        <v>1</v>
      </c>
      <c r="B6" s="12" t="str">
        <f>IFERROR(IF(SelectedScope="All India",INDEX('RAW_DISTRICT'!$C$4:$C$745,1),INDEX('RAW_DISTRICT'!$C$4:$C$745,MATCH(1,'RAW_DISTRICT'!$V$4:$V$745,0))),"")</f>
        <v>Nicobars</v>
      </c>
      <c r="C6" s="13" t="str">
        <f>IFERROR(IF($B6="","",INDEX('RAW_DISTRICT'!$E$4:$E$745,MATCH(1,('RAW_DISTRICT'!$C$4:$C$745=$B6)*('RAW_DISTRICT'!$B$4:$B$745=IF(SelectedScope="All India",INDEX('RAW_DISTRICT'!$B$4:$B$745,1),SelectedScope)),0))),"")</f>
        <v/>
      </c>
      <c r="D6" s="13">
        <f>IFERROR(IF($B6="","",SUMPRODUCT(('RAW_DISTRICT'!$C$4:$C$745=$B6)*('RAW_DISTRICT'!$B$4:$B$745=IF(SelectedScope="All India",INDEX('RAW_DISTRICT'!$B$4:$B$745,1),SelectedScope))*'RAW_DISTRICT'!$P$4:$P$745)),"")</f>
        <v>0</v>
      </c>
      <c r="E6" s="13">
        <f>IFERROR(IF($B6="","",SUMPRODUCT(('RAW_DISTRICT'!$C$4:$C$745=$B6)*('RAW_DISTRICT'!$B$4:$B$745=IF(SelectedScope="All India",INDEX('RAW_DISTRICT'!$B$4:$B$745,1),SelectedScope))*'RAW_DISTRICT'!$Q$4:$Q$745)),"")</f>
        <v>0</v>
      </c>
      <c r="F6" s="13">
        <f>IFERROR(IF($B6="","",SUMPRODUCT(('RAW_DISTRICT'!$C$4:$C$745=$B6)*('RAW_DISTRICT'!$B$4:$B$745=IF(SelectedScope="All India",INDEX('RAW_DISTRICT'!$B$4:$B$745,1),SelectedScope))*'RAW_DISTRICT'!$F$4:$F$745)),"")</f>
        <v>0</v>
      </c>
      <c r="G6" s="14" t="str">
        <f>IFERROR(IF($B6="","",(SUMPRODUCT(('RAW_DISTRICT'!$C$4:$C$745=$B6)*('RAW_DISTRICT'!$B$4:$B$745=IF(SelectedScope="All India",INDEX('RAW_DISTRICT'!$B$4:$B$745,1),SelectedScope))*'RAW_DISTRICT'!$I$4:$I$745))/(SUMPRODUCT(('RAW_DISTRICT'!$C$4:$C$745=$B6)*('RAW_DISTRICT'!$B$4:$B$745=IF(SelectedScope="All India",INDEX('RAW_DISTRICT'!$B$4:$B$745,1),SelectedScope))*'RAW_DISTRICT'!$H$4:$H$745))),"")</f>
        <v/>
      </c>
      <c r="H6" s="13" t="str">
        <f>IFERROR(IF($B6="","",INDEX('RAW_DISTRICT'!$R$4:$R$745,MATCH(1,('RAW_DISTRICT'!$C$4:$C$745=$B6)*('RAW_DISTRICT'!$B$4:$B$745=IF(SelectedScope="All India",INDEX('RAW_DISTRICT'!$B$4:$B$745,1),SelectedScope)),0))),"")</f>
        <v/>
      </c>
      <c r="I6" s="13" t="str">
        <f>IFERROR(IF($B6="","",INDEX('RAW_DISTRICT'!$S$4:$S$745,MATCH(1,('RAW_DISTRICT'!$C$4:$C$745=$B6)*('RAW_DISTRICT'!$B$4:$B$745=IF(SelectedScope="All India",INDEX('RAW_DISTRICT'!$B$4:$B$745,1),SelectedScope)),0))),"")</f>
        <v/>
      </c>
    </row>
    <row r="7" spans="1:9" ht="15" customHeight="1" x14ac:dyDescent="0.3">
      <c r="A7" s="23">
        <v>2</v>
      </c>
      <c r="B7" s="9" t="str">
        <f>IFERROR(IF(SelectedScope="All India",INDEX('RAW_DISTRICT'!$C$4:$C$745,2),INDEX('RAW_DISTRICT'!$C$4:$C$745,MATCH(2,'RAW_DISTRICT'!$V$4:$V$745,0))),"")</f>
        <v>North and Middle Andaman</v>
      </c>
      <c r="C7" s="10" t="str">
        <f>IFERROR(IF($B7="","",INDEX('RAW_DISTRICT'!$E$4:$E$745,MATCH(1,('RAW_DISTRICT'!$C$4:$C$745=$B7)*('RAW_DISTRICT'!$B$4:$B$745=IF(SelectedScope="All India",INDEX('RAW_DISTRICT'!$B$4:$B$745,2),SelectedScope)),0))),"")</f>
        <v/>
      </c>
      <c r="D7" s="10">
        <f>IFERROR(IF($B7="","",SUMPRODUCT(('RAW_DISTRICT'!$C$4:$C$745=$B7)*('RAW_DISTRICT'!$B$4:$B$745=IF(SelectedScope="All India",INDEX('RAW_DISTRICT'!$B$4:$B$745,2),SelectedScope))*'RAW_DISTRICT'!$P$4:$P$745)),"")</f>
        <v>0</v>
      </c>
      <c r="E7" s="10">
        <f>IFERROR(IF($B7="","",SUMPRODUCT(('RAW_DISTRICT'!$C$4:$C$745=$B7)*('RAW_DISTRICT'!$B$4:$B$745=IF(SelectedScope="All India",INDEX('RAW_DISTRICT'!$B$4:$B$745,2),SelectedScope))*'RAW_DISTRICT'!$Q$4:$Q$745)),"")</f>
        <v>0</v>
      </c>
      <c r="F7" s="10">
        <f>IFERROR(IF($B7="","",SUMPRODUCT(('RAW_DISTRICT'!$C$4:$C$745=$B7)*('RAW_DISTRICT'!$B$4:$B$745=IF(SelectedScope="All India",INDEX('RAW_DISTRICT'!$B$4:$B$745,2),SelectedScope))*'RAW_DISTRICT'!$F$4:$F$745)),"")</f>
        <v>0</v>
      </c>
      <c r="G7" s="11" t="str">
        <f>IFERROR(IF($B7="","",(SUMPRODUCT(('RAW_DISTRICT'!$C$4:$C$745=$B7)*('RAW_DISTRICT'!$B$4:$B$745=IF(SelectedScope="All India",INDEX('RAW_DISTRICT'!$B$4:$B$745,2),SelectedScope))*'RAW_DISTRICT'!$I$4:$I$745))/(SUMPRODUCT(('RAW_DISTRICT'!$C$4:$C$745=$B7)*('RAW_DISTRICT'!$B$4:$B$745=IF(SelectedScope="All India",INDEX('RAW_DISTRICT'!$B$4:$B$745,2),SelectedScope))*'RAW_DISTRICT'!$H$4:$H$745))),"")</f>
        <v/>
      </c>
      <c r="H7" s="10" t="str">
        <f>IFERROR(IF($B7="","",INDEX('RAW_DISTRICT'!$R$4:$R$745,MATCH(1,('RAW_DISTRICT'!$C$4:$C$745=$B7)*('RAW_DISTRICT'!$B$4:$B$745=IF(SelectedScope="All India",INDEX('RAW_DISTRICT'!$B$4:$B$745,2),SelectedScope)),0))),"")</f>
        <v/>
      </c>
      <c r="I7" s="10" t="str">
        <f>IFERROR(IF($B7="","",INDEX('RAW_DISTRICT'!$S$4:$S$745,MATCH(1,('RAW_DISTRICT'!$C$4:$C$745=$B7)*('RAW_DISTRICT'!$B$4:$B$745=IF(SelectedScope="All India",INDEX('RAW_DISTRICT'!$B$4:$B$745,2),SelectedScope)),0))),"")</f>
        <v/>
      </c>
    </row>
    <row r="8" spans="1:9" ht="15" customHeight="1" x14ac:dyDescent="0.3">
      <c r="A8" s="24">
        <v>3</v>
      </c>
      <c r="B8" s="12" t="str">
        <f>IFERROR(IF(SelectedScope="All India",INDEX('RAW_DISTRICT'!$C$4:$C$745,3),INDEX('RAW_DISTRICT'!$C$4:$C$745,MATCH(3,'RAW_DISTRICT'!$V$4:$V$745,0))),"")</f>
        <v>South Andaman</v>
      </c>
      <c r="C8" s="13" t="str">
        <f>IFERROR(IF($B8="","",INDEX('RAW_DISTRICT'!$E$4:$E$745,MATCH(1,('RAW_DISTRICT'!$C$4:$C$745=$B8)*('RAW_DISTRICT'!$B$4:$B$745=IF(SelectedScope="All India",INDEX('RAW_DISTRICT'!$B$4:$B$745,3),SelectedScope)),0))),"")</f>
        <v/>
      </c>
      <c r="D8" s="13">
        <f>IFERROR(IF($B8="","",SUMPRODUCT(('RAW_DISTRICT'!$C$4:$C$745=$B8)*('RAW_DISTRICT'!$B$4:$B$745=IF(SelectedScope="All India",INDEX('RAW_DISTRICT'!$B$4:$B$745,3),SelectedScope))*'RAW_DISTRICT'!$P$4:$P$745)),"")</f>
        <v>0</v>
      </c>
      <c r="E8" s="13">
        <f>IFERROR(IF($B8="","",SUMPRODUCT(('RAW_DISTRICT'!$C$4:$C$745=$B8)*('RAW_DISTRICT'!$B$4:$B$745=IF(SelectedScope="All India",INDEX('RAW_DISTRICT'!$B$4:$B$745,3),SelectedScope))*'RAW_DISTRICT'!$Q$4:$Q$745)),"")</f>
        <v>0</v>
      </c>
      <c r="F8" s="13">
        <f>IFERROR(IF($B8="","",SUMPRODUCT(('RAW_DISTRICT'!$C$4:$C$745=$B8)*('RAW_DISTRICT'!$B$4:$B$745=IF(SelectedScope="All India",INDEX('RAW_DISTRICT'!$B$4:$B$745,3),SelectedScope))*'RAW_DISTRICT'!$F$4:$F$745)),"")</f>
        <v>0</v>
      </c>
      <c r="G8" s="14" t="str">
        <f>IFERROR(IF($B8="","",(SUMPRODUCT(('RAW_DISTRICT'!$C$4:$C$745=$B8)*('RAW_DISTRICT'!$B$4:$B$745=IF(SelectedScope="All India",INDEX('RAW_DISTRICT'!$B$4:$B$745,3),SelectedScope))*'RAW_DISTRICT'!$I$4:$I$745))/(SUMPRODUCT(('RAW_DISTRICT'!$C$4:$C$745=$B8)*('RAW_DISTRICT'!$B$4:$B$745=IF(SelectedScope="All India",INDEX('RAW_DISTRICT'!$B$4:$B$745,3),SelectedScope))*'RAW_DISTRICT'!$H$4:$H$745))),"")</f>
        <v/>
      </c>
      <c r="H8" s="13" t="str">
        <f>IFERROR(IF($B8="","",INDEX('RAW_DISTRICT'!$R$4:$R$745,MATCH(1,('RAW_DISTRICT'!$C$4:$C$745=$B8)*('RAW_DISTRICT'!$B$4:$B$745=IF(SelectedScope="All India",INDEX('RAW_DISTRICT'!$B$4:$B$745,3),SelectedScope)),0))),"")</f>
        <v/>
      </c>
      <c r="I8" s="13" t="str">
        <f>IFERROR(IF($B8="","",INDEX('RAW_DISTRICT'!$S$4:$S$745,MATCH(1,('RAW_DISTRICT'!$C$4:$C$745=$B8)*('RAW_DISTRICT'!$B$4:$B$745=IF(SelectedScope="All India",INDEX('RAW_DISTRICT'!$B$4:$B$745,3),SelectedScope)),0))),"")</f>
        <v/>
      </c>
    </row>
    <row r="9" spans="1:9" ht="15" customHeight="1" x14ac:dyDescent="0.3">
      <c r="A9" s="23">
        <v>4</v>
      </c>
      <c r="B9" s="9" t="str">
        <f>IFERROR(IF(SelectedScope="All India",INDEX('RAW_DISTRICT'!$C$4:$C$745,4),INDEX('RAW_DISTRICT'!$C$4:$C$745,MATCH(4,'RAW_DISTRICT'!$V$4:$V$745,0))),"")</f>
        <v>Alluri Sitharama Raju</v>
      </c>
      <c r="C9" s="10" t="str">
        <f>IFERROR(IF($B9="","",INDEX('RAW_DISTRICT'!$E$4:$E$745,MATCH(1,('RAW_DISTRICT'!$C$4:$C$745=$B9)*('RAW_DISTRICT'!$B$4:$B$745=IF(SelectedScope="All India",INDEX('RAW_DISTRICT'!$B$4:$B$745,4),SelectedScope)),0))),"")</f>
        <v/>
      </c>
      <c r="D9" s="10">
        <f>IFERROR(IF($B9="","",SUMPRODUCT(('RAW_DISTRICT'!$C$4:$C$745=$B9)*('RAW_DISTRICT'!$B$4:$B$745=IF(SelectedScope="All India",INDEX('RAW_DISTRICT'!$B$4:$B$745,4),SelectedScope))*'RAW_DISTRICT'!$P$4:$P$745)),"")</f>
        <v>0</v>
      </c>
      <c r="E9" s="10">
        <f>IFERROR(IF($B9="","",SUMPRODUCT(('RAW_DISTRICT'!$C$4:$C$745=$B9)*('RAW_DISTRICT'!$B$4:$B$745=IF(SelectedScope="All India",INDEX('RAW_DISTRICT'!$B$4:$B$745,4),SelectedScope))*'RAW_DISTRICT'!$Q$4:$Q$745)),"")</f>
        <v>0</v>
      </c>
      <c r="F9" s="10">
        <f>IFERROR(IF($B9="","",SUMPRODUCT(('RAW_DISTRICT'!$C$4:$C$745=$B9)*('RAW_DISTRICT'!$B$4:$B$745=IF(SelectedScope="All India",INDEX('RAW_DISTRICT'!$B$4:$B$745,4),SelectedScope))*'RAW_DISTRICT'!$F$4:$F$745)),"")</f>
        <v>0</v>
      </c>
      <c r="G9" s="11" t="str">
        <f>IFERROR(IF($B9="","",(SUMPRODUCT(('RAW_DISTRICT'!$C$4:$C$745=$B9)*('RAW_DISTRICT'!$B$4:$B$745=IF(SelectedScope="All India",INDEX('RAW_DISTRICT'!$B$4:$B$745,4),SelectedScope))*'RAW_DISTRICT'!$I$4:$I$745))/(SUMPRODUCT(('RAW_DISTRICT'!$C$4:$C$745=$B9)*('RAW_DISTRICT'!$B$4:$B$745=IF(SelectedScope="All India",INDEX('RAW_DISTRICT'!$B$4:$B$745,4),SelectedScope))*'RAW_DISTRICT'!$H$4:$H$745))),"")</f>
        <v/>
      </c>
      <c r="H9" s="10" t="str">
        <f>IFERROR(IF($B9="","",INDEX('RAW_DISTRICT'!$R$4:$R$745,MATCH(1,('RAW_DISTRICT'!$C$4:$C$745=$B9)*('RAW_DISTRICT'!$B$4:$B$745=IF(SelectedScope="All India",INDEX('RAW_DISTRICT'!$B$4:$B$745,4),SelectedScope)),0))),"")</f>
        <v/>
      </c>
      <c r="I9" s="10" t="str">
        <f>IFERROR(IF($B9="","",INDEX('RAW_DISTRICT'!$S$4:$S$745,MATCH(1,('RAW_DISTRICT'!$C$4:$C$745=$B9)*('RAW_DISTRICT'!$B$4:$B$745=IF(SelectedScope="All India",INDEX('RAW_DISTRICT'!$B$4:$B$745,4),SelectedScope)),0))),"")</f>
        <v/>
      </c>
    </row>
    <row r="10" spans="1:9" ht="15" customHeight="1" x14ac:dyDescent="0.3">
      <c r="A10" s="24">
        <v>5</v>
      </c>
      <c r="B10" s="12" t="str">
        <f>IFERROR(IF(SelectedScope="All India",INDEX('RAW_DISTRICT'!$C$4:$C$745,5),INDEX('RAW_DISTRICT'!$C$4:$C$745,MATCH(5,'RAW_DISTRICT'!$V$4:$V$745,0))),"")</f>
        <v>Anakapalli</v>
      </c>
      <c r="C10" s="13" t="str">
        <f>IFERROR(IF($B10="","",INDEX('RAW_DISTRICT'!$E$4:$E$745,MATCH(1,('RAW_DISTRICT'!$C$4:$C$745=$B10)*('RAW_DISTRICT'!$B$4:$B$745=IF(SelectedScope="All India",INDEX('RAW_DISTRICT'!$B$4:$B$745,5),SelectedScope)),0))),"")</f>
        <v/>
      </c>
      <c r="D10" s="13">
        <f>IFERROR(IF($B10="","",SUMPRODUCT(('RAW_DISTRICT'!$C$4:$C$745=$B10)*('RAW_DISTRICT'!$B$4:$B$745=IF(SelectedScope="All India",INDEX('RAW_DISTRICT'!$B$4:$B$745,5),SelectedScope))*'RAW_DISTRICT'!$P$4:$P$745)),"")</f>
        <v>0</v>
      </c>
      <c r="E10" s="13">
        <f>IFERROR(IF($B10="","",SUMPRODUCT(('RAW_DISTRICT'!$C$4:$C$745=$B10)*('RAW_DISTRICT'!$B$4:$B$745=IF(SelectedScope="All India",INDEX('RAW_DISTRICT'!$B$4:$B$745,5),SelectedScope))*'RAW_DISTRICT'!$Q$4:$Q$745)),"")</f>
        <v>0</v>
      </c>
      <c r="F10" s="13">
        <f>IFERROR(IF($B10="","",SUMPRODUCT(('RAW_DISTRICT'!$C$4:$C$745=$B10)*('RAW_DISTRICT'!$B$4:$B$745=IF(SelectedScope="All India",INDEX('RAW_DISTRICT'!$B$4:$B$745,5),SelectedScope))*'RAW_DISTRICT'!$F$4:$F$745)),"")</f>
        <v>0</v>
      </c>
      <c r="G10" s="14" t="str">
        <f>IFERROR(IF($B10="","",(SUMPRODUCT(('RAW_DISTRICT'!$C$4:$C$745=$B10)*('RAW_DISTRICT'!$B$4:$B$745=IF(SelectedScope="All India",INDEX('RAW_DISTRICT'!$B$4:$B$745,5),SelectedScope))*'RAW_DISTRICT'!$I$4:$I$745))/(SUMPRODUCT(('RAW_DISTRICT'!$C$4:$C$745=$B10)*('RAW_DISTRICT'!$B$4:$B$745=IF(SelectedScope="All India",INDEX('RAW_DISTRICT'!$B$4:$B$745,5),SelectedScope))*'RAW_DISTRICT'!$H$4:$H$745))),"")</f>
        <v/>
      </c>
      <c r="H10" s="13" t="str">
        <f>IFERROR(IF($B10="","",INDEX('RAW_DISTRICT'!$R$4:$R$745,MATCH(1,('RAW_DISTRICT'!$C$4:$C$745=$B10)*('RAW_DISTRICT'!$B$4:$B$745=IF(SelectedScope="All India",INDEX('RAW_DISTRICT'!$B$4:$B$745,5),SelectedScope)),0))),"")</f>
        <v/>
      </c>
      <c r="I10" s="13" t="str">
        <f>IFERROR(IF($B10="","",INDEX('RAW_DISTRICT'!$S$4:$S$745,MATCH(1,('RAW_DISTRICT'!$C$4:$C$745=$B10)*('RAW_DISTRICT'!$B$4:$B$745=IF(SelectedScope="All India",INDEX('RAW_DISTRICT'!$B$4:$B$745,5),SelectedScope)),0))),"")</f>
        <v/>
      </c>
    </row>
    <row r="11" spans="1:9" ht="15" customHeight="1" x14ac:dyDescent="0.3">
      <c r="A11" s="23">
        <v>6</v>
      </c>
      <c r="B11" s="9" t="str">
        <f>IFERROR(IF(SelectedScope="All India",INDEX('RAW_DISTRICT'!$C$4:$C$745,6),INDEX('RAW_DISTRICT'!$C$4:$C$745,MATCH(6,'RAW_DISTRICT'!$V$4:$V$745,0))),"")</f>
        <v>Ananthapuramu</v>
      </c>
      <c r="C11" s="10" t="str">
        <f>IFERROR(IF($B11="","",INDEX('RAW_DISTRICT'!$E$4:$E$745,MATCH(1,('RAW_DISTRICT'!$C$4:$C$745=$B11)*('RAW_DISTRICT'!$B$4:$B$745=IF(SelectedScope="All India",INDEX('RAW_DISTRICT'!$B$4:$B$745,6),SelectedScope)),0))),"")</f>
        <v/>
      </c>
      <c r="D11" s="10">
        <f>IFERROR(IF($B11="","",SUMPRODUCT(('RAW_DISTRICT'!$C$4:$C$745=$B11)*('RAW_DISTRICT'!$B$4:$B$745=IF(SelectedScope="All India",INDEX('RAW_DISTRICT'!$B$4:$B$745,6),SelectedScope))*'RAW_DISTRICT'!$P$4:$P$745)),"")</f>
        <v>0</v>
      </c>
      <c r="E11" s="10">
        <f>IFERROR(IF($B11="","",SUMPRODUCT(('RAW_DISTRICT'!$C$4:$C$745=$B11)*('RAW_DISTRICT'!$B$4:$B$745=IF(SelectedScope="All India",INDEX('RAW_DISTRICT'!$B$4:$B$745,6),SelectedScope))*'RAW_DISTRICT'!$Q$4:$Q$745)),"")</f>
        <v>0</v>
      </c>
      <c r="F11" s="10">
        <f>IFERROR(IF($B11="","",SUMPRODUCT(('RAW_DISTRICT'!$C$4:$C$745=$B11)*('RAW_DISTRICT'!$B$4:$B$745=IF(SelectedScope="All India",INDEX('RAW_DISTRICT'!$B$4:$B$745,6),SelectedScope))*'RAW_DISTRICT'!$F$4:$F$745)),"")</f>
        <v>0</v>
      </c>
      <c r="G11" s="11" t="str">
        <f>IFERROR(IF($B11="","",(SUMPRODUCT(('RAW_DISTRICT'!$C$4:$C$745=$B11)*('RAW_DISTRICT'!$B$4:$B$745=IF(SelectedScope="All India",INDEX('RAW_DISTRICT'!$B$4:$B$745,6),SelectedScope))*'RAW_DISTRICT'!$I$4:$I$745))/(SUMPRODUCT(('RAW_DISTRICT'!$C$4:$C$745=$B11)*('RAW_DISTRICT'!$B$4:$B$745=IF(SelectedScope="All India",INDEX('RAW_DISTRICT'!$B$4:$B$745,6),SelectedScope))*'RAW_DISTRICT'!$H$4:$H$745))),"")</f>
        <v/>
      </c>
      <c r="H11" s="10" t="str">
        <f>IFERROR(IF($B11="","",INDEX('RAW_DISTRICT'!$R$4:$R$745,MATCH(1,('RAW_DISTRICT'!$C$4:$C$745=$B11)*('RAW_DISTRICT'!$B$4:$B$745=IF(SelectedScope="All India",INDEX('RAW_DISTRICT'!$B$4:$B$745,6),SelectedScope)),0))),"")</f>
        <v/>
      </c>
      <c r="I11" s="10" t="str">
        <f>IFERROR(IF($B11="","",INDEX('RAW_DISTRICT'!$S$4:$S$745,MATCH(1,('RAW_DISTRICT'!$C$4:$C$745=$B11)*('RAW_DISTRICT'!$B$4:$B$745=IF(SelectedScope="All India",INDEX('RAW_DISTRICT'!$B$4:$B$745,6),SelectedScope)),0))),"")</f>
        <v/>
      </c>
    </row>
    <row r="12" spans="1:9" ht="15" customHeight="1" x14ac:dyDescent="0.3">
      <c r="A12" s="24">
        <v>7</v>
      </c>
      <c r="B12" s="12" t="str">
        <f>IFERROR(IF(SelectedScope="All India",INDEX('RAW_DISTRICT'!$C$4:$C$745,7),INDEX('RAW_DISTRICT'!$C$4:$C$745,MATCH(7,'RAW_DISTRICT'!$V$4:$V$745,0))),"")</f>
        <v>Bapatla</v>
      </c>
      <c r="C12" s="13" t="str">
        <f>IFERROR(IF($B12="","",INDEX('RAW_DISTRICT'!$E$4:$E$745,MATCH(1,('RAW_DISTRICT'!$C$4:$C$745=$B12)*('RAW_DISTRICT'!$B$4:$B$745=IF(SelectedScope="All India",INDEX('RAW_DISTRICT'!$B$4:$B$745,7),SelectedScope)),0))),"")</f>
        <v/>
      </c>
      <c r="D12" s="13">
        <f>IFERROR(IF($B12="","",SUMPRODUCT(('RAW_DISTRICT'!$C$4:$C$745=$B12)*('RAW_DISTRICT'!$B$4:$B$745=IF(SelectedScope="All India",INDEX('RAW_DISTRICT'!$B$4:$B$745,7),SelectedScope))*'RAW_DISTRICT'!$P$4:$P$745)),"")</f>
        <v>0</v>
      </c>
      <c r="E12" s="13">
        <f>IFERROR(IF($B12="","",SUMPRODUCT(('RAW_DISTRICT'!$C$4:$C$745=$B12)*('RAW_DISTRICT'!$B$4:$B$745=IF(SelectedScope="All India",INDEX('RAW_DISTRICT'!$B$4:$B$745,7),SelectedScope))*'RAW_DISTRICT'!$Q$4:$Q$745)),"")</f>
        <v>0</v>
      </c>
      <c r="F12" s="13">
        <f>IFERROR(IF($B12="","",SUMPRODUCT(('RAW_DISTRICT'!$C$4:$C$745=$B12)*('RAW_DISTRICT'!$B$4:$B$745=IF(SelectedScope="All India",INDEX('RAW_DISTRICT'!$B$4:$B$745,7),SelectedScope))*'RAW_DISTRICT'!$F$4:$F$745)),"")</f>
        <v>0</v>
      </c>
      <c r="G12" s="14" t="str">
        <f>IFERROR(IF($B12="","",(SUMPRODUCT(('RAW_DISTRICT'!$C$4:$C$745=$B12)*('RAW_DISTRICT'!$B$4:$B$745=IF(SelectedScope="All India",INDEX('RAW_DISTRICT'!$B$4:$B$745,7),SelectedScope))*'RAW_DISTRICT'!$I$4:$I$745))/(SUMPRODUCT(('RAW_DISTRICT'!$C$4:$C$745=$B12)*('RAW_DISTRICT'!$B$4:$B$745=IF(SelectedScope="All India",INDEX('RAW_DISTRICT'!$B$4:$B$745,7),SelectedScope))*'RAW_DISTRICT'!$H$4:$H$745))),"")</f>
        <v/>
      </c>
      <c r="H12" s="13" t="str">
        <f>IFERROR(IF($B12="","",INDEX('RAW_DISTRICT'!$R$4:$R$745,MATCH(1,('RAW_DISTRICT'!$C$4:$C$745=$B12)*('RAW_DISTRICT'!$B$4:$B$745=IF(SelectedScope="All India",INDEX('RAW_DISTRICT'!$B$4:$B$745,7),SelectedScope)),0))),"")</f>
        <v/>
      </c>
      <c r="I12" s="13" t="str">
        <f>IFERROR(IF($B12="","",INDEX('RAW_DISTRICT'!$S$4:$S$745,MATCH(1,('RAW_DISTRICT'!$C$4:$C$745=$B12)*('RAW_DISTRICT'!$B$4:$B$745=IF(SelectedScope="All India",INDEX('RAW_DISTRICT'!$B$4:$B$745,7),SelectedScope)),0))),"")</f>
        <v/>
      </c>
    </row>
    <row r="13" spans="1:9" ht="15" customHeight="1" x14ac:dyDescent="0.3">
      <c r="A13" s="23">
        <v>8</v>
      </c>
      <c r="B13" s="9" t="str">
        <f>IFERROR(IF(SelectedScope="All India",INDEX('RAW_DISTRICT'!$C$4:$C$745,8),INDEX('RAW_DISTRICT'!$C$4:$C$745,MATCH(8,'RAW_DISTRICT'!$V$4:$V$745,0))),"")</f>
        <v>Chittoor</v>
      </c>
      <c r="C13" s="10" t="str">
        <f>IFERROR(IF($B13="","",INDEX('RAW_DISTRICT'!$E$4:$E$745,MATCH(1,('RAW_DISTRICT'!$C$4:$C$745=$B13)*('RAW_DISTRICT'!$B$4:$B$745=IF(SelectedScope="All India",INDEX('RAW_DISTRICT'!$B$4:$B$745,8),SelectedScope)),0))),"")</f>
        <v/>
      </c>
      <c r="D13" s="10">
        <f>IFERROR(IF($B13="","",SUMPRODUCT(('RAW_DISTRICT'!$C$4:$C$745=$B13)*('RAW_DISTRICT'!$B$4:$B$745=IF(SelectedScope="All India",INDEX('RAW_DISTRICT'!$B$4:$B$745,8),SelectedScope))*'RAW_DISTRICT'!$P$4:$P$745)),"")</f>
        <v>0</v>
      </c>
      <c r="E13" s="10">
        <f>IFERROR(IF($B13="","",SUMPRODUCT(('RAW_DISTRICT'!$C$4:$C$745=$B13)*('RAW_DISTRICT'!$B$4:$B$745=IF(SelectedScope="All India",INDEX('RAW_DISTRICT'!$B$4:$B$745,8),SelectedScope))*'RAW_DISTRICT'!$Q$4:$Q$745)),"")</f>
        <v>0</v>
      </c>
      <c r="F13" s="10">
        <f>IFERROR(IF($B13="","",SUMPRODUCT(('RAW_DISTRICT'!$C$4:$C$745=$B13)*('RAW_DISTRICT'!$B$4:$B$745=IF(SelectedScope="All India",INDEX('RAW_DISTRICT'!$B$4:$B$745,8),SelectedScope))*'RAW_DISTRICT'!$F$4:$F$745)),"")</f>
        <v>0</v>
      </c>
      <c r="G13" s="11" t="str">
        <f>IFERROR(IF($B13="","",(SUMPRODUCT(('RAW_DISTRICT'!$C$4:$C$745=$B13)*('RAW_DISTRICT'!$B$4:$B$745=IF(SelectedScope="All India",INDEX('RAW_DISTRICT'!$B$4:$B$745,8),SelectedScope))*'RAW_DISTRICT'!$I$4:$I$745))/(SUMPRODUCT(('RAW_DISTRICT'!$C$4:$C$745=$B13)*('RAW_DISTRICT'!$B$4:$B$745=IF(SelectedScope="All India",INDEX('RAW_DISTRICT'!$B$4:$B$745,8),SelectedScope))*'RAW_DISTRICT'!$H$4:$H$745))),"")</f>
        <v/>
      </c>
      <c r="H13" s="10" t="str">
        <f>IFERROR(IF($B13="","",INDEX('RAW_DISTRICT'!$R$4:$R$745,MATCH(1,('RAW_DISTRICT'!$C$4:$C$745=$B13)*('RAW_DISTRICT'!$B$4:$B$745=IF(SelectedScope="All India",INDEX('RAW_DISTRICT'!$B$4:$B$745,8),SelectedScope)),0))),"")</f>
        <v/>
      </c>
      <c r="I13" s="10" t="str">
        <f>IFERROR(IF($B13="","",INDEX('RAW_DISTRICT'!$S$4:$S$745,MATCH(1,('RAW_DISTRICT'!$C$4:$C$745=$B13)*('RAW_DISTRICT'!$B$4:$B$745=IF(SelectedScope="All India",INDEX('RAW_DISTRICT'!$B$4:$B$745,8),SelectedScope)),0))),"")</f>
        <v/>
      </c>
    </row>
    <row r="14" spans="1:9" ht="15" customHeight="1" x14ac:dyDescent="0.3">
      <c r="A14" s="24">
        <v>9</v>
      </c>
      <c r="B14" s="12" t="str">
        <f>IFERROR(IF(SelectedScope="All India",INDEX('RAW_DISTRICT'!$C$4:$C$745,9),INDEX('RAW_DISTRICT'!$C$4:$C$745,MATCH(9,'RAW_DISTRICT'!$V$4:$V$745,0))),"")</f>
        <v>East Godavari</v>
      </c>
      <c r="C14" s="13" t="str">
        <f>IFERROR(IF($B14="","",INDEX('RAW_DISTRICT'!$E$4:$E$745,MATCH(1,('RAW_DISTRICT'!$C$4:$C$745=$B14)*('RAW_DISTRICT'!$B$4:$B$745=IF(SelectedScope="All India",INDEX('RAW_DISTRICT'!$B$4:$B$745,9),SelectedScope)),0))),"")</f>
        <v/>
      </c>
      <c r="D14" s="13">
        <f>IFERROR(IF($B14="","",SUMPRODUCT(('RAW_DISTRICT'!$C$4:$C$745=$B14)*('RAW_DISTRICT'!$B$4:$B$745=IF(SelectedScope="All India",INDEX('RAW_DISTRICT'!$B$4:$B$745,9),SelectedScope))*'RAW_DISTRICT'!$P$4:$P$745)),"")</f>
        <v>0</v>
      </c>
      <c r="E14" s="13">
        <f>IFERROR(IF($B14="","",SUMPRODUCT(('RAW_DISTRICT'!$C$4:$C$745=$B14)*('RAW_DISTRICT'!$B$4:$B$745=IF(SelectedScope="All India",INDEX('RAW_DISTRICT'!$B$4:$B$745,9),SelectedScope))*'RAW_DISTRICT'!$Q$4:$Q$745)),"")</f>
        <v>0</v>
      </c>
      <c r="F14" s="13">
        <f>IFERROR(IF($B14="","",SUMPRODUCT(('RAW_DISTRICT'!$C$4:$C$745=$B14)*('RAW_DISTRICT'!$B$4:$B$745=IF(SelectedScope="All India",INDEX('RAW_DISTRICT'!$B$4:$B$745,9),SelectedScope))*'RAW_DISTRICT'!$F$4:$F$745)),"")</f>
        <v>0</v>
      </c>
      <c r="G14" s="14" t="str">
        <f>IFERROR(IF($B14="","",(SUMPRODUCT(('RAW_DISTRICT'!$C$4:$C$745=$B14)*('RAW_DISTRICT'!$B$4:$B$745=IF(SelectedScope="All India",INDEX('RAW_DISTRICT'!$B$4:$B$745,9),SelectedScope))*'RAW_DISTRICT'!$I$4:$I$745))/(SUMPRODUCT(('RAW_DISTRICT'!$C$4:$C$745=$B14)*('RAW_DISTRICT'!$B$4:$B$745=IF(SelectedScope="All India",INDEX('RAW_DISTRICT'!$B$4:$B$745,9),SelectedScope))*'RAW_DISTRICT'!$H$4:$H$745))),"")</f>
        <v/>
      </c>
      <c r="H14" s="13" t="str">
        <f>IFERROR(IF($B14="","",INDEX('RAW_DISTRICT'!$R$4:$R$745,MATCH(1,('RAW_DISTRICT'!$C$4:$C$745=$B14)*('RAW_DISTRICT'!$B$4:$B$745=IF(SelectedScope="All India",INDEX('RAW_DISTRICT'!$B$4:$B$745,9),SelectedScope)),0))),"")</f>
        <v/>
      </c>
      <c r="I14" s="13" t="str">
        <f>IFERROR(IF($B14="","",INDEX('RAW_DISTRICT'!$S$4:$S$745,MATCH(1,('RAW_DISTRICT'!$C$4:$C$745=$B14)*('RAW_DISTRICT'!$B$4:$B$745=IF(SelectedScope="All India",INDEX('RAW_DISTRICT'!$B$4:$B$745,9),SelectedScope)),0))),"")</f>
        <v/>
      </c>
    </row>
    <row r="15" spans="1:9" ht="15" customHeight="1" x14ac:dyDescent="0.3">
      <c r="A15" s="23">
        <v>10</v>
      </c>
      <c r="B15" s="9" t="str">
        <f>IFERROR(IF(SelectedScope="All India",INDEX('RAW_DISTRICT'!$C$4:$C$745,10),INDEX('RAW_DISTRICT'!$C$4:$C$745,MATCH(10,'RAW_DISTRICT'!$V$4:$V$745,0))),"")</f>
        <v>Eluru</v>
      </c>
      <c r="C15" s="10" t="str">
        <f>IFERROR(IF($B15="","",INDEX('RAW_DISTRICT'!$E$4:$E$745,MATCH(1,('RAW_DISTRICT'!$C$4:$C$745=$B15)*('RAW_DISTRICT'!$B$4:$B$745=IF(SelectedScope="All India",INDEX('RAW_DISTRICT'!$B$4:$B$745,10),SelectedScope)),0))),"")</f>
        <v/>
      </c>
      <c r="D15" s="10">
        <f>IFERROR(IF($B15="","",SUMPRODUCT(('RAW_DISTRICT'!$C$4:$C$745=$B15)*('RAW_DISTRICT'!$B$4:$B$745=IF(SelectedScope="All India",INDEX('RAW_DISTRICT'!$B$4:$B$745,10),SelectedScope))*'RAW_DISTRICT'!$P$4:$P$745)),"")</f>
        <v>0</v>
      </c>
      <c r="E15" s="10">
        <f>IFERROR(IF($B15="","",SUMPRODUCT(('RAW_DISTRICT'!$C$4:$C$745=$B15)*('RAW_DISTRICT'!$B$4:$B$745=IF(SelectedScope="All India",INDEX('RAW_DISTRICT'!$B$4:$B$745,10),SelectedScope))*'RAW_DISTRICT'!$Q$4:$Q$745)),"")</f>
        <v>0</v>
      </c>
      <c r="F15" s="10">
        <f>IFERROR(IF($B15="","",SUMPRODUCT(('RAW_DISTRICT'!$C$4:$C$745=$B15)*('RAW_DISTRICT'!$B$4:$B$745=IF(SelectedScope="All India",INDEX('RAW_DISTRICT'!$B$4:$B$745,10),SelectedScope))*'RAW_DISTRICT'!$F$4:$F$745)),"")</f>
        <v>0</v>
      </c>
      <c r="G15" s="11" t="str">
        <f>IFERROR(IF($B15="","",(SUMPRODUCT(('RAW_DISTRICT'!$C$4:$C$745=$B15)*('RAW_DISTRICT'!$B$4:$B$745=IF(SelectedScope="All India",INDEX('RAW_DISTRICT'!$B$4:$B$745,10),SelectedScope))*'RAW_DISTRICT'!$I$4:$I$745))/(SUMPRODUCT(('RAW_DISTRICT'!$C$4:$C$745=$B15)*('RAW_DISTRICT'!$B$4:$B$745=IF(SelectedScope="All India",INDEX('RAW_DISTRICT'!$B$4:$B$745,10),SelectedScope))*'RAW_DISTRICT'!$H$4:$H$745))),"")</f>
        <v/>
      </c>
      <c r="H15" s="10" t="str">
        <f>IFERROR(IF($B15="","",INDEX('RAW_DISTRICT'!$R$4:$R$745,MATCH(1,('RAW_DISTRICT'!$C$4:$C$745=$B15)*('RAW_DISTRICT'!$B$4:$B$745=IF(SelectedScope="All India",INDEX('RAW_DISTRICT'!$B$4:$B$745,10),SelectedScope)),0))),"")</f>
        <v/>
      </c>
      <c r="I15" s="10" t="str">
        <f>IFERROR(IF($B15="","",INDEX('RAW_DISTRICT'!$S$4:$S$745,MATCH(1,('RAW_DISTRICT'!$C$4:$C$745=$B15)*('RAW_DISTRICT'!$B$4:$B$745=IF(SelectedScope="All India",INDEX('RAW_DISTRICT'!$B$4:$B$745,10),SelectedScope)),0))),"")</f>
        <v/>
      </c>
    </row>
    <row r="16" spans="1:9" ht="15" customHeight="1" x14ac:dyDescent="0.3">
      <c r="A16" s="24">
        <v>11</v>
      </c>
      <c r="B16" s="12" t="str">
        <f>IFERROR(IF(SelectedScope="All India",INDEX('RAW_DISTRICT'!$C$4:$C$745,11),INDEX('RAW_DISTRICT'!$C$4:$C$745,MATCH(11,'RAW_DISTRICT'!$V$4:$V$745,0))),"")</f>
        <v>Guntur</v>
      </c>
      <c r="C16" s="13" t="str">
        <f>IFERROR(IF($B16="","",INDEX('RAW_DISTRICT'!$E$4:$E$745,MATCH(1,('RAW_DISTRICT'!$C$4:$C$745=$B16)*('RAW_DISTRICT'!$B$4:$B$745=IF(SelectedScope="All India",INDEX('RAW_DISTRICT'!$B$4:$B$745,11),SelectedScope)),0))),"")</f>
        <v/>
      </c>
      <c r="D16" s="13">
        <f>IFERROR(IF($B16="","",SUMPRODUCT(('RAW_DISTRICT'!$C$4:$C$745=$B16)*('RAW_DISTRICT'!$B$4:$B$745=IF(SelectedScope="All India",INDEX('RAW_DISTRICT'!$B$4:$B$745,11),SelectedScope))*'RAW_DISTRICT'!$P$4:$P$745)),"")</f>
        <v>0</v>
      </c>
      <c r="E16" s="13">
        <f>IFERROR(IF($B16="","",SUMPRODUCT(('RAW_DISTRICT'!$C$4:$C$745=$B16)*('RAW_DISTRICT'!$B$4:$B$745=IF(SelectedScope="All India",INDEX('RAW_DISTRICT'!$B$4:$B$745,11),SelectedScope))*'RAW_DISTRICT'!$Q$4:$Q$745)),"")</f>
        <v>0</v>
      </c>
      <c r="F16" s="13">
        <f>IFERROR(IF($B16="","",SUMPRODUCT(('RAW_DISTRICT'!$C$4:$C$745=$B16)*('RAW_DISTRICT'!$B$4:$B$745=IF(SelectedScope="All India",INDEX('RAW_DISTRICT'!$B$4:$B$745,11),SelectedScope))*'RAW_DISTRICT'!$F$4:$F$745)),"")</f>
        <v>0</v>
      </c>
      <c r="G16" s="14" t="str">
        <f>IFERROR(IF($B16="","",(SUMPRODUCT(('RAW_DISTRICT'!$C$4:$C$745=$B16)*('RAW_DISTRICT'!$B$4:$B$745=IF(SelectedScope="All India",INDEX('RAW_DISTRICT'!$B$4:$B$745,11),SelectedScope))*'RAW_DISTRICT'!$I$4:$I$745))/(SUMPRODUCT(('RAW_DISTRICT'!$C$4:$C$745=$B16)*('RAW_DISTRICT'!$B$4:$B$745=IF(SelectedScope="All India",INDEX('RAW_DISTRICT'!$B$4:$B$745,11),SelectedScope))*'RAW_DISTRICT'!$H$4:$H$745))),"")</f>
        <v/>
      </c>
      <c r="H16" s="13" t="str">
        <f>IFERROR(IF($B16="","",INDEX('RAW_DISTRICT'!$R$4:$R$745,MATCH(1,('RAW_DISTRICT'!$C$4:$C$745=$B16)*('RAW_DISTRICT'!$B$4:$B$745=IF(SelectedScope="All India",INDEX('RAW_DISTRICT'!$B$4:$B$745,11),SelectedScope)),0))),"")</f>
        <v/>
      </c>
      <c r="I16" s="13" t="str">
        <f>IFERROR(IF($B16="","",INDEX('RAW_DISTRICT'!$S$4:$S$745,MATCH(1,('RAW_DISTRICT'!$C$4:$C$745=$B16)*('RAW_DISTRICT'!$B$4:$B$745=IF(SelectedScope="All India",INDEX('RAW_DISTRICT'!$B$4:$B$745,11),SelectedScope)),0))),"")</f>
        <v/>
      </c>
    </row>
    <row r="17" spans="1:9" ht="15" customHeight="1" x14ac:dyDescent="0.3">
      <c r="A17" s="23">
        <v>12</v>
      </c>
      <c r="B17" s="9" t="str">
        <f>IFERROR(IF(SelectedScope="All India",INDEX('RAW_DISTRICT'!$C$4:$C$745,12),INDEX('RAW_DISTRICT'!$C$4:$C$745,MATCH(12,'RAW_DISTRICT'!$V$4:$V$745,0))),"")</f>
        <v>Kakinada</v>
      </c>
      <c r="C17" s="10" t="str">
        <f>IFERROR(IF($B17="","",INDEX('RAW_DISTRICT'!$E$4:$E$745,MATCH(1,('RAW_DISTRICT'!$C$4:$C$745=$B17)*('RAW_DISTRICT'!$B$4:$B$745=IF(SelectedScope="All India",INDEX('RAW_DISTRICT'!$B$4:$B$745,12),SelectedScope)),0))),"")</f>
        <v/>
      </c>
      <c r="D17" s="10">
        <f>IFERROR(IF($B17="","",SUMPRODUCT(('RAW_DISTRICT'!$C$4:$C$745=$B17)*('RAW_DISTRICT'!$B$4:$B$745=IF(SelectedScope="All India",INDEX('RAW_DISTRICT'!$B$4:$B$745,12),SelectedScope))*'RAW_DISTRICT'!$P$4:$P$745)),"")</f>
        <v>0</v>
      </c>
      <c r="E17" s="10">
        <f>IFERROR(IF($B17="","",SUMPRODUCT(('RAW_DISTRICT'!$C$4:$C$745=$B17)*('RAW_DISTRICT'!$B$4:$B$745=IF(SelectedScope="All India",INDEX('RAW_DISTRICT'!$B$4:$B$745,12),SelectedScope))*'RAW_DISTRICT'!$Q$4:$Q$745)),"")</f>
        <v>0</v>
      </c>
      <c r="F17" s="10">
        <f>IFERROR(IF($B17="","",SUMPRODUCT(('RAW_DISTRICT'!$C$4:$C$745=$B17)*('RAW_DISTRICT'!$B$4:$B$745=IF(SelectedScope="All India",INDEX('RAW_DISTRICT'!$B$4:$B$745,12),SelectedScope))*'RAW_DISTRICT'!$F$4:$F$745)),"")</f>
        <v>0</v>
      </c>
      <c r="G17" s="11" t="str">
        <f>IFERROR(IF($B17="","",(SUMPRODUCT(('RAW_DISTRICT'!$C$4:$C$745=$B17)*('RAW_DISTRICT'!$B$4:$B$745=IF(SelectedScope="All India",INDEX('RAW_DISTRICT'!$B$4:$B$745,12),SelectedScope))*'RAW_DISTRICT'!$I$4:$I$745))/(SUMPRODUCT(('RAW_DISTRICT'!$C$4:$C$745=$B17)*('RAW_DISTRICT'!$B$4:$B$745=IF(SelectedScope="All India",INDEX('RAW_DISTRICT'!$B$4:$B$745,12),SelectedScope))*'RAW_DISTRICT'!$H$4:$H$745))),"")</f>
        <v/>
      </c>
      <c r="H17" s="10" t="str">
        <f>IFERROR(IF($B17="","",INDEX('RAW_DISTRICT'!$R$4:$R$745,MATCH(1,('RAW_DISTRICT'!$C$4:$C$745=$B17)*('RAW_DISTRICT'!$B$4:$B$745=IF(SelectedScope="All India",INDEX('RAW_DISTRICT'!$B$4:$B$745,12),SelectedScope)),0))),"")</f>
        <v/>
      </c>
      <c r="I17" s="10" t="str">
        <f>IFERROR(IF($B17="","",INDEX('RAW_DISTRICT'!$S$4:$S$745,MATCH(1,('RAW_DISTRICT'!$C$4:$C$745=$B17)*('RAW_DISTRICT'!$B$4:$B$745=IF(SelectedScope="All India",INDEX('RAW_DISTRICT'!$B$4:$B$745,12),SelectedScope)),0))),"")</f>
        <v/>
      </c>
    </row>
    <row r="18" spans="1:9" ht="15" customHeight="1" x14ac:dyDescent="0.3">
      <c r="A18" s="24">
        <v>13</v>
      </c>
      <c r="B18" s="12" t="str">
        <f>IFERROR(IF(SelectedScope="All India",INDEX('RAW_DISTRICT'!$C$4:$C$745,13),INDEX('RAW_DISTRICT'!$C$4:$C$745,MATCH(13,'RAW_DISTRICT'!$V$4:$V$745,0))),"")</f>
        <v>Krishna</v>
      </c>
      <c r="C18" s="13" t="str">
        <f>IFERROR(IF($B18="","",INDEX('RAW_DISTRICT'!$E$4:$E$745,MATCH(1,('RAW_DISTRICT'!$C$4:$C$745=$B18)*('RAW_DISTRICT'!$B$4:$B$745=IF(SelectedScope="All India",INDEX('RAW_DISTRICT'!$B$4:$B$745,13),SelectedScope)),0))),"")</f>
        <v/>
      </c>
      <c r="D18" s="13">
        <f>IFERROR(IF($B18="","",SUMPRODUCT(('RAW_DISTRICT'!$C$4:$C$745=$B18)*('RAW_DISTRICT'!$B$4:$B$745=IF(SelectedScope="All India",INDEX('RAW_DISTRICT'!$B$4:$B$745,13),SelectedScope))*'RAW_DISTRICT'!$P$4:$P$745)),"")</f>
        <v>0</v>
      </c>
      <c r="E18" s="13">
        <f>IFERROR(IF($B18="","",SUMPRODUCT(('RAW_DISTRICT'!$C$4:$C$745=$B18)*('RAW_DISTRICT'!$B$4:$B$745=IF(SelectedScope="All India",INDEX('RAW_DISTRICT'!$B$4:$B$745,13),SelectedScope))*'RAW_DISTRICT'!$Q$4:$Q$745)),"")</f>
        <v>0</v>
      </c>
      <c r="F18" s="13">
        <f>IFERROR(IF($B18="","",SUMPRODUCT(('RAW_DISTRICT'!$C$4:$C$745=$B18)*('RAW_DISTRICT'!$B$4:$B$745=IF(SelectedScope="All India",INDEX('RAW_DISTRICT'!$B$4:$B$745,13),SelectedScope))*'RAW_DISTRICT'!$F$4:$F$745)),"")</f>
        <v>0</v>
      </c>
      <c r="G18" s="14" t="str">
        <f>IFERROR(IF($B18="","",(SUMPRODUCT(('RAW_DISTRICT'!$C$4:$C$745=$B18)*('RAW_DISTRICT'!$B$4:$B$745=IF(SelectedScope="All India",INDEX('RAW_DISTRICT'!$B$4:$B$745,13),SelectedScope))*'RAW_DISTRICT'!$I$4:$I$745))/(SUMPRODUCT(('RAW_DISTRICT'!$C$4:$C$745=$B18)*('RAW_DISTRICT'!$B$4:$B$745=IF(SelectedScope="All India",INDEX('RAW_DISTRICT'!$B$4:$B$745,13),SelectedScope))*'RAW_DISTRICT'!$H$4:$H$745))),"")</f>
        <v/>
      </c>
      <c r="H18" s="13" t="str">
        <f>IFERROR(IF($B18="","",INDEX('RAW_DISTRICT'!$R$4:$R$745,MATCH(1,('RAW_DISTRICT'!$C$4:$C$745=$B18)*('RAW_DISTRICT'!$B$4:$B$745=IF(SelectedScope="All India",INDEX('RAW_DISTRICT'!$B$4:$B$745,13),SelectedScope)),0))),"")</f>
        <v/>
      </c>
      <c r="I18" s="13" t="str">
        <f>IFERROR(IF($B18="","",INDEX('RAW_DISTRICT'!$S$4:$S$745,MATCH(1,('RAW_DISTRICT'!$C$4:$C$745=$B18)*('RAW_DISTRICT'!$B$4:$B$745=IF(SelectedScope="All India",INDEX('RAW_DISTRICT'!$B$4:$B$745,13),SelectedScope)),0))),"")</f>
        <v/>
      </c>
    </row>
    <row r="19" spans="1:9" ht="15" customHeight="1" x14ac:dyDescent="0.3">
      <c r="A19" s="23">
        <v>14</v>
      </c>
      <c r="B19" s="9" t="str">
        <f>IFERROR(IF(SelectedScope="All India",INDEX('RAW_DISTRICT'!$C$4:$C$745,14),INDEX('RAW_DISTRICT'!$C$4:$C$745,MATCH(14,'RAW_DISTRICT'!$V$4:$V$745,0))),"")</f>
        <v>Kurnool</v>
      </c>
      <c r="C19" s="10" t="str">
        <f>IFERROR(IF($B19="","",INDEX('RAW_DISTRICT'!$E$4:$E$745,MATCH(1,('RAW_DISTRICT'!$C$4:$C$745=$B19)*('RAW_DISTRICT'!$B$4:$B$745=IF(SelectedScope="All India",INDEX('RAW_DISTRICT'!$B$4:$B$745,14),SelectedScope)),0))),"")</f>
        <v/>
      </c>
      <c r="D19" s="10">
        <f>IFERROR(IF($B19="","",SUMPRODUCT(('RAW_DISTRICT'!$C$4:$C$745=$B19)*('RAW_DISTRICT'!$B$4:$B$745=IF(SelectedScope="All India",INDEX('RAW_DISTRICT'!$B$4:$B$745,14),SelectedScope))*'RAW_DISTRICT'!$P$4:$P$745)),"")</f>
        <v>0</v>
      </c>
      <c r="E19" s="10">
        <f>IFERROR(IF($B19="","",SUMPRODUCT(('RAW_DISTRICT'!$C$4:$C$745=$B19)*('RAW_DISTRICT'!$B$4:$B$745=IF(SelectedScope="All India",INDEX('RAW_DISTRICT'!$B$4:$B$745,14),SelectedScope))*'RAW_DISTRICT'!$Q$4:$Q$745)),"")</f>
        <v>0</v>
      </c>
      <c r="F19" s="10">
        <f>IFERROR(IF($B19="","",SUMPRODUCT(('RAW_DISTRICT'!$C$4:$C$745=$B19)*('RAW_DISTRICT'!$B$4:$B$745=IF(SelectedScope="All India",INDEX('RAW_DISTRICT'!$B$4:$B$745,14),SelectedScope))*'RAW_DISTRICT'!$F$4:$F$745)),"")</f>
        <v>0</v>
      </c>
      <c r="G19" s="11" t="str">
        <f>IFERROR(IF($B19="","",(SUMPRODUCT(('RAW_DISTRICT'!$C$4:$C$745=$B19)*('RAW_DISTRICT'!$B$4:$B$745=IF(SelectedScope="All India",INDEX('RAW_DISTRICT'!$B$4:$B$745,14),SelectedScope))*'RAW_DISTRICT'!$I$4:$I$745))/(SUMPRODUCT(('RAW_DISTRICT'!$C$4:$C$745=$B19)*('RAW_DISTRICT'!$B$4:$B$745=IF(SelectedScope="All India",INDEX('RAW_DISTRICT'!$B$4:$B$745,14),SelectedScope))*'RAW_DISTRICT'!$H$4:$H$745))),"")</f>
        <v/>
      </c>
      <c r="H19" s="10" t="str">
        <f>IFERROR(IF($B19="","",INDEX('RAW_DISTRICT'!$R$4:$R$745,MATCH(1,('RAW_DISTRICT'!$C$4:$C$745=$B19)*('RAW_DISTRICT'!$B$4:$B$745=IF(SelectedScope="All India",INDEX('RAW_DISTRICT'!$B$4:$B$745,14),SelectedScope)),0))),"")</f>
        <v/>
      </c>
      <c r="I19" s="10" t="str">
        <f>IFERROR(IF($B19="","",INDEX('RAW_DISTRICT'!$S$4:$S$745,MATCH(1,('RAW_DISTRICT'!$C$4:$C$745=$B19)*('RAW_DISTRICT'!$B$4:$B$745=IF(SelectedScope="All India",INDEX('RAW_DISTRICT'!$B$4:$B$745,14),SelectedScope)),0))),"")</f>
        <v/>
      </c>
    </row>
    <row r="20" spans="1:9" ht="15" customHeight="1" x14ac:dyDescent="0.3">
      <c r="A20" s="24">
        <v>15</v>
      </c>
      <c r="B20" s="12" t="str">
        <f>IFERROR(IF(SelectedScope="All India",INDEX('RAW_DISTRICT'!$C$4:$C$745,15),INDEX('RAW_DISTRICT'!$C$4:$C$745,MATCH(15,'RAW_DISTRICT'!$V$4:$V$745,0))),"")</f>
        <v>Nandyal</v>
      </c>
      <c r="C20" s="13" t="str">
        <f>IFERROR(IF($B20="","",INDEX('RAW_DISTRICT'!$E$4:$E$745,MATCH(1,('RAW_DISTRICT'!$C$4:$C$745=$B20)*('RAW_DISTRICT'!$B$4:$B$745=IF(SelectedScope="All India",INDEX('RAW_DISTRICT'!$B$4:$B$745,15),SelectedScope)),0))),"")</f>
        <v/>
      </c>
      <c r="D20" s="13">
        <f>IFERROR(IF($B20="","",SUMPRODUCT(('RAW_DISTRICT'!$C$4:$C$745=$B20)*('RAW_DISTRICT'!$B$4:$B$745=IF(SelectedScope="All India",INDEX('RAW_DISTRICT'!$B$4:$B$745,15),SelectedScope))*'RAW_DISTRICT'!$P$4:$P$745)),"")</f>
        <v>0</v>
      </c>
      <c r="E20" s="13">
        <f>IFERROR(IF($B20="","",SUMPRODUCT(('RAW_DISTRICT'!$C$4:$C$745=$B20)*('RAW_DISTRICT'!$B$4:$B$745=IF(SelectedScope="All India",INDEX('RAW_DISTRICT'!$B$4:$B$745,15),SelectedScope))*'RAW_DISTRICT'!$Q$4:$Q$745)),"")</f>
        <v>0</v>
      </c>
      <c r="F20" s="13">
        <f>IFERROR(IF($B20="","",SUMPRODUCT(('RAW_DISTRICT'!$C$4:$C$745=$B20)*('RAW_DISTRICT'!$B$4:$B$745=IF(SelectedScope="All India",INDEX('RAW_DISTRICT'!$B$4:$B$745,15),SelectedScope))*'RAW_DISTRICT'!$F$4:$F$745)),"")</f>
        <v>0</v>
      </c>
      <c r="G20" s="14" t="str">
        <f>IFERROR(IF($B20="","",(SUMPRODUCT(('RAW_DISTRICT'!$C$4:$C$745=$B20)*('RAW_DISTRICT'!$B$4:$B$745=IF(SelectedScope="All India",INDEX('RAW_DISTRICT'!$B$4:$B$745,15),SelectedScope))*'RAW_DISTRICT'!$I$4:$I$745))/(SUMPRODUCT(('RAW_DISTRICT'!$C$4:$C$745=$B20)*('RAW_DISTRICT'!$B$4:$B$745=IF(SelectedScope="All India",INDEX('RAW_DISTRICT'!$B$4:$B$745,15),SelectedScope))*'RAW_DISTRICT'!$H$4:$H$745))),"")</f>
        <v/>
      </c>
      <c r="H20" s="13" t="str">
        <f>IFERROR(IF($B20="","",INDEX('RAW_DISTRICT'!$R$4:$R$745,MATCH(1,('RAW_DISTRICT'!$C$4:$C$745=$B20)*('RAW_DISTRICT'!$B$4:$B$745=IF(SelectedScope="All India",INDEX('RAW_DISTRICT'!$B$4:$B$745,15),SelectedScope)),0))),"")</f>
        <v/>
      </c>
      <c r="I20" s="13" t="str">
        <f>IFERROR(IF($B20="","",INDEX('RAW_DISTRICT'!$S$4:$S$745,MATCH(1,('RAW_DISTRICT'!$C$4:$C$745=$B20)*('RAW_DISTRICT'!$B$4:$B$745=IF(SelectedScope="All India",INDEX('RAW_DISTRICT'!$B$4:$B$745,15),SelectedScope)),0))),"")</f>
        <v/>
      </c>
    </row>
    <row r="21" spans="1:9" ht="15" customHeight="1" x14ac:dyDescent="0.3">
      <c r="A21" s="23">
        <v>16</v>
      </c>
      <c r="B21" s="9" t="str">
        <f>IFERROR(IF(SelectedScope="All India",INDEX('RAW_DISTRICT'!$C$4:$C$745,16),INDEX('RAW_DISTRICT'!$C$4:$C$745,MATCH(16,'RAW_DISTRICT'!$V$4:$V$745,0))),"")</f>
        <v>Nellore</v>
      </c>
      <c r="C21" s="10" t="str">
        <f>IFERROR(IF($B21="","",INDEX('RAW_DISTRICT'!$E$4:$E$745,MATCH(1,('RAW_DISTRICT'!$C$4:$C$745=$B21)*('RAW_DISTRICT'!$B$4:$B$745=IF(SelectedScope="All India",INDEX('RAW_DISTRICT'!$B$4:$B$745,16),SelectedScope)),0))),"")</f>
        <v/>
      </c>
      <c r="D21" s="10">
        <f>IFERROR(IF($B21="","",SUMPRODUCT(('RAW_DISTRICT'!$C$4:$C$745=$B21)*('RAW_DISTRICT'!$B$4:$B$745=IF(SelectedScope="All India",INDEX('RAW_DISTRICT'!$B$4:$B$745,16),SelectedScope))*'RAW_DISTRICT'!$P$4:$P$745)),"")</f>
        <v>0</v>
      </c>
      <c r="E21" s="10">
        <f>IFERROR(IF($B21="","",SUMPRODUCT(('RAW_DISTRICT'!$C$4:$C$745=$B21)*('RAW_DISTRICT'!$B$4:$B$745=IF(SelectedScope="All India",INDEX('RAW_DISTRICT'!$B$4:$B$745,16),SelectedScope))*'RAW_DISTRICT'!$Q$4:$Q$745)),"")</f>
        <v>0</v>
      </c>
      <c r="F21" s="10">
        <f>IFERROR(IF($B21="","",SUMPRODUCT(('RAW_DISTRICT'!$C$4:$C$745=$B21)*('RAW_DISTRICT'!$B$4:$B$745=IF(SelectedScope="All India",INDEX('RAW_DISTRICT'!$B$4:$B$745,16),SelectedScope))*'RAW_DISTRICT'!$F$4:$F$745)),"")</f>
        <v>0</v>
      </c>
      <c r="G21" s="11" t="str">
        <f>IFERROR(IF($B21="","",(SUMPRODUCT(('RAW_DISTRICT'!$C$4:$C$745=$B21)*('RAW_DISTRICT'!$B$4:$B$745=IF(SelectedScope="All India",INDEX('RAW_DISTRICT'!$B$4:$B$745,16),SelectedScope))*'RAW_DISTRICT'!$I$4:$I$745))/(SUMPRODUCT(('RAW_DISTRICT'!$C$4:$C$745=$B21)*('RAW_DISTRICT'!$B$4:$B$745=IF(SelectedScope="All India",INDEX('RAW_DISTRICT'!$B$4:$B$745,16),SelectedScope))*'RAW_DISTRICT'!$H$4:$H$745))),"")</f>
        <v/>
      </c>
      <c r="H21" s="10" t="str">
        <f>IFERROR(IF($B21="","",INDEX('RAW_DISTRICT'!$R$4:$R$745,MATCH(1,('RAW_DISTRICT'!$C$4:$C$745=$B21)*('RAW_DISTRICT'!$B$4:$B$745=IF(SelectedScope="All India",INDEX('RAW_DISTRICT'!$B$4:$B$745,16),SelectedScope)),0))),"")</f>
        <v/>
      </c>
      <c r="I21" s="10" t="str">
        <f>IFERROR(IF($B21="","",INDEX('RAW_DISTRICT'!$S$4:$S$745,MATCH(1,('RAW_DISTRICT'!$C$4:$C$745=$B21)*('RAW_DISTRICT'!$B$4:$B$745=IF(SelectedScope="All India",INDEX('RAW_DISTRICT'!$B$4:$B$745,16),SelectedScope)),0))),"")</f>
        <v/>
      </c>
    </row>
    <row r="22" spans="1:9" ht="15" customHeight="1" x14ac:dyDescent="0.3">
      <c r="A22" s="24">
        <v>17</v>
      </c>
      <c r="B22" s="12" t="str">
        <f>IFERROR(IF(SelectedScope="All India",INDEX('RAW_DISTRICT'!$C$4:$C$745,17),INDEX('RAW_DISTRICT'!$C$4:$C$745,MATCH(17,'RAW_DISTRICT'!$V$4:$V$745,0))),"")</f>
        <v>Palnadu</v>
      </c>
      <c r="C22" s="13" t="str">
        <f>IFERROR(IF($B22="","",INDEX('RAW_DISTRICT'!$E$4:$E$745,MATCH(1,('RAW_DISTRICT'!$C$4:$C$745=$B22)*('RAW_DISTRICT'!$B$4:$B$745=IF(SelectedScope="All India",INDEX('RAW_DISTRICT'!$B$4:$B$745,17),SelectedScope)),0))),"")</f>
        <v/>
      </c>
      <c r="D22" s="13">
        <f>IFERROR(IF($B22="","",SUMPRODUCT(('RAW_DISTRICT'!$C$4:$C$745=$B22)*('RAW_DISTRICT'!$B$4:$B$745=IF(SelectedScope="All India",INDEX('RAW_DISTRICT'!$B$4:$B$745,17),SelectedScope))*'RAW_DISTRICT'!$P$4:$P$745)),"")</f>
        <v>0</v>
      </c>
      <c r="E22" s="13">
        <f>IFERROR(IF($B22="","",SUMPRODUCT(('RAW_DISTRICT'!$C$4:$C$745=$B22)*('RAW_DISTRICT'!$B$4:$B$745=IF(SelectedScope="All India",INDEX('RAW_DISTRICT'!$B$4:$B$745,17),SelectedScope))*'RAW_DISTRICT'!$Q$4:$Q$745)),"")</f>
        <v>0</v>
      </c>
      <c r="F22" s="13">
        <f>IFERROR(IF($B22="","",SUMPRODUCT(('RAW_DISTRICT'!$C$4:$C$745=$B22)*('RAW_DISTRICT'!$B$4:$B$745=IF(SelectedScope="All India",INDEX('RAW_DISTRICT'!$B$4:$B$745,17),SelectedScope))*'RAW_DISTRICT'!$F$4:$F$745)),"")</f>
        <v>0</v>
      </c>
      <c r="G22" s="14" t="str">
        <f>IFERROR(IF($B22="","",(SUMPRODUCT(('RAW_DISTRICT'!$C$4:$C$745=$B22)*('RAW_DISTRICT'!$B$4:$B$745=IF(SelectedScope="All India",INDEX('RAW_DISTRICT'!$B$4:$B$745,17),SelectedScope))*'RAW_DISTRICT'!$I$4:$I$745))/(SUMPRODUCT(('RAW_DISTRICT'!$C$4:$C$745=$B22)*('RAW_DISTRICT'!$B$4:$B$745=IF(SelectedScope="All India",INDEX('RAW_DISTRICT'!$B$4:$B$745,17),SelectedScope))*'RAW_DISTRICT'!$H$4:$H$745))),"")</f>
        <v/>
      </c>
      <c r="H22" s="13" t="str">
        <f>IFERROR(IF($B22="","",INDEX('RAW_DISTRICT'!$R$4:$R$745,MATCH(1,('RAW_DISTRICT'!$C$4:$C$745=$B22)*('RAW_DISTRICT'!$B$4:$B$745=IF(SelectedScope="All India",INDEX('RAW_DISTRICT'!$B$4:$B$745,17),SelectedScope)),0))),"")</f>
        <v/>
      </c>
      <c r="I22" s="13" t="str">
        <f>IFERROR(IF($B22="","",INDEX('RAW_DISTRICT'!$S$4:$S$745,MATCH(1,('RAW_DISTRICT'!$C$4:$C$745=$B22)*('RAW_DISTRICT'!$B$4:$B$745=IF(SelectedScope="All India",INDEX('RAW_DISTRICT'!$B$4:$B$745,17),SelectedScope)),0))),"")</f>
        <v/>
      </c>
    </row>
    <row r="23" spans="1:9" ht="15" customHeight="1" x14ac:dyDescent="0.3">
      <c r="A23" s="23">
        <v>18</v>
      </c>
      <c r="B23" s="9" t="str">
        <f>IFERROR(IF(SelectedScope="All India",INDEX('RAW_DISTRICT'!$C$4:$C$745,18),INDEX('RAW_DISTRICT'!$C$4:$C$745,MATCH(18,'RAW_DISTRICT'!$V$4:$V$745,0))),"")</f>
        <v>Prakasam</v>
      </c>
      <c r="C23" s="10" t="str">
        <f>IFERROR(IF($B23="","",INDEX('RAW_DISTRICT'!$E$4:$E$745,MATCH(1,('RAW_DISTRICT'!$C$4:$C$745=$B23)*('RAW_DISTRICT'!$B$4:$B$745=IF(SelectedScope="All India",INDEX('RAW_DISTRICT'!$B$4:$B$745,18),SelectedScope)),0))),"")</f>
        <v/>
      </c>
      <c r="D23" s="10">
        <f>IFERROR(IF($B23="","",SUMPRODUCT(('RAW_DISTRICT'!$C$4:$C$745=$B23)*('RAW_DISTRICT'!$B$4:$B$745=IF(SelectedScope="All India",INDEX('RAW_DISTRICT'!$B$4:$B$745,18),SelectedScope))*'RAW_DISTRICT'!$P$4:$P$745)),"")</f>
        <v>0</v>
      </c>
      <c r="E23" s="10">
        <f>IFERROR(IF($B23="","",SUMPRODUCT(('RAW_DISTRICT'!$C$4:$C$745=$B23)*('RAW_DISTRICT'!$B$4:$B$745=IF(SelectedScope="All India",INDEX('RAW_DISTRICT'!$B$4:$B$745,18),SelectedScope))*'RAW_DISTRICT'!$Q$4:$Q$745)),"")</f>
        <v>0</v>
      </c>
      <c r="F23" s="10">
        <f>IFERROR(IF($B23="","",SUMPRODUCT(('RAW_DISTRICT'!$C$4:$C$745=$B23)*('RAW_DISTRICT'!$B$4:$B$745=IF(SelectedScope="All India",INDEX('RAW_DISTRICT'!$B$4:$B$745,18),SelectedScope))*'RAW_DISTRICT'!$F$4:$F$745)),"")</f>
        <v>0</v>
      </c>
      <c r="G23" s="11" t="str">
        <f>IFERROR(IF($B23="","",(SUMPRODUCT(('RAW_DISTRICT'!$C$4:$C$745=$B23)*('RAW_DISTRICT'!$B$4:$B$745=IF(SelectedScope="All India",INDEX('RAW_DISTRICT'!$B$4:$B$745,18),SelectedScope))*'RAW_DISTRICT'!$I$4:$I$745))/(SUMPRODUCT(('RAW_DISTRICT'!$C$4:$C$745=$B23)*('RAW_DISTRICT'!$B$4:$B$745=IF(SelectedScope="All India",INDEX('RAW_DISTRICT'!$B$4:$B$745,18),SelectedScope))*'RAW_DISTRICT'!$H$4:$H$745))),"")</f>
        <v/>
      </c>
      <c r="H23" s="10" t="str">
        <f>IFERROR(IF($B23="","",INDEX('RAW_DISTRICT'!$R$4:$R$745,MATCH(1,('RAW_DISTRICT'!$C$4:$C$745=$B23)*('RAW_DISTRICT'!$B$4:$B$745=IF(SelectedScope="All India",INDEX('RAW_DISTRICT'!$B$4:$B$745,18),SelectedScope)),0))),"")</f>
        <v/>
      </c>
      <c r="I23" s="10" t="str">
        <f>IFERROR(IF($B23="","",INDEX('RAW_DISTRICT'!$S$4:$S$745,MATCH(1,('RAW_DISTRICT'!$C$4:$C$745=$B23)*('RAW_DISTRICT'!$B$4:$B$745=IF(SelectedScope="All India",INDEX('RAW_DISTRICT'!$B$4:$B$745,18),SelectedScope)),0))),"")</f>
        <v/>
      </c>
    </row>
    <row r="24" spans="1:9" ht="15" customHeight="1" x14ac:dyDescent="0.3">
      <c r="A24" s="24">
        <v>19</v>
      </c>
      <c r="B24" s="12" t="str">
        <f>IFERROR(IF(SelectedScope="All India",INDEX('RAW_DISTRICT'!$C$4:$C$745,19),INDEX('RAW_DISTRICT'!$C$4:$C$745,MATCH(19,'RAW_DISTRICT'!$V$4:$V$745,0))),"")</f>
        <v>Srikakulam</v>
      </c>
      <c r="C24" s="13" t="str">
        <f>IFERROR(IF($B24="","",INDEX('RAW_DISTRICT'!$E$4:$E$745,MATCH(1,('RAW_DISTRICT'!$C$4:$C$745=$B24)*('RAW_DISTRICT'!$B$4:$B$745=IF(SelectedScope="All India",INDEX('RAW_DISTRICT'!$B$4:$B$745,19),SelectedScope)),0))),"")</f>
        <v/>
      </c>
      <c r="D24" s="13">
        <f>IFERROR(IF($B24="","",SUMPRODUCT(('RAW_DISTRICT'!$C$4:$C$745=$B24)*('RAW_DISTRICT'!$B$4:$B$745=IF(SelectedScope="All India",INDEX('RAW_DISTRICT'!$B$4:$B$745,19),SelectedScope))*'RAW_DISTRICT'!$P$4:$P$745)),"")</f>
        <v>0</v>
      </c>
      <c r="E24" s="13">
        <f>IFERROR(IF($B24="","",SUMPRODUCT(('RAW_DISTRICT'!$C$4:$C$745=$B24)*('RAW_DISTRICT'!$B$4:$B$745=IF(SelectedScope="All India",INDEX('RAW_DISTRICT'!$B$4:$B$745,19),SelectedScope))*'RAW_DISTRICT'!$Q$4:$Q$745)),"")</f>
        <v>0</v>
      </c>
      <c r="F24" s="13">
        <f>IFERROR(IF($B24="","",SUMPRODUCT(('RAW_DISTRICT'!$C$4:$C$745=$B24)*('RAW_DISTRICT'!$B$4:$B$745=IF(SelectedScope="All India",INDEX('RAW_DISTRICT'!$B$4:$B$745,19),SelectedScope))*'RAW_DISTRICT'!$F$4:$F$745)),"")</f>
        <v>0</v>
      </c>
      <c r="G24" s="14" t="str">
        <f>IFERROR(IF($B24="","",(SUMPRODUCT(('RAW_DISTRICT'!$C$4:$C$745=$B24)*('RAW_DISTRICT'!$B$4:$B$745=IF(SelectedScope="All India",INDEX('RAW_DISTRICT'!$B$4:$B$745,19),SelectedScope))*'RAW_DISTRICT'!$I$4:$I$745))/(SUMPRODUCT(('RAW_DISTRICT'!$C$4:$C$745=$B24)*('RAW_DISTRICT'!$B$4:$B$745=IF(SelectedScope="All India",INDEX('RAW_DISTRICT'!$B$4:$B$745,19),SelectedScope))*'RAW_DISTRICT'!$H$4:$H$745))),"")</f>
        <v/>
      </c>
      <c r="H24" s="13" t="str">
        <f>IFERROR(IF($B24="","",INDEX('RAW_DISTRICT'!$R$4:$R$745,MATCH(1,('RAW_DISTRICT'!$C$4:$C$745=$B24)*('RAW_DISTRICT'!$B$4:$B$745=IF(SelectedScope="All India",INDEX('RAW_DISTRICT'!$B$4:$B$745,19),SelectedScope)),0))),"")</f>
        <v/>
      </c>
      <c r="I24" s="13" t="str">
        <f>IFERROR(IF($B24="","",INDEX('RAW_DISTRICT'!$S$4:$S$745,MATCH(1,('RAW_DISTRICT'!$C$4:$C$745=$B24)*('RAW_DISTRICT'!$B$4:$B$745=IF(SelectedScope="All India",INDEX('RAW_DISTRICT'!$B$4:$B$745,19),SelectedScope)),0))),"")</f>
        <v/>
      </c>
    </row>
    <row r="25" spans="1:9" ht="15" customHeight="1" x14ac:dyDescent="0.3">
      <c r="A25" s="23">
        <v>20</v>
      </c>
      <c r="B25" s="9" t="str">
        <f>IFERROR(IF(SelectedScope="All India",INDEX('RAW_DISTRICT'!$C$4:$C$745,20),INDEX('RAW_DISTRICT'!$C$4:$C$745,MATCH(20,'RAW_DISTRICT'!$V$4:$V$745,0))),"")</f>
        <v>Tirupati</v>
      </c>
      <c r="C25" s="10" t="str">
        <f>IFERROR(IF($B25="","",INDEX('RAW_DISTRICT'!$E$4:$E$745,MATCH(1,('RAW_DISTRICT'!$C$4:$C$745=$B25)*('RAW_DISTRICT'!$B$4:$B$745=IF(SelectedScope="All India",INDEX('RAW_DISTRICT'!$B$4:$B$745,20),SelectedScope)),0))),"")</f>
        <v/>
      </c>
      <c r="D25" s="10">
        <f>IFERROR(IF($B25="","",SUMPRODUCT(('RAW_DISTRICT'!$C$4:$C$745=$B25)*('RAW_DISTRICT'!$B$4:$B$745=IF(SelectedScope="All India",INDEX('RAW_DISTRICT'!$B$4:$B$745,20),SelectedScope))*'RAW_DISTRICT'!$P$4:$P$745)),"")</f>
        <v>0</v>
      </c>
      <c r="E25" s="10">
        <f>IFERROR(IF($B25="","",SUMPRODUCT(('RAW_DISTRICT'!$C$4:$C$745=$B25)*('RAW_DISTRICT'!$B$4:$B$745=IF(SelectedScope="All India",INDEX('RAW_DISTRICT'!$B$4:$B$745,20),SelectedScope))*'RAW_DISTRICT'!$Q$4:$Q$745)),"")</f>
        <v>0</v>
      </c>
      <c r="F25" s="10">
        <f>IFERROR(IF($B25="","",SUMPRODUCT(('RAW_DISTRICT'!$C$4:$C$745=$B25)*('RAW_DISTRICT'!$B$4:$B$745=IF(SelectedScope="All India",INDEX('RAW_DISTRICT'!$B$4:$B$745,20),SelectedScope))*'RAW_DISTRICT'!$F$4:$F$745)),"")</f>
        <v>0</v>
      </c>
      <c r="G25" s="11" t="str">
        <f>IFERROR(IF($B25="","",(SUMPRODUCT(('RAW_DISTRICT'!$C$4:$C$745=$B25)*('RAW_DISTRICT'!$B$4:$B$745=IF(SelectedScope="All India",INDEX('RAW_DISTRICT'!$B$4:$B$745,20),SelectedScope))*'RAW_DISTRICT'!$I$4:$I$745))/(SUMPRODUCT(('RAW_DISTRICT'!$C$4:$C$745=$B25)*('RAW_DISTRICT'!$B$4:$B$745=IF(SelectedScope="All India",INDEX('RAW_DISTRICT'!$B$4:$B$745,20),SelectedScope))*'RAW_DISTRICT'!$H$4:$H$745))),"")</f>
        <v/>
      </c>
      <c r="H25" s="10" t="str">
        <f>IFERROR(IF($B25="","",INDEX('RAW_DISTRICT'!$R$4:$R$745,MATCH(1,('RAW_DISTRICT'!$C$4:$C$745=$B25)*('RAW_DISTRICT'!$B$4:$B$745=IF(SelectedScope="All India",INDEX('RAW_DISTRICT'!$B$4:$B$745,20),SelectedScope)),0))),"")</f>
        <v/>
      </c>
      <c r="I25" s="10" t="str">
        <f>IFERROR(IF($B25="","",INDEX('RAW_DISTRICT'!$S$4:$S$745,MATCH(1,('RAW_DISTRICT'!$C$4:$C$745=$B25)*('RAW_DISTRICT'!$B$4:$B$745=IF(SelectedScope="All India",INDEX('RAW_DISTRICT'!$B$4:$B$745,20),SelectedScope)),0))),"")</f>
        <v/>
      </c>
    </row>
    <row r="26" spans="1:9" ht="15" customHeight="1" x14ac:dyDescent="0.3">
      <c r="A26" s="24">
        <v>21</v>
      </c>
      <c r="B26" s="12" t="str">
        <f>IFERROR(IF(SelectedScope="All India",INDEX('RAW_DISTRICT'!$C$4:$C$745,21),INDEX('RAW_DISTRICT'!$C$4:$C$745,MATCH(21,'RAW_DISTRICT'!$V$4:$V$745,0))),"")</f>
        <v>Visakhapatnam</v>
      </c>
      <c r="C26" s="13" t="str">
        <f>IFERROR(IF($B26="","",INDEX('RAW_DISTRICT'!$E$4:$E$745,MATCH(1,('RAW_DISTRICT'!$C$4:$C$745=$B26)*('RAW_DISTRICT'!$B$4:$B$745=IF(SelectedScope="All India",INDEX('RAW_DISTRICT'!$B$4:$B$745,21),SelectedScope)),0))),"")</f>
        <v/>
      </c>
      <c r="D26" s="13">
        <f>IFERROR(IF($B26="","",SUMPRODUCT(('RAW_DISTRICT'!$C$4:$C$745=$B26)*('RAW_DISTRICT'!$B$4:$B$745=IF(SelectedScope="All India",INDEX('RAW_DISTRICT'!$B$4:$B$745,21),SelectedScope))*'RAW_DISTRICT'!$P$4:$P$745)),"")</f>
        <v>0</v>
      </c>
      <c r="E26" s="13">
        <f>IFERROR(IF($B26="","",SUMPRODUCT(('RAW_DISTRICT'!$C$4:$C$745=$B26)*('RAW_DISTRICT'!$B$4:$B$745=IF(SelectedScope="All India",INDEX('RAW_DISTRICT'!$B$4:$B$745,21),SelectedScope))*'RAW_DISTRICT'!$Q$4:$Q$745)),"")</f>
        <v>0</v>
      </c>
      <c r="F26" s="13">
        <f>IFERROR(IF($B26="","",SUMPRODUCT(('RAW_DISTRICT'!$C$4:$C$745=$B26)*('RAW_DISTRICT'!$B$4:$B$745=IF(SelectedScope="All India",INDEX('RAW_DISTRICT'!$B$4:$B$745,21),SelectedScope))*'RAW_DISTRICT'!$F$4:$F$745)),"")</f>
        <v>0</v>
      </c>
      <c r="G26" s="14" t="str">
        <f>IFERROR(IF($B26="","",(SUMPRODUCT(('RAW_DISTRICT'!$C$4:$C$745=$B26)*('RAW_DISTRICT'!$B$4:$B$745=IF(SelectedScope="All India",INDEX('RAW_DISTRICT'!$B$4:$B$745,21),SelectedScope))*'RAW_DISTRICT'!$I$4:$I$745))/(SUMPRODUCT(('RAW_DISTRICT'!$C$4:$C$745=$B26)*('RAW_DISTRICT'!$B$4:$B$745=IF(SelectedScope="All India",INDEX('RAW_DISTRICT'!$B$4:$B$745,21),SelectedScope))*'RAW_DISTRICT'!$H$4:$H$745))),"")</f>
        <v/>
      </c>
      <c r="H26" s="13" t="str">
        <f>IFERROR(IF($B26="","",INDEX('RAW_DISTRICT'!$R$4:$R$745,MATCH(1,('RAW_DISTRICT'!$C$4:$C$745=$B26)*('RAW_DISTRICT'!$B$4:$B$745=IF(SelectedScope="All India",INDEX('RAW_DISTRICT'!$B$4:$B$745,21),SelectedScope)),0))),"")</f>
        <v/>
      </c>
      <c r="I26" s="13" t="str">
        <f>IFERROR(IF($B26="","",INDEX('RAW_DISTRICT'!$S$4:$S$745,MATCH(1,('RAW_DISTRICT'!$C$4:$C$745=$B26)*('RAW_DISTRICT'!$B$4:$B$745=IF(SelectedScope="All India",INDEX('RAW_DISTRICT'!$B$4:$B$745,21),SelectedScope)),0))),"")</f>
        <v/>
      </c>
    </row>
    <row r="27" spans="1:9" ht="15" customHeight="1" x14ac:dyDescent="0.3">
      <c r="A27" s="23">
        <v>22</v>
      </c>
      <c r="B27" s="9" t="str">
        <f>IFERROR(IF(SelectedScope="All India",INDEX('RAW_DISTRICT'!$C$4:$C$745,22),INDEX('RAW_DISTRICT'!$C$4:$C$745,MATCH(22,'RAW_DISTRICT'!$V$4:$V$745,0))),"")</f>
        <v>Vizianagaram</v>
      </c>
      <c r="C27" s="10" t="str">
        <f>IFERROR(IF($B27="","",INDEX('RAW_DISTRICT'!$E$4:$E$745,MATCH(1,('RAW_DISTRICT'!$C$4:$C$745=$B27)*('RAW_DISTRICT'!$B$4:$B$745=IF(SelectedScope="All India",INDEX('RAW_DISTRICT'!$B$4:$B$745,22),SelectedScope)),0))),"")</f>
        <v/>
      </c>
      <c r="D27" s="10">
        <f>IFERROR(IF($B27="","",SUMPRODUCT(('RAW_DISTRICT'!$C$4:$C$745=$B27)*('RAW_DISTRICT'!$B$4:$B$745=IF(SelectedScope="All India",INDEX('RAW_DISTRICT'!$B$4:$B$745,22),SelectedScope))*'RAW_DISTRICT'!$P$4:$P$745)),"")</f>
        <v>0</v>
      </c>
      <c r="E27" s="10">
        <f>IFERROR(IF($B27="","",SUMPRODUCT(('RAW_DISTRICT'!$C$4:$C$745=$B27)*('RAW_DISTRICT'!$B$4:$B$745=IF(SelectedScope="All India",INDEX('RAW_DISTRICT'!$B$4:$B$745,22),SelectedScope))*'RAW_DISTRICT'!$Q$4:$Q$745)),"")</f>
        <v>0</v>
      </c>
      <c r="F27" s="10">
        <f>IFERROR(IF($B27="","",SUMPRODUCT(('RAW_DISTRICT'!$C$4:$C$745=$B27)*('RAW_DISTRICT'!$B$4:$B$745=IF(SelectedScope="All India",INDEX('RAW_DISTRICT'!$B$4:$B$745,22),SelectedScope))*'RAW_DISTRICT'!$F$4:$F$745)),"")</f>
        <v>0</v>
      </c>
      <c r="G27" s="11" t="str">
        <f>IFERROR(IF($B27="","",(SUMPRODUCT(('RAW_DISTRICT'!$C$4:$C$745=$B27)*('RAW_DISTRICT'!$B$4:$B$745=IF(SelectedScope="All India",INDEX('RAW_DISTRICT'!$B$4:$B$745,22),SelectedScope))*'RAW_DISTRICT'!$I$4:$I$745))/(SUMPRODUCT(('RAW_DISTRICT'!$C$4:$C$745=$B27)*('RAW_DISTRICT'!$B$4:$B$745=IF(SelectedScope="All India",INDEX('RAW_DISTRICT'!$B$4:$B$745,22),SelectedScope))*'RAW_DISTRICT'!$H$4:$H$745))),"")</f>
        <v/>
      </c>
      <c r="H27" s="10" t="str">
        <f>IFERROR(IF($B27="","",INDEX('RAW_DISTRICT'!$R$4:$R$745,MATCH(1,('RAW_DISTRICT'!$C$4:$C$745=$B27)*('RAW_DISTRICT'!$B$4:$B$745=IF(SelectedScope="All India",INDEX('RAW_DISTRICT'!$B$4:$B$745,22),SelectedScope)),0))),"")</f>
        <v/>
      </c>
      <c r="I27" s="10" t="str">
        <f>IFERROR(IF($B27="","",INDEX('RAW_DISTRICT'!$S$4:$S$745,MATCH(1,('RAW_DISTRICT'!$C$4:$C$745=$B27)*('RAW_DISTRICT'!$B$4:$B$745=IF(SelectedScope="All India",INDEX('RAW_DISTRICT'!$B$4:$B$745,22),SelectedScope)),0))),"")</f>
        <v/>
      </c>
    </row>
    <row r="28" spans="1:9" ht="15" customHeight="1" x14ac:dyDescent="0.3">
      <c r="A28" s="24">
        <v>23</v>
      </c>
      <c r="B28" s="12" t="str">
        <f>IFERROR(IF(SelectedScope="All India",INDEX('RAW_DISTRICT'!$C$4:$C$745,23),INDEX('RAW_DISTRICT'!$C$4:$C$745,MATCH(23,'RAW_DISTRICT'!$V$4:$V$745,0))),"")</f>
        <v>West Godavari</v>
      </c>
      <c r="C28" s="13" t="str">
        <f>IFERROR(IF($B28="","",INDEX('RAW_DISTRICT'!$E$4:$E$745,MATCH(1,('RAW_DISTRICT'!$C$4:$C$745=$B28)*('RAW_DISTRICT'!$B$4:$B$745=IF(SelectedScope="All India",INDEX('RAW_DISTRICT'!$B$4:$B$745,23),SelectedScope)),0))),"")</f>
        <v/>
      </c>
      <c r="D28" s="13">
        <f>IFERROR(IF($B28="","",SUMPRODUCT(('RAW_DISTRICT'!$C$4:$C$745=$B28)*('RAW_DISTRICT'!$B$4:$B$745=IF(SelectedScope="All India",INDEX('RAW_DISTRICT'!$B$4:$B$745,23),SelectedScope))*'RAW_DISTRICT'!$P$4:$P$745)),"")</f>
        <v>0</v>
      </c>
      <c r="E28" s="13">
        <f>IFERROR(IF($B28="","",SUMPRODUCT(('RAW_DISTRICT'!$C$4:$C$745=$B28)*('RAW_DISTRICT'!$B$4:$B$745=IF(SelectedScope="All India",INDEX('RAW_DISTRICT'!$B$4:$B$745,23),SelectedScope))*'RAW_DISTRICT'!$Q$4:$Q$745)),"")</f>
        <v>0</v>
      </c>
      <c r="F28" s="13">
        <f>IFERROR(IF($B28="","",SUMPRODUCT(('RAW_DISTRICT'!$C$4:$C$745=$B28)*('RAW_DISTRICT'!$B$4:$B$745=IF(SelectedScope="All India",INDEX('RAW_DISTRICT'!$B$4:$B$745,23),SelectedScope))*'RAW_DISTRICT'!$F$4:$F$745)),"")</f>
        <v>0</v>
      </c>
      <c r="G28" s="14" t="str">
        <f>IFERROR(IF($B28="","",(SUMPRODUCT(('RAW_DISTRICT'!$C$4:$C$745=$B28)*('RAW_DISTRICT'!$B$4:$B$745=IF(SelectedScope="All India",INDEX('RAW_DISTRICT'!$B$4:$B$745,23),SelectedScope))*'RAW_DISTRICT'!$I$4:$I$745))/(SUMPRODUCT(('RAW_DISTRICT'!$C$4:$C$745=$B28)*('RAW_DISTRICT'!$B$4:$B$745=IF(SelectedScope="All India",INDEX('RAW_DISTRICT'!$B$4:$B$745,23),SelectedScope))*'RAW_DISTRICT'!$H$4:$H$745))),"")</f>
        <v/>
      </c>
      <c r="H28" s="13" t="str">
        <f>IFERROR(IF($B28="","",INDEX('RAW_DISTRICT'!$R$4:$R$745,MATCH(1,('RAW_DISTRICT'!$C$4:$C$745=$B28)*('RAW_DISTRICT'!$B$4:$B$745=IF(SelectedScope="All India",INDEX('RAW_DISTRICT'!$B$4:$B$745,23),SelectedScope)),0))),"")</f>
        <v/>
      </c>
      <c r="I28" s="13" t="str">
        <f>IFERROR(IF($B28="","",INDEX('RAW_DISTRICT'!$S$4:$S$745,MATCH(1,('RAW_DISTRICT'!$C$4:$C$745=$B28)*('RAW_DISTRICT'!$B$4:$B$745=IF(SelectedScope="All India",INDEX('RAW_DISTRICT'!$B$4:$B$745,23),SelectedScope)),0))),"")</f>
        <v/>
      </c>
    </row>
    <row r="29" spans="1:9" ht="15" customHeight="1" x14ac:dyDescent="0.3">
      <c r="A29" s="23">
        <v>24</v>
      </c>
      <c r="B29" s="9" t="str">
        <f>IFERROR(IF(SelectedScope="All India",INDEX('RAW_DISTRICT'!$C$4:$C$745,24),INDEX('RAW_DISTRICT'!$C$4:$C$745,MATCH(24,'RAW_DISTRICT'!$V$4:$V$745,0))),"")</f>
        <v>YSR Kadapa</v>
      </c>
      <c r="C29" s="10" t="str">
        <f>IFERROR(IF($B29="","",INDEX('RAW_DISTRICT'!$E$4:$E$745,MATCH(1,('RAW_DISTRICT'!$C$4:$C$745=$B29)*('RAW_DISTRICT'!$B$4:$B$745=IF(SelectedScope="All India",INDEX('RAW_DISTRICT'!$B$4:$B$745,24),SelectedScope)),0))),"")</f>
        <v/>
      </c>
      <c r="D29" s="10">
        <f>IFERROR(IF($B29="","",SUMPRODUCT(('RAW_DISTRICT'!$C$4:$C$745=$B29)*('RAW_DISTRICT'!$B$4:$B$745=IF(SelectedScope="All India",INDEX('RAW_DISTRICT'!$B$4:$B$745,24),SelectedScope))*'RAW_DISTRICT'!$P$4:$P$745)),"")</f>
        <v>0</v>
      </c>
      <c r="E29" s="10">
        <f>IFERROR(IF($B29="","",SUMPRODUCT(('RAW_DISTRICT'!$C$4:$C$745=$B29)*('RAW_DISTRICT'!$B$4:$B$745=IF(SelectedScope="All India",INDEX('RAW_DISTRICT'!$B$4:$B$745,24),SelectedScope))*'RAW_DISTRICT'!$Q$4:$Q$745)),"")</f>
        <v>0</v>
      </c>
      <c r="F29" s="10">
        <f>IFERROR(IF($B29="","",SUMPRODUCT(('RAW_DISTRICT'!$C$4:$C$745=$B29)*('RAW_DISTRICT'!$B$4:$B$745=IF(SelectedScope="All India",INDEX('RAW_DISTRICT'!$B$4:$B$745,24),SelectedScope))*'RAW_DISTRICT'!$F$4:$F$745)),"")</f>
        <v>0</v>
      </c>
      <c r="G29" s="11" t="str">
        <f>IFERROR(IF($B29="","",(SUMPRODUCT(('RAW_DISTRICT'!$C$4:$C$745=$B29)*('RAW_DISTRICT'!$B$4:$B$745=IF(SelectedScope="All India",INDEX('RAW_DISTRICT'!$B$4:$B$745,24),SelectedScope))*'RAW_DISTRICT'!$I$4:$I$745))/(SUMPRODUCT(('RAW_DISTRICT'!$C$4:$C$745=$B29)*('RAW_DISTRICT'!$B$4:$B$745=IF(SelectedScope="All India",INDEX('RAW_DISTRICT'!$B$4:$B$745,24),SelectedScope))*'RAW_DISTRICT'!$H$4:$H$745))),"")</f>
        <v/>
      </c>
      <c r="H29" s="10" t="str">
        <f>IFERROR(IF($B29="","",INDEX('RAW_DISTRICT'!$R$4:$R$745,MATCH(1,('RAW_DISTRICT'!$C$4:$C$745=$B29)*('RAW_DISTRICT'!$B$4:$B$745=IF(SelectedScope="All India",INDEX('RAW_DISTRICT'!$B$4:$B$745,24),SelectedScope)),0))),"")</f>
        <v/>
      </c>
      <c r="I29" s="10" t="str">
        <f>IFERROR(IF($B29="","",INDEX('RAW_DISTRICT'!$S$4:$S$745,MATCH(1,('RAW_DISTRICT'!$C$4:$C$745=$B29)*('RAW_DISTRICT'!$B$4:$B$745=IF(SelectedScope="All India",INDEX('RAW_DISTRICT'!$B$4:$B$745,24),SelectedScope)),0))),"")</f>
        <v/>
      </c>
    </row>
    <row r="30" spans="1:9" ht="15" customHeight="1" x14ac:dyDescent="0.3">
      <c r="A30" s="24">
        <v>25</v>
      </c>
      <c r="B30" s="12" t="str">
        <f>IFERROR(IF(SelectedScope="All India",INDEX('RAW_DISTRICT'!$C$4:$C$745,25),INDEX('RAW_DISTRICT'!$C$4:$C$745,MATCH(25,'RAW_DISTRICT'!$V$4:$V$745,0))),"")</f>
        <v>Anjaw</v>
      </c>
      <c r="C30" s="13" t="str">
        <f>IFERROR(IF($B30="","",INDEX('RAW_DISTRICT'!$E$4:$E$745,MATCH(1,('RAW_DISTRICT'!$C$4:$C$745=$B30)*('RAW_DISTRICT'!$B$4:$B$745=IF(SelectedScope="All India",INDEX('RAW_DISTRICT'!$B$4:$B$745,25),SelectedScope)),0))),"")</f>
        <v/>
      </c>
      <c r="D30" s="13">
        <f>IFERROR(IF($B30="","",SUMPRODUCT(('RAW_DISTRICT'!$C$4:$C$745=$B30)*('RAW_DISTRICT'!$B$4:$B$745=IF(SelectedScope="All India",INDEX('RAW_DISTRICT'!$B$4:$B$745,25),SelectedScope))*'RAW_DISTRICT'!$P$4:$P$745)),"")</f>
        <v>0</v>
      </c>
      <c r="E30" s="13">
        <f>IFERROR(IF($B30="","",SUMPRODUCT(('RAW_DISTRICT'!$C$4:$C$745=$B30)*('RAW_DISTRICT'!$B$4:$B$745=IF(SelectedScope="All India",INDEX('RAW_DISTRICT'!$B$4:$B$745,25),SelectedScope))*'RAW_DISTRICT'!$Q$4:$Q$745)),"")</f>
        <v>0</v>
      </c>
      <c r="F30" s="13">
        <f>IFERROR(IF($B30="","",SUMPRODUCT(('RAW_DISTRICT'!$C$4:$C$745=$B30)*('RAW_DISTRICT'!$B$4:$B$745=IF(SelectedScope="All India",INDEX('RAW_DISTRICT'!$B$4:$B$745,25),SelectedScope))*'RAW_DISTRICT'!$F$4:$F$745)),"")</f>
        <v>0</v>
      </c>
      <c r="G30" s="14" t="str">
        <f>IFERROR(IF($B30="","",(SUMPRODUCT(('RAW_DISTRICT'!$C$4:$C$745=$B30)*('RAW_DISTRICT'!$B$4:$B$745=IF(SelectedScope="All India",INDEX('RAW_DISTRICT'!$B$4:$B$745,25),SelectedScope))*'RAW_DISTRICT'!$I$4:$I$745))/(SUMPRODUCT(('RAW_DISTRICT'!$C$4:$C$745=$B30)*('RAW_DISTRICT'!$B$4:$B$745=IF(SelectedScope="All India",INDEX('RAW_DISTRICT'!$B$4:$B$745,25),SelectedScope))*'RAW_DISTRICT'!$H$4:$H$745))),"")</f>
        <v/>
      </c>
      <c r="H30" s="13" t="str">
        <f>IFERROR(IF($B30="","",INDEX('RAW_DISTRICT'!$R$4:$R$745,MATCH(1,('RAW_DISTRICT'!$C$4:$C$745=$B30)*('RAW_DISTRICT'!$B$4:$B$745=IF(SelectedScope="All India",INDEX('RAW_DISTRICT'!$B$4:$B$745,25),SelectedScope)),0))),"")</f>
        <v/>
      </c>
      <c r="I30" s="13" t="str">
        <f>IFERROR(IF($B30="","",INDEX('RAW_DISTRICT'!$S$4:$S$745,MATCH(1,('RAW_DISTRICT'!$C$4:$C$745=$B30)*('RAW_DISTRICT'!$B$4:$B$745=IF(SelectedScope="All India",INDEX('RAW_DISTRICT'!$B$4:$B$745,25),SelectedScope)),0))),"")</f>
        <v/>
      </c>
    </row>
    <row r="31" spans="1:9" ht="15" customHeight="1" x14ac:dyDescent="0.3">
      <c r="A31" s="23">
        <v>26</v>
      </c>
      <c r="B31" s="9" t="str">
        <f>IFERROR(IF(SelectedScope="All India",INDEX('RAW_DISTRICT'!$C$4:$C$745,26),INDEX('RAW_DISTRICT'!$C$4:$C$745,MATCH(26,'RAW_DISTRICT'!$V$4:$V$745,0))),"")</f>
        <v>Changlang</v>
      </c>
      <c r="C31" s="10" t="str">
        <f>IFERROR(IF($B31="","",INDEX('RAW_DISTRICT'!$E$4:$E$745,MATCH(1,('RAW_DISTRICT'!$C$4:$C$745=$B31)*('RAW_DISTRICT'!$B$4:$B$745=IF(SelectedScope="All India",INDEX('RAW_DISTRICT'!$B$4:$B$745,26),SelectedScope)),0))),"")</f>
        <v/>
      </c>
      <c r="D31" s="10">
        <f>IFERROR(IF($B31="","",SUMPRODUCT(('RAW_DISTRICT'!$C$4:$C$745=$B31)*('RAW_DISTRICT'!$B$4:$B$745=IF(SelectedScope="All India",INDEX('RAW_DISTRICT'!$B$4:$B$745,26),SelectedScope))*'RAW_DISTRICT'!$P$4:$P$745)),"")</f>
        <v>0</v>
      </c>
      <c r="E31" s="10">
        <f>IFERROR(IF($B31="","",SUMPRODUCT(('RAW_DISTRICT'!$C$4:$C$745=$B31)*('RAW_DISTRICT'!$B$4:$B$745=IF(SelectedScope="All India",INDEX('RAW_DISTRICT'!$B$4:$B$745,26),SelectedScope))*'RAW_DISTRICT'!$Q$4:$Q$745)),"")</f>
        <v>0</v>
      </c>
      <c r="F31" s="10">
        <f>IFERROR(IF($B31="","",SUMPRODUCT(('RAW_DISTRICT'!$C$4:$C$745=$B31)*('RAW_DISTRICT'!$B$4:$B$745=IF(SelectedScope="All India",INDEX('RAW_DISTRICT'!$B$4:$B$745,26),SelectedScope))*'RAW_DISTRICT'!$F$4:$F$745)),"")</f>
        <v>0</v>
      </c>
      <c r="G31" s="11" t="str">
        <f>IFERROR(IF($B31="","",(SUMPRODUCT(('RAW_DISTRICT'!$C$4:$C$745=$B31)*('RAW_DISTRICT'!$B$4:$B$745=IF(SelectedScope="All India",INDEX('RAW_DISTRICT'!$B$4:$B$745,26),SelectedScope))*'RAW_DISTRICT'!$I$4:$I$745))/(SUMPRODUCT(('RAW_DISTRICT'!$C$4:$C$745=$B31)*('RAW_DISTRICT'!$B$4:$B$745=IF(SelectedScope="All India",INDEX('RAW_DISTRICT'!$B$4:$B$745,26),SelectedScope))*'RAW_DISTRICT'!$H$4:$H$745))),"")</f>
        <v/>
      </c>
      <c r="H31" s="10" t="str">
        <f>IFERROR(IF($B31="","",INDEX('RAW_DISTRICT'!$R$4:$R$745,MATCH(1,('RAW_DISTRICT'!$C$4:$C$745=$B31)*('RAW_DISTRICT'!$B$4:$B$745=IF(SelectedScope="All India",INDEX('RAW_DISTRICT'!$B$4:$B$745,26),SelectedScope)),0))),"")</f>
        <v/>
      </c>
      <c r="I31" s="10" t="str">
        <f>IFERROR(IF($B31="","",INDEX('RAW_DISTRICT'!$S$4:$S$745,MATCH(1,('RAW_DISTRICT'!$C$4:$C$745=$B31)*('RAW_DISTRICT'!$B$4:$B$745=IF(SelectedScope="All India",INDEX('RAW_DISTRICT'!$B$4:$B$745,26),SelectedScope)),0))),"")</f>
        <v/>
      </c>
    </row>
    <row r="32" spans="1:9" ht="15" customHeight="1" x14ac:dyDescent="0.3">
      <c r="A32" s="24">
        <v>27</v>
      </c>
      <c r="B32" s="12" t="str">
        <f>IFERROR(IF(SelectedScope="All India",INDEX('RAW_DISTRICT'!$C$4:$C$745,27),INDEX('RAW_DISTRICT'!$C$4:$C$745,MATCH(27,'RAW_DISTRICT'!$V$4:$V$745,0))),"")</f>
        <v>Dibang Valley</v>
      </c>
      <c r="C32" s="13" t="str">
        <f>IFERROR(IF($B32="","",INDEX('RAW_DISTRICT'!$E$4:$E$745,MATCH(1,('RAW_DISTRICT'!$C$4:$C$745=$B32)*('RAW_DISTRICT'!$B$4:$B$745=IF(SelectedScope="All India",INDEX('RAW_DISTRICT'!$B$4:$B$745,27),SelectedScope)),0))),"")</f>
        <v/>
      </c>
      <c r="D32" s="13">
        <f>IFERROR(IF($B32="","",SUMPRODUCT(('RAW_DISTRICT'!$C$4:$C$745=$B32)*('RAW_DISTRICT'!$B$4:$B$745=IF(SelectedScope="All India",INDEX('RAW_DISTRICT'!$B$4:$B$745,27),SelectedScope))*'RAW_DISTRICT'!$P$4:$P$745)),"")</f>
        <v>0</v>
      </c>
      <c r="E32" s="13">
        <f>IFERROR(IF($B32="","",SUMPRODUCT(('RAW_DISTRICT'!$C$4:$C$745=$B32)*('RAW_DISTRICT'!$B$4:$B$745=IF(SelectedScope="All India",INDEX('RAW_DISTRICT'!$B$4:$B$745,27),SelectedScope))*'RAW_DISTRICT'!$Q$4:$Q$745)),"")</f>
        <v>0</v>
      </c>
      <c r="F32" s="13">
        <f>IFERROR(IF($B32="","",SUMPRODUCT(('RAW_DISTRICT'!$C$4:$C$745=$B32)*('RAW_DISTRICT'!$B$4:$B$745=IF(SelectedScope="All India",INDEX('RAW_DISTRICT'!$B$4:$B$745,27),SelectedScope))*'RAW_DISTRICT'!$F$4:$F$745)),"")</f>
        <v>0</v>
      </c>
      <c r="G32" s="14" t="str">
        <f>IFERROR(IF($B32="","",(SUMPRODUCT(('RAW_DISTRICT'!$C$4:$C$745=$B32)*('RAW_DISTRICT'!$B$4:$B$745=IF(SelectedScope="All India",INDEX('RAW_DISTRICT'!$B$4:$B$745,27),SelectedScope))*'RAW_DISTRICT'!$I$4:$I$745))/(SUMPRODUCT(('RAW_DISTRICT'!$C$4:$C$745=$B32)*('RAW_DISTRICT'!$B$4:$B$745=IF(SelectedScope="All India",INDEX('RAW_DISTRICT'!$B$4:$B$745,27),SelectedScope))*'RAW_DISTRICT'!$H$4:$H$745))),"")</f>
        <v/>
      </c>
      <c r="H32" s="13" t="str">
        <f>IFERROR(IF($B32="","",INDEX('RAW_DISTRICT'!$R$4:$R$745,MATCH(1,('RAW_DISTRICT'!$C$4:$C$745=$B32)*('RAW_DISTRICT'!$B$4:$B$745=IF(SelectedScope="All India",INDEX('RAW_DISTRICT'!$B$4:$B$745,27),SelectedScope)),0))),"")</f>
        <v/>
      </c>
      <c r="I32" s="13" t="str">
        <f>IFERROR(IF($B32="","",INDEX('RAW_DISTRICT'!$S$4:$S$745,MATCH(1,('RAW_DISTRICT'!$C$4:$C$745=$B32)*('RAW_DISTRICT'!$B$4:$B$745=IF(SelectedScope="All India",INDEX('RAW_DISTRICT'!$B$4:$B$745,27),SelectedScope)),0))),"")</f>
        <v/>
      </c>
    </row>
    <row r="33" spans="1:9" ht="15" customHeight="1" x14ac:dyDescent="0.3">
      <c r="A33" s="23">
        <v>28</v>
      </c>
      <c r="B33" s="9" t="str">
        <f>IFERROR(IF(SelectedScope="All India",INDEX('RAW_DISTRICT'!$C$4:$C$745,28),INDEX('RAW_DISTRICT'!$C$4:$C$745,MATCH(28,'RAW_DISTRICT'!$V$4:$V$745,0))),"")</f>
        <v>East Kameng</v>
      </c>
      <c r="C33" s="10" t="str">
        <f>IFERROR(IF($B33="","",INDEX('RAW_DISTRICT'!$E$4:$E$745,MATCH(1,('RAW_DISTRICT'!$C$4:$C$745=$B33)*('RAW_DISTRICT'!$B$4:$B$745=IF(SelectedScope="All India",INDEX('RAW_DISTRICT'!$B$4:$B$745,28),SelectedScope)),0))),"")</f>
        <v/>
      </c>
      <c r="D33" s="10">
        <f>IFERROR(IF($B33="","",SUMPRODUCT(('RAW_DISTRICT'!$C$4:$C$745=$B33)*('RAW_DISTRICT'!$B$4:$B$745=IF(SelectedScope="All India",INDEX('RAW_DISTRICT'!$B$4:$B$745,28),SelectedScope))*'RAW_DISTRICT'!$P$4:$P$745)),"")</f>
        <v>0</v>
      </c>
      <c r="E33" s="10">
        <f>IFERROR(IF($B33="","",SUMPRODUCT(('RAW_DISTRICT'!$C$4:$C$745=$B33)*('RAW_DISTRICT'!$B$4:$B$745=IF(SelectedScope="All India",INDEX('RAW_DISTRICT'!$B$4:$B$745,28),SelectedScope))*'RAW_DISTRICT'!$Q$4:$Q$745)),"")</f>
        <v>0</v>
      </c>
      <c r="F33" s="10">
        <f>IFERROR(IF($B33="","",SUMPRODUCT(('RAW_DISTRICT'!$C$4:$C$745=$B33)*('RAW_DISTRICT'!$B$4:$B$745=IF(SelectedScope="All India",INDEX('RAW_DISTRICT'!$B$4:$B$745,28),SelectedScope))*'RAW_DISTRICT'!$F$4:$F$745)),"")</f>
        <v>0</v>
      </c>
      <c r="G33" s="11" t="str">
        <f>IFERROR(IF($B33="","",(SUMPRODUCT(('RAW_DISTRICT'!$C$4:$C$745=$B33)*('RAW_DISTRICT'!$B$4:$B$745=IF(SelectedScope="All India",INDEX('RAW_DISTRICT'!$B$4:$B$745,28),SelectedScope))*'RAW_DISTRICT'!$I$4:$I$745))/(SUMPRODUCT(('RAW_DISTRICT'!$C$4:$C$745=$B33)*('RAW_DISTRICT'!$B$4:$B$745=IF(SelectedScope="All India",INDEX('RAW_DISTRICT'!$B$4:$B$745,28),SelectedScope))*'RAW_DISTRICT'!$H$4:$H$745))),"")</f>
        <v/>
      </c>
      <c r="H33" s="10" t="str">
        <f>IFERROR(IF($B33="","",INDEX('RAW_DISTRICT'!$R$4:$R$745,MATCH(1,('RAW_DISTRICT'!$C$4:$C$745=$B33)*('RAW_DISTRICT'!$B$4:$B$745=IF(SelectedScope="All India",INDEX('RAW_DISTRICT'!$B$4:$B$745,28),SelectedScope)),0))),"")</f>
        <v/>
      </c>
      <c r="I33" s="10" t="str">
        <f>IFERROR(IF($B33="","",INDEX('RAW_DISTRICT'!$S$4:$S$745,MATCH(1,('RAW_DISTRICT'!$C$4:$C$745=$B33)*('RAW_DISTRICT'!$B$4:$B$745=IF(SelectedScope="All India",INDEX('RAW_DISTRICT'!$B$4:$B$745,28),SelectedScope)),0))),"")</f>
        <v/>
      </c>
    </row>
    <row r="34" spans="1:9" ht="15" customHeight="1" x14ac:dyDescent="0.3">
      <c r="A34" s="24">
        <v>29</v>
      </c>
      <c r="B34" s="12" t="str">
        <f>IFERROR(IF(SelectedScope="All India",INDEX('RAW_DISTRICT'!$C$4:$C$745,29),INDEX('RAW_DISTRICT'!$C$4:$C$745,MATCH(29,'RAW_DISTRICT'!$V$4:$V$745,0))),"")</f>
        <v>East Siang</v>
      </c>
      <c r="C34" s="13" t="str">
        <f>IFERROR(IF($B34="","",INDEX('RAW_DISTRICT'!$E$4:$E$745,MATCH(1,('RAW_DISTRICT'!$C$4:$C$745=$B34)*('RAW_DISTRICT'!$B$4:$B$745=IF(SelectedScope="All India",INDEX('RAW_DISTRICT'!$B$4:$B$745,29),SelectedScope)),0))),"")</f>
        <v/>
      </c>
      <c r="D34" s="13">
        <f>IFERROR(IF($B34="","",SUMPRODUCT(('RAW_DISTRICT'!$C$4:$C$745=$B34)*('RAW_DISTRICT'!$B$4:$B$745=IF(SelectedScope="All India",INDEX('RAW_DISTRICT'!$B$4:$B$745,29),SelectedScope))*'RAW_DISTRICT'!$P$4:$P$745)),"")</f>
        <v>0</v>
      </c>
      <c r="E34" s="13">
        <f>IFERROR(IF($B34="","",SUMPRODUCT(('RAW_DISTRICT'!$C$4:$C$745=$B34)*('RAW_DISTRICT'!$B$4:$B$745=IF(SelectedScope="All India",INDEX('RAW_DISTRICT'!$B$4:$B$745,29),SelectedScope))*'RAW_DISTRICT'!$Q$4:$Q$745)),"")</f>
        <v>0</v>
      </c>
      <c r="F34" s="13">
        <f>IFERROR(IF($B34="","",SUMPRODUCT(('RAW_DISTRICT'!$C$4:$C$745=$B34)*('RAW_DISTRICT'!$B$4:$B$745=IF(SelectedScope="All India",INDEX('RAW_DISTRICT'!$B$4:$B$745,29),SelectedScope))*'RAW_DISTRICT'!$F$4:$F$745)),"")</f>
        <v>0</v>
      </c>
      <c r="G34" s="14" t="str">
        <f>IFERROR(IF($B34="","",(SUMPRODUCT(('RAW_DISTRICT'!$C$4:$C$745=$B34)*('RAW_DISTRICT'!$B$4:$B$745=IF(SelectedScope="All India",INDEX('RAW_DISTRICT'!$B$4:$B$745,29),SelectedScope))*'RAW_DISTRICT'!$I$4:$I$745))/(SUMPRODUCT(('RAW_DISTRICT'!$C$4:$C$745=$B34)*('RAW_DISTRICT'!$B$4:$B$745=IF(SelectedScope="All India",INDEX('RAW_DISTRICT'!$B$4:$B$745,29),SelectedScope))*'RAW_DISTRICT'!$H$4:$H$745))),"")</f>
        <v/>
      </c>
      <c r="H34" s="13" t="str">
        <f>IFERROR(IF($B34="","",INDEX('RAW_DISTRICT'!$R$4:$R$745,MATCH(1,('RAW_DISTRICT'!$C$4:$C$745=$B34)*('RAW_DISTRICT'!$B$4:$B$745=IF(SelectedScope="All India",INDEX('RAW_DISTRICT'!$B$4:$B$745,29),SelectedScope)),0))),"")</f>
        <v/>
      </c>
      <c r="I34" s="13" t="str">
        <f>IFERROR(IF($B34="","",INDEX('RAW_DISTRICT'!$S$4:$S$745,MATCH(1,('RAW_DISTRICT'!$C$4:$C$745=$B34)*('RAW_DISTRICT'!$B$4:$B$745=IF(SelectedScope="All India",INDEX('RAW_DISTRICT'!$B$4:$B$745,29),SelectedScope)),0))),"")</f>
        <v/>
      </c>
    </row>
    <row r="35" spans="1:9" ht="15" customHeight="1" x14ac:dyDescent="0.3">
      <c r="A35" s="23">
        <v>30</v>
      </c>
      <c r="B35" s="9" t="str">
        <f>IFERROR(IF(SelectedScope="All India",INDEX('RAW_DISTRICT'!$C$4:$C$745,30),INDEX('RAW_DISTRICT'!$C$4:$C$745,MATCH(30,'RAW_DISTRICT'!$V$4:$V$745,0))),"")</f>
        <v>Itanagar Capital Complex</v>
      </c>
      <c r="C35" s="10" t="str">
        <f>IFERROR(IF($B35="","",INDEX('RAW_DISTRICT'!$E$4:$E$745,MATCH(1,('RAW_DISTRICT'!$C$4:$C$745=$B35)*('RAW_DISTRICT'!$B$4:$B$745=IF(SelectedScope="All India",INDEX('RAW_DISTRICT'!$B$4:$B$745,30),SelectedScope)),0))),"")</f>
        <v/>
      </c>
      <c r="D35" s="10">
        <f>IFERROR(IF($B35="","",SUMPRODUCT(('RAW_DISTRICT'!$C$4:$C$745=$B35)*('RAW_DISTRICT'!$B$4:$B$745=IF(SelectedScope="All India",INDEX('RAW_DISTRICT'!$B$4:$B$745,30),SelectedScope))*'RAW_DISTRICT'!$P$4:$P$745)),"")</f>
        <v>0</v>
      </c>
      <c r="E35" s="10">
        <f>IFERROR(IF($B35="","",SUMPRODUCT(('RAW_DISTRICT'!$C$4:$C$745=$B35)*('RAW_DISTRICT'!$B$4:$B$745=IF(SelectedScope="All India",INDEX('RAW_DISTRICT'!$B$4:$B$745,30),SelectedScope))*'RAW_DISTRICT'!$Q$4:$Q$745)),"")</f>
        <v>0</v>
      </c>
      <c r="F35" s="10">
        <f>IFERROR(IF($B35="","",SUMPRODUCT(('RAW_DISTRICT'!$C$4:$C$745=$B35)*('RAW_DISTRICT'!$B$4:$B$745=IF(SelectedScope="All India",INDEX('RAW_DISTRICT'!$B$4:$B$745,30),SelectedScope))*'RAW_DISTRICT'!$F$4:$F$745)),"")</f>
        <v>0</v>
      </c>
      <c r="G35" s="11" t="str">
        <f>IFERROR(IF($B35="","",(SUMPRODUCT(('RAW_DISTRICT'!$C$4:$C$745=$B35)*('RAW_DISTRICT'!$B$4:$B$745=IF(SelectedScope="All India",INDEX('RAW_DISTRICT'!$B$4:$B$745,30),SelectedScope))*'RAW_DISTRICT'!$I$4:$I$745))/(SUMPRODUCT(('RAW_DISTRICT'!$C$4:$C$745=$B35)*('RAW_DISTRICT'!$B$4:$B$745=IF(SelectedScope="All India",INDEX('RAW_DISTRICT'!$B$4:$B$745,30),SelectedScope))*'RAW_DISTRICT'!$H$4:$H$745))),"")</f>
        <v/>
      </c>
      <c r="H35" s="10" t="str">
        <f>IFERROR(IF($B35="","",INDEX('RAW_DISTRICT'!$R$4:$R$745,MATCH(1,('RAW_DISTRICT'!$C$4:$C$745=$B35)*('RAW_DISTRICT'!$B$4:$B$745=IF(SelectedScope="All India",INDEX('RAW_DISTRICT'!$B$4:$B$745,30),SelectedScope)),0))),"")</f>
        <v/>
      </c>
      <c r="I35" s="10" t="str">
        <f>IFERROR(IF($B35="","",INDEX('RAW_DISTRICT'!$S$4:$S$745,MATCH(1,('RAW_DISTRICT'!$C$4:$C$745=$B35)*('RAW_DISTRICT'!$B$4:$B$745=IF(SelectedScope="All India",INDEX('RAW_DISTRICT'!$B$4:$B$745,30),SelectedScope)),0))),"")</f>
        <v/>
      </c>
    </row>
    <row r="36" spans="1:9" ht="15" customHeight="1" x14ac:dyDescent="0.3">
      <c r="A36" s="24">
        <v>31</v>
      </c>
      <c r="B36" s="12" t="str">
        <f>IFERROR(IF(SelectedScope="All India",INDEX('RAW_DISTRICT'!$C$4:$C$745,31),INDEX('RAW_DISTRICT'!$C$4:$C$745,MATCH(31,'RAW_DISTRICT'!$V$4:$V$745,0))),"")</f>
        <v>Kamle</v>
      </c>
      <c r="C36" s="13" t="str">
        <f>IFERROR(IF($B36="","",INDEX('RAW_DISTRICT'!$E$4:$E$745,MATCH(1,('RAW_DISTRICT'!$C$4:$C$745=$B36)*('RAW_DISTRICT'!$B$4:$B$745=IF(SelectedScope="All India",INDEX('RAW_DISTRICT'!$B$4:$B$745,31),SelectedScope)),0))),"")</f>
        <v/>
      </c>
      <c r="D36" s="13">
        <f>IFERROR(IF($B36="","",SUMPRODUCT(('RAW_DISTRICT'!$C$4:$C$745=$B36)*('RAW_DISTRICT'!$B$4:$B$745=IF(SelectedScope="All India",INDEX('RAW_DISTRICT'!$B$4:$B$745,31),SelectedScope))*'RAW_DISTRICT'!$P$4:$P$745)),"")</f>
        <v>0</v>
      </c>
      <c r="E36" s="13">
        <f>IFERROR(IF($B36="","",SUMPRODUCT(('RAW_DISTRICT'!$C$4:$C$745=$B36)*('RAW_DISTRICT'!$B$4:$B$745=IF(SelectedScope="All India",INDEX('RAW_DISTRICT'!$B$4:$B$745,31),SelectedScope))*'RAW_DISTRICT'!$Q$4:$Q$745)),"")</f>
        <v>0</v>
      </c>
      <c r="F36" s="13">
        <f>IFERROR(IF($B36="","",SUMPRODUCT(('RAW_DISTRICT'!$C$4:$C$745=$B36)*('RAW_DISTRICT'!$B$4:$B$745=IF(SelectedScope="All India",INDEX('RAW_DISTRICT'!$B$4:$B$745,31),SelectedScope))*'RAW_DISTRICT'!$F$4:$F$745)),"")</f>
        <v>0</v>
      </c>
      <c r="G36" s="14" t="str">
        <f>IFERROR(IF($B36="","",(SUMPRODUCT(('RAW_DISTRICT'!$C$4:$C$745=$B36)*('RAW_DISTRICT'!$B$4:$B$745=IF(SelectedScope="All India",INDEX('RAW_DISTRICT'!$B$4:$B$745,31),SelectedScope))*'RAW_DISTRICT'!$I$4:$I$745))/(SUMPRODUCT(('RAW_DISTRICT'!$C$4:$C$745=$B36)*('RAW_DISTRICT'!$B$4:$B$745=IF(SelectedScope="All India",INDEX('RAW_DISTRICT'!$B$4:$B$745,31),SelectedScope))*'RAW_DISTRICT'!$H$4:$H$745))),"")</f>
        <v/>
      </c>
      <c r="H36" s="13" t="str">
        <f>IFERROR(IF($B36="","",INDEX('RAW_DISTRICT'!$R$4:$R$745,MATCH(1,('RAW_DISTRICT'!$C$4:$C$745=$B36)*('RAW_DISTRICT'!$B$4:$B$745=IF(SelectedScope="All India",INDEX('RAW_DISTRICT'!$B$4:$B$745,31),SelectedScope)),0))),"")</f>
        <v/>
      </c>
      <c r="I36" s="13" t="str">
        <f>IFERROR(IF($B36="","",INDEX('RAW_DISTRICT'!$S$4:$S$745,MATCH(1,('RAW_DISTRICT'!$C$4:$C$745=$B36)*('RAW_DISTRICT'!$B$4:$B$745=IF(SelectedScope="All India",INDEX('RAW_DISTRICT'!$B$4:$B$745,31),SelectedScope)),0))),"")</f>
        <v/>
      </c>
    </row>
    <row r="37" spans="1:9" ht="15" customHeight="1" x14ac:dyDescent="0.3">
      <c r="A37" s="23">
        <v>32</v>
      </c>
      <c r="B37" s="9" t="str">
        <f>IFERROR(IF(SelectedScope="All India",INDEX('RAW_DISTRICT'!$C$4:$C$745,32),INDEX('RAW_DISTRICT'!$C$4:$C$745,MATCH(32,'RAW_DISTRICT'!$V$4:$V$745,0))),"")</f>
        <v>Kra Daadi</v>
      </c>
      <c r="C37" s="10" t="str">
        <f>IFERROR(IF($B37="","",INDEX('RAW_DISTRICT'!$E$4:$E$745,MATCH(1,('RAW_DISTRICT'!$C$4:$C$745=$B37)*('RAW_DISTRICT'!$B$4:$B$745=IF(SelectedScope="All India",INDEX('RAW_DISTRICT'!$B$4:$B$745,32),SelectedScope)),0))),"")</f>
        <v/>
      </c>
      <c r="D37" s="10">
        <f>IFERROR(IF($B37="","",SUMPRODUCT(('RAW_DISTRICT'!$C$4:$C$745=$B37)*('RAW_DISTRICT'!$B$4:$B$745=IF(SelectedScope="All India",INDEX('RAW_DISTRICT'!$B$4:$B$745,32),SelectedScope))*'RAW_DISTRICT'!$P$4:$P$745)),"")</f>
        <v>0</v>
      </c>
      <c r="E37" s="10">
        <f>IFERROR(IF($B37="","",SUMPRODUCT(('RAW_DISTRICT'!$C$4:$C$745=$B37)*('RAW_DISTRICT'!$B$4:$B$745=IF(SelectedScope="All India",INDEX('RAW_DISTRICT'!$B$4:$B$745,32),SelectedScope))*'RAW_DISTRICT'!$Q$4:$Q$745)),"")</f>
        <v>0</v>
      </c>
      <c r="F37" s="10">
        <f>IFERROR(IF($B37="","",SUMPRODUCT(('RAW_DISTRICT'!$C$4:$C$745=$B37)*('RAW_DISTRICT'!$B$4:$B$745=IF(SelectedScope="All India",INDEX('RAW_DISTRICT'!$B$4:$B$745,32),SelectedScope))*'RAW_DISTRICT'!$F$4:$F$745)),"")</f>
        <v>0</v>
      </c>
      <c r="G37" s="11" t="str">
        <f>IFERROR(IF($B37="","",(SUMPRODUCT(('RAW_DISTRICT'!$C$4:$C$745=$B37)*('RAW_DISTRICT'!$B$4:$B$745=IF(SelectedScope="All India",INDEX('RAW_DISTRICT'!$B$4:$B$745,32),SelectedScope))*'RAW_DISTRICT'!$I$4:$I$745))/(SUMPRODUCT(('RAW_DISTRICT'!$C$4:$C$745=$B37)*('RAW_DISTRICT'!$B$4:$B$745=IF(SelectedScope="All India",INDEX('RAW_DISTRICT'!$B$4:$B$745,32),SelectedScope))*'RAW_DISTRICT'!$H$4:$H$745))),"")</f>
        <v/>
      </c>
      <c r="H37" s="10" t="str">
        <f>IFERROR(IF($B37="","",INDEX('RAW_DISTRICT'!$R$4:$R$745,MATCH(1,('RAW_DISTRICT'!$C$4:$C$745=$B37)*('RAW_DISTRICT'!$B$4:$B$745=IF(SelectedScope="All India",INDEX('RAW_DISTRICT'!$B$4:$B$745,32),SelectedScope)),0))),"")</f>
        <v/>
      </c>
      <c r="I37" s="10" t="str">
        <f>IFERROR(IF($B37="","",INDEX('RAW_DISTRICT'!$S$4:$S$745,MATCH(1,('RAW_DISTRICT'!$C$4:$C$745=$B37)*('RAW_DISTRICT'!$B$4:$B$745=IF(SelectedScope="All India",INDEX('RAW_DISTRICT'!$B$4:$B$745,32),SelectedScope)),0))),"")</f>
        <v/>
      </c>
    </row>
    <row r="38" spans="1:9" ht="15" customHeight="1" x14ac:dyDescent="0.3">
      <c r="A38" s="24">
        <v>33</v>
      </c>
      <c r="B38" s="12" t="str">
        <f>IFERROR(IF(SelectedScope="All India",INDEX('RAW_DISTRICT'!$C$4:$C$745,33),INDEX('RAW_DISTRICT'!$C$4:$C$745,MATCH(33,'RAW_DISTRICT'!$V$4:$V$745,0))),"")</f>
        <v>Kurung Kumey</v>
      </c>
      <c r="C38" s="13" t="str">
        <f>IFERROR(IF($B38="","",INDEX('RAW_DISTRICT'!$E$4:$E$745,MATCH(1,('RAW_DISTRICT'!$C$4:$C$745=$B38)*('RAW_DISTRICT'!$B$4:$B$745=IF(SelectedScope="All India",INDEX('RAW_DISTRICT'!$B$4:$B$745,33),SelectedScope)),0))),"")</f>
        <v/>
      </c>
      <c r="D38" s="13">
        <f>IFERROR(IF($B38="","",SUMPRODUCT(('RAW_DISTRICT'!$C$4:$C$745=$B38)*('RAW_DISTRICT'!$B$4:$B$745=IF(SelectedScope="All India",INDEX('RAW_DISTRICT'!$B$4:$B$745,33),SelectedScope))*'RAW_DISTRICT'!$P$4:$P$745)),"")</f>
        <v>0</v>
      </c>
      <c r="E38" s="13">
        <f>IFERROR(IF($B38="","",SUMPRODUCT(('RAW_DISTRICT'!$C$4:$C$745=$B38)*('RAW_DISTRICT'!$B$4:$B$745=IF(SelectedScope="All India",INDEX('RAW_DISTRICT'!$B$4:$B$745,33),SelectedScope))*'RAW_DISTRICT'!$Q$4:$Q$745)),"")</f>
        <v>0</v>
      </c>
      <c r="F38" s="13">
        <f>IFERROR(IF($B38="","",SUMPRODUCT(('RAW_DISTRICT'!$C$4:$C$745=$B38)*('RAW_DISTRICT'!$B$4:$B$745=IF(SelectedScope="All India",INDEX('RAW_DISTRICT'!$B$4:$B$745,33),SelectedScope))*'RAW_DISTRICT'!$F$4:$F$745)),"")</f>
        <v>0</v>
      </c>
      <c r="G38" s="14" t="str">
        <f>IFERROR(IF($B38="","",(SUMPRODUCT(('RAW_DISTRICT'!$C$4:$C$745=$B38)*('RAW_DISTRICT'!$B$4:$B$745=IF(SelectedScope="All India",INDEX('RAW_DISTRICT'!$B$4:$B$745,33),SelectedScope))*'RAW_DISTRICT'!$I$4:$I$745))/(SUMPRODUCT(('RAW_DISTRICT'!$C$4:$C$745=$B38)*('RAW_DISTRICT'!$B$4:$B$745=IF(SelectedScope="All India",INDEX('RAW_DISTRICT'!$B$4:$B$745,33),SelectedScope))*'RAW_DISTRICT'!$H$4:$H$745))),"")</f>
        <v/>
      </c>
      <c r="H38" s="13" t="str">
        <f>IFERROR(IF($B38="","",INDEX('RAW_DISTRICT'!$R$4:$R$745,MATCH(1,('RAW_DISTRICT'!$C$4:$C$745=$B38)*('RAW_DISTRICT'!$B$4:$B$745=IF(SelectedScope="All India",INDEX('RAW_DISTRICT'!$B$4:$B$745,33),SelectedScope)),0))),"")</f>
        <v/>
      </c>
      <c r="I38" s="13" t="str">
        <f>IFERROR(IF($B38="","",INDEX('RAW_DISTRICT'!$S$4:$S$745,MATCH(1,('RAW_DISTRICT'!$C$4:$C$745=$B38)*('RAW_DISTRICT'!$B$4:$B$745=IF(SelectedScope="All India",INDEX('RAW_DISTRICT'!$B$4:$B$745,33),SelectedScope)),0))),"")</f>
        <v/>
      </c>
    </row>
    <row r="39" spans="1:9" ht="15" customHeight="1" x14ac:dyDescent="0.3">
      <c r="A39" s="23">
        <v>34</v>
      </c>
      <c r="B39" s="9" t="str">
        <f>IFERROR(IF(SelectedScope="All India",INDEX('RAW_DISTRICT'!$C$4:$C$745,34),INDEX('RAW_DISTRICT'!$C$4:$C$745,MATCH(34,'RAW_DISTRICT'!$V$4:$V$745,0))),"")</f>
        <v>Lohit</v>
      </c>
      <c r="C39" s="10" t="str">
        <f>IFERROR(IF($B39="","",INDEX('RAW_DISTRICT'!$E$4:$E$745,MATCH(1,('RAW_DISTRICT'!$C$4:$C$745=$B39)*('RAW_DISTRICT'!$B$4:$B$745=IF(SelectedScope="All India",INDEX('RAW_DISTRICT'!$B$4:$B$745,34),SelectedScope)),0))),"")</f>
        <v/>
      </c>
      <c r="D39" s="10">
        <f>IFERROR(IF($B39="","",SUMPRODUCT(('RAW_DISTRICT'!$C$4:$C$745=$B39)*('RAW_DISTRICT'!$B$4:$B$745=IF(SelectedScope="All India",INDEX('RAW_DISTRICT'!$B$4:$B$745,34),SelectedScope))*'RAW_DISTRICT'!$P$4:$P$745)),"")</f>
        <v>0</v>
      </c>
      <c r="E39" s="10">
        <f>IFERROR(IF($B39="","",SUMPRODUCT(('RAW_DISTRICT'!$C$4:$C$745=$B39)*('RAW_DISTRICT'!$B$4:$B$745=IF(SelectedScope="All India",INDEX('RAW_DISTRICT'!$B$4:$B$745,34),SelectedScope))*'RAW_DISTRICT'!$Q$4:$Q$745)),"")</f>
        <v>0</v>
      </c>
      <c r="F39" s="10">
        <f>IFERROR(IF($B39="","",SUMPRODUCT(('RAW_DISTRICT'!$C$4:$C$745=$B39)*('RAW_DISTRICT'!$B$4:$B$745=IF(SelectedScope="All India",INDEX('RAW_DISTRICT'!$B$4:$B$745,34),SelectedScope))*'RAW_DISTRICT'!$F$4:$F$745)),"")</f>
        <v>0</v>
      </c>
      <c r="G39" s="11" t="str">
        <f>IFERROR(IF($B39="","",(SUMPRODUCT(('RAW_DISTRICT'!$C$4:$C$745=$B39)*('RAW_DISTRICT'!$B$4:$B$745=IF(SelectedScope="All India",INDEX('RAW_DISTRICT'!$B$4:$B$745,34),SelectedScope))*'RAW_DISTRICT'!$I$4:$I$745))/(SUMPRODUCT(('RAW_DISTRICT'!$C$4:$C$745=$B39)*('RAW_DISTRICT'!$B$4:$B$745=IF(SelectedScope="All India",INDEX('RAW_DISTRICT'!$B$4:$B$745,34),SelectedScope))*'RAW_DISTRICT'!$H$4:$H$745))),"")</f>
        <v/>
      </c>
      <c r="H39" s="10" t="str">
        <f>IFERROR(IF($B39="","",INDEX('RAW_DISTRICT'!$R$4:$R$745,MATCH(1,('RAW_DISTRICT'!$C$4:$C$745=$B39)*('RAW_DISTRICT'!$B$4:$B$745=IF(SelectedScope="All India",INDEX('RAW_DISTRICT'!$B$4:$B$745,34),SelectedScope)),0))),"")</f>
        <v/>
      </c>
      <c r="I39" s="10" t="str">
        <f>IFERROR(IF($B39="","",INDEX('RAW_DISTRICT'!$S$4:$S$745,MATCH(1,('RAW_DISTRICT'!$C$4:$C$745=$B39)*('RAW_DISTRICT'!$B$4:$B$745=IF(SelectedScope="All India",INDEX('RAW_DISTRICT'!$B$4:$B$745,34),SelectedScope)),0))),"")</f>
        <v/>
      </c>
    </row>
    <row r="40" spans="1:9" ht="15" customHeight="1" x14ac:dyDescent="0.3">
      <c r="A40" s="24">
        <v>35</v>
      </c>
      <c r="B40" s="12" t="str">
        <f>IFERROR(IF(SelectedScope="All India",INDEX('RAW_DISTRICT'!$C$4:$C$745,35),INDEX('RAW_DISTRICT'!$C$4:$C$745,MATCH(35,'RAW_DISTRICT'!$V$4:$V$745,0))),"")</f>
        <v>Longding</v>
      </c>
      <c r="C40" s="13" t="str">
        <f>IFERROR(IF($B40="","",INDEX('RAW_DISTRICT'!$E$4:$E$745,MATCH(1,('RAW_DISTRICT'!$C$4:$C$745=$B40)*('RAW_DISTRICT'!$B$4:$B$745=IF(SelectedScope="All India",INDEX('RAW_DISTRICT'!$B$4:$B$745,35),SelectedScope)),0))),"")</f>
        <v/>
      </c>
      <c r="D40" s="13">
        <f>IFERROR(IF($B40="","",SUMPRODUCT(('RAW_DISTRICT'!$C$4:$C$745=$B40)*('RAW_DISTRICT'!$B$4:$B$745=IF(SelectedScope="All India",INDEX('RAW_DISTRICT'!$B$4:$B$745,35),SelectedScope))*'RAW_DISTRICT'!$P$4:$P$745)),"")</f>
        <v>0</v>
      </c>
      <c r="E40" s="13">
        <f>IFERROR(IF($B40="","",SUMPRODUCT(('RAW_DISTRICT'!$C$4:$C$745=$B40)*('RAW_DISTRICT'!$B$4:$B$745=IF(SelectedScope="All India",INDEX('RAW_DISTRICT'!$B$4:$B$745,35),SelectedScope))*'RAW_DISTRICT'!$Q$4:$Q$745)),"")</f>
        <v>0</v>
      </c>
      <c r="F40" s="13">
        <f>IFERROR(IF($B40="","",SUMPRODUCT(('RAW_DISTRICT'!$C$4:$C$745=$B40)*('RAW_DISTRICT'!$B$4:$B$745=IF(SelectedScope="All India",INDEX('RAW_DISTRICT'!$B$4:$B$745,35),SelectedScope))*'RAW_DISTRICT'!$F$4:$F$745)),"")</f>
        <v>0</v>
      </c>
      <c r="G40" s="14" t="str">
        <f>IFERROR(IF($B40="","",(SUMPRODUCT(('RAW_DISTRICT'!$C$4:$C$745=$B40)*('RAW_DISTRICT'!$B$4:$B$745=IF(SelectedScope="All India",INDEX('RAW_DISTRICT'!$B$4:$B$745,35),SelectedScope))*'RAW_DISTRICT'!$I$4:$I$745))/(SUMPRODUCT(('RAW_DISTRICT'!$C$4:$C$745=$B40)*('RAW_DISTRICT'!$B$4:$B$745=IF(SelectedScope="All India",INDEX('RAW_DISTRICT'!$B$4:$B$745,35),SelectedScope))*'RAW_DISTRICT'!$H$4:$H$745))),"")</f>
        <v/>
      </c>
      <c r="H40" s="13" t="str">
        <f>IFERROR(IF($B40="","",INDEX('RAW_DISTRICT'!$R$4:$R$745,MATCH(1,('RAW_DISTRICT'!$C$4:$C$745=$B40)*('RAW_DISTRICT'!$B$4:$B$745=IF(SelectedScope="All India",INDEX('RAW_DISTRICT'!$B$4:$B$745,35),SelectedScope)),0))),"")</f>
        <v/>
      </c>
      <c r="I40" s="13" t="str">
        <f>IFERROR(IF($B40="","",INDEX('RAW_DISTRICT'!$S$4:$S$745,MATCH(1,('RAW_DISTRICT'!$C$4:$C$745=$B40)*('RAW_DISTRICT'!$B$4:$B$745=IF(SelectedScope="All India",INDEX('RAW_DISTRICT'!$B$4:$B$745,35),SelectedScope)),0))),"")</f>
        <v/>
      </c>
    </row>
    <row r="41" spans="1:9" ht="15" customHeight="1" x14ac:dyDescent="0.3">
      <c r="A41" s="23">
        <v>36</v>
      </c>
      <c r="B41" s="9" t="str">
        <f>IFERROR(IF(SelectedScope="All India",INDEX('RAW_DISTRICT'!$C$4:$C$745,36),INDEX('RAW_DISTRICT'!$C$4:$C$745,MATCH(36,'RAW_DISTRICT'!$V$4:$V$745,0))),"")</f>
        <v>Lower Dibang Valley</v>
      </c>
      <c r="C41" s="10" t="str">
        <f>IFERROR(IF($B41="","",INDEX('RAW_DISTRICT'!$E$4:$E$745,MATCH(1,('RAW_DISTRICT'!$C$4:$C$745=$B41)*('RAW_DISTRICT'!$B$4:$B$745=IF(SelectedScope="All India",INDEX('RAW_DISTRICT'!$B$4:$B$745,36),SelectedScope)),0))),"")</f>
        <v/>
      </c>
      <c r="D41" s="10">
        <f>IFERROR(IF($B41="","",SUMPRODUCT(('RAW_DISTRICT'!$C$4:$C$745=$B41)*('RAW_DISTRICT'!$B$4:$B$745=IF(SelectedScope="All India",INDEX('RAW_DISTRICT'!$B$4:$B$745,36),SelectedScope))*'RAW_DISTRICT'!$P$4:$P$745)),"")</f>
        <v>0</v>
      </c>
      <c r="E41" s="10">
        <f>IFERROR(IF($B41="","",SUMPRODUCT(('RAW_DISTRICT'!$C$4:$C$745=$B41)*('RAW_DISTRICT'!$B$4:$B$745=IF(SelectedScope="All India",INDEX('RAW_DISTRICT'!$B$4:$B$745,36),SelectedScope))*'RAW_DISTRICT'!$Q$4:$Q$745)),"")</f>
        <v>0</v>
      </c>
      <c r="F41" s="10">
        <f>IFERROR(IF($B41="","",SUMPRODUCT(('RAW_DISTRICT'!$C$4:$C$745=$B41)*('RAW_DISTRICT'!$B$4:$B$745=IF(SelectedScope="All India",INDEX('RAW_DISTRICT'!$B$4:$B$745,36),SelectedScope))*'RAW_DISTRICT'!$F$4:$F$745)),"")</f>
        <v>0</v>
      </c>
      <c r="G41" s="11" t="str">
        <f>IFERROR(IF($B41="","",(SUMPRODUCT(('RAW_DISTRICT'!$C$4:$C$745=$B41)*('RAW_DISTRICT'!$B$4:$B$745=IF(SelectedScope="All India",INDEX('RAW_DISTRICT'!$B$4:$B$745,36),SelectedScope))*'RAW_DISTRICT'!$I$4:$I$745))/(SUMPRODUCT(('RAW_DISTRICT'!$C$4:$C$745=$B41)*('RAW_DISTRICT'!$B$4:$B$745=IF(SelectedScope="All India",INDEX('RAW_DISTRICT'!$B$4:$B$745,36),SelectedScope))*'RAW_DISTRICT'!$H$4:$H$745))),"")</f>
        <v/>
      </c>
      <c r="H41" s="10" t="str">
        <f>IFERROR(IF($B41="","",INDEX('RAW_DISTRICT'!$R$4:$R$745,MATCH(1,('RAW_DISTRICT'!$C$4:$C$745=$B41)*('RAW_DISTRICT'!$B$4:$B$745=IF(SelectedScope="All India",INDEX('RAW_DISTRICT'!$B$4:$B$745,36),SelectedScope)),0))),"")</f>
        <v/>
      </c>
      <c r="I41" s="10" t="str">
        <f>IFERROR(IF($B41="","",INDEX('RAW_DISTRICT'!$S$4:$S$745,MATCH(1,('RAW_DISTRICT'!$C$4:$C$745=$B41)*('RAW_DISTRICT'!$B$4:$B$745=IF(SelectedScope="All India",INDEX('RAW_DISTRICT'!$B$4:$B$745,36),SelectedScope)),0))),"")</f>
        <v/>
      </c>
    </row>
    <row r="42" spans="1:9" ht="15" customHeight="1" x14ac:dyDescent="0.3">
      <c r="A42" s="24">
        <v>37</v>
      </c>
      <c r="B42" s="12" t="str">
        <f>IFERROR(IF(SelectedScope="All India",INDEX('RAW_DISTRICT'!$C$4:$C$745,37),INDEX('RAW_DISTRICT'!$C$4:$C$745,MATCH(37,'RAW_DISTRICT'!$V$4:$V$745,0))),"")</f>
        <v>Lower Siang</v>
      </c>
      <c r="C42" s="13" t="str">
        <f>IFERROR(IF($B42="","",INDEX('RAW_DISTRICT'!$E$4:$E$745,MATCH(1,('RAW_DISTRICT'!$C$4:$C$745=$B42)*('RAW_DISTRICT'!$B$4:$B$745=IF(SelectedScope="All India",INDEX('RAW_DISTRICT'!$B$4:$B$745,37),SelectedScope)),0))),"")</f>
        <v/>
      </c>
      <c r="D42" s="13">
        <f>IFERROR(IF($B42="","",SUMPRODUCT(('RAW_DISTRICT'!$C$4:$C$745=$B42)*('RAW_DISTRICT'!$B$4:$B$745=IF(SelectedScope="All India",INDEX('RAW_DISTRICT'!$B$4:$B$745,37),SelectedScope))*'RAW_DISTRICT'!$P$4:$P$745)),"")</f>
        <v>0</v>
      </c>
      <c r="E42" s="13">
        <f>IFERROR(IF($B42="","",SUMPRODUCT(('RAW_DISTRICT'!$C$4:$C$745=$B42)*('RAW_DISTRICT'!$B$4:$B$745=IF(SelectedScope="All India",INDEX('RAW_DISTRICT'!$B$4:$B$745,37),SelectedScope))*'RAW_DISTRICT'!$Q$4:$Q$745)),"")</f>
        <v>0</v>
      </c>
      <c r="F42" s="13">
        <f>IFERROR(IF($B42="","",SUMPRODUCT(('RAW_DISTRICT'!$C$4:$C$745=$B42)*('RAW_DISTRICT'!$B$4:$B$745=IF(SelectedScope="All India",INDEX('RAW_DISTRICT'!$B$4:$B$745,37),SelectedScope))*'RAW_DISTRICT'!$F$4:$F$745)),"")</f>
        <v>0</v>
      </c>
      <c r="G42" s="14" t="str">
        <f>IFERROR(IF($B42="","",(SUMPRODUCT(('RAW_DISTRICT'!$C$4:$C$745=$B42)*('RAW_DISTRICT'!$B$4:$B$745=IF(SelectedScope="All India",INDEX('RAW_DISTRICT'!$B$4:$B$745,37),SelectedScope))*'RAW_DISTRICT'!$I$4:$I$745))/(SUMPRODUCT(('RAW_DISTRICT'!$C$4:$C$745=$B42)*('RAW_DISTRICT'!$B$4:$B$745=IF(SelectedScope="All India",INDEX('RAW_DISTRICT'!$B$4:$B$745,37),SelectedScope))*'RAW_DISTRICT'!$H$4:$H$745))),"")</f>
        <v/>
      </c>
      <c r="H42" s="13" t="str">
        <f>IFERROR(IF($B42="","",INDEX('RAW_DISTRICT'!$R$4:$R$745,MATCH(1,('RAW_DISTRICT'!$C$4:$C$745=$B42)*('RAW_DISTRICT'!$B$4:$B$745=IF(SelectedScope="All India",INDEX('RAW_DISTRICT'!$B$4:$B$745,37),SelectedScope)),0))),"")</f>
        <v/>
      </c>
      <c r="I42" s="13" t="str">
        <f>IFERROR(IF($B42="","",INDEX('RAW_DISTRICT'!$S$4:$S$745,MATCH(1,('RAW_DISTRICT'!$C$4:$C$745=$B42)*('RAW_DISTRICT'!$B$4:$B$745=IF(SelectedScope="All India",INDEX('RAW_DISTRICT'!$B$4:$B$745,37),SelectedScope)),0))),"")</f>
        <v/>
      </c>
    </row>
    <row r="43" spans="1:9" ht="15" customHeight="1" x14ac:dyDescent="0.3">
      <c r="A43" s="23">
        <v>38</v>
      </c>
      <c r="B43" s="9" t="str">
        <f>IFERROR(IF(SelectedScope="All India",INDEX('RAW_DISTRICT'!$C$4:$C$745,38),INDEX('RAW_DISTRICT'!$C$4:$C$745,MATCH(38,'RAW_DISTRICT'!$V$4:$V$745,0))),"")</f>
        <v>Lower Subansiri</v>
      </c>
      <c r="C43" s="10" t="str">
        <f>IFERROR(IF($B43="","",INDEX('RAW_DISTRICT'!$E$4:$E$745,MATCH(1,('RAW_DISTRICT'!$C$4:$C$745=$B43)*('RAW_DISTRICT'!$B$4:$B$745=IF(SelectedScope="All India",INDEX('RAW_DISTRICT'!$B$4:$B$745,38),SelectedScope)),0))),"")</f>
        <v/>
      </c>
      <c r="D43" s="10">
        <f>IFERROR(IF($B43="","",SUMPRODUCT(('RAW_DISTRICT'!$C$4:$C$745=$B43)*('RAW_DISTRICT'!$B$4:$B$745=IF(SelectedScope="All India",INDEX('RAW_DISTRICT'!$B$4:$B$745,38),SelectedScope))*'RAW_DISTRICT'!$P$4:$P$745)),"")</f>
        <v>0</v>
      </c>
      <c r="E43" s="10">
        <f>IFERROR(IF($B43="","",SUMPRODUCT(('RAW_DISTRICT'!$C$4:$C$745=$B43)*('RAW_DISTRICT'!$B$4:$B$745=IF(SelectedScope="All India",INDEX('RAW_DISTRICT'!$B$4:$B$745,38),SelectedScope))*'RAW_DISTRICT'!$Q$4:$Q$745)),"")</f>
        <v>0</v>
      </c>
      <c r="F43" s="10">
        <f>IFERROR(IF($B43="","",SUMPRODUCT(('RAW_DISTRICT'!$C$4:$C$745=$B43)*('RAW_DISTRICT'!$B$4:$B$745=IF(SelectedScope="All India",INDEX('RAW_DISTRICT'!$B$4:$B$745,38),SelectedScope))*'RAW_DISTRICT'!$F$4:$F$745)),"")</f>
        <v>0</v>
      </c>
      <c r="G43" s="11" t="str">
        <f>IFERROR(IF($B43="","",(SUMPRODUCT(('RAW_DISTRICT'!$C$4:$C$745=$B43)*('RAW_DISTRICT'!$B$4:$B$745=IF(SelectedScope="All India",INDEX('RAW_DISTRICT'!$B$4:$B$745,38),SelectedScope))*'RAW_DISTRICT'!$I$4:$I$745))/(SUMPRODUCT(('RAW_DISTRICT'!$C$4:$C$745=$B43)*('RAW_DISTRICT'!$B$4:$B$745=IF(SelectedScope="All India",INDEX('RAW_DISTRICT'!$B$4:$B$745,38),SelectedScope))*'RAW_DISTRICT'!$H$4:$H$745))),"")</f>
        <v/>
      </c>
      <c r="H43" s="10" t="str">
        <f>IFERROR(IF($B43="","",INDEX('RAW_DISTRICT'!$R$4:$R$745,MATCH(1,('RAW_DISTRICT'!$C$4:$C$745=$B43)*('RAW_DISTRICT'!$B$4:$B$745=IF(SelectedScope="All India",INDEX('RAW_DISTRICT'!$B$4:$B$745,38),SelectedScope)),0))),"")</f>
        <v/>
      </c>
      <c r="I43" s="10" t="str">
        <f>IFERROR(IF($B43="","",INDEX('RAW_DISTRICT'!$S$4:$S$745,MATCH(1,('RAW_DISTRICT'!$C$4:$C$745=$B43)*('RAW_DISTRICT'!$B$4:$B$745=IF(SelectedScope="All India",INDEX('RAW_DISTRICT'!$B$4:$B$745,38),SelectedScope)),0))),"")</f>
        <v/>
      </c>
    </row>
    <row r="44" spans="1:9" ht="15" customHeight="1" x14ac:dyDescent="0.3">
      <c r="A44" s="24">
        <v>39</v>
      </c>
      <c r="B44" s="12" t="str">
        <f>IFERROR(IF(SelectedScope="All India",INDEX('RAW_DISTRICT'!$C$4:$C$745,39),INDEX('RAW_DISTRICT'!$C$4:$C$745,MATCH(39,'RAW_DISTRICT'!$V$4:$V$745,0))),"")</f>
        <v>Namsai</v>
      </c>
      <c r="C44" s="13" t="str">
        <f>IFERROR(IF($B44="","",INDEX('RAW_DISTRICT'!$E$4:$E$745,MATCH(1,('RAW_DISTRICT'!$C$4:$C$745=$B44)*('RAW_DISTRICT'!$B$4:$B$745=IF(SelectedScope="All India",INDEX('RAW_DISTRICT'!$B$4:$B$745,39),SelectedScope)),0))),"")</f>
        <v/>
      </c>
      <c r="D44" s="13">
        <f>IFERROR(IF($B44="","",SUMPRODUCT(('RAW_DISTRICT'!$C$4:$C$745=$B44)*('RAW_DISTRICT'!$B$4:$B$745=IF(SelectedScope="All India",INDEX('RAW_DISTRICT'!$B$4:$B$745,39),SelectedScope))*'RAW_DISTRICT'!$P$4:$P$745)),"")</f>
        <v>0</v>
      </c>
      <c r="E44" s="13">
        <f>IFERROR(IF($B44="","",SUMPRODUCT(('RAW_DISTRICT'!$C$4:$C$745=$B44)*('RAW_DISTRICT'!$B$4:$B$745=IF(SelectedScope="All India",INDEX('RAW_DISTRICT'!$B$4:$B$745,39),SelectedScope))*'RAW_DISTRICT'!$Q$4:$Q$745)),"")</f>
        <v>0</v>
      </c>
      <c r="F44" s="13">
        <f>IFERROR(IF($B44="","",SUMPRODUCT(('RAW_DISTRICT'!$C$4:$C$745=$B44)*('RAW_DISTRICT'!$B$4:$B$745=IF(SelectedScope="All India",INDEX('RAW_DISTRICT'!$B$4:$B$745,39),SelectedScope))*'RAW_DISTRICT'!$F$4:$F$745)),"")</f>
        <v>0</v>
      </c>
      <c r="G44" s="14" t="str">
        <f>IFERROR(IF($B44="","",(SUMPRODUCT(('RAW_DISTRICT'!$C$4:$C$745=$B44)*('RAW_DISTRICT'!$B$4:$B$745=IF(SelectedScope="All India",INDEX('RAW_DISTRICT'!$B$4:$B$745,39),SelectedScope))*'RAW_DISTRICT'!$I$4:$I$745))/(SUMPRODUCT(('RAW_DISTRICT'!$C$4:$C$745=$B44)*('RAW_DISTRICT'!$B$4:$B$745=IF(SelectedScope="All India",INDEX('RAW_DISTRICT'!$B$4:$B$745,39),SelectedScope))*'RAW_DISTRICT'!$H$4:$H$745))),"")</f>
        <v/>
      </c>
      <c r="H44" s="13" t="str">
        <f>IFERROR(IF($B44="","",INDEX('RAW_DISTRICT'!$R$4:$R$745,MATCH(1,('RAW_DISTRICT'!$C$4:$C$745=$B44)*('RAW_DISTRICT'!$B$4:$B$745=IF(SelectedScope="All India",INDEX('RAW_DISTRICT'!$B$4:$B$745,39),SelectedScope)),0))),"")</f>
        <v/>
      </c>
      <c r="I44" s="13" t="str">
        <f>IFERROR(IF($B44="","",INDEX('RAW_DISTRICT'!$S$4:$S$745,MATCH(1,('RAW_DISTRICT'!$C$4:$C$745=$B44)*('RAW_DISTRICT'!$B$4:$B$745=IF(SelectedScope="All India",INDEX('RAW_DISTRICT'!$B$4:$B$745,39),SelectedScope)),0))),"")</f>
        <v/>
      </c>
    </row>
    <row r="45" spans="1:9" ht="15" customHeight="1" x14ac:dyDescent="0.3">
      <c r="A45" s="23">
        <v>40</v>
      </c>
      <c r="B45" s="9" t="str">
        <f>IFERROR(IF(SelectedScope="All India",INDEX('RAW_DISTRICT'!$C$4:$C$745,40),INDEX('RAW_DISTRICT'!$C$4:$C$745,MATCH(40,'RAW_DISTRICT'!$V$4:$V$745,0))),"")</f>
        <v>Papum Pare</v>
      </c>
      <c r="C45" s="10" t="str">
        <f>IFERROR(IF($B45="","",INDEX('RAW_DISTRICT'!$E$4:$E$745,MATCH(1,('RAW_DISTRICT'!$C$4:$C$745=$B45)*('RAW_DISTRICT'!$B$4:$B$745=IF(SelectedScope="All India",INDEX('RAW_DISTRICT'!$B$4:$B$745,40),SelectedScope)),0))),"")</f>
        <v/>
      </c>
      <c r="D45" s="10">
        <f>IFERROR(IF($B45="","",SUMPRODUCT(('RAW_DISTRICT'!$C$4:$C$745=$B45)*('RAW_DISTRICT'!$B$4:$B$745=IF(SelectedScope="All India",INDEX('RAW_DISTRICT'!$B$4:$B$745,40),SelectedScope))*'RAW_DISTRICT'!$P$4:$P$745)),"")</f>
        <v>0</v>
      </c>
      <c r="E45" s="10">
        <f>IFERROR(IF($B45="","",SUMPRODUCT(('RAW_DISTRICT'!$C$4:$C$745=$B45)*('RAW_DISTRICT'!$B$4:$B$745=IF(SelectedScope="All India",INDEX('RAW_DISTRICT'!$B$4:$B$745,40),SelectedScope))*'RAW_DISTRICT'!$Q$4:$Q$745)),"")</f>
        <v>0</v>
      </c>
      <c r="F45" s="10">
        <f>IFERROR(IF($B45="","",SUMPRODUCT(('RAW_DISTRICT'!$C$4:$C$745=$B45)*('RAW_DISTRICT'!$B$4:$B$745=IF(SelectedScope="All India",INDEX('RAW_DISTRICT'!$B$4:$B$745,40),SelectedScope))*'RAW_DISTRICT'!$F$4:$F$745)),"")</f>
        <v>0</v>
      </c>
      <c r="G45" s="11" t="str">
        <f>IFERROR(IF($B45="","",(SUMPRODUCT(('RAW_DISTRICT'!$C$4:$C$745=$B45)*('RAW_DISTRICT'!$B$4:$B$745=IF(SelectedScope="All India",INDEX('RAW_DISTRICT'!$B$4:$B$745,40),SelectedScope))*'RAW_DISTRICT'!$I$4:$I$745))/(SUMPRODUCT(('RAW_DISTRICT'!$C$4:$C$745=$B45)*('RAW_DISTRICT'!$B$4:$B$745=IF(SelectedScope="All India",INDEX('RAW_DISTRICT'!$B$4:$B$745,40),SelectedScope))*'RAW_DISTRICT'!$H$4:$H$745))),"")</f>
        <v/>
      </c>
      <c r="H45" s="10" t="str">
        <f>IFERROR(IF($B45="","",INDEX('RAW_DISTRICT'!$R$4:$R$745,MATCH(1,('RAW_DISTRICT'!$C$4:$C$745=$B45)*('RAW_DISTRICT'!$B$4:$B$745=IF(SelectedScope="All India",INDEX('RAW_DISTRICT'!$B$4:$B$745,40),SelectedScope)),0))),"")</f>
        <v/>
      </c>
      <c r="I45" s="10" t="str">
        <f>IFERROR(IF($B45="","",INDEX('RAW_DISTRICT'!$S$4:$S$745,MATCH(1,('RAW_DISTRICT'!$C$4:$C$745=$B45)*('RAW_DISTRICT'!$B$4:$B$745=IF(SelectedScope="All India",INDEX('RAW_DISTRICT'!$B$4:$B$745,40),SelectedScope)),0))),"")</f>
        <v/>
      </c>
    </row>
    <row r="46" spans="1:9" ht="15" customHeight="1" x14ac:dyDescent="0.3">
      <c r="A46" s="24">
        <v>41</v>
      </c>
      <c r="B46" s="12" t="str">
        <f>IFERROR(IF(SelectedScope="All India",INDEX('RAW_DISTRICT'!$C$4:$C$745,41),INDEX('RAW_DISTRICT'!$C$4:$C$745,MATCH(41,'RAW_DISTRICT'!$V$4:$V$745,0))),"")</f>
        <v>Tawang</v>
      </c>
      <c r="C46" s="13" t="str">
        <f>IFERROR(IF($B46="","",INDEX('RAW_DISTRICT'!$E$4:$E$745,MATCH(1,('RAW_DISTRICT'!$C$4:$C$745=$B46)*('RAW_DISTRICT'!$B$4:$B$745=IF(SelectedScope="All India",INDEX('RAW_DISTRICT'!$B$4:$B$745,41),SelectedScope)),0))),"")</f>
        <v/>
      </c>
      <c r="D46" s="13">
        <f>IFERROR(IF($B46="","",SUMPRODUCT(('RAW_DISTRICT'!$C$4:$C$745=$B46)*('RAW_DISTRICT'!$B$4:$B$745=IF(SelectedScope="All India",INDEX('RAW_DISTRICT'!$B$4:$B$745,41),SelectedScope))*'RAW_DISTRICT'!$P$4:$P$745)),"")</f>
        <v>0</v>
      </c>
      <c r="E46" s="13">
        <f>IFERROR(IF($B46="","",SUMPRODUCT(('RAW_DISTRICT'!$C$4:$C$745=$B46)*('RAW_DISTRICT'!$B$4:$B$745=IF(SelectedScope="All India",INDEX('RAW_DISTRICT'!$B$4:$B$745,41),SelectedScope))*'RAW_DISTRICT'!$Q$4:$Q$745)),"")</f>
        <v>0</v>
      </c>
      <c r="F46" s="13">
        <f>IFERROR(IF($B46="","",SUMPRODUCT(('RAW_DISTRICT'!$C$4:$C$745=$B46)*('RAW_DISTRICT'!$B$4:$B$745=IF(SelectedScope="All India",INDEX('RAW_DISTRICT'!$B$4:$B$745,41),SelectedScope))*'RAW_DISTRICT'!$F$4:$F$745)),"")</f>
        <v>0</v>
      </c>
      <c r="G46" s="14" t="str">
        <f>IFERROR(IF($B46="","",(SUMPRODUCT(('RAW_DISTRICT'!$C$4:$C$745=$B46)*('RAW_DISTRICT'!$B$4:$B$745=IF(SelectedScope="All India",INDEX('RAW_DISTRICT'!$B$4:$B$745,41),SelectedScope))*'RAW_DISTRICT'!$I$4:$I$745))/(SUMPRODUCT(('RAW_DISTRICT'!$C$4:$C$745=$B46)*('RAW_DISTRICT'!$B$4:$B$745=IF(SelectedScope="All India",INDEX('RAW_DISTRICT'!$B$4:$B$745,41),SelectedScope))*'RAW_DISTRICT'!$H$4:$H$745))),"")</f>
        <v/>
      </c>
      <c r="H46" s="13" t="str">
        <f>IFERROR(IF($B46="","",INDEX('RAW_DISTRICT'!$R$4:$R$745,MATCH(1,('RAW_DISTRICT'!$C$4:$C$745=$B46)*('RAW_DISTRICT'!$B$4:$B$745=IF(SelectedScope="All India",INDEX('RAW_DISTRICT'!$B$4:$B$745,41),SelectedScope)),0))),"")</f>
        <v/>
      </c>
      <c r="I46" s="13" t="str">
        <f>IFERROR(IF($B46="","",INDEX('RAW_DISTRICT'!$S$4:$S$745,MATCH(1,('RAW_DISTRICT'!$C$4:$C$745=$B46)*('RAW_DISTRICT'!$B$4:$B$745=IF(SelectedScope="All India",INDEX('RAW_DISTRICT'!$B$4:$B$745,41),SelectedScope)),0))),"")</f>
        <v/>
      </c>
    </row>
    <row r="47" spans="1:9" ht="15" customHeight="1" x14ac:dyDescent="0.3">
      <c r="A47" s="23">
        <v>42</v>
      </c>
      <c r="B47" s="9" t="str">
        <f>IFERROR(IF(SelectedScope="All India",INDEX('RAW_DISTRICT'!$C$4:$C$745,42),INDEX('RAW_DISTRICT'!$C$4:$C$745,MATCH(42,'RAW_DISTRICT'!$V$4:$V$745,0))),"")</f>
        <v>Tirap</v>
      </c>
      <c r="C47" s="10" t="str">
        <f>IFERROR(IF($B47="","",INDEX('RAW_DISTRICT'!$E$4:$E$745,MATCH(1,('RAW_DISTRICT'!$C$4:$C$745=$B47)*('RAW_DISTRICT'!$B$4:$B$745=IF(SelectedScope="All India",INDEX('RAW_DISTRICT'!$B$4:$B$745,42),SelectedScope)),0))),"")</f>
        <v/>
      </c>
      <c r="D47" s="10">
        <f>IFERROR(IF($B47="","",SUMPRODUCT(('RAW_DISTRICT'!$C$4:$C$745=$B47)*('RAW_DISTRICT'!$B$4:$B$745=IF(SelectedScope="All India",INDEX('RAW_DISTRICT'!$B$4:$B$745,42),SelectedScope))*'RAW_DISTRICT'!$P$4:$P$745)),"")</f>
        <v>0</v>
      </c>
      <c r="E47" s="10">
        <f>IFERROR(IF($B47="","",SUMPRODUCT(('RAW_DISTRICT'!$C$4:$C$745=$B47)*('RAW_DISTRICT'!$B$4:$B$745=IF(SelectedScope="All India",INDEX('RAW_DISTRICT'!$B$4:$B$745,42),SelectedScope))*'RAW_DISTRICT'!$Q$4:$Q$745)),"")</f>
        <v>0</v>
      </c>
      <c r="F47" s="10">
        <f>IFERROR(IF($B47="","",SUMPRODUCT(('RAW_DISTRICT'!$C$4:$C$745=$B47)*('RAW_DISTRICT'!$B$4:$B$745=IF(SelectedScope="All India",INDEX('RAW_DISTRICT'!$B$4:$B$745,42),SelectedScope))*'RAW_DISTRICT'!$F$4:$F$745)),"")</f>
        <v>0</v>
      </c>
      <c r="G47" s="11" t="str">
        <f>IFERROR(IF($B47="","",(SUMPRODUCT(('RAW_DISTRICT'!$C$4:$C$745=$B47)*('RAW_DISTRICT'!$B$4:$B$745=IF(SelectedScope="All India",INDEX('RAW_DISTRICT'!$B$4:$B$745,42),SelectedScope))*'RAW_DISTRICT'!$I$4:$I$745))/(SUMPRODUCT(('RAW_DISTRICT'!$C$4:$C$745=$B47)*('RAW_DISTRICT'!$B$4:$B$745=IF(SelectedScope="All India",INDEX('RAW_DISTRICT'!$B$4:$B$745,42),SelectedScope))*'RAW_DISTRICT'!$H$4:$H$745))),"")</f>
        <v/>
      </c>
      <c r="H47" s="10" t="str">
        <f>IFERROR(IF($B47="","",INDEX('RAW_DISTRICT'!$R$4:$R$745,MATCH(1,('RAW_DISTRICT'!$C$4:$C$745=$B47)*('RAW_DISTRICT'!$B$4:$B$745=IF(SelectedScope="All India",INDEX('RAW_DISTRICT'!$B$4:$B$745,42),SelectedScope)),0))),"")</f>
        <v/>
      </c>
      <c r="I47" s="10" t="str">
        <f>IFERROR(IF($B47="","",INDEX('RAW_DISTRICT'!$S$4:$S$745,MATCH(1,('RAW_DISTRICT'!$C$4:$C$745=$B47)*('RAW_DISTRICT'!$B$4:$B$745=IF(SelectedScope="All India",INDEX('RAW_DISTRICT'!$B$4:$B$745,42),SelectedScope)),0))),"")</f>
        <v/>
      </c>
    </row>
    <row r="48" spans="1:9" ht="15" customHeight="1" x14ac:dyDescent="0.3">
      <c r="A48" s="24">
        <v>43</v>
      </c>
      <c r="B48" s="12" t="str">
        <f>IFERROR(IF(SelectedScope="All India",INDEX('RAW_DISTRICT'!$C$4:$C$745,43),INDEX('RAW_DISTRICT'!$C$4:$C$745,MATCH(43,'RAW_DISTRICT'!$V$4:$V$745,0))),"")</f>
        <v>Upper Siang</v>
      </c>
      <c r="C48" s="13" t="str">
        <f>IFERROR(IF($B48="","",INDEX('RAW_DISTRICT'!$E$4:$E$745,MATCH(1,('RAW_DISTRICT'!$C$4:$C$745=$B48)*('RAW_DISTRICT'!$B$4:$B$745=IF(SelectedScope="All India",INDEX('RAW_DISTRICT'!$B$4:$B$745,43),SelectedScope)),0))),"")</f>
        <v/>
      </c>
      <c r="D48" s="13">
        <f>IFERROR(IF($B48="","",SUMPRODUCT(('RAW_DISTRICT'!$C$4:$C$745=$B48)*('RAW_DISTRICT'!$B$4:$B$745=IF(SelectedScope="All India",INDEX('RAW_DISTRICT'!$B$4:$B$745,43),SelectedScope))*'RAW_DISTRICT'!$P$4:$P$745)),"")</f>
        <v>0</v>
      </c>
      <c r="E48" s="13">
        <f>IFERROR(IF($B48="","",SUMPRODUCT(('RAW_DISTRICT'!$C$4:$C$745=$B48)*('RAW_DISTRICT'!$B$4:$B$745=IF(SelectedScope="All India",INDEX('RAW_DISTRICT'!$B$4:$B$745,43),SelectedScope))*'RAW_DISTRICT'!$Q$4:$Q$745)),"")</f>
        <v>0</v>
      </c>
      <c r="F48" s="13">
        <f>IFERROR(IF($B48="","",SUMPRODUCT(('RAW_DISTRICT'!$C$4:$C$745=$B48)*('RAW_DISTRICT'!$B$4:$B$745=IF(SelectedScope="All India",INDEX('RAW_DISTRICT'!$B$4:$B$745,43),SelectedScope))*'RAW_DISTRICT'!$F$4:$F$745)),"")</f>
        <v>0</v>
      </c>
      <c r="G48" s="14" t="str">
        <f>IFERROR(IF($B48="","",(SUMPRODUCT(('RAW_DISTRICT'!$C$4:$C$745=$B48)*('RAW_DISTRICT'!$B$4:$B$745=IF(SelectedScope="All India",INDEX('RAW_DISTRICT'!$B$4:$B$745,43),SelectedScope))*'RAW_DISTRICT'!$I$4:$I$745))/(SUMPRODUCT(('RAW_DISTRICT'!$C$4:$C$745=$B48)*('RAW_DISTRICT'!$B$4:$B$745=IF(SelectedScope="All India",INDEX('RAW_DISTRICT'!$B$4:$B$745,43),SelectedScope))*'RAW_DISTRICT'!$H$4:$H$745))),"")</f>
        <v/>
      </c>
      <c r="H48" s="13" t="str">
        <f>IFERROR(IF($B48="","",INDEX('RAW_DISTRICT'!$R$4:$R$745,MATCH(1,('RAW_DISTRICT'!$C$4:$C$745=$B48)*('RAW_DISTRICT'!$B$4:$B$745=IF(SelectedScope="All India",INDEX('RAW_DISTRICT'!$B$4:$B$745,43),SelectedScope)),0))),"")</f>
        <v/>
      </c>
      <c r="I48" s="13" t="str">
        <f>IFERROR(IF($B48="","",INDEX('RAW_DISTRICT'!$S$4:$S$745,MATCH(1,('RAW_DISTRICT'!$C$4:$C$745=$B48)*('RAW_DISTRICT'!$B$4:$B$745=IF(SelectedScope="All India",INDEX('RAW_DISTRICT'!$B$4:$B$745,43),SelectedScope)),0))),"")</f>
        <v/>
      </c>
    </row>
    <row r="49" spans="1:9" ht="15" customHeight="1" x14ac:dyDescent="0.3">
      <c r="A49" s="23">
        <v>44</v>
      </c>
      <c r="B49" s="9" t="str">
        <f>IFERROR(IF(SelectedScope="All India",INDEX('RAW_DISTRICT'!$C$4:$C$745,44),INDEX('RAW_DISTRICT'!$C$4:$C$745,MATCH(44,'RAW_DISTRICT'!$V$4:$V$745,0))),"")</f>
        <v>Upper Subansiri</v>
      </c>
      <c r="C49" s="10" t="str">
        <f>IFERROR(IF($B49="","",INDEX('RAW_DISTRICT'!$E$4:$E$745,MATCH(1,('RAW_DISTRICT'!$C$4:$C$745=$B49)*('RAW_DISTRICT'!$B$4:$B$745=IF(SelectedScope="All India",INDEX('RAW_DISTRICT'!$B$4:$B$745,44),SelectedScope)),0))),"")</f>
        <v/>
      </c>
      <c r="D49" s="10">
        <f>IFERROR(IF($B49="","",SUMPRODUCT(('RAW_DISTRICT'!$C$4:$C$745=$B49)*('RAW_DISTRICT'!$B$4:$B$745=IF(SelectedScope="All India",INDEX('RAW_DISTRICT'!$B$4:$B$745,44),SelectedScope))*'RAW_DISTRICT'!$P$4:$P$745)),"")</f>
        <v>0</v>
      </c>
      <c r="E49" s="10">
        <f>IFERROR(IF($B49="","",SUMPRODUCT(('RAW_DISTRICT'!$C$4:$C$745=$B49)*('RAW_DISTRICT'!$B$4:$B$745=IF(SelectedScope="All India",INDEX('RAW_DISTRICT'!$B$4:$B$745,44),SelectedScope))*'RAW_DISTRICT'!$Q$4:$Q$745)),"")</f>
        <v>0</v>
      </c>
      <c r="F49" s="10">
        <f>IFERROR(IF($B49="","",SUMPRODUCT(('RAW_DISTRICT'!$C$4:$C$745=$B49)*('RAW_DISTRICT'!$B$4:$B$745=IF(SelectedScope="All India",INDEX('RAW_DISTRICT'!$B$4:$B$745,44),SelectedScope))*'RAW_DISTRICT'!$F$4:$F$745)),"")</f>
        <v>0</v>
      </c>
      <c r="G49" s="11" t="str">
        <f>IFERROR(IF($B49="","",(SUMPRODUCT(('RAW_DISTRICT'!$C$4:$C$745=$B49)*('RAW_DISTRICT'!$B$4:$B$745=IF(SelectedScope="All India",INDEX('RAW_DISTRICT'!$B$4:$B$745,44),SelectedScope))*'RAW_DISTRICT'!$I$4:$I$745))/(SUMPRODUCT(('RAW_DISTRICT'!$C$4:$C$745=$B49)*('RAW_DISTRICT'!$B$4:$B$745=IF(SelectedScope="All India",INDEX('RAW_DISTRICT'!$B$4:$B$745,44),SelectedScope))*'RAW_DISTRICT'!$H$4:$H$745))),"")</f>
        <v/>
      </c>
      <c r="H49" s="10" t="str">
        <f>IFERROR(IF($B49="","",INDEX('RAW_DISTRICT'!$R$4:$R$745,MATCH(1,('RAW_DISTRICT'!$C$4:$C$745=$B49)*('RAW_DISTRICT'!$B$4:$B$745=IF(SelectedScope="All India",INDEX('RAW_DISTRICT'!$B$4:$B$745,44),SelectedScope)),0))),"")</f>
        <v/>
      </c>
      <c r="I49" s="10" t="str">
        <f>IFERROR(IF($B49="","",INDEX('RAW_DISTRICT'!$S$4:$S$745,MATCH(1,('RAW_DISTRICT'!$C$4:$C$745=$B49)*('RAW_DISTRICT'!$B$4:$B$745=IF(SelectedScope="All India",INDEX('RAW_DISTRICT'!$B$4:$B$745,44),SelectedScope)),0))),"")</f>
        <v/>
      </c>
    </row>
    <row r="50" spans="1:9" ht="15" customHeight="1" x14ac:dyDescent="0.3">
      <c r="A50" s="24">
        <v>45</v>
      </c>
      <c r="B50" s="12" t="str">
        <f>IFERROR(IF(SelectedScope="All India",INDEX('RAW_DISTRICT'!$C$4:$C$745,45),INDEX('RAW_DISTRICT'!$C$4:$C$745,MATCH(45,'RAW_DISTRICT'!$V$4:$V$745,0))),"")</f>
        <v>West Kameng</v>
      </c>
      <c r="C50" s="13" t="str">
        <f>IFERROR(IF($B50="","",INDEX('RAW_DISTRICT'!$E$4:$E$745,MATCH(1,('RAW_DISTRICT'!$C$4:$C$745=$B50)*('RAW_DISTRICT'!$B$4:$B$745=IF(SelectedScope="All India",INDEX('RAW_DISTRICT'!$B$4:$B$745,45),SelectedScope)),0))),"")</f>
        <v/>
      </c>
      <c r="D50" s="13">
        <f>IFERROR(IF($B50="","",SUMPRODUCT(('RAW_DISTRICT'!$C$4:$C$745=$B50)*('RAW_DISTRICT'!$B$4:$B$745=IF(SelectedScope="All India",INDEX('RAW_DISTRICT'!$B$4:$B$745,45),SelectedScope))*'RAW_DISTRICT'!$P$4:$P$745)),"")</f>
        <v>0</v>
      </c>
      <c r="E50" s="13">
        <f>IFERROR(IF($B50="","",SUMPRODUCT(('RAW_DISTRICT'!$C$4:$C$745=$B50)*('RAW_DISTRICT'!$B$4:$B$745=IF(SelectedScope="All India",INDEX('RAW_DISTRICT'!$B$4:$B$745,45),SelectedScope))*'RAW_DISTRICT'!$Q$4:$Q$745)),"")</f>
        <v>0</v>
      </c>
      <c r="F50" s="13">
        <f>IFERROR(IF($B50="","",SUMPRODUCT(('RAW_DISTRICT'!$C$4:$C$745=$B50)*('RAW_DISTRICT'!$B$4:$B$745=IF(SelectedScope="All India",INDEX('RAW_DISTRICT'!$B$4:$B$745,45),SelectedScope))*'RAW_DISTRICT'!$F$4:$F$745)),"")</f>
        <v>0</v>
      </c>
      <c r="G50" s="14" t="str">
        <f>IFERROR(IF($B50="","",(SUMPRODUCT(('RAW_DISTRICT'!$C$4:$C$745=$B50)*('RAW_DISTRICT'!$B$4:$B$745=IF(SelectedScope="All India",INDEX('RAW_DISTRICT'!$B$4:$B$745,45),SelectedScope))*'RAW_DISTRICT'!$I$4:$I$745))/(SUMPRODUCT(('RAW_DISTRICT'!$C$4:$C$745=$B50)*('RAW_DISTRICT'!$B$4:$B$745=IF(SelectedScope="All India",INDEX('RAW_DISTRICT'!$B$4:$B$745,45),SelectedScope))*'RAW_DISTRICT'!$H$4:$H$745))),"")</f>
        <v/>
      </c>
      <c r="H50" s="13" t="str">
        <f>IFERROR(IF($B50="","",INDEX('RAW_DISTRICT'!$R$4:$R$745,MATCH(1,('RAW_DISTRICT'!$C$4:$C$745=$B50)*('RAW_DISTRICT'!$B$4:$B$745=IF(SelectedScope="All India",INDEX('RAW_DISTRICT'!$B$4:$B$745,45),SelectedScope)),0))),"")</f>
        <v/>
      </c>
      <c r="I50" s="13" t="str">
        <f>IFERROR(IF($B50="","",INDEX('RAW_DISTRICT'!$S$4:$S$745,MATCH(1,('RAW_DISTRICT'!$C$4:$C$745=$B50)*('RAW_DISTRICT'!$B$4:$B$745=IF(SelectedScope="All India",INDEX('RAW_DISTRICT'!$B$4:$B$745,45),SelectedScope)),0))),"")</f>
        <v/>
      </c>
    </row>
    <row r="51" spans="1:9" ht="15" customHeight="1" x14ac:dyDescent="0.3">
      <c r="A51" s="23">
        <v>46</v>
      </c>
      <c r="B51" s="9" t="str">
        <f>IFERROR(IF(SelectedScope="All India",INDEX('RAW_DISTRICT'!$C$4:$C$745,46),INDEX('RAW_DISTRICT'!$C$4:$C$745,MATCH(46,'RAW_DISTRICT'!$V$4:$V$745,0))),"")</f>
        <v>West Siang</v>
      </c>
      <c r="C51" s="10" t="str">
        <f>IFERROR(IF($B51="","",INDEX('RAW_DISTRICT'!$E$4:$E$745,MATCH(1,('RAW_DISTRICT'!$C$4:$C$745=$B51)*('RAW_DISTRICT'!$B$4:$B$745=IF(SelectedScope="All India",INDEX('RAW_DISTRICT'!$B$4:$B$745,46),SelectedScope)),0))),"")</f>
        <v/>
      </c>
      <c r="D51" s="10">
        <f>IFERROR(IF($B51="","",SUMPRODUCT(('RAW_DISTRICT'!$C$4:$C$745=$B51)*('RAW_DISTRICT'!$B$4:$B$745=IF(SelectedScope="All India",INDEX('RAW_DISTRICT'!$B$4:$B$745,46),SelectedScope))*'RAW_DISTRICT'!$P$4:$P$745)),"")</f>
        <v>0</v>
      </c>
      <c r="E51" s="10">
        <f>IFERROR(IF($B51="","",SUMPRODUCT(('RAW_DISTRICT'!$C$4:$C$745=$B51)*('RAW_DISTRICT'!$B$4:$B$745=IF(SelectedScope="All India",INDEX('RAW_DISTRICT'!$B$4:$B$745,46),SelectedScope))*'RAW_DISTRICT'!$Q$4:$Q$745)),"")</f>
        <v>0</v>
      </c>
      <c r="F51" s="10">
        <f>IFERROR(IF($B51="","",SUMPRODUCT(('RAW_DISTRICT'!$C$4:$C$745=$B51)*('RAW_DISTRICT'!$B$4:$B$745=IF(SelectedScope="All India",INDEX('RAW_DISTRICT'!$B$4:$B$745,46),SelectedScope))*'RAW_DISTRICT'!$F$4:$F$745)),"")</f>
        <v>0</v>
      </c>
      <c r="G51" s="11" t="str">
        <f>IFERROR(IF($B51="","",(SUMPRODUCT(('RAW_DISTRICT'!$C$4:$C$745=$B51)*('RAW_DISTRICT'!$B$4:$B$745=IF(SelectedScope="All India",INDEX('RAW_DISTRICT'!$B$4:$B$745,46),SelectedScope))*'RAW_DISTRICT'!$I$4:$I$745))/(SUMPRODUCT(('RAW_DISTRICT'!$C$4:$C$745=$B51)*('RAW_DISTRICT'!$B$4:$B$745=IF(SelectedScope="All India",INDEX('RAW_DISTRICT'!$B$4:$B$745,46),SelectedScope))*'RAW_DISTRICT'!$H$4:$H$745))),"")</f>
        <v/>
      </c>
      <c r="H51" s="10" t="str">
        <f>IFERROR(IF($B51="","",INDEX('RAW_DISTRICT'!$R$4:$R$745,MATCH(1,('RAW_DISTRICT'!$C$4:$C$745=$B51)*('RAW_DISTRICT'!$B$4:$B$745=IF(SelectedScope="All India",INDEX('RAW_DISTRICT'!$B$4:$B$745,46),SelectedScope)),0))),"")</f>
        <v/>
      </c>
      <c r="I51" s="10" t="str">
        <f>IFERROR(IF($B51="","",INDEX('RAW_DISTRICT'!$S$4:$S$745,MATCH(1,('RAW_DISTRICT'!$C$4:$C$745=$B51)*('RAW_DISTRICT'!$B$4:$B$745=IF(SelectedScope="All India",INDEX('RAW_DISTRICT'!$B$4:$B$745,46),SelectedScope)),0))),"")</f>
        <v/>
      </c>
    </row>
    <row r="52" spans="1:9" ht="15" customHeight="1" x14ac:dyDescent="0.3">
      <c r="A52" s="24">
        <v>47</v>
      </c>
      <c r="B52" s="12" t="str">
        <f>IFERROR(IF(SelectedScope="All India",INDEX('RAW_DISTRICT'!$C$4:$C$745,47),INDEX('RAW_DISTRICT'!$C$4:$C$745,MATCH(47,'RAW_DISTRICT'!$V$4:$V$745,0))),"")</f>
        <v>Barpeta</v>
      </c>
      <c r="C52" s="13" t="str">
        <f>IFERROR(IF($B52="","",INDEX('RAW_DISTRICT'!$E$4:$E$745,MATCH(1,('RAW_DISTRICT'!$C$4:$C$745=$B52)*('RAW_DISTRICT'!$B$4:$B$745=IF(SelectedScope="All India",INDEX('RAW_DISTRICT'!$B$4:$B$745,47),SelectedScope)),0))),"")</f>
        <v/>
      </c>
      <c r="D52" s="13">
        <f>IFERROR(IF($B52="","",SUMPRODUCT(('RAW_DISTRICT'!$C$4:$C$745=$B52)*('RAW_DISTRICT'!$B$4:$B$745=IF(SelectedScope="All India",INDEX('RAW_DISTRICT'!$B$4:$B$745,47),SelectedScope))*'RAW_DISTRICT'!$P$4:$P$745)),"")</f>
        <v>0</v>
      </c>
      <c r="E52" s="13">
        <f>IFERROR(IF($B52="","",SUMPRODUCT(('RAW_DISTRICT'!$C$4:$C$745=$B52)*('RAW_DISTRICT'!$B$4:$B$745=IF(SelectedScope="All India",INDEX('RAW_DISTRICT'!$B$4:$B$745,47),SelectedScope))*'RAW_DISTRICT'!$Q$4:$Q$745)),"")</f>
        <v>0</v>
      </c>
      <c r="F52" s="13">
        <f>IFERROR(IF($B52="","",SUMPRODUCT(('RAW_DISTRICT'!$C$4:$C$745=$B52)*('RAW_DISTRICT'!$B$4:$B$745=IF(SelectedScope="All India",INDEX('RAW_DISTRICT'!$B$4:$B$745,47),SelectedScope))*'RAW_DISTRICT'!$F$4:$F$745)),"")</f>
        <v>0</v>
      </c>
      <c r="G52" s="14" t="str">
        <f>IFERROR(IF($B52="","",(SUMPRODUCT(('RAW_DISTRICT'!$C$4:$C$745=$B52)*('RAW_DISTRICT'!$B$4:$B$745=IF(SelectedScope="All India",INDEX('RAW_DISTRICT'!$B$4:$B$745,47),SelectedScope))*'RAW_DISTRICT'!$I$4:$I$745))/(SUMPRODUCT(('RAW_DISTRICT'!$C$4:$C$745=$B52)*('RAW_DISTRICT'!$B$4:$B$745=IF(SelectedScope="All India",INDEX('RAW_DISTRICT'!$B$4:$B$745,47),SelectedScope))*'RAW_DISTRICT'!$H$4:$H$745))),"")</f>
        <v/>
      </c>
      <c r="H52" s="13" t="str">
        <f>IFERROR(IF($B52="","",INDEX('RAW_DISTRICT'!$R$4:$R$745,MATCH(1,('RAW_DISTRICT'!$C$4:$C$745=$B52)*('RAW_DISTRICT'!$B$4:$B$745=IF(SelectedScope="All India",INDEX('RAW_DISTRICT'!$B$4:$B$745,47),SelectedScope)),0))),"")</f>
        <v/>
      </c>
      <c r="I52" s="13" t="str">
        <f>IFERROR(IF($B52="","",INDEX('RAW_DISTRICT'!$S$4:$S$745,MATCH(1,('RAW_DISTRICT'!$C$4:$C$745=$B52)*('RAW_DISTRICT'!$B$4:$B$745=IF(SelectedScope="All India",INDEX('RAW_DISTRICT'!$B$4:$B$745,47),SelectedScope)),0))),"")</f>
        <v/>
      </c>
    </row>
    <row r="53" spans="1:9" ht="15" customHeight="1" x14ac:dyDescent="0.3">
      <c r="A53" s="23">
        <v>48</v>
      </c>
      <c r="B53" s="9" t="str">
        <f>IFERROR(IF(SelectedScope="All India",INDEX('RAW_DISTRICT'!$C$4:$C$745,48),INDEX('RAW_DISTRICT'!$C$4:$C$745,MATCH(48,'RAW_DISTRICT'!$V$4:$V$745,0))),"")</f>
        <v>Biswanath</v>
      </c>
      <c r="C53" s="10" t="str">
        <f>IFERROR(IF($B53="","",INDEX('RAW_DISTRICT'!$E$4:$E$745,MATCH(1,('RAW_DISTRICT'!$C$4:$C$745=$B53)*('RAW_DISTRICT'!$B$4:$B$745=IF(SelectedScope="All India",INDEX('RAW_DISTRICT'!$B$4:$B$745,48),SelectedScope)),0))),"")</f>
        <v/>
      </c>
      <c r="D53" s="10">
        <f>IFERROR(IF($B53="","",SUMPRODUCT(('RAW_DISTRICT'!$C$4:$C$745=$B53)*('RAW_DISTRICT'!$B$4:$B$745=IF(SelectedScope="All India",INDEX('RAW_DISTRICT'!$B$4:$B$745,48),SelectedScope))*'RAW_DISTRICT'!$P$4:$P$745)),"")</f>
        <v>0</v>
      </c>
      <c r="E53" s="10">
        <f>IFERROR(IF($B53="","",SUMPRODUCT(('RAW_DISTRICT'!$C$4:$C$745=$B53)*('RAW_DISTRICT'!$B$4:$B$745=IF(SelectedScope="All India",INDEX('RAW_DISTRICT'!$B$4:$B$745,48),SelectedScope))*'RAW_DISTRICT'!$Q$4:$Q$745)),"")</f>
        <v>0</v>
      </c>
      <c r="F53" s="10">
        <f>IFERROR(IF($B53="","",SUMPRODUCT(('RAW_DISTRICT'!$C$4:$C$745=$B53)*('RAW_DISTRICT'!$B$4:$B$745=IF(SelectedScope="All India",INDEX('RAW_DISTRICT'!$B$4:$B$745,48),SelectedScope))*'RAW_DISTRICT'!$F$4:$F$745)),"")</f>
        <v>0</v>
      </c>
      <c r="G53" s="11" t="str">
        <f>IFERROR(IF($B53="","",(SUMPRODUCT(('RAW_DISTRICT'!$C$4:$C$745=$B53)*('RAW_DISTRICT'!$B$4:$B$745=IF(SelectedScope="All India",INDEX('RAW_DISTRICT'!$B$4:$B$745,48),SelectedScope))*'RAW_DISTRICT'!$I$4:$I$745))/(SUMPRODUCT(('RAW_DISTRICT'!$C$4:$C$745=$B53)*('RAW_DISTRICT'!$B$4:$B$745=IF(SelectedScope="All India",INDEX('RAW_DISTRICT'!$B$4:$B$745,48),SelectedScope))*'RAW_DISTRICT'!$H$4:$H$745))),"")</f>
        <v/>
      </c>
      <c r="H53" s="10" t="str">
        <f>IFERROR(IF($B53="","",INDEX('RAW_DISTRICT'!$R$4:$R$745,MATCH(1,('RAW_DISTRICT'!$C$4:$C$745=$B53)*('RAW_DISTRICT'!$B$4:$B$745=IF(SelectedScope="All India",INDEX('RAW_DISTRICT'!$B$4:$B$745,48),SelectedScope)),0))),"")</f>
        <v/>
      </c>
      <c r="I53" s="10" t="str">
        <f>IFERROR(IF($B53="","",INDEX('RAW_DISTRICT'!$S$4:$S$745,MATCH(1,('RAW_DISTRICT'!$C$4:$C$745=$B53)*('RAW_DISTRICT'!$B$4:$B$745=IF(SelectedScope="All India",INDEX('RAW_DISTRICT'!$B$4:$B$745,48),SelectedScope)),0))),"")</f>
        <v/>
      </c>
    </row>
    <row r="54" spans="1:9" ht="15" customHeight="1" x14ac:dyDescent="0.3">
      <c r="A54" s="24">
        <v>49</v>
      </c>
      <c r="B54" s="12" t="str">
        <f>IFERROR(IF(SelectedScope="All India",INDEX('RAW_DISTRICT'!$C$4:$C$745,49),INDEX('RAW_DISTRICT'!$C$4:$C$745,MATCH(49,'RAW_DISTRICT'!$V$4:$V$745,0))),"")</f>
        <v>Bongaigaon</v>
      </c>
      <c r="C54" s="13" t="str">
        <f>IFERROR(IF($B54="","",INDEX('RAW_DISTRICT'!$E$4:$E$745,MATCH(1,('RAW_DISTRICT'!$C$4:$C$745=$B54)*('RAW_DISTRICT'!$B$4:$B$745=IF(SelectedScope="All India",INDEX('RAW_DISTRICT'!$B$4:$B$745,49),SelectedScope)),0))),"")</f>
        <v/>
      </c>
      <c r="D54" s="13">
        <f>IFERROR(IF($B54="","",SUMPRODUCT(('RAW_DISTRICT'!$C$4:$C$745=$B54)*('RAW_DISTRICT'!$B$4:$B$745=IF(SelectedScope="All India",INDEX('RAW_DISTRICT'!$B$4:$B$745,49),SelectedScope))*'RAW_DISTRICT'!$P$4:$P$745)),"")</f>
        <v>0</v>
      </c>
      <c r="E54" s="13">
        <f>IFERROR(IF($B54="","",SUMPRODUCT(('RAW_DISTRICT'!$C$4:$C$745=$B54)*('RAW_DISTRICT'!$B$4:$B$745=IF(SelectedScope="All India",INDEX('RAW_DISTRICT'!$B$4:$B$745,49),SelectedScope))*'RAW_DISTRICT'!$Q$4:$Q$745)),"")</f>
        <v>0</v>
      </c>
      <c r="F54" s="13">
        <f>IFERROR(IF($B54="","",SUMPRODUCT(('RAW_DISTRICT'!$C$4:$C$745=$B54)*('RAW_DISTRICT'!$B$4:$B$745=IF(SelectedScope="All India",INDEX('RAW_DISTRICT'!$B$4:$B$745,49),SelectedScope))*'RAW_DISTRICT'!$F$4:$F$745)),"")</f>
        <v>0</v>
      </c>
      <c r="G54" s="14" t="str">
        <f>IFERROR(IF($B54="","",(SUMPRODUCT(('RAW_DISTRICT'!$C$4:$C$745=$B54)*('RAW_DISTRICT'!$B$4:$B$745=IF(SelectedScope="All India",INDEX('RAW_DISTRICT'!$B$4:$B$745,49),SelectedScope))*'RAW_DISTRICT'!$I$4:$I$745))/(SUMPRODUCT(('RAW_DISTRICT'!$C$4:$C$745=$B54)*('RAW_DISTRICT'!$B$4:$B$745=IF(SelectedScope="All India",INDEX('RAW_DISTRICT'!$B$4:$B$745,49),SelectedScope))*'RAW_DISTRICT'!$H$4:$H$745))),"")</f>
        <v/>
      </c>
      <c r="H54" s="13" t="str">
        <f>IFERROR(IF($B54="","",INDEX('RAW_DISTRICT'!$R$4:$R$745,MATCH(1,('RAW_DISTRICT'!$C$4:$C$745=$B54)*('RAW_DISTRICT'!$B$4:$B$745=IF(SelectedScope="All India",INDEX('RAW_DISTRICT'!$B$4:$B$745,49),SelectedScope)),0))),"")</f>
        <v/>
      </c>
      <c r="I54" s="13" t="str">
        <f>IFERROR(IF($B54="","",INDEX('RAW_DISTRICT'!$S$4:$S$745,MATCH(1,('RAW_DISTRICT'!$C$4:$C$745=$B54)*('RAW_DISTRICT'!$B$4:$B$745=IF(SelectedScope="All India",INDEX('RAW_DISTRICT'!$B$4:$B$745,49),SelectedScope)),0))),"")</f>
        <v/>
      </c>
    </row>
    <row r="55" spans="1:9" ht="15" customHeight="1" x14ac:dyDescent="0.3">
      <c r="A55" s="23">
        <v>50</v>
      </c>
      <c r="B55" s="9" t="str">
        <f>IFERROR(IF(SelectedScope="All India",INDEX('RAW_DISTRICT'!$C$4:$C$745,50),INDEX('RAW_DISTRICT'!$C$4:$C$745,MATCH(50,'RAW_DISTRICT'!$V$4:$V$745,0))),"")</f>
        <v>Cachar</v>
      </c>
      <c r="C55" s="10" t="str">
        <f>IFERROR(IF($B55="","",INDEX('RAW_DISTRICT'!$E$4:$E$745,MATCH(1,('RAW_DISTRICT'!$C$4:$C$745=$B55)*('RAW_DISTRICT'!$B$4:$B$745=IF(SelectedScope="All India",INDEX('RAW_DISTRICT'!$B$4:$B$745,50),SelectedScope)),0))),"")</f>
        <v/>
      </c>
      <c r="D55" s="10">
        <f>IFERROR(IF($B55="","",SUMPRODUCT(('RAW_DISTRICT'!$C$4:$C$745=$B55)*('RAW_DISTRICT'!$B$4:$B$745=IF(SelectedScope="All India",INDEX('RAW_DISTRICT'!$B$4:$B$745,50),SelectedScope))*'RAW_DISTRICT'!$P$4:$P$745)),"")</f>
        <v>0</v>
      </c>
      <c r="E55" s="10">
        <f>IFERROR(IF($B55="","",SUMPRODUCT(('RAW_DISTRICT'!$C$4:$C$745=$B55)*('RAW_DISTRICT'!$B$4:$B$745=IF(SelectedScope="All India",INDEX('RAW_DISTRICT'!$B$4:$B$745,50),SelectedScope))*'RAW_DISTRICT'!$Q$4:$Q$745)),"")</f>
        <v>0</v>
      </c>
      <c r="F55" s="10">
        <f>IFERROR(IF($B55="","",SUMPRODUCT(('RAW_DISTRICT'!$C$4:$C$745=$B55)*('RAW_DISTRICT'!$B$4:$B$745=IF(SelectedScope="All India",INDEX('RAW_DISTRICT'!$B$4:$B$745,50),SelectedScope))*'RAW_DISTRICT'!$F$4:$F$745)),"")</f>
        <v>0</v>
      </c>
      <c r="G55" s="11" t="str">
        <f>IFERROR(IF($B55="","",(SUMPRODUCT(('RAW_DISTRICT'!$C$4:$C$745=$B55)*('RAW_DISTRICT'!$B$4:$B$745=IF(SelectedScope="All India",INDEX('RAW_DISTRICT'!$B$4:$B$745,50),SelectedScope))*'RAW_DISTRICT'!$I$4:$I$745))/(SUMPRODUCT(('RAW_DISTRICT'!$C$4:$C$745=$B55)*('RAW_DISTRICT'!$B$4:$B$745=IF(SelectedScope="All India",INDEX('RAW_DISTRICT'!$B$4:$B$745,50),SelectedScope))*'RAW_DISTRICT'!$H$4:$H$745))),"")</f>
        <v/>
      </c>
      <c r="H55" s="10" t="str">
        <f>IFERROR(IF($B55="","",INDEX('RAW_DISTRICT'!$R$4:$R$745,MATCH(1,('RAW_DISTRICT'!$C$4:$C$745=$B55)*('RAW_DISTRICT'!$B$4:$B$745=IF(SelectedScope="All India",INDEX('RAW_DISTRICT'!$B$4:$B$745,50),SelectedScope)),0))),"")</f>
        <v/>
      </c>
      <c r="I55" s="10" t="str">
        <f>IFERROR(IF($B55="","",INDEX('RAW_DISTRICT'!$S$4:$S$745,MATCH(1,('RAW_DISTRICT'!$C$4:$C$745=$B55)*('RAW_DISTRICT'!$B$4:$B$745=IF(SelectedScope="All India",INDEX('RAW_DISTRICT'!$B$4:$B$745,50),SelectedScope)),0))),"")</f>
        <v/>
      </c>
    </row>
    <row r="56" spans="1:9" ht="15" customHeight="1" x14ac:dyDescent="0.3">
      <c r="A56" s="24">
        <v>51</v>
      </c>
      <c r="B56" s="12" t="str">
        <f>IFERROR(IF(SelectedScope="All India",INDEX('RAW_DISTRICT'!$C$4:$C$745,51),INDEX('RAW_DISTRICT'!$C$4:$C$745,MATCH(51,'RAW_DISTRICT'!$V$4:$V$745,0))),"")</f>
        <v>Chirang</v>
      </c>
      <c r="C56" s="13" t="str">
        <f>IFERROR(IF($B56="","",INDEX('RAW_DISTRICT'!$E$4:$E$745,MATCH(1,('RAW_DISTRICT'!$C$4:$C$745=$B56)*('RAW_DISTRICT'!$B$4:$B$745=IF(SelectedScope="All India",INDEX('RAW_DISTRICT'!$B$4:$B$745,51),SelectedScope)),0))),"")</f>
        <v/>
      </c>
      <c r="D56" s="13">
        <f>IFERROR(IF($B56="","",SUMPRODUCT(('RAW_DISTRICT'!$C$4:$C$745=$B56)*('RAW_DISTRICT'!$B$4:$B$745=IF(SelectedScope="All India",INDEX('RAW_DISTRICT'!$B$4:$B$745,51),SelectedScope))*'RAW_DISTRICT'!$P$4:$P$745)),"")</f>
        <v>0</v>
      </c>
      <c r="E56" s="13">
        <f>IFERROR(IF($B56="","",SUMPRODUCT(('RAW_DISTRICT'!$C$4:$C$745=$B56)*('RAW_DISTRICT'!$B$4:$B$745=IF(SelectedScope="All India",INDEX('RAW_DISTRICT'!$B$4:$B$745,51),SelectedScope))*'RAW_DISTRICT'!$Q$4:$Q$745)),"")</f>
        <v>0</v>
      </c>
      <c r="F56" s="13">
        <f>IFERROR(IF($B56="","",SUMPRODUCT(('RAW_DISTRICT'!$C$4:$C$745=$B56)*('RAW_DISTRICT'!$B$4:$B$745=IF(SelectedScope="All India",INDEX('RAW_DISTRICT'!$B$4:$B$745,51),SelectedScope))*'RAW_DISTRICT'!$F$4:$F$745)),"")</f>
        <v>0</v>
      </c>
      <c r="G56" s="14" t="str">
        <f>IFERROR(IF($B56="","",(SUMPRODUCT(('RAW_DISTRICT'!$C$4:$C$745=$B56)*('RAW_DISTRICT'!$B$4:$B$745=IF(SelectedScope="All India",INDEX('RAW_DISTRICT'!$B$4:$B$745,51),SelectedScope))*'RAW_DISTRICT'!$I$4:$I$745))/(SUMPRODUCT(('RAW_DISTRICT'!$C$4:$C$745=$B56)*('RAW_DISTRICT'!$B$4:$B$745=IF(SelectedScope="All India",INDEX('RAW_DISTRICT'!$B$4:$B$745,51),SelectedScope))*'RAW_DISTRICT'!$H$4:$H$745))),"")</f>
        <v/>
      </c>
      <c r="H56" s="13" t="str">
        <f>IFERROR(IF($B56="","",INDEX('RAW_DISTRICT'!$R$4:$R$745,MATCH(1,('RAW_DISTRICT'!$C$4:$C$745=$B56)*('RAW_DISTRICT'!$B$4:$B$745=IF(SelectedScope="All India",INDEX('RAW_DISTRICT'!$B$4:$B$745,51),SelectedScope)),0))),"")</f>
        <v/>
      </c>
      <c r="I56" s="13" t="str">
        <f>IFERROR(IF($B56="","",INDEX('RAW_DISTRICT'!$S$4:$S$745,MATCH(1,('RAW_DISTRICT'!$C$4:$C$745=$B56)*('RAW_DISTRICT'!$B$4:$B$745=IF(SelectedScope="All India",INDEX('RAW_DISTRICT'!$B$4:$B$745,51),SelectedScope)),0))),"")</f>
        <v/>
      </c>
    </row>
    <row r="57" spans="1:9" ht="15" customHeight="1" x14ac:dyDescent="0.3">
      <c r="A57" s="23">
        <v>52</v>
      </c>
      <c r="B57" s="9" t="str">
        <f>IFERROR(IF(SelectedScope="All India",INDEX('RAW_DISTRICT'!$C$4:$C$745,52),INDEX('RAW_DISTRICT'!$C$4:$C$745,MATCH(52,'RAW_DISTRICT'!$V$4:$V$745,0))),"")</f>
        <v>Darrang</v>
      </c>
      <c r="C57" s="10" t="str">
        <f>IFERROR(IF($B57="","",INDEX('RAW_DISTRICT'!$E$4:$E$745,MATCH(1,('RAW_DISTRICT'!$C$4:$C$745=$B57)*('RAW_DISTRICT'!$B$4:$B$745=IF(SelectedScope="All India",INDEX('RAW_DISTRICT'!$B$4:$B$745,52),SelectedScope)),0))),"")</f>
        <v/>
      </c>
      <c r="D57" s="10">
        <f>IFERROR(IF($B57="","",SUMPRODUCT(('RAW_DISTRICT'!$C$4:$C$745=$B57)*('RAW_DISTRICT'!$B$4:$B$745=IF(SelectedScope="All India",INDEX('RAW_DISTRICT'!$B$4:$B$745,52),SelectedScope))*'RAW_DISTRICT'!$P$4:$P$745)),"")</f>
        <v>0</v>
      </c>
      <c r="E57" s="10">
        <f>IFERROR(IF($B57="","",SUMPRODUCT(('RAW_DISTRICT'!$C$4:$C$745=$B57)*('RAW_DISTRICT'!$B$4:$B$745=IF(SelectedScope="All India",INDEX('RAW_DISTRICT'!$B$4:$B$745,52),SelectedScope))*'RAW_DISTRICT'!$Q$4:$Q$745)),"")</f>
        <v>0</v>
      </c>
      <c r="F57" s="10">
        <f>IFERROR(IF($B57="","",SUMPRODUCT(('RAW_DISTRICT'!$C$4:$C$745=$B57)*('RAW_DISTRICT'!$B$4:$B$745=IF(SelectedScope="All India",INDEX('RAW_DISTRICT'!$B$4:$B$745,52),SelectedScope))*'RAW_DISTRICT'!$F$4:$F$745)),"")</f>
        <v>0</v>
      </c>
      <c r="G57" s="11" t="str">
        <f>IFERROR(IF($B57="","",(SUMPRODUCT(('RAW_DISTRICT'!$C$4:$C$745=$B57)*('RAW_DISTRICT'!$B$4:$B$745=IF(SelectedScope="All India",INDEX('RAW_DISTRICT'!$B$4:$B$745,52),SelectedScope))*'RAW_DISTRICT'!$I$4:$I$745))/(SUMPRODUCT(('RAW_DISTRICT'!$C$4:$C$745=$B57)*('RAW_DISTRICT'!$B$4:$B$745=IF(SelectedScope="All India",INDEX('RAW_DISTRICT'!$B$4:$B$745,52),SelectedScope))*'RAW_DISTRICT'!$H$4:$H$745))),"")</f>
        <v/>
      </c>
      <c r="H57" s="10" t="str">
        <f>IFERROR(IF($B57="","",INDEX('RAW_DISTRICT'!$R$4:$R$745,MATCH(1,('RAW_DISTRICT'!$C$4:$C$745=$B57)*('RAW_DISTRICT'!$B$4:$B$745=IF(SelectedScope="All India",INDEX('RAW_DISTRICT'!$B$4:$B$745,52),SelectedScope)),0))),"")</f>
        <v/>
      </c>
      <c r="I57" s="10" t="str">
        <f>IFERROR(IF($B57="","",INDEX('RAW_DISTRICT'!$S$4:$S$745,MATCH(1,('RAW_DISTRICT'!$C$4:$C$745=$B57)*('RAW_DISTRICT'!$B$4:$B$745=IF(SelectedScope="All India",INDEX('RAW_DISTRICT'!$B$4:$B$745,52),SelectedScope)),0))),"")</f>
        <v/>
      </c>
    </row>
    <row r="58" spans="1:9" ht="15" customHeight="1" x14ac:dyDescent="0.3">
      <c r="A58" s="24">
        <v>53</v>
      </c>
      <c r="B58" s="12" t="str">
        <f>IFERROR(IF(SelectedScope="All India",INDEX('RAW_DISTRICT'!$C$4:$C$745,53),INDEX('RAW_DISTRICT'!$C$4:$C$745,MATCH(53,'RAW_DISTRICT'!$V$4:$V$745,0))),"")</f>
        <v>Dhemaji</v>
      </c>
      <c r="C58" s="13" t="str">
        <f>IFERROR(IF($B58="","",INDEX('RAW_DISTRICT'!$E$4:$E$745,MATCH(1,('RAW_DISTRICT'!$C$4:$C$745=$B58)*('RAW_DISTRICT'!$B$4:$B$745=IF(SelectedScope="All India",INDEX('RAW_DISTRICT'!$B$4:$B$745,53),SelectedScope)),0))),"")</f>
        <v/>
      </c>
      <c r="D58" s="13">
        <f>IFERROR(IF($B58="","",SUMPRODUCT(('RAW_DISTRICT'!$C$4:$C$745=$B58)*('RAW_DISTRICT'!$B$4:$B$745=IF(SelectedScope="All India",INDEX('RAW_DISTRICT'!$B$4:$B$745,53),SelectedScope))*'RAW_DISTRICT'!$P$4:$P$745)),"")</f>
        <v>0</v>
      </c>
      <c r="E58" s="13">
        <f>IFERROR(IF($B58="","",SUMPRODUCT(('RAW_DISTRICT'!$C$4:$C$745=$B58)*('RAW_DISTRICT'!$B$4:$B$745=IF(SelectedScope="All India",INDEX('RAW_DISTRICT'!$B$4:$B$745,53),SelectedScope))*'RAW_DISTRICT'!$Q$4:$Q$745)),"")</f>
        <v>0</v>
      </c>
      <c r="F58" s="13">
        <f>IFERROR(IF($B58="","",SUMPRODUCT(('RAW_DISTRICT'!$C$4:$C$745=$B58)*('RAW_DISTRICT'!$B$4:$B$745=IF(SelectedScope="All India",INDEX('RAW_DISTRICT'!$B$4:$B$745,53),SelectedScope))*'RAW_DISTRICT'!$F$4:$F$745)),"")</f>
        <v>0</v>
      </c>
      <c r="G58" s="14" t="str">
        <f>IFERROR(IF($B58="","",(SUMPRODUCT(('RAW_DISTRICT'!$C$4:$C$745=$B58)*('RAW_DISTRICT'!$B$4:$B$745=IF(SelectedScope="All India",INDEX('RAW_DISTRICT'!$B$4:$B$745,53),SelectedScope))*'RAW_DISTRICT'!$I$4:$I$745))/(SUMPRODUCT(('RAW_DISTRICT'!$C$4:$C$745=$B58)*('RAW_DISTRICT'!$B$4:$B$745=IF(SelectedScope="All India",INDEX('RAW_DISTRICT'!$B$4:$B$745,53),SelectedScope))*'RAW_DISTRICT'!$H$4:$H$745))),"")</f>
        <v/>
      </c>
      <c r="H58" s="13" t="str">
        <f>IFERROR(IF($B58="","",INDEX('RAW_DISTRICT'!$R$4:$R$745,MATCH(1,('RAW_DISTRICT'!$C$4:$C$745=$B58)*('RAW_DISTRICT'!$B$4:$B$745=IF(SelectedScope="All India",INDEX('RAW_DISTRICT'!$B$4:$B$745,53),SelectedScope)),0))),"")</f>
        <v/>
      </c>
      <c r="I58" s="13" t="str">
        <f>IFERROR(IF($B58="","",INDEX('RAW_DISTRICT'!$S$4:$S$745,MATCH(1,('RAW_DISTRICT'!$C$4:$C$745=$B58)*('RAW_DISTRICT'!$B$4:$B$745=IF(SelectedScope="All India",INDEX('RAW_DISTRICT'!$B$4:$B$745,53),SelectedScope)),0))),"")</f>
        <v/>
      </c>
    </row>
    <row r="59" spans="1:9" ht="15" customHeight="1" x14ac:dyDescent="0.3">
      <c r="A59" s="23">
        <v>54</v>
      </c>
      <c r="B59" s="9" t="str">
        <f>IFERROR(IF(SelectedScope="All India",INDEX('RAW_DISTRICT'!$C$4:$C$745,54),INDEX('RAW_DISTRICT'!$C$4:$C$745,MATCH(54,'RAW_DISTRICT'!$V$4:$V$745,0))),"")</f>
        <v>Dhubri</v>
      </c>
      <c r="C59" s="10" t="str">
        <f>IFERROR(IF($B59="","",INDEX('RAW_DISTRICT'!$E$4:$E$745,MATCH(1,('RAW_DISTRICT'!$C$4:$C$745=$B59)*('RAW_DISTRICT'!$B$4:$B$745=IF(SelectedScope="All India",INDEX('RAW_DISTRICT'!$B$4:$B$745,54),SelectedScope)),0))),"")</f>
        <v/>
      </c>
      <c r="D59" s="10">
        <f>IFERROR(IF($B59="","",SUMPRODUCT(('RAW_DISTRICT'!$C$4:$C$745=$B59)*('RAW_DISTRICT'!$B$4:$B$745=IF(SelectedScope="All India",INDEX('RAW_DISTRICT'!$B$4:$B$745,54),SelectedScope))*'RAW_DISTRICT'!$P$4:$P$745)),"")</f>
        <v>0</v>
      </c>
      <c r="E59" s="10">
        <f>IFERROR(IF($B59="","",SUMPRODUCT(('RAW_DISTRICT'!$C$4:$C$745=$B59)*('RAW_DISTRICT'!$B$4:$B$745=IF(SelectedScope="All India",INDEX('RAW_DISTRICT'!$B$4:$B$745,54),SelectedScope))*'RAW_DISTRICT'!$Q$4:$Q$745)),"")</f>
        <v>0</v>
      </c>
      <c r="F59" s="10">
        <f>IFERROR(IF($B59="","",SUMPRODUCT(('RAW_DISTRICT'!$C$4:$C$745=$B59)*('RAW_DISTRICT'!$B$4:$B$745=IF(SelectedScope="All India",INDEX('RAW_DISTRICT'!$B$4:$B$745,54),SelectedScope))*'RAW_DISTRICT'!$F$4:$F$745)),"")</f>
        <v>0</v>
      </c>
      <c r="G59" s="11" t="str">
        <f>IFERROR(IF($B59="","",(SUMPRODUCT(('RAW_DISTRICT'!$C$4:$C$745=$B59)*('RAW_DISTRICT'!$B$4:$B$745=IF(SelectedScope="All India",INDEX('RAW_DISTRICT'!$B$4:$B$745,54),SelectedScope))*'RAW_DISTRICT'!$I$4:$I$745))/(SUMPRODUCT(('RAW_DISTRICT'!$C$4:$C$745=$B59)*('RAW_DISTRICT'!$B$4:$B$745=IF(SelectedScope="All India",INDEX('RAW_DISTRICT'!$B$4:$B$745,54),SelectedScope))*'RAW_DISTRICT'!$H$4:$H$745))),"")</f>
        <v/>
      </c>
      <c r="H59" s="10" t="str">
        <f>IFERROR(IF($B59="","",INDEX('RAW_DISTRICT'!$R$4:$R$745,MATCH(1,('RAW_DISTRICT'!$C$4:$C$745=$B59)*('RAW_DISTRICT'!$B$4:$B$745=IF(SelectedScope="All India",INDEX('RAW_DISTRICT'!$B$4:$B$745,54),SelectedScope)),0))),"")</f>
        <v/>
      </c>
      <c r="I59" s="10" t="str">
        <f>IFERROR(IF($B59="","",INDEX('RAW_DISTRICT'!$S$4:$S$745,MATCH(1,('RAW_DISTRICT'!$C$4:$C$745=$B59)*('RAW_DISTRICT'!$B$4:$B$745=IF(SelectedScope="All India",INDEX('RAW_DISTRICT'!$B$4:$B$745,54),SelectedScope)),0))),"")</f>
        <v/>
      </c>
    </row>
    <row r="60" spans="1:9" ht="15" customHeight="1" x14ac:dyDescent="0.3">
      <c r="A60" s="24">
        <v>55</v>
      </c>
      <c r="B60" s="12" t="str">
        <f>IFERROR(IF(SelectedScope="All India",INDEX('RAW_DISTRICT'!$C$4:$C$745,55),INDEX('RAW_DISTRICT'!$C$4:$C$745,MATCH(55,'RAW_DISTRICT'!$V$4:$V$745,0))),"")</f>
        <v>Dibrugarh</v>
      </c>
      <c r="C60" s="13" t="str">
        <f>IFERROR(IF($B60="","",INDEX('RAW_DISTRICT'!$E$4:$E$745,MATCH(1,('RAW_DISTRICT'!$C$4:$C$745=$B60)*('RAW_DISTRICT'!$B$4:$B$745=IF(SelectedScope="All India",INDEX('RAW_DISTRICT'!$B$4:$B$745,55),SelectedScope)),0))),"")</f>
        <v/>
      </c>
      <c r="D60" s="13">
        <f>IFERROR(IF($B60="","",SUMPRODUCT(('RAW_DISTRICT'!$C$4:$C$745=$B60)*('RAW_DISTRICT'!$B$4:$B$745=IF(SelectedScope="All India",INDEX('RAW_DISTRICT'!$B$4:$B$745,55),SelectedScope))*'RAW_DISTRICT'!$P$4:$P$745)),"")</f>
        <v>0</v>
      </c>
      <c r="E60" s="13">
        <f>IFERROR(IF($B60="","",SUMPRODUCT(('RAW_DISTRICT'!$C$4:$C$745=$B60)*('RAW_DISTRICT'!$B$4:$B$745=IF(SelectedScope="All India",INDEX('RAW_DISTRICT'!$B$4:$B$745,55),SelectedScope))*'RAW_DISTRICT'!$Q$4:$Q$745)),"")</f>
        <v>0</v>
      </c>
      <c r="F60" s="13">
        <f>IFERROR(IF($B60="","",SUMPRODUCT(('RAW_DISTRICT'!$C$4:$C$745=$B60)*('RAW_DISTRICT'!$B$4:$B$745=IF(SelectedScope="All India",INDEX('RAW_DISTRICT'!$B$4:$B$745,55),SelectedScope))*'RAW_DISTRICT'!$F$4:$F$745)),"")</f>
        <v>0</v>
      </c>
      <c r="G60" s="14" t="str">
        <f>IFERROR(IF($B60="","",(SUMPRODUCT(('RAW_DISTRICT'!$C$4:$C$745=$B60)*('RAW_DISTRICT'!$B$4:$B$745=IF(SelectedScope="All India",INDEX('RAW_DISTRICT'!$B$4:$B$745,55),SelectedScope))*'RAW_DISTRICT'!$I$4:$I$745))/(SUMPRODUCT(('RAW_DISTRICT'!$C$4:$C$745=$B60)*('RAW_DISTRICT'!$B$4:$B$745=IF(SelectedScope="All India",INDEX('RAW_DISTRICT'!$B$4:$B$745,55),SelectedScope))*'RAW_DISTRICT'!$H$4:$H$745))),"")</f>
        <v/>
      </c>
      <c r="H60" s="13" t="str">
        <f>IFERROR(IF($B60="","",INDEX('RAW_DISTRICT'!$R$4:$R$745,MATCH(1,('RAW_DISTRICT'!$C$4:$C$745=$B60)*('RAW_DISTRICT'!$B$4:$B$745=IF(SelectedScope="All India",INDEX('RAW_DISTRICT'!$B$4:$B$745,55),SelectedScope)),0))),"")</f>
        <v/>
      </c>
      <c r="I60" s="13" t="str">
        <f>IFERROR(IF($B60="","",INDEX('RAW_DISTRICT'!$S$4:$S$745,MATCH(1,('RAW_DISTRICT'!$C$4:$C$745=$B60)*('RAW_DISTRICT'!$B$4:$B$745=IF(SelectedScope="All India",INDEX('RAW_DISTRICT'!$B$4:$B$745,55),SelectedScope)),0))),"")</f>
        <v/>
      </c>
    </row>
    <row r="61" spans="1:9" ht="15" customHeight="1" x14ac:dyDescent="0.3">
      <c r="A61" s="23">
        <v>56</v>
      </c>
      <c r="B61" s="9" t="str">
        <f>IFERROR(IF(SelectedScope="All India",INDEX('RAW_DISTRICT'!$C$4:$C$745,56),INDEX('RAW_DISTRICT'!$C$4:$C$745,MATCH(56,'RAW_DISTRICT'!$V$4:$V$745,0))),"")</f>
        <v>Dima Hasao</v>
      </c>
      <c r="C61" s="10" t="str">
        <f>IFERROR(IF($B61="","",INDEX('RAW_DISTRICT'!$E$4:$E$745,MATCH(1,('RAW_DISTRICT'!$C$4:$C$745=$B61)*('RAW_DISTRICT'!$B$4:$B$745=IF(SelectedScope="All India",INDEX('RAW_DISTRICT'!$B$4:$B$745,56),SelectedScope)),0))),"")</f>
        <v/>
      </c>
      <c r="D61" s="10">
        <f>IFERROR(IF($B61="","",SUMPRODUCT(('RAW_DISTRICT'!$C$4:$C$745=$B61)*('RAW_DISTRICT'!$B$4:$B$745=IF(SelectedScope="All India",INDEX('RAW_DISTRICT'!$B$4:$B$745,56),SelectedScope))*'RAW_DISTRICT'!$P$4:$P$745)),"")</f>
        <v>0</v>
      </c>
      <c r="E61" s="10">
        <f>IFERROR(IF($B61="","",SUMPRODUCT(('RAW_DISTRICT'!$C$4:$C$745=$B61)*('RAW_DISTRICT'!$B$4:$B$745=IF(SelectedScope="All India",INDEX('RAW_DISTRICT'!$B$4:$B$745,56),SelectedScope))*'RAW_DISTRICT'!$Q$4:$Q$745)),"")</f>
        <v>0</v>
      </c>
      <c r="F61" s="10">
        <f>IFERROR(IF($B61="","",SUMPRODUCT(('RAW_DISTRICT'!$C$4:$C$745=$B61)*('RAW_DISTRICT'!$B$4:$B$745=IF(SelectedScope="All India",INDEX('RAW_DISTRICT'!$B$4:$B$745,56),SelectedScope))*'RAW_DISTRICT'!$F$4:$F$745)),"")</f>
        <v>0</v>
      </c>
      <c r="G61" s="11" t="str">
        <f>IFERROR(IF($B61="","",(SUMPRODUCT(('RAW_DISTRICT'!$C$4:$C$745=$B61)*('RAW_DISTRICT'!$B$4:$B$745=IF(SelectedScope="All India",INDEX('RAW_DISTRICT'!$B$4:$B$745,56),SelectedScope))*'RAW_DISTRICT'!$I$4:$I$745))/(SUMPRODUCT(('RAW_DISTRICT'!$C$4:$C$745=$B61)*('RAW_DISTRICT'!$B$4:$B$745=IF(SelectedScope="All India",INDEX('RAW_DISTRICT'!$B$4:$B$745,56),SelectedScope))*'RAW_DISTRICT'!$H$4:$H$745))),"")</f>
        <v/>
      </c>
      <c r="H61" s="10" t="str">
        <f>IFERROR(IF($B61="","",INDEX('RAW_DISTRICT'!$R$4:$R$745,MATCH(1,('RAW_DISTRICT'!$C$4:$C$745=$B61)*('RAW_DISTRICT'!$B$4:$B$745=IF(SelectedScope="All India",INDEX('RAW_DISTRICT'!$B$4:$B$745,56),SelectedScope)),0))),"")</f>
        <v/>
      </c>
      <c r="I61" s="10" t="str">
        <f>IFERROR(IF($B61="","",INDEX('RAW_DISTRICT'!$S$4:$S$745,MATCH(1,('RAW_DISTRICT'!$C$4:$C$745=$B61)*('RAW_DISTRICT'!$B$4:$B$745=IF(SelectedScope="All India",INDEX('RAW_DISTRICT'!$B$4:$B$745,56),SelectedScope)),0))),"")</f>
        <v/>
      </c>
    </row>
    <row r="62" spans="1:9" ht="15" customHeight="1" x14ac:dyDescent="0.3">
      <c r="A62" s="24">
        <v>57</v>
      </c>
      <c r="B62" s="12" t="str">
        <f>IFERROR(IF(SelectedScope="All India",INDEX('RAW_DISTRICT'!$C$4:$C$745,57),INDEX('RAW_DISTRICT'!$C$4:$C$745,MATCH(57,'RAW_DISTRICT'!$V$4:$V$745,0))),"")</f>
        <v>Goalpara</v>
      </c>
      <c r="C62" s="13" t="str">
        <f>IFERROR(IF($B62="","",INDEX('RAW_DISTRICT'!$E$4:$E$745,MATCH(1,('RAW_DISTRICT'!$C$4:$C$745=$B62)*('RAW_DISTRICT'!$B$4:$B$745=IF(SelectedScope="All India",INDEX('RAW_DISTRICT'!$B$4:$B$745,57),SelectedScope)),0))),"")</f>
        <v/>
      </c>
      <c r="D62" s="13">
        <f>IFERROR(IF($B62="","",SUMPRODUCT(('RAW_DISTRICT'!$C$4:$C$745=$B62)*('RAW_DISTRICT'!$B$4:$B$745=IF(SelectedScope="All India",INDEX('RAW_DISTRICT'!$B$4:$B$745,57),SelectedScope))*'RAW_DISTRICT'!$P$4:$P$745)),"")</f>
        <v>0</v>
      </c>
      <c r="E62" s="13">
        <f>IFERROR(IF($B62="","",SUMPRODUCT(('RAW_DISTRICT'!$C$4:$C$745=$B62)*('RAW_DISTRICT'!$B$4:$B$745=IF(SelectedScope="All India",INDEX('RAW_DISTRICT'!$B$4:$B$745,57),SelectedScope))*'RAW_DISTRICT'!$Q$4:$Q$745)),"")</f>
        <v>0</v>
      </c>
      <c r="F62" s="13">
        <f>IFERROR(IF($B62="","",SUMPRODUCT(('RAW_DISTRICT'!$C$4:$C$745=$B62)*('RAW_DISTRICT'!$B$4:$B$745=IF(SelectedScope="All India",INDEX('RAW_DISTRICT'!$B$4:$B$745,57),SelectedScope))*'RAW_DISTRICT'!$F$4:$F$745)),"")</f>
        <v>0</v>
      </c>
      <c r="G62" s="14" t="str">
        <f>IFERROR(IF($B62="","",(SUMPRODUCT(('RAW_DISTRICT'!$C$4:$C$745=$B62)*('RAW_DISTRICT'!$B$4:$B$745=IF(SelectedScope="All India",INDEX('RAW_DISTRICT'!$B$4:$B$745,57),SelectedScope))*'RAW_DISTRICT'!$I$4:$I$745))/(SUMPRODUCT(('RAW_DISTRICT'!$C$4:$C$745=$B62)*('RAW_DISTRICT'!$B$4:$B$745=IF(SelectedScope="All India",INDEX('RAW_DISTRICT'!$B$4:$B$745,57),SelectedScope))*'RAW_DISTRICT'!$H$4:$H$745))),"")</f>
        <v/>
      </c>
      <c r="H62" s="13" t="str">
        <f>IFERROR(IF($B62="","",INDEX('RAW_DISTRICT'!$R$4:$R$745,MATCH(1,('RAW_DISTRICT'!$C$4:$C$745=$B62)*('RAW_DISTRICT'!$B$4:$B$745=IF(SelectedScope="All India",INDEX('RAW_DISTRICT'!$B$4:$B$745,57),SelectedScope)),0))),"")</f>
        <v/>
      </c>
      <c r="I62" s="13" t="str">
        <f>IFERROR(IF($B62="","",INDEX('RAW_DISTRICT'!$S$4:$S$745,MATCH(1,('RAW_DISTRICT'!$C$4:$C$745=$B62)*('RAW_DISTRICT'!$B$4:$B$745=IF(SelectedScope="All India",INDEX('RAW_DISTRICT'!$B$4:$B$745,57),SelectedScope)),0))),"")</f>
        <v/>
      </c>
    </row>
    <row r="63" spans="1:9" ht="15" customHeight="1" x14ac:dyDescent="0.3">
      <c r="A63" s="23">
        <v>58</v>
      </c>
      <c r="B63" s="9" t="str">
        <f>IFERROR(IF(SelectedScope="All India",INDEX('RAW_DISTRICT'!$C$4:$C$745,58),INDEX('RAW_DISTRICT'!$C$4:$C$745,MATCH(58,'RAW_DISTRICT'!$V$4:$V$745,0))),"")</f>
        <v>Golaghat</v>
      </c>
      <c r="C63" s="10" t="str">
        <f>IFERROR(IF($B63="","",INDEX('RAW_DISTRICT'!$E$4:$E$745,MATCH(1,('RAW_DISTRICT'!$C$4:$C$745=$B63)*('RAW_DISTRICT'!$B$4:$B$745=IF(SelectedScope="All India",INDEX('RAW_DISTRICT'!$B$4:$B$745,58),SelectedScope)),0))),"")</f>
        <v/>
      </c>
      <c r="D63" s="10">
        <f>IFERROR(IF($B63="","",SUMPRODUCT(('RAW_DISTRICT'!$C$4:$C$745=$B63)*('RAW_DISTRICT'!$B$4:$B$745=IF(SelectedScope="All India",INDEX('RAW_DISTRICT'!$B$4:$B$745,58),SelectedScope))*'RAW_DISTRICT'!$P$4:$P$745)),"")</f>
        <v>0</v>
      </c>
      <c r="E63" s="10">
        <f>IFERROR(IF($B63="","",SUMPRODUCT(('RAW_DISTRICT'!$C$4:$C$745=$B63)*('RAW_DISTRICT'!$B$4:$B$745=IF(SelectedScope="All India",INDEX('RAW_DISTRICT'!$B$4:$B$745,58),SelectedScope))*'RAW_DISTRICT'!$Q$4:$Q$745)),"")</f>
        <v>0</v>
      </c>
      <c r="F63" s="10">
        <f>IFERROR(IF($B63="","",SUMPRODUCT(('RAW_DISTRICT'!$C$4:$C$745=$B63)*('RAW_DISTRICT'!$B$4:$B$745=IF(SelectedScope="All India",INDEX('RAW_DISTRICT'!$B$4:$B$745,58),SelectedScope))*'RAW_DISTRICT'!$F$4:$F$745)),"")</f>
        <v>0</v>
      </c>
      <c r="G63" s="11" t="str">
        <f>IFERROR(IF($B63="","",(SUMPRODUCT(('RAW_DISTRICT'!$C$4:$C$745=$B63)*('RAW_DISTRICT'!$B$4:$B$745=IF(SelectedScope="All India",INDEX('RAW_DISTRICT'!$B$4:$B$745,58),SelectedScope))*'RAW_DISTRICT'!$I$4:$I$745))/(SUMPRODUCT(('RAW_DISTRICT'!$C$4:$C$745=$B63)*('RAW_DISTRICT'!$B$4:$B$745=IF(SelectedScope="All India",INDEX('RAW_DISTRICT'!$B$4:$B$745,58),SelectedScope))*'RAW_DISTRICT'!$H$4:$H$745))),"")</f>
        <v/>
      </c>
      <c r="H63" s="10" t="str">
        <f>IFERROR(IF($B63="","",INDEX('RAW_DISTRICT'!$R$4:$R$745,MATCH(1,('RAW_DISTRICT'!$C$4:$C$745=$B63)*('RAW_DISTRICT'!$B$4:$B$745=IF(SelectedScope="All India",INDEX('RAW_DISTRICT'!$B$4:$B$745,58),SelectedScope)),0))),"")</f>
        <v/>
      </c>
      <c r="I63" s="10" t="str">
        <f>IFERROR(IF($B63="","",INDEX('RAW_DISTRICT'!$S$4:$S$745,MATCH(1,('RAW_DISTRICT'!$C$4:$C$745=$B63)*('RAW_DISTRICT'!$B$4:$B$745=IF(SelectedScope="All India",INDEX('RAW_DISTRICT'!$B$4:$B$745,58),SelectedScope)),0))),"")</f>
        <v/>
      </c>
    </row>
    <row r="64" spans="1:9" ht="15" customHeight="1" x14ac:dyDescent="0.3">
      <c r="A64" s="24">
        <v>59</v>
      </c>
      <c r="B64" s="12" t="str">
        <f>IFERROR(IF(SelectedScope="All India",INDEX('RAW_DISTRICT'!$C$4:$C$745,59),INDEX('RAW_DISTRICT'!$C$4:$C$745,MATCH(59,'RAW_DISTRICT'!$V$4:$V$745,0))),"")</f>
        <v>Hailakandi</v>
      </c>
      <c r="C64" s="13" t="str">
        <f>IFERROR(IF($B64="","",INDEX('RAW_DISTRICT'!$E$4:$E$745,MATCH(1,('RAW_DISTRICT'!$C$4:$C$745=$B64)*('RAW_DISTRICT'!$B$4:$B$745=IF(SelectedScope="All India",INDEX('RAW_DISTRICT'!$B$4:$B$745,59),SelectedScope)),0))),"")</f>
        <v/>
      </c>
      <c r="D64" s="13">
        <f>IFERROR(IF($B64="","",SUMPRODUCT(('RAW_DISTRICT'!$C$4:$C$745=$B64)*('RAW_DISTRICT'!$B$4:$B$745=IF(SelectedScope="All India",INDEX('RAW_DISTRICT'!$B$4:$B$745,59),SelectedScope))*'RAW_DISTRICT'!$P$4:$P$745)),"")</f>
        <v>0</v>
      </c>
      <c r="E64" s="13">
        <f>IFERROR(IF($B64="","",SUMPRODUCT(('RAW_DISTRICT'!$C$4:$C$745=$B64)*('RAW_DISTRICT'!$B$4:$B$745=IF(SelectedScope="All India",INDEX('RAW_DISTRICT'!$B$4:$B$745,59),SelectedScope))*'RAW_DISTRICT'!$Q$4:$Q$745)),"")</f>
        <v>0</v>
      </c>
      <c r="F64" s="13">
        <f>IFERROR(IF($B64="","",SUMPRODUCT(('RAW_DISTRICT'!$C$4:$C$745=$B64)*('RAW_DISTRICT'!$B$4:$B$745=IF(SelectedScope="All India",INDEX('RAW_DISTRICT'!$B$4:$B$745,59),SelectedScope))*'RAW_DISTRICT'!$F$4:$F$745)),"")</f>
        <v>0</v>
      </c>
      <c r="G64" s="14" t="str">
        <f>IFERROR(IF($B64="","",(SUMPRODUCT(('RAW_DISTRICT'!$C$4:$C$745=$B64)*('RAW_DISTRICT'!$B$4:$B$745=IF(SelectedScope="All India",INDEX('RAW_DISTRICT'!$B$4:$B$745,59),SelectedScope))*'RAW_DISTRICT'!$I$4:$I$745))/(SUMPRODUCT(('RAW_DISTRICT'!$C$4:$C$745=$B64)*('RAW_DISTRICT'!$B$4:$B$745=IF(SelectedScope="All India",INDEX('RAW_DISTRICT'!$B$4:$B$745,59),SelectedScope))*'RAW_DISTRICT'!$H$4:$H$745))),"")</f>
        <v/>
      </c>
      <c r="H64" s="13" t="str">
        <f>IFERROR(IF($B64="","",INDEX('RAW_DISTRICT'!$R$4:$R$745,MATCH(1,('RAW_DISTRICT'!$C$4:$C$745=$B64)*('RAW_DISTRICT'!$B$4:$B$745=IF(SelectedScope="All India",INDEX('RAW_DISTRICT'!$B$4:$B$745,59),SelectedScope)),0))),"")</f>
        <v/>
      </c>
      <c r="I64" s="13" t="str">
        <f>IFERROR(IF($B64="","",INDEX('RAW_DISTRICT'!$S$4:$S$745,MATCH(1,('RAW_DISTRICT'!$C$4:$C$745=$B64)*('RAW_DISTRICT'!$B$4:$B$745=IF(SelectedScope="All India",INDEX('RAW_DISTRICT'!$B$4:$B$745,59),SelectedScope)),0))),"")</f>
        <v/>
      </c>
    </row>
    <row r="65" spans="1:9" ht="15" customHeight="1" x14ac:dyDescent="0.3">
      <c r="A65" s="23">
        <v>60</v>
      </c>
      <c r="B65" s="9" t="str">
        <f>IFERROR(IF(SelectedScope="All India",INDEX('RAW_DISTRICT'!$C$4:$C$745,60),INDEX('RAW_DISTRICT'!$C$4:$C$745,MATCH(60,'RAW_DISTRICT'!$V$4:$V$745,0))),"")</f>
        <v>Hojai</v>
      </c>
      <c r="C65" s="10" t="str">
        <f>IFERROR(IF($B65="","",INDEX('RAW_DISTRICT'!$E$4:$E$745,MATCH(1,('RAW_DISTRICT'!$C$4:$C$745=$B65)*('RAW_DISTRICT'!$B$4:$B$745=IF(SelectedScope="All India",INDEX('RAW_DISTRICT'!$B$4:$B$745,60),SelectedScope)),0))),"")</f>
        <v/>
      </c>
      <c r="D65" s="10">
        <f>IFERROR(IF($B65="","",SUMPRODUCT(('RAW_DISTRICT'!$C$4:$C$745=$B65)*('RAW_DISTRICT'!$B$4:$B$745=IF(SelectedScope="All India",INDEX('RAW_DISTRICT'!$B$4:$B$745,60),SelectedScope))*'RAW_DISTRICT'!$P$4:$P$745)),"")</f>
        <v>0</v>
      </c>
      <c r="E65" s="10">
        <f>IFERROR(IF($B65="","",SUMPRODUCT(('RAW_DISTRICT'!$C$4:$C$745=$B65)*('RAW_DISTRICT'!$B$4:$B$745=IF(SelectedScope="All India",INDEX('RAW_DISTRICT'!$B$4:$B$745,60),SelectedScope))*'RAW_DISTRICT'!$Q$4:$Q$745)),"")</f>
        <v>0</v>
      </c>
      <c r="F65" s="10">
        <f>IFERROR(IF($B65="","",SUMPRODUCT(('RAW_DISTRICT'!$C$4:$C$745=$B65)*('RAW_DISTRICT'!$B$4:$B$745=IF(SelectedScope="All India",INDEX('RAW_DISTRICT'!$B$4:$B$745,60),SelectedScope))*'RAW_DISTRICT'!$F$4:$F$745)),"")</f>
        <v>0</v>
      </c>
      <c r="G65" s="11" t="str">
        <f>IFERROR(IF($B65="","",(SUMPRODUCT(('RAW_DISTRICT'!$C$4:$C$745=$B65)*('RAW_DISTRICT'!$B$4:$B$745=IF(SelectedScope="All India",INDEX('RAW_DISTRICT'!$B$4:$B$745,60),SelectedScope))*'RAW_DISTRICT'!$I$4:$I$745))/(SUMPRODUCT(('RAW_DISTRICT'!$C$4:$C$745=$B65)*('RAW_DISTRICT'!$B$4:$B$745=IF(SelectedScope="All India",INDEX('RAW_DISTRICT'!$B$4:$B$745,60),SelectedScope))*'RAW_DISTRICT'!$H$4:$H$745))),"")</f>
        <v/>
      </c>
      <c r="H65" s="10" t="str">
        <f>IFERROR(IF($B65="","",INDEX('RAW_DISTRICT'!$R$4:$R$745,MATCH(1,('RAW_DISTRICT'!$C$4:$C$745=$B65)*('RAW_DISTRICT'!$B$4:$B$745=IF(SelectedScope="All India",INDEX('RAW_DISTRICT'!$B$4:$B$745,60),SelectedScope)),0))),"")</f>
        <v/>
      </c>
      <c r="I65" s="10" t="str">
        <f>IFERROR(IF($B65="","",INDEX('RAW_DISTRICT'!$S$4:$S$745,MATCH(1,('RAW_DISTRICT'!$C$4:$C$745=$B65)*('RAW_DISTRICT'!$B$4:$B$745=IF(SelectedScope="All India",INDEX('RAW_DISTRICT'!$B$4:$B$745,60),SelectedScope)),0))),"")</f>
        <v/>
      </c>
    </row>
    <row r="66" spans="1:9" ht="15" customHeight="1" x14ac:dyDescent="0.3">
      <c r="A66" s="24">
        <v>61</v>
      </c>
      <c r="B66" s="12" t="str">
        <f>IFERROR(IF(SelectedScope="All India",INDEX('RAW_DISTRICT'!$C$4:$C$745,61),INDEX('RAW_DISTRICT'!$C$4:$C$745,MATCH(61,'RAW_DISTRICT'!$V$4:$V$745,0))),"")</f>
        <v>Jorhat</v>
      </c>
      <c r="C66" s="13" t="str">
        <f>IFERROR(IF($B66="","",INDEX('RAW_DISTRICT'!$E$4:$E$745,MATCH(1,('RAW_DISTRICT'!$C$4:$C$745=$B66)*('RAW_DISTRICT'!$B$4:$B$745=IF(SelectedScope="All India",INDEX('RAW_DISTRICT'!$B$4:$B$745,61),SelectedScope)),0))),"")</f>
        <v/>
      </c>
      <c r="D66" s="13">
        <f>IFERROR(IF($B66="","",SUMPRODUCT(('RAW_DISTRICT'!$C$4:$C$745=$B66)*('RAW_DISTRICT'!$B$4:$B$745=IF(SelectedScope="All India",INDEX('RAW_DISTRICT'!$B$4:$B$745,61),SelectedScope))*'RAW_DISTRICT'!$P$4:$P$745)),"")</f>
        <v>0</v>
      </c>
      <c r="E66" s="13">
        <f>IFERROR(IF($B66="","",SUMPRODUCT(('RAW_DISTRICT'!$C$4:$C$745=$B66)*('RAW_DISTRICT'!$B$4:$B$745=IF(SelectedScope="All India",INDEX('RAW_DISTRICT'!$B$4:$B$745,61),SelectedScope))*'RAW_DISTRICT'!$Q$4:$Q$745)),"")</f>
        <v>0</v>
      </c>
      <c r="F66" s="13">
        <f>IFERROR(IF($B66="","",SUMPRODUCT(('RAW_DISTRICT'!$C$4:$C$745=$B66)*('RAW_DISTRICT'!$B$4:$B$745=IF(SelectedScope="All India",INDEX('RAW_DISTRICT'!$B$4:$B$745,61),SelectedScope))*'RAW_DISTRICT'!$F$4:$F$745)),"")</f>
        <v>0</v>
      </c>
      <c r="G66" s="14" t="str">
        <f>IFERROR(IF($B66="","",(SUMPRODUCT(('RAW_DISTRICT'!$C$4:$C$745=$B66)*('RAW_DISTRICT'!$B$4:$B$745=IF(SelectedScope="All India",INDEX('RAW_DISTRICT'!$B$4:$B$745,61),SelectedScope))*'RAW_DISTRICT'!$I$4:$I$745))/(SUMPRODUCT(('RAW_DISTRICT'!$C$4:$C$745=$B66)*('RAW_DISTRICT'!$B$4:$B$745=IF(SelectedScope="All India",INDEX('RAW_DISTRICT'!$B$4:$B$745,61),SelectedScope))*'RAW_DISTRICT'!$H$4:$H$745))),"")</f>
        <v/>
      </c>
      <c r="H66" s="13" t="str">
        <f>IFERROR(IF($B66="","",INDEX('RAW_DISTRICT'!$R$4:$R$745,MATCH(1,('RAW_DISTRICT'!$C$4:$C$745=$B66)*('RAW_DISTRICT'!$B$4:$B$745=IF(SelectedScope="All India",INDEX('RAW_DISTRICT'!$B$4:$B$745,61),SelectedScope)),0))),"")</f>
        <v/>
      </c>
      <c r="I66" s="13" t="str">
        <f>IFERROR(IF($B66="","",INDEX('RAW_DISTRICT'!$S$4:$S$745,MATCH(1,('RAW_DISTRICT'!$C$4:$C$745=$B66)*('RAW_DISTRICT'!$B$4:$B$745=IF(SelectedScope="All India",INDEX('RAW_DISTRICT'!$B$4:$B$745,61),SelectedScope)),0))),"")</f>
        <v/>
      </c>
    </row>
    <row r="67" spans="1:9" ht="15" customHeight="1" x14ac:dyDescent="0.3">
      <c r="A67" s="23">
        <v>62</v>
      </c>
      <c r="B67" s="9" t="str">
        <f>IFERROR(IF(SelectedScope="All India",INDEX('RAW_DISTRICT'!$C$4:$C$745,62),INDEX('RAW_DISTRICT'!$C$4:$C$745,MATCH(62,'RAW_DISTRICT'!$V$4:$V$745,0))),"")</f>
        <v>Kamrup</v>
      </c>
      <c r="C67" s="10" t="str">
        <f>IFERROR(IF($B67="","",INDEX('RAW_DISTRICT'!$E$4:$E$745,MATCH(1,('RAW_DISTRICT'!$C$4:$C$745=$B67)*('RAW_DISTRICT'!$B$4:$B$745=IF(SelectedScope="All India",INDEX('RAW_DISTRICT'!$B$4:$B$745,62),SelectedScope)),0))),"")</f>
        <v/>
      </c>
      <c r="D67" s="10">
        <f>IFERROR(IF($B67="","",SUMPRODUCT(('RAW_DISTRICT'!$C$4:$C$745=$B67)*('RAW_DISTRICT'!$B$4:$B$745=IF(SelectedScope="All India",INDEX('RAW_DISTRICT'!$B$4:$B$745,62),SelectedScope))*'RAW_DISTRICT'!$P$4:$P$745)),"")</f>
        <v>0</v>
      </c>
      <c r="E67" s="10">
        <f>IFERROR(IF($B67="","",SUMPRODUCT(('RAW_DISTRICT'!$C$4:$C$745=$B67)*('RAW_DISTRICT'!$B$4:$B$745=IF(SelectedScope="All India",INDEX('RAW_DISTRICT'!$B$4:$B$745,62),SelectedScope))*'RAW_DISTRICT'!$Q$4:$Q$745)),"")</f>
        <v>0</v>
      </c>
      <c r="F67" s="10">
        <f>IFERROR(IF($B67="","",SUMPRODUCT(('RAW_DISTRICT'!$C$4:$C$745=$B67)*('RAW_DISTRICT'!$B$4:$B$745=IF(SelectedScope="All India",INDEX('RAW_DISTRICT'!$B$4:$B$745,62),SelectedScope))*'RAW_DISTRICT'!$F$4:$F$745)),"")</f>
        <v>0</v>
      </c>
      <c r="G67" s="11" t="str">
        <f>IFERROR(IF($B67="","",(SUMPRODUCT(('RAW_DISTRICT'!$C$4:$C$745=$B67)*('RAW_DISTRICT'!$B$4:$B$745=IF(SelectedScope="All India",INDEX('RAW_DISTRICT'!$B$4:$B$745,62),SelectedScope))*'RAW_DISTRICT'!$I$4:$I$745))/(SUMPRODUCT(('RAW_DISTRICT'!$C$4:$C$745=$B67)*('RAW_DISTRICT'!$B$4:$B$745=IF(SelectedScope="All India",INDEX('RAW_DISTRICT'!$B$4:$B$745,62),SelectedScope))*'RAW_DISTRICT'!$H$4:$H$745))),"")</f>
        <v/>
      </c>
      <c r="H67" s="10" t="str">
        <f>IFERROR(IF($B67="","",INDEX('RAW_DISTRICT'!$R$4:$R$745,MATCH(1,('RAW_DISTRICT'!$C$4:$C$745=$B67)*('RAW_DISTRICT'!$B$4:$B$745=IF(SelectedScope="All India",INDEX('RAW_DISTRICT'!$B$4:$B$745,62),SelectedScope)),0))),"")</f>
        <v/>
      </c>
      <c r="I67" s="10" t="str">
        <f>IFERROR(IF($B67="","",INDEX('RAW_DISTRICT'!$S$4:$S$745,MATCH(1,('RAW_DISTRICT'!$C$4:$C$745=$B67)*('RAW_DISTRICT'!$B$4:$B$745=IF(SelectedScope="All India",INDEX('RAW_DISTRICT'!$B$4:$B$745,62),SelectedScope)),0))),"")</f>
        <v/>
      </c>
    </row>
    <row r="68" spans="1:9" ht="15" customHeight="1" x14ac:dyDescent="0.3">
      <c r="A68" s="24">
        <v>63</v>
      </c>
      <c r="B68" s="12" t="str">
        <f>IFERROR(IF(SelectedScope="All India",INDEX('RAW_DISTRICT'!$C$4:$C$745,63),INDEX('RAW_DISTRICT'!$C$4:$C$745,MATCH(63,'RAW_DISTRICT'!$V$4:$V$745,0))),"")</f>
        <v>Kamrup Metropolitan</v>
      </c>
      <c r="C68" s="13" t="str">
        <f>IFERROR(IF($B68="","",INDEX('RAW_DISTRICT'!$E$4:$E$745,MATCH(1,('RAW_DISTRICT'!$C$4:$C$745=$B68)*('RAW_DISTRICT'!$B$4:$B$745=IF(SelectedScope="All India",INDEX('RAW_DISTRICT'!$B$4:$B$745,63),SelectedScope)),0))),"")</f>
        <v/>
      </c>
      <c r="D68" s="13">
        <f>IFERROR(IF($B68="","",SUMPRODUCT(('RAW_DISTRICT'!$C$4:$C$745=$B68)*('RAW_DISTRICT'!$B$4:$B$745=IF(SelectedScope="All India",INDEX('RAW_DISTRICT'!$B$4:$B$745,63),SelectedScope))*'RAW_DISTRICT'!$P$4:$P$745)),"")</f>
        <v>0</v>
      </c>
      <c r="E68" s="13">
        <f>IFERROR(IF($B68="","",SUMPRODUCT(('RAW_DISTRICT'!$C$4:$C$745=$B68)*('RAW_DISTRICT'!$B$4:$B$745=IF(SelectedScope="All India",INDEX('RAW_DISTRICT'!$B$4:$B$745,63),SelectedScope))*'RAW_DISTRICT'!$Q$4:$Q$745)),"")</f>
        <v>0</v>
      </c>
      <c r="F68" s="13">
        <f>IFERROR(IF($B68="","",SUMPRODUCT(('RAW_DISTRICT'!$C$4:$C$745=$B68)*('RAW_DISTRICT'!$B$4:$B$745=IF(SelectedScope="All India",INDEX('RAW_DISTRICT'!$B$4:$B$745,63),SelectedScope))*'RAW_DISTRICT'!$F$4:$F$745)),"")</f>
        <v>0</v>
      </c>
      <c r="G68" s="14" t="str">
        <f>IFERROR(IF($B68="","",(SUMPRODUCT(('RAW_DISTRICT'!$C$4:$C$745=$B68)*('RAW_DISTRICT'!$B$4:$B$745=IF(SelectedScope="All India",INDEX('RAW_DISTRICT'!$B$4:$B$745,63),SelectedScope))*'RAW_DISTRICT'!$I$4:$I$745))/(SUMPRODUCT(('RAW_DISTRICT'!$C$4:$C$745=$B68)*('RAW_DISTRICT'!$B$4:$B$745=IF(SelectedScope="All India",INDEX('RAW_DISTRICT'!$B$4:$B$745,63),SelectedScope))*'RAW_DISTRICT'!$H$4:$H$745))),"")</f>
        <v/>
      </c>
      <c r="H68" s="13" t="str">
        <f>IFERROR(IF($B68="","",INDEX('RAW_DISTRICT'!$R$4:$R$745,MATCH(1,('RAW_DISTRICT'!$C$4:$C$745=$B68)*('RAW_DISTRICT'!$B$4:$B$745=IF(SelectedScope="All India",INDEX('RAW_DISTRICT'!$B$4:$B$745,63),SelectedScope)),0))),"")</f>
        <v/>
      </c>
      <c r="I68" s="13" t="str">
        <f>IFERROR(IF($B68="","",INDEX('RAW_DISTRICT'!$S$4:$S$745,MATCH(1,('RAW_DISTRICT'!$C$4:$C$745=$B68)*('RAW_DISTRICT'!$B$4:$B$745=IF(SelectedScope="All India",INDEX('RAW_DISTRICT'!$B$4:$B$745,63),SelectedScope)),0))),"")</f>
        <v/>
      </c>
    </row>
    <row r="69" spans="1:9" ht="15" customHeight="1" x14ac:dyDescent="0.3">
      <c r="A69" s="23">
        <v>64</v>
      </c>
      <c r="B69" s="9" t="str">
        <f>IFERROR(IF(SelectedScope="All India",INDEX('RAW_DISTRICT'!$C$4:$C$745,64),INDEX('RAW_DISTRICT'!$C$4:$C$745,MATCH(64,'RAW_DISTRICT'!$V$4:$V$745,0))),"")</f>
        <v>Karbi Anglong</v>
      </c>
      <c r="C69" s="10" t="str">
        <f>IFERROR(IF($B69="","",INDEX('RAW_DISTRICT'!$E$4:$E$745,MATCH(1,('RAW_DISTRICT'!$C$4:$C$745=$B69)*('RAW_DISTRICT'!$B$4:$B$745=IF(SelectedScope="All India",INDEX('RAW_DISTRICT'!$B$4:$B$745,64),SelectedScope)),0))),"")</f>
        <v/>
      </c>
      <c r="D69" s="10">
        <f>IFERROR(IF($B69="","",SUMPRODUCT(('RAW_DISTRICT'!$C$4:$C$745=$B69)*('RAW_DISTRICT'!$B$4:$B$745=IF(SelectedScope="All India",INDEX('RAW_DISTRICT'!$B$4:$B$745,64),SelectedScope))*'RAW_DISTRICT'!$P$4:$P$745)),"")</f>
        <v>0</v>
      </c>
      <c r="E69" s="10">
        <f>IFERROR(IF($B69="","",SUMPRODUCT(('RAW_DISTRICT'!$C$4:$C$745=$B69)*('RAW_DISTRICT'!$B$4:$B$745=IF(SelectedScope="All India",INDEX('RAW_DISTRICT'!$B$4:$B$745,64),SelectedScope))*'RAW_DISTRICT'!$Q$4:$Q$745)),"")</f>
        <v>0</v>
      </c>
      <c r="F69" s="10">
        <f>IFERROR(IF($B69="","",SUMPRODUCT(('RAW_DISTRICT'!$C$4:$C$745=$B69)*('RAW_DISTRICT'!$B$4:$B$745=IF(SelectedScope="All India",INDEX('RAW_DISTRICT'!$B$4:$B$745,64),SelectedScope))*'RAW_DISTRICT'!$F$4:$F$745)),"")</f>
        <v>0</v>
      </c>
      <c r="G69" s="11" t="str">
        <f>IFERROR(IF($B69="","",(SUMPRODUCT(('RAW_DISTRICT'!$C$4:$C$745=$B69)*('RAW_DISTRICT'!$B$4:$B$745=IF(SelectedScope="All India",INDEX('RAW_DISTRICT'!$B$4:$B$745,64),SelectedScope))*'RAW_DISTRICT'!$I$4:$I$745))/(SUMPRODUCT(('RAW_DISTRICT'!$C$4:$C$745=$B69)*('RAW_DISTRICT'!$B$4:$B$745=IF(SelectedScope="All India",INDEX('RAW_DISTRICT'!$B$4:$B$745,64),SelectedScope))*'RAW_DISTRICT'!$H$4:$H$745))),"")</f>
        <v/>
      </c>
      <c r="H69" s="10" t="str">
        <f>IFERROR(IF($B69="","",INDEX('RAW_DISTRICT'!$R$4:$R$745,MATCH(1,('RAW_DISTRICT'!$C$4:$C$745=$B69)*('RAW_DISTRICT'!$B$4:$B$745=IF(SelectedScope="All India",INDEX('RAW_DISTRICT'!$B$4:$B$745,64),SelectedScope)),0))),"")</f>
        <v/>
      </c>
      <c r="I69" s="10" t="str">
        <f>IFERROR(IF($B69="","",INDEX('RAW_DISTRICT'!$S$4:$S$745,MATCH(1,('RAW_DISTRICT'!$C$4:$C$745=$B69)*('RAW_DISTRICT'!$B$4:$B$745=IF(SelectedScope="All India",INDEX('RAW_DISTRICT'!$B$4:$B$745,64),SelectedScope)),0))),"")</f>
        <v/>
      </c>
    </row>
    <row r="70" spans="1:9" ht="15" customHeight="1" x14ac:dyDescent="0.3">
      <c r="A70" s="24">
        <v>65</v>
      </c>
      <c r="B70" s="12" t="str">
        <f>IFERROR(IF(SelectedScope="All India",INDEX('RAW_DISTRICT'!$C$4:$C$745,65),INDEX('RAW_DISTRICT'!$C$4:$C$745,MATCH(65,'RAW_DISTRICT'!$V$4:$V$745,0))),"")</f>
        <v>Karimganj</v>
      </c>
      <c r="C70" s="13" t="str">
        <f>IFERROR(IF($B70="","",INDEX('RAW_DISTRICT'!$E$4:$E$745,MATCH(1,('RAW_DISTRICT'!$C$4:$C$745=$B70)*('RAW_DISTRICT'!$B$4:$B$745=IF(SelectedScope="All India",INDEX('RAW_DISTRICT'!$B$4:$B$745,65),SelectedScope)),0))),"")</f>
        <v/>
      </c>
      <c r="D70" s="13">
        <f>IFERROR(IF($B70="","",SUMPRODUCT(('RAW_DISTRICT'!$C$4:$C$745=$B70)*('RAW_DISTRICT'!$B$4:$B$745=IF(SelectedScope="All India",INDEX('RAW_DISTRICT'!$B$4:$B$745,65),SelectedScope))*'RAW_DISTRICT'!$P$4:$P$745)),"")</f>
        <v>0</v>
      </c>
      <c r="E70" s="13">
        <f>IFERROR(IF($B70="","",SUMPRODUCT(('RAW_DISTRICT'!$C$4:$C$745=$B70)*('RAW_DISTRICT'!$B$4:$B$745=IF(SelectedScope="All India",INDEX('RAW_DISTRICT'!$B$4:$B$745,65),SelectedScope))*'RAW_DISTRICT'!$Q$4:$Q$745)),"")</f>
        <v>0</v>
      </c>
      <c r="F70" s="13">
        <f>IFERROR(IF($B70="","",SUMPRODUCT(('RAW_DISTRICT'!$C$4:$C$745=$B70)*('RAW_DISTRICT'!$B$4:$B$745=IF(SelectedScope="All India",INDEX('RAW_DISTRICT'!$B$4:$B$745,65),SelectedScope))*'RAW_DISTRICT'!$F$4:$F$745)),"")</f>
        <v>0</v>
      </c>
      <c r="G70" s="14" t="str">
        <f>IFERROR(IF($B70="","",(SUMPRODUCT(('RAW_DISTRICT'!$C$4:$C$745=$B70)*('RAW_DISTRICT'!$B$4:$B$745=IF(SelectedScope="All India",INDEX('RAW_DISTRICT'!$B$4:$B$745,65),SelectedScope))*'RAW_DISTRICT'!$I$4:$I$745))/(SUMPRODUCT(('RAW_DISTRICT'!$C$4:$C$745=$B70)*('RAW_DISTRICT'!$B$4:$B$745=IF(SelectedScope="All India",INDEX('RAW_DISTRICT'!$B$4:$B$745,65),SelectedScope))*'RAW_DISTRICT'!$H$4:$H$745))),"")</f>
        <v/>
      </c>
      <c r="H70" s="13" t="str">
        <f>IFERROR(IF($B70="","",INDEX('RAW_DISTRICT'!$R$4:$R$745,MATCH(1,('RAW_DISTRICT'!$C$4:$C$745=$B70)*('RAW_DISTRICT'!$B$4:$B$745=IF(SelectedScope="All India",INDEX('RAW_DISTRICT'!$B$4:$B$745,65),SelectedScope)),0))),"")</f>
        <v/>
      </c>
      <c r="I70" s="13" t="str">
        <f>IFERROR(IF($B70="","",INDEX('RAW_DISTRICT'!$S$4:$S$745,MATCH(1,('RAW_DISTRICT'!$C$4:$C$745=$B70)*('RAW_DISTRICT'!$B$4:$B$745=IF(SelectedScope="All India",INDEX('RAW_DISTRICT'!$B$4:$B$745,65),SelectedScope)),0))),"")</f>
        <v/>
      </c>
    </row>
    <row r="71" spans="1:9" ht="15" customHeight="1" x14ac:dyDescent="0.3">
      <c r="A71" s="23">
        <v>66</v>
      </c>
      <c r="B71" s="9" t="str">
        <f>IFERROR(IF(SelectedScope="All India",INDEX('RAW_DISTRICT'!$C$4:$C$745,66),INDEX('RAW_DISTRICT'!$C$4:$C$745,MATCH(66,'RAW_DISTRICT'!$V$4:$V$745,0))),"")</f>
        <v>Kokrajhar</v>
      </c>
      <c r="C71" s="10" t="str">
        <f>IFERROR(IF($B71="","",INDEX('RAW_DISTRICT'!$E$4:$E$745,MATCH(1,('RAW_DISTRICT'!$C$4:$C$745=$B71)*('RAW_DISTRICT'!$B$4:$B$745=IF(SelectedScope="All India",INDEX('RAW_DISTRICT'!$B$4:$B$745,66),SelectedScope)),0))),"")</f>
        <v/>
      </c>
      <c r="D71" s="10">
        <f>IFERROR(IF($B71="","",SUMPRODUCT(('RAW_DISTRICT'!$C$4:$C$745=$B71)*('RAW_DISTRICT'!$B$4:$B$745=IF(SelectedScope="All India",INDEX('RAW_DISTRICT'!$B$4:$B$745,66),SelectedScope))*'RAW_DISTRICT'!$P$4:$P$745)),"")</f>
        <v>0</v>
      </c>
      <c r="E71" s="10">
        <f>IFERROR(IF($B71="","",SUMPRODUCT(('RAW_DISTRICT'!$C$4:$C$745=$B71)*('RAW_DISTRICT'!$B$4:$B$745=IF(SelectedScope="All India",INDEX('RAW_DISTRICT'!$B$4:$B$745,66),SelectedScope))*'RAW_DISTRICT'!$Q$4:$Q$745)),"")</f>
        <v>0</v>
      </c>
      <c r="F71" s="10">
        <f>IFERROR(IF($B71="","",SUMPRODUCT(('RAW_DISTRICT'!$C$4:$C$745=$B71)*('RAW_DISTRICT'!$B$4:$B$745=IF(SelectedScope="All India",INDEX('RAW_DISTRICT'!$B$4:$B$745,66),SelectedScope))*'RAW_DISTRICT'!$F$4:$F$745)),"")</f>
        <v>0</v>
      </c>
      <c r="G71" s="11" t="str">
        <f>IFERROR(IF($B71="","",(SUMPRODUCT(('RAW_DISTRICT'!$C$4:$C$745=$B71)*('RAW_DISTRICT'!$B$4:$B$745=IF(SelectedScope="All India",INDEX('RAW_DISTRICT'!$B$4:$B$745,66),SelectedScope))*'RAW_DISTRICT'!$I$4:$I$745))/(SUMPRODUCT(('RAW_DISTRICT'!$C$4:$C$745=$B71)*('RAW_DISTRICT'!$B$4:$B$745=IF(SelectedScope="All India",INDEX('RAW_DISTRICT'!$B$4:$B$745,66),SelectedScope))*'RAW_DISTRICT'!$H$4:$H$745))),"")</f>
        <v/>
      </c>
      <c r="H71" s="10" t="str">
        <f>IFERROR(IF($B71="","",INDEX('RAW_DISTRICT'!$R$4:$R$745,MATCH(1,('RAW_DISTRICT'!$C$4:$C$745=$B71)*('RAW_DISTRICT'!$B$4:$B$745=IF(SelectedScope="All India",INDEX('RAW_DISTRICT'!$B$4:$B$745,66),SelectedScope)),0))),"")</f>
        <v/>
      </c>
      <c r="I71" s="10" t="str">
        <f>IFERROR(IF($B71="","",INDEX('RAW_DISTRICT'!$S$4:$S$745,MATCH(1,('RAW_DISTRICT'!$C$4:$C$745=$B71)*('RAW_DISTRICT'!$B$4:$B$745=IF(SelectedScope="All India",INDEX('RAW_DISTRICT'!$B$4:$B$745,66),SelectedScope)),0))),"")</f>
        <v/>
      </c>
    </row>
    <row r="72" spans="1:9" ht="15" customHeight="1" x14ac:dyDescent="0.3">
      <c r="A72" s="24">
        <v>67</v>
      </c>
      <c r="B72" s="12" t="str">
        <f>IFERROR(IF(SelectedScope="All India",INDEX('RAW_DISTRICT'!$C$4:$C$745,67),INDEX('RAW_DISTRICT'!$C$4:$C$745,MATCH(67,'RAW_DISTRICT'!$V$4:$V$745,0))),"")</f>
        <v>Lakhimpur</v>
      </c>
      <c r="C72" s="13" t="str">
        <f>IFERROR(IF($B72="","",INDEX('RAW_DISTRICT'!$E$4:$E$745,MATCH(1,('RAW_DISTRICT'!$C$4:$C$745=$B72)*('RAW_DISTRICT'!$B$4:$B$745=IF(SelectedScope="All India",INDEX('RAW_DISTRICT'!$B$4:$B$745,67),SelectedScope)),0))),"")</f>
        <v/>
      </c>
      <c r="D72" s="13">
        <f>IFERROR(IF($B72="","",SUMPRODUCT(('RAW_DISTRICT'!$C$4:$C$745=$B72)*('RAW_DISTRICT'!$B$4:$B$745=IF(SelectedScope="All India",INDEX('RAW_DISTRICT'!$B$4:$B$745,67),SelectedScope))*'RAW_DISTRICT'!$P$4:$P$745)),"")</f>
        <v>0</v>
      </c>
      <c r="E72" s="13">
        <f>IFERROR(IF($B72="","",SUMPRODUCT(('RAW_DISTRICT'!$C$4:$C$745=$B72)*('RAW_DISTRICT'!$B$4:$B$745=IF(SelectedScope="All India",INDEX('RAW_DISTRICT'!$B$4:$B$745,67),SelectedScope))*'RAW_DISTRICT'!$Q$4:$Q$745)),"")</f>
        <v>0</v>
      </c>
      <c r="F72" s="13">
        <f>IFERROR(IF($B72="","",SUMPRODUCT(('RAW_DISTRICT'!$C$4:$C$745=$B72)*('RAW_DISTRICT'!$B$4:$B$745=IF(SelectedScope="All India",INDEX('RAW_DISTRICT'!$B$4:$B$745,67),SelectedScope))*'RAW_DISTRICT'!$F$4:$F$745)),"")</f>
        <v>0</v>
      </c>
      <c r="G72" s="14" t="str">
        <f>IFERROR(IF($B72="","",(SUMPRODUCT(('RAW_DISTRICT'!$C$4:$C$745=$B72)*('RAW_DISTRICT'!$B$4:$B$745=IF(SelectedScope="All India",INDEX('RAW_DISTRICT'!$B$4:$B$745,67),SelectedScope))*'RAW_DISTRICT'!$I$4:$I$745))/(SUMPRODUCT(('RAW_DISTRICT'!$C$4:$C$745=$B72)*('RAW_DISTRICT'!$B$4:$B$745=IF(SelectedScope="All India",INDEX('RAW_DISTRICT'!$B$4:$B$745,67),SelectedScope))*'RAW_DISTRICT'!$H$4:$H$745))),"")</f>
        <v/>
      </c>
      <c r="H72" s="13" t="str">
        <f>IFERROR(IF($B72="","",INDEX('RAW_DISTRICT'!$R$4:$R$745,MATCH(1,('RAW_DISTRICT'!$C$4:$C$745=$B72)*('RAW_DISTRICT'!$B$4:$B$745=IF(SelectedScope="All India",INDEX('RAW_DISTRICT'!$B$4:$B$745,67),SelectedScope)),0))),"")</f>
        <v/>
      </c>
      <c r="I72" s="13" t="str">
        <f>IFERROR(IF($B72="","",INDEX('RAW_DISTRICT'!$S$4:$S$745,MATCH(1,('RAW_DISTRICT'!$C$4:$C$745=$B72)*('RAW_DISTRICT'!$B$4:$B$745=IF(SelectedScope="All India",INDEX('RAW_DISTRICT'!$B$4:$B$745,67),SelectedScope)),0))),"")</f>
        <v/>
      </c>
    </row>
    <row r="73" spans="1:9" ht="15" customHeight="1" x14ac:dyDescent="0.3">
      <c r="A73" s="23">
        <v>68</v>
      </c>
      <c r="B73" s="9" t="str">
        <f>IFERROR(IF(SelectedScope="All India",INDEX('RAW_DISTRICT'!$C$4:$C$745,68),INDEX('RAW_DISTRICT'!$C$4:$C$745,MATCH(68,'RAW_DISTRICT'!$V$4:$V$745,0))),"")</f>
        <v>Majuli</v>
      </c>
      <c r="C73" s="10" t="str">
        <f>IFERROR(IF($B73="","",INDEX('RAW_DISTRICT'!$E$4:$E$745,MATCH(1,('RAW_DISTRICT'!$C$4:$C$745=$B73)*('RAW_DISTRICT'!$B$4:$B$745=IF(SelectedScope="All India",INDEX('RAW_DISTRICT'!$B$4:$B$745,68),SelectedScope)),0))),"")</f>
        <v/>
      </c>
      <c r="D73" s="10">
        <f>IFERROR(IF($B73="","",SUMPRODUCT(('RAW_DISTRICT'!$C$4:$C$745=$B73)*('RAW_DISTRICT'!$B$4:$B$745=IF(SelectedScope="All India",INDEX('RAW_DISTRICT'!$B$4:$B$745,68),SelectedScope))*'RAW_DISTRICT'!$P$4:$P$745)),"")</f>
        <v>0</v>
      </c>
      <c r="E73" s="10">
        <f>IFERROR(IF($B73="","",SUMPRODUCT(('RAW_DISTRICT'!$C$4:$C$745=$B73)*('RAW_DISTRICT'!$B$4:$B$745=IF(SelectedScope="All India",INDEX('RAW_DISTRICT'!$B$4:$B$745,68),SelectedScope))*'RAW_DISTRICT'!$Q$4:$Q$745)),"")</f>
        <v>0</v>
      </c>
      <c r="F73" s="10">
        <f>IFERROR(IF($B73="","",SUMPRODUCT(('RAW_DISTRICT'!$C$4:$C$745=$B73)*('RAW_DISTRICT'!$B$4:$B$745=IF(SelectedScope="All India",INDEX('RAW_DISTRICT'!$B$4:$B$745,68),SelectedScope))*'RAW_DISTRICT'!$F$4:$F$745)),"")</f>
        <v>0</v>
      </c>
      <c r="G73" s="11" t="str">
        <f>IFERROR(IF($B73="","",(SUMPRODUCT(('RAW_DISTRICT'!$C$4:$C$745=$B73)*('RAW_DISTRICT'!$B$4:$B$745=IF(SelectedScope="All India",INDEX('RAW_DISTRICT'!$B$4:$B$745,68),SelectedScope))*'RAW_DISTRICT'!$I$4:$I$745))/(SUMPRODUCT(('RAW_DISTRICT'!$C$4:$C$745=$B73)*('RAW_DISTRICT'!$B$4:$B$745=IF(SelectedScope="All India",INDEX('RAW_DISTRICT'!$B$4:$B$745,68),SelectedScope))*'RAW_DISTRICT'!$H$4:$H$745))),"")</f>
        <v/>
      </c>
      <c r="H73" s="10" t="str">
        <f>IFERROR(IF($B73="","",INDEX('RAW_DISTRICT'!$R$4:$R$745,MATCH(1,('RAW_DISTRICT'!$C$4:$C$745=$B73)*('RAW_DISTRICT'!$B$4:$B$745=IF(SelectedScope="All India",INDEX('RAW_DISTRICT'!$B$4:$B$745,68),SelectedScope)),0))),"")</f>
        <v/>
      </c>
      <c r="I73" s="10" t="str">
        <f>IFERROR(IF($B73="","",INDEX('RAW_DISTRICT'!$S$4:$S$745,MATCH(1,('RAW_DISTRICT'!$C$4:$C$745=$B73)*('RAW_DISTRICT'!$B$4:$B$745=IF(SelectedScope="All India",INDEX('RAW_DISTRICT'!$B$4:$B$745,68),SelectedScope)),0))),"")</f>
        <v/>
      </c>
    </row>
    <row r="74" spans="1:9" ht="15" customHeight="1" x14ac:dyDescent="0.3">
      <c r="A74" s="24">
        <v>69</v>
      </c>
      <c r="B74" s="12" t="str">
        <f>IFERROR(IF(SelectedScope="All India",INDEX('RAW_DISTRICT'!$C$4:$C$745,69),INDEX('RAW_DISTRICT'!$C$4:$C$745,MATCH(69,'RAW_DISTRICT'!$V$4:$V$745,0))),"")</f>
        <v>Morigaon</v>
      </c>
      <c r="C74" s="13" t="str">
        <f>IFERROR(IF($B74="","",INDEX('RAW_DISTRICT'!$E$4:$E$745,MATCH(1,('RAW_DISTRICT'!$C$4:$C$745=$B74)*('RAW_DISTRICT'!$B$4:$B$745=IF(SelectedScope="All India",INDEX('RAW_DISTRICT'!$B$4:$B$745,69),SelectedScope)),0))),"")</f>
        <v/>
      </c>
      <c r="D74" s="13">
        <f>IFERROR(IF($B74="","",SUMPRODUCT(('RAW_DISTRICT'!$C$4:$C$745=$B74)*('RAW_DISTRICT'!$B$4:$B$745=IF(SelectedScope="All India",INDEX('RAW_DISTRICT'!$B$4:$B$745,69),SelectedScope))*'RAW_DISTRICT'!$P$4:$P$745)),"")</f>
        <v>0</v>
      </c>
      <c r="E74" s="13">
        <f>IFERROR(IF($B74="","",SUMPRODUCT(('RAW_DISTRICT'!$C$4:$C$745=$B74)*('RAW_DISTRICT'!$B$4:$B$745=IF(SelectedScope="All India",INDEX('RAW_DISTRICT'!$B$4:$B$745,69),SelectedScope))*'RAW_DISTRICT'!$Q$4:$Q$745)),"")</f>
        <v>0</v>
      </c>
      <c r="F74" s="13">
        <f>IFERROR(IF($B74="","",SUMPRODUCT(('RAW_DISTRICT'!$C$4:$C$745=$B74)*('RAW_DISTRICT'!$B$4:$B$745=IF(SelectedScope="All India",INDEX('RAW_DISTRICT'!$B$4:$B$745,69),SelectedScope))*'RAW_DISTRICT'!$F$4:$F$745)),"")</f>
        <v>0</v>
      </c>
      <c r="G74" s="14" t="str">
        <f>IFERROR(IF($B74="","",(SUMPRODUCT(('RAW_DISTRICT'!$C$4:$C$745=$B74)*('RAW_DISTRICT'!$B$4:$B$745=IF(SelectedScope="All India",INDEX('RAW_DISTRICT'!$B$4:$B$745,69),SelectedScope))*'RAW_DISTRICT'!$I$4:$I$745))/(SUMPRODUCT(('RAW_DISTRICT'!$C$4:$C$745=$B74)*('RAW_DISTRICT'!$B$4:$B$745=IF(SelectedScope="All India",INDEX('RAW_DISTRICT'!$B$4:$B$745,69),SelectedScope))*'RAW_DISTRICT'!$H$4:$H$745))),"")</f>
        <v/>
      </c>
      <c r="H74" s="13" t="str">
        <f>IFERROR(IF($B74="","",INDEX('RAW_DISTRICT'!$R$4:$R$745,MATCH(1,('RAW_DISTRICT'!$C$4:$C$745=$B74)*('RAW_DISTRICT'!$B$4:$B$745=IF(SelectedScope="All India",INDEX('RAW_DISTRICT'!$B$4:$B$745,69),SelectedScope)),0))),"")</f>
        <v/>
      </c>
      <c r="I74" s="13" t="str">
        <f>IFERROR(IF($B74="","",INDEX('RAW_DISTRICT'!$S$4:$S$745,MATCH(1,('RAW_DISTRICT'!$C$4:$C$745=$B74)*('RAW_DISTRICT'!$B$4:$B$745=IF(SelectedScope="All India",INDEX('RAW_DISTRICT'!$B$4:$B$745,69),SelectedScope)),0))),"")</f>
        <v/>
      </c>
    </row>
    <row r="75" spans="1:9" ht="15" customHeight="1" x14ac:dyDescent="0.3">
      <c r="A75" s="23">
        <v>70</v>
      </c>
      <c r="B75" s="9" t="str">
        <f>IFERROR(IF(SelectedScope="All India",INDEX('RAW_DISTRICT'!$C$4:$C$745,70),INDEX('RAW_DISTRICT'!$C$4:$C$745,MATCH(70,'RAW_DISTRICT'!$V$4:$V$745,0))),"")</f>
        <v>Nagaon</v>
      </c>
      <c r="C75" s="10" t="str">
        <f>IFERROR(IF($B75="","",INDEX('RAW_DISTRICT'!$E$4:$E$745,MATCH(1,('RAW_DISTRICT'!$C$4:$C$745=$B75)*('RAW_DISTRICT'!$B$4:$B$745=IF(SelectedScope="All India",INDEX('RAW_DISTRICT'!$B$4:$B$745,70),SelectedScope)),0))),"")</f>
        <v/>
      </c>
      <c r="D75" s="10">
        <f>IFERROR(IF($B75="","",SUMPRODUCT(('RAW_DISTRICT'!$C$4:$C$745=$B75)*('RAW_DISTRICT'!$B$4:$B$745=IF(SelectedScope="All India",INDEX('RAW_DISTRICT'!$B$4:$B$745,70),SelectedScope))*'RAW_DISTRICT'!$P$4:$P$745)),"")</f>
        <v>0</v>
      </c>
      <c r="E75" s="10">
        <f>IFERROR(IF($B75="","",SUMPRODUCT(('RAW_DISTRICT'!$C$4:$C$745=$B75)*('RAW_DISTRICT'!$B$4:$B$745=IF(SelectedScope="All India",INDEX('RAW_DISTRICT'!$B$4:$B$745,70),SelectedScope))*'RAW_DISTRICT'!$Q$4:$Q$745)),"")</f>
        <v>0</v>
      </c>
      <c r="F75" s="10">
        <f>IFERROR(IF($B75="","",SUMPRODUCT(('RAW_DISTRICT'!$C$4:$C$745=$B75)*('RAW_DISTRICT'!$B$4:$B$745=IF(SelectedScope="All India",INDEX('RAW_DISTRICT'!$B$4:$B$745,70),SelectedScope))*'RAW_DISTRICT'!$F$4:$F$745)),"")</f>
        <v>0</v>
      </c>
      <c r="G75" s="11" t="str">
        <f>IFERROR(IF($B75="","",(SUMPRODUCT(('RAW_DISTRICT'!$C$4:$C$745=$B75)*('RAW_DISTRICT'!$B$4:$B$745=IF(SelectedScope="All India",INDEX('RAW_DISTRICT'!$B$4:$B$745,70),SelectedScope))*'RAW_DISTRICT'!$I$4:$I$745))/(SUMPRODUCT(('RAW_DISTRICT'!$C$4:$C$745=$B75)*('RAW_DISTRICT'!$B$4:$B$745=IF(SelectedScope="All India",INDEX('RAW_DISTRICT'!$B$4:$B$745,70),SelectedScope))*'RAW_DISTRICT'!$H$4:$H$745))),"")</f>
        <v/>
      </c>
      <c r="H75" s="10" t="str">
        <f>IFERROR(IF($B75="","",INDEX('RAW_DISTRICT'!$R$4:$R$745,MATCH(1,('RAW_DISTRICT'!$C$4:$C$745=$B75)*('RAW_DISTRICT'!$B$4:$B$745=IF(SelectedScope="All India",INDEX('RAW_DISTRICT'!$B$4:$B$745,70),SelectedScope)),0))),"")</f>
        <v/>
      </c>
      <c r="I75" s="10" t="str">
        <f>IFERROR(IF($B75="","",INDEX('RAW_DISTRICT'!$S$4:$S$745,MATCH(1,('RAW_DISTRICT'!$C$4:$C$745=$B75)*('RAW_DISTRICT'!$B$4:$B$745=IF(SelectedScope="All India",INDEX('RAW_DISTRICT'!$B$4:$B$745,70),SelectedScope)),0))),"")</f>
        <v/>
      </c>
    </row>
    <row r="76" spans="1:9" ht="15" customHeight="1" x14ac:dyDescent="0.3">
      <c r="A76" s="24">
        <v>71</v>
      </c>
      <c r="B76" s="12" t="str">
        <f>IFERROR(IF(SelectedScope="All India",INDEX('RAW_DISTRICT'!$C$4:$C$745,71),INDEX('RAW_DISTRICT'!$C$4:$C$745,MATCH(71,'RAW_DISTRICT'!$V$4:$V$745,0))),"")</f>
        <v>Nalbari</v>
      </c>
      <c r="C76" s="13" t="str">
        <f>IFERROR(IF($B76="","",INDEX('RAW_DISTRICT'!$E$4:$E$745,MATCH(1,('RAW_DISTRICT'!$C$4:$C$745=$B76)*('RAW_DISTRICT'!$B$4:$B$745=IF(SelectedScope="All India",INDEX('RAW_DISTRICT'!$B$4:$B$745,71),SelectedScope)),0))),"")</f>
        <v/>
      </c>
      <c r="D76" s="13">
        <f>IFERROR(IF($B76="","",SUMPRODUCT(('RAW_DISTRICT'!$C$4:$C$745=$B76)*('RAW_DISTRICT'!$B$4:$B$745=IF(SelectedScope="All India",INDEX('RAW_DISTRICT'!$B$4:$B$745,71),SelectedScope))*'RAW_DISTRICT'!$P$4:$P$745)),"")</f>
        <v>0</v>
      </c>
      <c r="E76" s="13">
        <f>IFERROR(IF($B76="","",SUMPRODUCT(('RAW_DISTRICT'!$C$4:$C$745=$B76)*('RAW_DISTRICT'!$B$4:$B$745=IF(SelectedScope="All India",INDEX('RAW_DISTRICT'!$B$4:$B$745,71),SelectedScope))*'RAW_DISTRICT'!$Q$4:$Q$745)),"")</f>
        <v>0</v>
      </c>
      <c r="F76" s="13">
        <f>IFERROR(IF($B76="","",SUMPRODUCT(('RAW_DISTRICT'!$C$4:$C$745=$B76)*('RAW_DISTRICT'!$B$4:$B$745=IF(SelectedScope="All India",INDEX('RAW_DISTRICT'!$B$4:$B$745,71),SelectedScope))*'RAW_DISTRICT'!$F$4:$F$745)),"")</f>
        <v>0</v>
      </c>
      <c r="G76" s="14" t="str">
        <f>IFERROR(IF($B76="","",(SUMPRODUCT(('RAW_DISTRICT'!$C$4:$C$745=$B76)*('RAW_DISTRICT'!$B$4:$B$745=IF(SelectedScope="All India",INDEX('RAW_DISTRICT'!$B$4:$B$745,71),SelectedScope))*'RAW_DISTRICT'!$I$4:$I$745))/(SUMPRODUCT(('RAW_DISTRICT'!$C$4:$C$745=$B76)*('RAW_DISTRICT'!$B$4:$B$745=IF(SelectedScope="All India",INDEX('RAW_DISTRICT'!$B$4:$B$745,71),SelectedScope))*'RAW_DISTRICT'!$H$4:$H$745))),"")</f>
        <v/>
      </c>
      <c r="H76" s="13" t="str">
        <f>IFERROR(IF($B76="","",INDEX('RAW_DISTRICT'!$R$4:$R$745,MATCH(1,('RAW_DISTRICT'!$C$4:$C$745=$B76)*('RAW_DISTRICT'!$B$4:$B$745=IF(SelectedScope="All India",INDEX('RAW_DISTRICT'!$B$4:$B$745,71),SelectedScope)),0))),"")</f>
        <v/>
      </c>
      <c r="I76" s="13" t="str">
        <f>IFERROR(IF($B76="","",INDEX('RAW_DISTRICT'!$S$4:$S$745,MATCH(1,('RAW_DISTRICT'!$C$4:$C$745=$B76)*('RAW_DISTRICT'!$B$4:$B$745=IF(SelectedScope="All India",INDEX('RAW_DISTRICT'!$B$4:$B$745,71),SelectedScope)),0))),"")</f>
        <v/>
      </c>
    </row>
    <row r="77" spans="1:9" ht="15" customHeight="1" x14ac:dyDescent="0.3">
      <c r="A77" s="23">
        <v>72</v>
      </c>
      <c r="B77" s="9" t="str">
        <f>IFERROR(IF(SelectedScope="All India",INDEX('RAW_DISTRICT'!$C$4:$C$745,72),INDEX('RAW_DISTRICT'!$C$4:$C$745,MATCH(72,'RAW_DISTRICT'!$V$4:$V$745,0))),"")</f>
        <v>Sivasagar</v>
      </c>
      <c r="C77" s="10" t="str">
        <f>IFERROR(IF($B77="","",INDEX('RAW_DISTRICT'!$E$4:$E$745,MATCH(1,('RAW_DISTRICT'!$C$4:$C$745=$B77)*('RAW_DISTRICT'!$B$4:$B$745=IF(SelectedScope="All India",INDEX('RAW_DISTRICT'!$B$4:$B$745,72),SelectedScope)),0))),"")</f>
        <v/>
      </c>
      <c r="D77" s="10">
        <f>IFERROR(IF($B77="","",SUMPRODUCT(('RAW_DISTRICT'!$C$4:$C$745=$B77)*('RAW_DISTRICT'!$B$4:$B$745=IF(SelectedScope="All India",INDEX('RAW_DISTRICT'!$B$4:$B$745,72),SelectedScope))*'RAW_DISTRICT'!$P$4:$P$745)),"")</f>
        <v>0</v>
      </c>
      <c r="E77" s="10">
        <f>IFERROR(IF($B77="","",SUMPRODUCT(('RAW_DISTRICT'!$C$4:$C$745=$B77)*('RAW_DISTRICT'!$B$4:$B$745=IF(SelectedScope="All India",INDEX('RAW_DISTRICT'!$B$4:$B$745,72),SelectedScope))*'RAW_DISTRICT'!$Q$4:$Q$745)),"")</f>
        <v>0</v>
      </c>
      <c r="F77" s="10">
        <f>IFERROR(IF($B77="","",SUMPRODUCT(('RAW_DISTRICT'!$C$4:$C$745=$B77)*('RAW_DISTRICT'!$B$4:$B$745=IF(SelectedScope="All India",INDEX('RAW_DISTRICT'!$B$4:$B$745,72),SelectedScope))*'RAW_DISTRICT'!$F$4:$F$745)),"")</f>
        <v>0</v>
      </c>
      <c r="G77" s="11" t="str">
        <f>IFERROR(IF($B77="","",(SUMPRODUCT(('RAW_DISTRICT'!$C$4:$C$745=$B77)*('RAW_DISTRICT'!$B$4:$B$745=IF(SelectedScope="All India",INDEX('RAW_DISTRICT'!$B$4:$B$745,72),SelectedScope))*'RAW_DISTRICT'!$I$4:$I$745))/(SUMPRODUCT(('RAW_DISTRICT'!$C$4:$C$745=$B77)*('RAW_DISTRICT'!$B$4:$B$745=IF(SelectedScope="All India",INDEX('RAW_DISTRICT'!$B$4:$B$745,72),SelectedScope))*'RAW_DISTRICT'!$H$4:$H$745))),"")</f>
        <v/>
      </c>
      <c r="H77" s="10" t="str">
        <f>IFERROR(IF($B77="","",INDEX('RAW_DISTRICT'!$R$4:$R$745,MATCH(1,('RAW_DISTRICT'!$C$4:$C$745=$B77)*('RAW_DISTRICT'!$B$4:$B$745=IF(SelectedScope="All India",INDEX('RAW_DISTRICT'!$B$4:$B$745,72),SelectedScope)),0))),"")</f>
        <v/>
      </c>
      <c r="I77" s="10" t="str">
        <f>IFERROR(IF($B77="","",INDEX('RAW_DISTRICT'!$S$4:$S$745,MATCH(1,('RAW_DISTRICT'!$C$4:$C$745=$B77)*('RAW_DISTRICT'!$B$4:$B$745=IF(SelectedScope="All India",INDEX('RAW_DISTRICT'!$B$4:$B$745,72),SelectedScope)),0))),"")</f>
        <v/>
      </c>
    </row>
    <row r="78" spans="1:9" ht="15" customHeight="1" x14ac:dyDescent="0.3">
      <c r="A78" s="24">
        <v>73</v>
      </c>
      <c r="B78" s="12" t="str">
        <f>IFERROR(IF(SelectedScope="All India",INDEX('RAW_DISTRICT'!$C$4:$C$745,73),INDEX('RAW_DISTRICT'!$C$4:$C$745,MATCH(73,'RAW_DISTRICT'!$V$4:$V$745,0))),"")</f>
        <v>Sonitpur</v>
      </c>
      <c r="C78" s="13" t="str">
        <f>IFERROR(IF($B78="","",INDEX('RAW_DISTRICT'!$E$4:$E$745,MATCH(1,('RAW_DISTRICT'!$C$4:$C$745=$B78)*('RAW_DISTRICT'!$B$4:$B$745=IF(SelectedScope="All India",INDEX('RAW_DISTRICT'!$B$4:$B$745,73),SelectedScope)),0))),"")</f>
        <v/>
      </c>
      <c r="D78" s="13">
        <f>IFERROR(IF($B78="","",SUMPRODUCT(('RAW_DISTRICT'!$C$4:$C$745=$B78)*('RAW_DISTRICT'!$B$4:$B$745=IF(SelectedScope="All India",INDEX('RAW_DISTRICT'!$B$4:$B$745,73),SelectedScope))*'RAW_DISTRICT'!$P$4:$P$745)),"")</f>
        <v>0</v>
      </c>
      <c r="E78" s="13">
        <f>IFERROR(IF($B78="","",SUMPRODUCT(('RAW_DISTRICT'!$C$4:$C$745=$B78)*('RAW_DISTRICT'!$B$4:$B$745=IF(SelectedScope="All India",INDEX('RAW_DISTRICT'!$B$4:$B$745,73),SelectedScope))*'RAW_DISTRICT'!$Q$4:$Q$745)),"")</f>
        <v>0</v>
      </c>
      <c r="F78" s="13">
        <f>IFERROR(IF($B78="","",SUMPRODUCT(('RAW_DISTRICT'!$C$4:$C$745=$B78)*('RAW_DISTRICT'!$B$4:$B$745=IF(SelectedScope="All India",INDEX('RAW_DISTRICT'!$B$4:$B$745,73),SelectedScope))*'RAW_DISTRICT'!$F$4:$F$745)),"")</f>
        <v>0</v>
      </c>
      <c r="G78" s="14" t="str">
        <f>IFERROR(IF($B78="","",(SUMPRODUCT(('RAW_DISTRICT'!$C$4:$C$745=$B78)*('RAW_DISTRICT'!$B$4:$B$745=IF(SelectedScope="All India",INDEX('RAW_DISTRICT'!$B$4:$B$745,73),SelectedScope))*'RAW_DISTRICT'!$I$4:$I$745))/(SUMPRODUCT(('RAW_DISTRICT'!$C$4:$C$745=$B78)*('RAW_DISTRICT'!$B$4:$B$745=IF(SelectedScope="All India",INDEX('RAW_DISTRICT'!$B$4:$B$745,73),SelectedScope))*'RAW_DISTRICT'!$H$4:$H$745))),"")</f>
        <v/>
      </c>
      <c r="H78" s="13" t="str">
        <f>IFERROR(IF($B78="","",INDEX('RAW_DISTRICT'!$R$4:$R$745,MATCH(1,('RAW_DISTRICT'!$C$4:$C$745=$B78)*('RAW_DISTRICT'!$B$4:$B$745=IF(SelectedScope="All India",INDEX('RAW_DISTRICT'!$B$4:$B$745,73),SelectedScope)),0))),"")</f>
        <v/>
      </c>
      <c r="I78" s="13" t="str">
        <f>IFERROR(IF($B78="","",INDEX('RAW_DISTRICT'!$S$4:$S$745,MATCH(1,('RAW_DISTRICT'!$C$4:$C$745=$B78)*('RAW_DISTRICT'!$B$4:$B$745=IF(SelectedScope="All India",INDEX('RAW_DISTRICT'!$B$4:$B$745,73),SelectedScope)),0))),"")</f>
        <v/>
      </c>
    </row>
    <row r="79" spans="1:9" ht="15" customHeight="1" x14ac:dyDescent="0.3">
      <c r="A79" s="23">
        <v>74</v>
      </c>
      <c r="B79" s="9" t="str">
        <f>IFERROR(IF(SelectedScope="All India",INDEX('RAW_DISTRICT'!$C$4:$C$745,74),INDEX('RAW_DISTRICT'!$C$4:$C$745,MATCH(74,'RAW_DISTRICT'!$V$4:$V$745,0))),"")</f>
        <v>Tinsukia</v>
      </c>
      <c r="C79" s="10" t="str">
        <f>IFERROR(IF($B79="","",INDEX('RAW_DISTRICT'!$E$4:$E$745,MATCH(1,('RAW_DISTRICT'!$C$4:$C$745=$B79)*('RAW_DISTRICT'!$B$4:$B$745=IF(SelectedScope="All India",INDEX('RAW_DISTRICT'!$B$4:$B$745,74),SelectedScope)),0))),"")</f>
        <v/>
      </c>
      <c r="D79" s="10">
        <f>IFERROR(IF($B79="","",SUMPRODUCT(('RAW_DISTRICT'!$C$4:$C$745=$B79)*('RAW_DISTRICT'!$B$4:$B$745=IF(SelectedScope="All India",INDEX('RAW_DISTRICT'!$B$4:$B$745,74),SelectedScope))*'RAW_DISTRICT'!$P$4:$P$745)),"")</f>
        <v>0</v>
      </c>
      <c r="E79" s="10">
        <f>IFERROR(IF($B79="","",SUMPRODUCT(('RAW_DISTRICT'!$C$4:$C$745=$B79)*('RAW_DISTRICT'!$B$4:$B$745=IF(SelectedScope="All India",INDEX('RAW_DISTRICT'!$B$4:$B$745,74),SelectedScope))*'RAW_DISTRICT'!$Q$4:$Q$745)),"")</f>
        <v>0</v>
      </c>
      <c r="F79" s="10">
        <f>IFERROR(IF($B79="","",SUMPRODUCT(('RAW_DISTRICT'!$C$4:$C$745=$B79)*('RAW_DISTRICT'!$B$4:$B$745=IF(SelectedScope="All India",INDEX('RAW_DISTRICT'!$B$4:$B$745,74),SelectedScope))*'RAW_DISTRICT'!$F$4:$F$745)),"")</f>
        <v>0</v>
      </c>
      <c r="G79" s="11" t="str">
        <f>IFERROR(IF($B79="","",(SUMPRODUCT(('RAW_DISTRICT'!$C$4:$C$745=$B79)*('RAW_DISTRICT'!$B$4:$B$745=IF(SelectedScope="All India",INDEX('RAW_DISTRICT'!$B$4:$B$745,74),SelectedScope))*'RAW_DISTRICT'!$I$4:$I$745))/(SUMPRODUCT(('RAW_DISTRICT'!$C$4:$C$745=$B79)*('RAW_DISTRICT'!$B$4:$B$745=IF(SelectedScope="All India",INDEX('RAW_DISTRICT'!$B$4:$B$745,74),SelectedScope))*'RAW_DISTRICT'!$H$4:$H$745))),"")</f>
        <v/>
      </c>
      <c r="H79" s="10" t="str">
        <f>IFERROR(IF($B79="","",INDEX('RAW_DISTRICT'!$R$4:$R$745,MATCH(1,('RAW_DISTRICT'!$C$4:$C$745=$B79)*('RAW_DISTRICT'!$B$4:$B$745=IF(SelectedScope="All India",INDEX('RAW_DISTRICT'!$B$4:$B$745,74),SelectedScope)),0))),"")</f>
        <v/>
      </c>
      <c r="I79" s="10" t="str">
        <f>IFERROR(IF($B79="","",INDEX('RAW_DISTRICT'!$S$4:$S$745,MATCH(1,('RAW_DISTRICT'!$C$4:$C$745=$B79)*('RAW_DISTRICT'!$B$4:$B$745=IF(SelectedScope="All India",INDEX('RAW_DISTRICT'!$B$4:$B$745,74),SelectedScope)),0))),"")</f>
        <v/>
      </c>
    </row>
    <row r="80" spans="1:9" ht="15" customHeight="1" x14ac:dyDescent="0.3">
      <c r="A80" s="24">
        <v>75</v>
      </c>
      <c r="B80" s="12" t="str">
        <f>IFERROR(IF(SelectedScope="All India",INDEX('RAW_DISTRICT'!$C$4:$C$745,75),INDEX('RAW_DISTRICT'!$C$4:$C$745,MATCH(75,'RAW_DISTRICT'!$V$4:$V$745,0))),"")</f>
        <v>Udalguri</v>
      </c>
      <c r="C80" s="13" t="str">
        <f>IFERROR(IF($B80="","",INDEX('RAW_DISTRICT'!$E$4:$E$745,MATCH(1,('RAW_DISTRICT'!$C$4:$C$745=$B80)*('RAW_DISTRICT'!$B$4:$B$745=IF(SelectedScope="All India",INDEX('RAW_DISTRICT'!$B$4:$B$745,75),SelectedScope)),0))),"")</f>
        <v/>
      </c>
      <c r="D80" s="13">
        <f>IFERROR(IF($B80="","",SUMPRODUCT(('RAW_DISTRICT'!$C$4:$C$745=$B80)*('RAW_DISTRICT'!$B$4:$B$745=IF(SelectedScope="All India",INDEX('RAW_DISTRICT'!$B$4:$B$745,75),SelectedScope))*'RAW_DISTRICT'!$P$4:$P$745)),"")</f>
        <v>0</v>
      </c>
      <c r="E80" s="13">
        <f>IFERROR(IF($B80="","",SUMPRODUCT(('RAW_DISTRICT'!$C$4:$C$745=$B80)*('RAW_DISTRICT'!$B$4:$B$745=IF(SelectedScope="All India",INDEX('RAW_DISTRICT'!$B$4:$B$745,75),SelectedScope))*'RAW_DISTRICT'!$Q$4:$Q$745)),"")</f>
        <v>0</v>
      </c>
      <c r="F80" s="13">
        <f>IFERROR(IF($B80="","",SUMPRODUCT(('RAW_DISTRICT'!$C$4:$C$745=$B80)*('RAW_DISTRICT'!$B$4:$B$745=IF(SelectedScope="All India",INDEX('RAW_DISTRICT'!$B$4:$B$745,75),SelectedScope))*'RAW_DISTRICT'!$F$4:$F$745)),"")</f>
        <v>0</v>
      </c>
      <c r="G80" s="14" t="str">
        <f>IFERROR(IF($B80="","",(SUMPRODUCT(('RAW_DISTRICT'!$C$4:$C$745=$B80)*('RAW_DISTRICT'!$B$4:$B$745=IF(SelectedScope="All India",INDEX('RAW_DISTRICT'!$B$4:$B$745,75),SelectedScope))*'RAW_DISTRICT'!$I$4:$I$745))/(SUMPRODUCT(('RAW_DISTRICT'!$C$4:$C$745=$B80)*('RAW_DISTRICT'!$B$4:$B$745=IF(SelectedScope="All India",INDEX('RAW_DISTRICT'!$B$4:$B$745,75),SelectedScope))*'RAW_DISTRICT'!$H$4:$H$745))),"")</f>
        <v/>
      </c>
      <c r="H80" s="13" t="str">
        <f>IFERROR(IF($B80="","",INDEX('RAW_DISTRICT'!$R$4:$R$745,MATCH(1,('RAW_DISTRICT'!$C$4:$C$745=$B80)*('RAW_DISTRICT'!$B$4:$B$745=IF(SelectedScope="All India",INDEX('RAW_DISTRICT'!$B$4:$B$745,75),SelectedScope)),0))),"")</f>
        <v/>
      </c>
      <c r="I80" s="13" t="str">
        <f>IFERROR(IF($B80="","",INDEX('RAW_DISTRICT'!$S$4:$S$745,MATCH(1,('RAW_DISTRICT'!$C$4:$C$745=$B80)*('RAW_DISTRICT'!$B$4:$B$745=IF(SelectedScope="All India",INDEX('RAW_DISTRICT'!$B$4:$B$745,75),SelectedScope)),0))),"")</f>
        <v/>
      </c>
    </row>
    <row r="81" spans="1:9" ht="15" customHeight="1" x14ac:dyDescent="0.3">
      <c r="A81" s="23">
        <v>76</v>
      </c>
      <c r="B81" s="9" t="str">
        <f>IFERROR(IF(SelectedScope="All India",INDEX('RAW_DISTRICT'!$C$4:$C$745,76),INDEX('RAW_DISTRICT'!$C$4:$C$745,MATCH(76,'RAW_DISTRICT'!$V$4:$V$745,0))),"")</f>
        <v>Araria</v>
      </c>
      <c r="C81" s="10" t="str">
        <f>IFERROR(IF($B81="","",INDEX('RAW_DISTRICT'!$E$4:$E$745,MATCH(1,('RAW_DISTRICT'!$C$4:$C$745=$B81)*('RAW_DISTRICT'!$B$4:$B$745=IF(SelectedScope="All India",INDEX('RAW_DISTRICT'!$B$4:$B$745,76),SelectedScope)),0))),"")</f>
        <v/>
      </c>
      <c r="D81" s="10">
        <f>IFERROR(IF($B81="","",SUMPRODUCT(('RAW_DISTRICT'!$C$4:$C$745=$B81)*('RAW_DISTRICT'!$B$4:$B$745=IF(SelectedScope="All India",INDEX('RAW_DISTRICT'!$B$4:$B$745,76),SelectedScope))*'RAW_DISTRICT'!$P$4:$P$745)),"")</f>
        <v>0</v>
      </c>
      <c r="E81" s="10">
        <f>IFERROR(IF($B81="","",SUMPRODUCT(('RAW_DISTRICT'!$C$4:$C$745=$B81)*('RAW_DISTRICT'!$B$4:$B$745=IF(SelectedScope="All India",INDEX('RAW_DISTRICT'!$B$4:$B$745,76),SelectedScope))*'RAW_DISTRICT'!$Q$4:$Q$745)),"")</f>
        <v>0</v>
      </c>
      <c r="F81" s="10">
        <f>IFERROR(IF($B81="","",SUMPRODUCT(('RAW_DISTRICT'!$C$4:$C$745=$B81)*('RAW_DISTRICT'!$B$4:$B$745=IF(SelectedScope="All India",INDEX('RAW_DISTRICT'!$B$4:$B$745,76),SelectedScope))*'RAW_DISTRICT'!$F$4:$F$745)),"")</f>
        <v>0</v>
      </c>
      <c r="G81" s="11" t="str">
        <f>IFERROR(IF($B81="","",(SUMPRODUCT(('RAW_DISTRICT'!$C$4:$C$745=$B81)*('RAW_DISTRICT'!$B$4:$B$745=IF(SelectedScope="All India",INDEX('RAW_DISTRICT'!$B$4:$B$745,76),SelectedScope))*'RAW_DISTRICT'!$I$4:$I$745))/(SUMPRODUCT(('RAW_DISTRICT'!$C$4:$C$745=$B81)*('RAW_DISTRICT'!$B$4:$B$745=IF(SelectedScope="All India",INDEX('RAW_DISTRICT'!$B$4:$B$745,76),SelectedScope))*'RAW_DISTRICT'!$H$4:$H$745))),"")</f>
        <v/>
      </c>
      <c r="H81" s="10" t="str">
        <f>IFERROR(IF($B81="","",INDEX('RAW_DISTRICT'!$R$4:$R$745,MATCH(1,('RAW_DISTRICT'!$C$4:$C$745=$B81)*('RAW_DISTRICT'!$B$4:$B$745=IF(SelectedScope="All India",INDEX('RAW_DISTRICT'!$B$4:$B$745,76),SelectedScope)),0))),"")</f>
        <v/>
      </c>
      <c r="I81" s="10" t="str">
        <f>IFERROR(IF($B81="","",INDEX('RAW_DISTRICT'!$S$4:$S$745,MATCH(1,('RAW_DISTRICT'!$C$4:$C$745=$B81)*('RAW_DISTRICT'!$B$4:$B$745=IF(SelectedScope="All India",INDEX('RAW_DISTRICT'!$B$4:$B$745,76),SelectedScope)),0))),"")</f>
        <v/>
      </c>
    </row>
    <row r="82" spans="1:9" ht="15" customHeight="1" x14ac:dyDescent="0.3">
      <c r="A82" s="24">
        <v>77</v>
      </c>
      <c r="B82" s="12" t="str">
        <f>IFERROR(IF(SelectedScope="All India",INDEX('RAW_DISTRICT'!$C$4:$C$745,77),INDEX('RAW_DISTRICT'!$C$4:$C$745,MATCH(77,'RAW_DISTRICT'!$V$4:$V$745,0))),"")</f>
        <v>Arwal</v>
      </c>
      <c r="C82" s="13" t="str">
        <f>IFERROR(IF($B82="","",INDEX('RAW_DISTRICT'!$E$4:$E$745,MATCH(1,('RAW_DISTRICT'!$C$4:$C$745=$B82)*('RAW_DISTRICT'!$B$4:$B$745=IF(SelectedScope="All India",INDEX('RAW_DISTRICT'!$B$4:$B$745,77),SelectedScope)),0))),"")</f>
        <v/>
      </c>
      <c r="D82" s="13">
        <f>IFERROR(IF($B82="","",SUMPRODUCT(('RAW_DISTRICT'!$C$4:$C$745=$B82)*('RAW_DISTRICT'!$B$4:$B$745=IF(SelectedScope="All India",INDEX('RAW_DISTRICT'!$B$4:$B$745,77),SelectedScope))*'RAW_DISTRICT'!$P$4:$P$745)),"")</f>
        <v>0</v>
      </c>
      <c r="E82" s="13">
        <f>IFERROR(IF($B82="","",SUMPRODUCT(('RAW_DISTRICT'!$C$4:$C$745=$B82)*('RAW_DISTRICT'!$B$4:$B$745=IF(SelectedScope="All India",INDEX('RAW_DISTRICT'!$B$4:$B$745,77),SelectedScope))*'RAW_DISTRICT'!$Q$4:$Q$745)),"")</f>
        <v>0</v>
      </c>
      <c r="F82" s="13">
        <f>IFERROR(IF($B82="","",SUMPRODUCT(('RAW_DISTRICT'!$C$4:$C$745=$B82)*('RAW_DISTRICT'!$B$4:$B$745=IF(SelectedScope="All India",INDEX('RAW_DISTRICT'!$B$4:$B$745,77),SelectedScope))*'RAW_DISTRICT'!$F$4:$F$745)),"")</f>
        <v>0</v>
      </c>
      <c r="G82" s="14" t="str">
        <f>IFERROR(IF($B82="","",(SUMPRODUCT(('RAW_DISTRICT'!$C$4:$C$745=$B82)*('RAW_DISTRICT'!$B$4:$B$745=IF(SelectedScope="All India",INDEX('RAW_DISTRICT'!$B$4:$B$745,77),SelectedScope))*'RAW_DISTRICT'!$I$4:$I$745))/(SUMPRODUCT(('RAW_DISTRICT'!$C$4:$C$745=$B82)*('RAW_DISTRICT'!$B$4:$B$745=IF(SelectedScope="All India",INDEX('RAW_DISTRICT'!$B$4:$B$745,77),SelectedScope))*'RAW_DISTRICT'!$H$4:$H$745))),"")</f>
        <v/>
      </c>
      <c r="H82" s="13" t="str">
        <f>IFERROR(IF($B82="","",INDEX('RAW_DISTRICT'!$R$4:$R$745,MATCH(1,('RAW_DISTRICT'!$C$4:$C$745=$B82)*('RAW_DISTRICT'!$B$4:$B$745=IF(SelectedScope="All India",INDEX('RAW_DISTRICT'!$B$4:$B$745,77),SelectedScope)),0))),"")</f>
        <v/>
      </c>
      <c r="I82" s="13" t="str">
        <f>IFERROR(IF($B82="","",INDEX('RAW_DISTRICT'!$S$4:$S$745,MATCH(1,('RAW_DISTRICT'!$C$4:$C$745=$B82)*('RAW_DISTRICT'!$B$4:$B$745=IF(SelectedScope="All India",INDEX('RAW_DISTRICT'!$B$4:$B$745,77),SelectedScope)),0))),"")</f>
        <v/>
      </c>
    </row>
    <row r="83" spans="1:9" ht="15" customHeight="1" x14ac:dyDescent="0.3">
      <c r="A83" s="23">
        <v>78</v>
      </c>
      <c r="B83" s="9" t="str">
        <f>IFERROR(IF(SelectedScope="All India",INDEX('RAW_DISTRICT'!$C$4:$C$745,78),INDEX('RAW_DISTRICT'!$C$4:$C$745,MATCH(78,'RAW_DISTRICT'!$V$4:$V$745,0))),"")</f>
        <v>Aurangabad</v>
      </c>
      <c r="C83" s="10" t="str">
        <f>IFERROR(IF($B83="","",INDEX('RAW_DISTRICT'!$E$4:$E$745,MATCH(1,('RAW_DISTRICT'!$C$4:$C$745=$B83)*('RAW_DISTRICT'!$B$4:$B$745=IF(SelectedScope="All India",INDEX('RAW_DISTRICT'!$B$4:$B$745,78),SelectedScope)),0))),"")</f>
        <v/>
      </c>
      <c r="D83" s="10">
        <f>IFERROR(IF($B83="","",SUMPRODUCT(('RAW_DISTRICT'!$C$4:$C$745=$B83)*('RAW_DISTRICT'!$B$4:$B$745=IF(SelectedScope="All India",INDEX('RAW_DISTRICT'!$B$4:$B$745,78),SelectedScope))*'RAW_DISTRICT'!$P$4:$P$745)),"")</f>
        <v>0</v>
      </c>
      <c r="E83" s="10">
        <f>IFERROR(IF($B83="","",SUMPRODUCT(('RAW_DISTRICT'!$C$4:$C$745=$B83)*('RAW_DISTRICT'!$B$4:$B$745=IF(SelectedScope="All India",INDEX('RAW_DISTRICT'!$B$4:$B$745,78),SelectedScope))*'RAW_DISTRICT'!$Q$4:$Q$745)),"")</f>
        <v>0</v>
      </c>
      <c r="F83" s="10">
        <f>IFERROR(IF($B83="","",SUMPRODUCT(('RAW_DISTRICT'!$C$4:$C$745=$B83)*('RAW_DISTRICT'!$B$4:$B$745=IF(SelectedScope="All India",INDEX('RAW_DISTRICT'!$B$4:$B$745,78),SelectedScope))*'RAW_DISTRICT'!$F$4:$F$745)),"")</f>
        <v>0</v>
      </c>
      <c r="G83" s="11" t="str">
        <f>IFERROR(IF($B83="","",(SUMPRODUCT(('RAW_DISTRICT'!$C$4:$C$745=$B83)*('RAW_DISTRICT'!$B$4:$B$745=IF(SelectedScope="All India",INDEX('RAW_DISTRICT'!$B$4:$B$745,78),SelectedScope))*'RAW_DISTRICT'!$I$4:$I$745))/(SUMPRODUCT(('RAW_DISTRICT'!$C$4:$C$745=$B83)*('RAW_DISTRICT'!$B$4:$B$745=IF(SelectedScope="All India",INDEX('RAW_DISTRICT'!$B$4:$B$745,78),SelectedScope))*'RAW_DISTRICT'!$H$4:$H$745))),"")</f>
        <v/>
      </c>
      <c r="H83" s="10" t="str">
        <f>IFERROR(IF($B83="","",INDEX('RAW_DISTRICT'!$R$4:$R$745,MATCH(1,('RAW_DISTRICT'!$C$4:$C$745=$B83)*('RAW_DISTRICT'!$B$4:$B$745=IF(SelectedScope="All India",INDEX('RAW_DISTRICT'!$B$4:$B$745,78),SelectedScope)),0))),"")</f>
        <v/>
      </c>
      <c r="I83" s="10" t="str">
        <f>IFERROR(IF($B83="","",INDEX('RAW_DISTRICT'!$S$4:$S$745,MATCH(1,('RAW_DISTRICT'!$C$4:$C$745=$B83)*('RAW_DISTRICT'!$B$4:$B$745=IF(SelectedScope="All India",INDEX('RAW_DISTRICT'!$B$4:$B$745,78),SelectedScope)),0))),"")</f>
        <v/>
      </c>
    </row>
    <row r="84" spans="1:9" ht="15" customHeight="1" x14ac:dyDescent="0.3">
      <c r="A84" s="24">
        <v>79</v>
      </c>
      <c r="B84" s="12" t="str">
        <f>IFERROR(IF(SelectedScope="All India",INDEX('RAW_DISTRICT'!$C$4:$C$745,79),INDEX('RAW_DISTRICT'!$C$4:$C$745,MATCH(79,'RAW_DISTRICT'!$V$4:$V$745,0))),"")</f>
        <v>Banka</v>
      </c>
      <c r="C84" s="13" t="str">
        <f>IFERROR(IF($B84="","",INDEX('RAW_DISTRICT'!$E$4:$E$745,MATCH(1,('RAW_DISTRICT'!$C$4:$C$745=$B84)*('RAW_DISTRICT'!$B$4:$B$745=IF(SelectedScope="All India",INDEX('RAW_DISTRICT'!$B$4:$B$745,79),SelectedScope)),0))),"")</f>
        <v/>
      </c>
      <c r="D84" s="13">
        <f>IFERROR(IF($B84="","",SUMPRODUCT(('RAW_DISTRICT'!$C$4:$C$745=$B84)*('RAW_DISTRICT'!$B$4:$B$745=IF(SelectedScope="All India",INDEX('RAW_DISTRICT'!$B$4:$B$745,79),SelectedScope))*'RAW_DISTRICT'!$P$4:$P$745)),"")</f>
        <v>0</v>
      </c>
      <c r="E84" s="13">
        <f>IFERROR(IF($B84="","",SUMPRODUCT(('RAW_DISTRICT'!$C$4:$C$745=$B84)*('RAW_DISTRICT'!$B$4:$B$745=IF(SelectedScope="All India",INDEX('RAW_DISTRICT'!$B$4:$B$745,79),SelectedScope))*'RAW_DISTRICT'!$Q$4:$Q$745)),"")</f>
        <v>0</v>
      </c>
      <c r="F84" s="13">
        <f>IFERROR(IF($B84="","",SUMPRODUCT(('RAW_DISTRICT'!$C$4:$C$745=$B84)*('RAW_DISTRICT'!$B$4:$B$745=IF(SelectedScope="All India",INDEX('RAW_DISTRICT'!$B$4:$B$745,79),SelectedScope))*'RAW_DISTRICT'!$F$4:$F$745)),"")</f>
        <v>0</v>
      </c>
      <c r="G84" s="14" t="str">
        <f>IFERROR(IF($B84="","",(SUMPRODUCT(('RAW_DISTRICT'!$C$4:$C$745=$B84)*('RAW_DISTRICT'!$B$4:$B$745=IF(SelectedScope="All India",INDEX('RAW_DISTRICT'!$B$4:$B$745,79),SelectedScope))*'RAW_DISTRICT'!$I$4:$I$745))/(SUMPRODUCT(('RAW_DISTRICT'!$C$4:$C$745=$B84)*('RAW_DISTRICT'!$B$4:$B$745=IF(SelectedScope="All India",INDEX('RAW_DISTRICT'!$B$4:$B$745,79),SelectedScope))*'RAW_DISTRICT'!$H$4:$H$745))),"")</f>
        <v/>
      </c>
      <c r="H84" s="13" t="str">
        <f>IFERROR(IF($B84="","",INDEX('RAW_DISTRICT'!$R$4:$R$745,MATCH(1,('RAW_DISTRICT'!$C$4:$C$745=$B84)*('RAW_DISTRICT'!$B$4:$B$745=IF(SelectedScope="All India",INDEX('RAW_DISTRICT'!$B$4:$B$745,79),SelectedScope)),0))),"")</f>
        <v/>
      </c>
      <c r="I84" s="13" t="str">
        <f>IFERROR(IF($B84="","",INDEX('RAW_DISTRICT'!$S$4:$S$745,MATCH(1,('RAW_DISTRICT'!$C$4:$C$745=$B84)*('RAW_DISTRICT'!$B$4:$B$745=IF(SelectedScope="All India",INDEX('RAW_DISTRICT'!$B$4:$B$745,79),SelectedScope)),0))),"")</f>
        <v/>
      </c>
    </row>
    <row r="85" spans="1:9" ht="15" customHeight="1" x14ac:dyDescent="0.3">
      <c r="A85" s="23">
        <v>80</v>
      </c>
      <c r="B85" s="9" t="str">
        <f>IFERROR(IF(SelectedScope="All India",INDEX('RAW_DISTRICT'!$C$4:$C$745,80),INDEX('RAW_DISTRICT'!$C$4:$C$745,MATCH(80,'RAW_DISTRICT'!$V$4:$V$745,0))),"")</f>
        <v>Begusarai</v>
      </c>
      <c r="C85" s="10" t="str">
        <f>IFERROR(IF($B85="","",INDEX('RAW_DISTRICT'!$E$4:$E$745,MATCH(1,('RAW_DISTRICT'!$C$4:$C$745=$B85)*('RAW_DISTRICT'!$B$4:$B$745=IF(SelectedScope="All India",INDEX('RAW_DISTRICT'!$B$4:$B$745,80),SelectedScope)),0))),"")</f>
        <v/>
      </c>
      <c r="D85" s="10">
        <f>IFERROR(IF($B85="","",SUMPRODUCT(('RAW_DISTRICT'!$C$4:$C$745=$B85)*('RAW_DISTRICT'!$B$4:$B$745=IF(SelectedScope="All India",INDEX('RAW_DISTRICT'!$B$4:$B$745,80),SelectedScope))*'RAW_DISTRICT'!$P$4:$P$745)),"")</f>
        <v>0</v>
      </c>
      <c r="E85" s="10">
        <f>IFERROR(IF($B85="","",SUMPRODUCT(('RAW_DISTRICT'!$C$4:$C$745=$B85)*('RAW_DISTRICT'!$B$4:$B$745=IF(SelectedScope="All India",INDEX('RAW_DISTRICT'!$B$4:$B$745,80),SelectedScope))*'RAW_DISTRICT'!$Q$4:$Q$745)),"")</f>
        <v>0</v>
      </c>
      <c r="F85" s="10">
        <f>IFERROR(IF($B85="","",SUMPRODUCT(('RAW_DISTRICT'!$C$4:$C$745=$B85)*('RAW_DISTRICT'!$B$4:$B$745=IF(SelectedScope="All India",INDEX('RAW_DISTRICT'!$B$4:$B$745,80),SelectedScope))*'RAW_DISTRICT'!$F$4:$F$745)),"")</f>
        <v>0</v>
      </c>
      <c r="G85" s="11" t="str">
        <f>IFERROR(IF($B85="","",(SUMPRODUCT(('RAW_DISTRICT'!$C$4:$C$745=$B85)*('RAW_DISTRICT'!$B$4:$B$745=IF(SelectedScope="All India",INDEX('RAW_DISTRICT'!$B$4:$B$745,80),SelectedScope))*'RAW_DISTRICT'!$I$4:$I$745))/(SUMPRODUCT(('RAW_DISTRICT'!$C$4:$C$745=$B85)*('RAW_DISTRICT'!$B$4:$B$745=IF(SelectedScope="All India",INDEX('RAW_DISTRICT'!$B$4:$B$745,80),SelectedScope))*'RAW_DISTRICT'!$H$4:$H$745))),"")</f>
        <v/>
      </c>
      <c r="H85" s="10" t="str">
        <f>IFERROR(IF($B85="","",INDEX('RAW_DISTRICT'!$R$4:$R$745,MATCH(1,('RAW_DISTRICT'!$C$4:$C$745=$B85)*('RAW_DISTRICT'!$B$4:$B$745=IF(SelectedScope="All India",INDEX('RAW_DISTRICT'!$B$4:$B$745,80),SelectedScope)),0))),"")</f>
        <v/>
      </c>
      <c r="I85" s="10" t="str">
        <f>IFERROR(IF($B85="","",INDEX('RAW_DISTRICT'!$S$4:$S$745,MATCH(1,('RAW_DISTRICT'!$C$4:$C$745=$B85)*('RAW_DISTRICT'!$B$4:$B$745=IF(SelectedScope="All India",INDEX('RAW_DISTRICT'!$B$4:$B$745,80),SelectedScope)),0))),"")</f>
        <v/>
      </c>
    </row>
  </sheetData>
  <mergeCells count="4">
    <mergeCell ref="A1:I1"/>
    <mergeCell ref="A3:I3"/>
    <mergeCell ref="A4:I4"/>
    <mergeCell ref="A2:I2"/>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45"/>
  <sheetViews>
    <sheetView showGridLines="0" workbookViewId="0">
      <selection sqref="A1:K1"/>
    </sheetView>
  </sheetViews>
  <sheetFormatPr defaultRowHeight="14.4" x14ac:dyDescent="0.3"/>
  <cols>
    <col min="1" max="1" width="4" customWidth="1"/>
    <col min="2" max="2" width="36" customWidth="1"/>
    <col min="3" max="4" width="16" customWidth="1"/>
    <col min="5" max="6" width="14" customWidth="1"/>
    <col min="7" max="7" width="16" customWidth="1"/>
    <col min="8" max="10" width="14" customWidth="1"/>
    <col min="11" max="11" width="22" customWidth="1"/>
  </cols>
  <sheetData>
    <row r="1" spans="1:11" ht="28.05" customHeight="1" x14ac:dyDescent="0.3">
      <c r="A1" s="32" t="s">
        <v>376</v>
      </c>
      <c r="B1" s="33"/>
      <c r="C1" s="33"/>
      <c r="D1" s="33"/>
      <c r="E1" s="33"/>
      <c r="F1" s="33"/>
      <c r="G1" s="33"/>
      <c r="H1" s="33"/>
      <c r="I1" s="33"/>
      <c r="J1" s="33"/>
      <c r="K1" s="33"/>
    </row>
    <row r="2" spans="1:11" ht="18" customHeight="1" x14ac:dyDescent="0.3">
      <c r="A2" s="38" t="str">
        <f>IF(SelectedScope="All India","NATIONAL VIEW — ALL INDIA","STATE VIEW — "&amp;SelectedScope)</f>
        <v>NATIONAL VIEW — ALL INDIA</v>
      </c>
      <c r="B2" s="33"/>
      <c r="C2" s="33"/>
      <c r="D2" s="33"/>
      <c r="E2" s="33"/>
      <c r="F2" s="33"/>
      <c r="G2" s="33"/>
      <c r="H2" s="33"/>
      <c r="I2" s="33"/>
      <c r="J2" s="33"/>
      <c r="K2" s="33"/>
    </row>
    <row r="3" spans="1:11" ht="16.05" customHeight="1" x14ac:dyDescent="0.3">
      <c r="A3" s="39" t="s">
        <v>377</v>
      </c>
      <c r="B3" s="33"/>
      <c r="C3" s="33"/>
      <c r="D3" s="33"/>
      <c r="E3" s="33"/>
      <c r="F3" s="33"/>
      <c r="G3" s="33"/>
      <c r="H3" s="33"/>
      <c r="I3" s="33"/>
      <c r="J3" s="33"/>
      <c r="K3" s="33"/>
    </row>
    <row r="4" spans="1:11" ht="19.95" customHeight="1" x14ac:dyDescent="0.3">
      <c r="A4" s="37" t="s">
        <v>378</v>
      </c>
      <c r="B4" s="33"/>
      <c r="C4" s="33"/>
      <c r="D4" s="33"/>
      <c r="E4" s="33"/>
      <c r="F4" s="33"/>
      <c r="G4" s="33"/>
      <c r="H4" s="33"/>
      <c r="I4" s="33"/>
      <c r="J4" s="33"/>
      <c r="K4" s="33"/>
    </row>
    <row r="5" spans="1:11" ht="31.95" customHeight="1" x14ac:dyDescent="0.3">
      <c r="A5" s="15" t="s">
        <v>78</v>
      </c>
      <c r="B5" s="15" t="s">
        <v>79</v>
      </c>
      <c r="C5" s="15" t="s">
        <v>379</v>
      </c>
      <c r="D5" s="15" t="s">
        <v>81</v>
      </c>
      <c r="E5" s="15" t="s">
        <v>82</v>
      </c>
      <c r="F5" s="15" t="s">
        <v>380</v>
      </c>
      <c r="G5" s="15" t="s">
        <v>381</v>
      </c>
      <c r="H5" s="15" t="s">
        <v>382</v>
      </c>
      <c r="I5" s="15" t="s">
        <v>383</v>
      </c>
      <c r="J5" s="15" t="s">
        <v>384</v>
      </c>
      <c r="K5" s="15" t="s">
        <v>86</v>
      </c>
    </row>
    <row r="6" spans="1:11" ht="16.05" customHeight="1" x14ac:dyDescent="0.3">
      <c r="A6" s="16" t="s">
        <v>87</v>
      </c>
      <c r="B6" s="16" t="s">
        <v>385</v>
      </c>
      <c r="C6" s="12">
        <f>SUMPRODUCT((IF(SelectedScope="All India",1,RAW_SESSION!$B$4:$B$39=SelectedScope))*RAW_SESSION!$D$4:$D$39)</f>
        <v>0</v>
      </c>
      <c r="D6" s="16" t="s">
        <v>89</v>
      </c>
      <c r="E6" s="16" t="str">
        <f t="shared" ref="E6:E18" si="0">IFERROR(IF(C6="","",""),"")</f>
        <v/>
      </c>
      <c r="F6" s="16"/>
      <c r="G6" s="16"/>
      <c r="H6" s="16"/>
      <c r="I6" s="16"/>
      <c r="J6" s="16"/>
      <c r="K6" s="16"/>
    </row>
    <row r="7" spans="1:11" ht="16.05" customHeight="1" x14ac:dyDescent="0.3">
      <c r="A7" s="18" t="s">
        <v>90</v>
      </c>
      <c r="B7" s="18" t="s">
        <v>386</v>
      </c>
      <c r="C7" s="9">
        <f>IFERROR((SUMPRODUCT((IF(SelectedScope="All India",1,RAW_SESSION!$B$4:$B$39=SelectedScope))*RAW_SESSION!$E$4:$E$39))/(SUMPRODUCT((IF(SelectedScope="All India",1,RAW_SESSION!$B$4:$B$39=SelectedScope))*1)),"")</f>
        <v>0</v>
      </c>
      <c r="D7" s="18" t="s">
        <v>387</v>
      </c>
      <c r="E7" s="18" t="str">
        <f t="shared" si="0"/>
        <v/>
      </c>
      <c r="F7" s="18"/>
      <c r="G7" s="18"/>
      <c r="H7" s="18"/>
      <c r="I7" s="18"/>
      <c r="J7" s="18"/>
      <c r="K7" s="18"/>
    </row>
    <row r="8" spans="1:11" ht="16.05" customHeight="1" x14ac:dyDescent="0.3">
      <c r="A8" s="16" t="s">
        <v>92</v>
      </c>
      <c r="B8" s="16" t="s">
        <v>388</v>
      </c>
      <c r="C8" s="12">
        <f>IFERROR((SUMPRODUCT((IF(SelectedScope="All India",1,RAW_SESSION!$B$4:$B$39=SelectedScope))*RAW_SESSION!$F$4:$F$39))/(SUMPRODUCT((IF(SelectedScope="All India",1,RAW_SESSION!$B$4:$B$39=SelectedScope))*1)),"")</f>
        <v>0</v>
      </c>
      <c r="D8" s="16" t="s">
        <v>389</v>
      </c>
      <c r="E8" s="16" t="str">
        <f t="shared" si="0"/>
        <v/>
      </c>
      <c r="F8" s="16"/>
      <c r="G8" s="16"/>
      <c r="H8" s="16"/>
      <c r="I8" s="16"/>
      <c r="J8" s="16"/>
      <c r="K8" s="16"/>
    </row>
    <row r="9" spans="1:11" ht="16.05" customHeight="1" x14ac:dyDescent="0.3">
      <c r="A9" s="18" t="s">
        <v>94</v>
      </c>
      <c r="B9" s="18" t="s">
        <v>390</v>
      </c>
      <c r="C9" s="9">
        <f>IFERROR((SUMPRODUCT((IF(SelectedScope="All India",1,RAW_SESSION!$B$4:$B$39=SelectedScope))*RAW_SESSION!$G$4:$G$39))/(SUMPRODUCT((IF(SelectedScope="All India",1,RAW_SESSION!$B$4:$B$39=SelectedScope))*1)),"")</f>
        <v>0</v>
      </c>
      <c r="D9" s="18" t="s">
        <v>89</v>
      </c>
      <c r="E9" s="18" t="str">
        <f t="shared" si="0"/>
        <v/>
      </c>
      <c r="F9" s="18"/>
      <c r="G9" s="18"/>
      <c r="H9" s="18"/>
      <c r="I9" s="18"/>
      <c r="J9" s="18"/>
      <c r="K9" s="18"/>
    </row>
    <row r="10" spans="1:11" ht="16.05" customHeight="1" x14ac:dyDescent="0.3">
      <c r="A10" s="16" t="s">
        <v>96</v>
      </c>
      <c r="B10" s="16" t="s">
        <v>391</v>
      </c>
      <c r="C10" s="12">
        <f>IFERROR((SUMPRODUCT((IF(SelectedScope="All India",1,RAW_SESSION!$B$4:$B$39=SelectedScope))*RAW_SESSION!$H$4:$H$39))/(SUMPRODUCT((IF(SelectedScope="All India",1,RAW_SESSION!$B$4:$B$39=SelectedScope))*1)),"")</f>
        <v>0</v>
      </c>
      <c r="D10" s="16" t="s">
        <v>89</v>
      </c>
      <c r="E10" s="16" t="str">
        <f t="shared" si="0"/>
        <v/>
      </c>
      <c r="F10" s="16"/>
      <c r="G10" s="16"/>
      <c r="H10" s="16"/>
      <c r="I10" s="16"/>
      <c r="J10" s="16"/>
      <c r="K10" s="16"/>
    </row>
    <row r="11" spans="1:11" ht="16.05" customHeight="1" x14ac:dyDescent="0.3">
      <c r="A11" s="18" t="s">
        <v>99</v>
      </c>
      <c r="B11" s="18" t="s">
        <v>392</v>
      </c>
      <c r="C11" s="9">
        <f>IFERROR((SUMPRODUCT((IF(SelectedScope="All India",1,RAW_SESSION!$B$4:$B$39=SelectedScope))*RAW_SESSION!$I$4:$I$39))/(SUMPRODUCT((IF(SelectedScope="All India",1,RAW_SESSION!$B$4:$B$39=SelectedScope))*1)),"")</f>
        <v>0</v>
      </c>
      <c r="D11" s="18" t="s">
        <v>89</v>
      </c>
      <c r="E11" s="18" t="str">
        <f t="shared" si="0"/>
        <v/>
      </c>
      <c r="F11" s="18"/>
      <c r="G11" s="18"/>
      <c r="H11" s="18"/>
      <c r="I11" s="18"/>
      <c r="J11" s="18"/>
      <c r="K11" s="18"/>
    </row>
    <row r="12" spans="1:11" ht="16.05" customHeight="1" x14ac:dyDescent="0.3">
      <c r="A12" s="16" t="s">
        <v>101</v>
      </c>
      <c r="B12" s="16" t="s">
        <v>393</v>
      </c>
      <c r="C12" s="12">
        <f>IFERROR((SUMPRODUCT((IF(SelectedScope="All India",1,RAW_SESSION!$B$4:$B$39=SelectedScope))*RAW_SESSION!$J$4:$J$39))/(SUMPRODUCT((IF(SelectedScope="All India",1,RAW_SESSION!$B$4:$B$39=SelectedScope))*1)),"")</f>
        <v>0</v>
      </c>
      <c r="D12" s="16" t="s">
        <v>89</v>
      </c>
      <c r="E12" s="16" t="str">
        <f t="shared" si="0"/>
        <v/>
      </c>
      <c r="F12" s="16"/>
      <c r="G12" s="16"/>
      <c r="H12" s="16"/>
      <c r="I12" s="16"/>
      <c r="J12" s="16"/>
      <c r="K12" s="16"/>
    </row>
    <row r="13" spans="1:11" ht="16.05" customHeight="1" x14ac:dyDescent="0.3">
      <c r="A13" s="18" t="s">
        <v>104</v>
      </c>
      <c r="B13" s="18" t="s">
        <v>394</v>
      </c>
      <c r="C13" s="9">
        <f>IFERROR((SUMPRODUCT((IF(SelectedScope="All India",1,RAW_SESSION!$B$4:$B$39=SelectedScope))*RAW_SESSION!$L$4:$L$39))/(SUMPRODUCT((IF(SelectedScope="All India",1,RAW_SESSION!$B$4:$B$39=SelectedScope))*1)),"")</f>
        <v>0</v>
      </c>
      <c r="D13" s="18" t="s">
        <v>89</v>
      </c>
      <c r="E13" s="18" t="str">
        <f t="shared" si="0"/>
        <v/>
      </c>
      <c r="F13" s="18"/>
      <c r="G13" s="18"/>
      <c r="H13" s="18"/>
      <c r="I13" s="18"/>
      <c r="J13" s="18"/>
      <c r="K13" s="18"/>
    </row>
    <row r="14" spans="1:11" ht="16.05" customHeight="1" x14ac:dyDescent="0.3">
      <c r="A14" s="16" t="s">
        <v>106</v>
      </c>
      <c r="B14" s="16" t="s">
        <v>395</v>
      </c>
      <c r="C14" s="12">
        <f>IFERROR((SUMPRODUCT((IF(SelectedScope="All India",1,RAW_SESSION!$B$4:$B$39=SelectedScope))*RAW_SESSION!$M$4:$M$39))/(SUMPRODUCT((IF(SelectedScope="All India",1,RAW_SESSION!$B$4:$B$39=SelectedScope))*1)),"")</f>
        <v>0</v>
      </c>
      <c r="D14" s="16" t="s">
        <v>89</v>
      </c>
      <c r="E14" s="16" t="str">
        <f t="shared" si="0"/>
        <v/>
      </c>
      <c r="F14" s="16"/>
      <c r="G14" s="16"/>
      <c r="H14" s="16"/>
      <c r="I14" s="16"/>
      <c r="J14" s="16"/>
      <c r="K14" s="16"/>
    </row>
    <row r="15" spans="1:11" ht="16.05" customHeight="1" x14ac:dyDescent="0.3">
      <c r="A15" s="18" t="s">
        <v>108</v>
      </c>
      <c r="B15" s="18" t="s">
        <v>396</v>
      </c>
      <c r="C15" s="9">
        <f>IFERROR((SUMPRODUCT((IF(SelectedScope="All India",1,RAW_SESSION!$B$4:$B$39=SelectedScope))*RAW_SESSION!$N$4:$N$39))/(SUMPRODUCT((IF(SelectedScope="All India",1,RAW_SESSION!$B$4:$B$39=SelectedScope))*1)),"")</f>
        <v>0</v>
      </c>
      <c r="D15" s="18" t="s">
        <v>397</v>
      </c>
      <c r="E15" s="18" t="str">
        <f t="shared" si="0"/>
        <v/>
      </c>
      <c r="F15" s="18"/>
      <c r="G15" s="18"/>
      <c r="H15" s="18"/>
      <c r="I15" s="18"/>
      <c r="J15" s="18"/>
      <c r="K15" s="18"/>
    </row>
    <row r="16" spans="1:11" ht="16.05" customHeight="1" x14ac:dyDescent="0.3">
      <c r="A16" s="16" t="s">
        <v>111</v>
      </c>
      <c r="B16" s="16" t="s">
        <v>398</v>
      </c>
      <c r="C16" s="12">
        <f>IFERROR((SUMPRODUCT((IF(SelectedScope="All India",1,RAW_SESSION!$B$4:$B$39=SelectedScope))*RAW_SESSION!$O$4:$O$39))/(SUMPRODUCT((IF(SelectedScope="All India",1,RAW_SESSION!$B$4:$B$39=SelectedScope))*1)),"")</f>
        <v>0</v>
      </c>
      <c r="D16" s="16" t="s">
        <v>399</v>
      </c>
      <c r="E16" s="16" t="str">
        <f t="shared" si="0"/>
        <v/>
      </c>
      <c r="F16" s="16"/>
      <c r="G16" s="16"/>
      <c r="H16" s="16"/>
      <c r="I16" s="16"/>
      <c r="J16" s="16"/>
      <c r="K16" s="16"/>
    </row>
    <row r="17" spans="1:11" ht="16.05" customHeight="1" x14ac:dyDescent="0.3">
      <c r="A17" s="18" t="s">
        <v>112</v>
      </c>
      <c r="B17" s="18" t="s">
        <v>400</v>
      </c>
      <c r="C17" s="9">
        <f>IFERROR((SUMPRODUCT((IF(SelectedScope="All India",1,RAW_SESSION!$B$4:$B$39=SelectedScope))*RAW_SESSION!$P$4:$P$39))/(SUMPRODUCT((IF(SelectedScope="All India",1,RAW_SESSION!$B$4:$B$39=SelectedScope))*1)),"")</f>
        <v>0</v>
      </c>
      <c r="D17" s="18" t="s">
        <v>401</v>
      </c>
      <c r="E17" s="18" t="str">
        <f t="shared" si="0"/>
        <v/>
      </c>
      <c r="F17" s="18"/>
      <c r="G17" s="18"/>
      <c r="H17" s="18"/>
      <c r="I17" s="18"/>
      <c r="J17" s="18"/>
      <c r="K17" s="18"/>
    </row>
    <row r="18" spans="1:11" ht="16.05" customHeight="1" x14ac:dyDescent="0.3">
      <c r="A18" s="16" t="s">
        <v>402</v>
      </c>
      <c r="B18" s="16" t="s">
        <v>403</v>
      </c>
      <c r="C18" s="12">
        <f>SUMPRODUCT((IF(SelectedScope="All India",1,RAW_SESSION!$B$4:$B$39=SelectedScope))*RAW_SESSION!$Q$4:$Q$39)</f>
        <v>0</v>
      </c>
      <c r="D18" s="16" t="s">
        <v>89</v>
      </c>
      <c r="E18" s="16" t="str">
        <f t="shared" si="0"/>
        <v/>
      </c>
      <c r="F18" s="16"/>
      <c r="G18" s="16"/>
      <c r="H18" s="16"/>
      <c r="I18" s="16"/>
      <c r="J18" s="16"/>
      <c r="K18" s="16"/>
    </row>
    <row r="20" spans="1:11" ht="19.95" customHeight="1" x14ac:dyDescent="0.3">
      <c r="A20" s="37" t="s">
        <v>404</v>
      </c>
      <c r="B20" s="33"/>
      <c r="C20" s="33"/>
      <c r="D20" s="33"/>
      <c r="E20" s="33"/>
      <c r="F20" s="33"/>
      <c r="G20" s="33"/>
      <c r="H20" s="33"/>
      <c r="I20" s="33"/>
      <c r="J20" s="33"/>
      <c r="K20" s="33"/>
    </row>
    <row r="21" spans="1:11" ht="31.95" customHeight="1" x14ac:dyDescent="0.3">
      <c r="A21" s="15" t="s">
        <v>78</v>
      </c>
      <c r="B21" s="15" t="s">
        <v>405</v>
      </c>
      <c r="C21" s="15" t="s">
        <v>192</v>
      </c>
      <c r="D21" s="15" t="s">
        <v>406</v>
      </c>
      <c r="E21" s="15" t="s">
        <v>407</v>
      </c>
      <c r="F21" s="15" t="s">
        <v>408</v>
      </c>
      <c r="G21" s="15" t="s">
        <v>409</v>
      </c>
      <c r="H21" s="15" t="s">
        <v>410</v>
      </c>
      <c r="I21" s="15" t="s">
        <v>411</v>
      </c>
      <c r="J21" s="15" t="s">
        <v>412</v>
      </c>
      <c r="K21" s="15" t="s">
        <v>86</v>
      </c>
    </row>
    <row r="22" spans="1:11" ht="16.05" customHeight="1" x14ac:dyDescent="0.3">
      <c r="A22" s="16">
        <v>1</v>
      </c>
      <c r="B22" s="16" t="s">
        <v>413</v>
      </c>
      <c r="C22" s="16"/>
      <c r="D22" s="16"/>
      <c r="E22" s="16"/>
      <c r="F22" s="16"/>
      <c r="G22" s="16"/>
      <c r="H22" s="16"/>
      <c r="I22" s="16"/>
      <c r="J22" s="16"/>
      <c r="K22" s="16"/>
    </row>
    <row r="23" spans="1:11" ht="16.05" customHeight="1" x14ac:dyDescent="0.3">
      <c r="A23" s="18">
        <v>2</v>
      </c>
      <c r="B23" s="18" t="s">
        <v>414</v>
      </c>
      <c r="C23" s="18"/>
      <c r="D23" s="18"/>
      <c r="E23" s="18"/>
      <c r="F23" s="18"/>
      <c r="G23" s="18"/>
      <c r="H23" s="18"/>
      <c r="I23" s="18"/>
      <c r="J23" s="18"/>
      <c r="K23" s="18"/>
    </row>
    <row r="24" spans="1:11" ht="16.05" customHeight="1" x14ac:dyDescent="0.3">
      <c r="A24" s="16">
        <v>3</v>
      </c>
      <c r="B24" s="16" t="s">
        <v>415</v>
      </c>
      <c r="C24" s="16"/>
      <c r="D24" s="16"/>
      <c r="E24" s="16"/>
      <c r="F24" s="16"/>
      <c r="G24" s="16"/>
      <c r="H24" s="16"/>
      <c r="I24" s="16"/>
      <c r="J24" s="16"/>
      <c r="K24" s="16"/>
    </row>
    <row r="25" spans="1:11" ht="16.05" customHeight="1" x14ac:dyDescent="0.3">
      <c r="A25" s="18">
        <v>4</v>
      </c>
      <c r="B25" s="18" t="s">
        <v>416</v>
      </c>
      <c r="C25" s="18"/>
      <c r="D25" s="18"/>
      <c r="E25" s="18"/>
      <c r="F25" s="18"/>
      <c r="G25" s="18"/>
      <c r="H25" s="18"/>
      <c r="I25" s="18"/>
      <c r="J25" s="18"/>
      <c r="K25" s="18"/>
    </row>
    <row r="26" spans="1:11" ht="16.05" customHeight="1" x14ac:dyDescent="0.3">
      <c r="A26" s="16">
        <v>5</v>
      </c>
      <c r="B26" s="16" t="s">
        <v>417</v>
      </c>
      <c r="C26" s="16"/>
      <c r="D26" s="16"/>
      <c r="E26" s="16"/>
      <c r="F26" s="16"/>
      <c r="G26" s="16"/>
      <c r="H26" s="16"/>
      <c r="I26" s="16"/>
      <c r="J26" s="16"/>
      <c r="K26" s="16"/>
    </row>
    <row r="27" spans="1:11" ht="16.05" customHeight="1" x14ac:dyDescent="0.3">
      <c r="A27" s="18">
        <v>6</v>
      </c>
      <c r="B27" s="18" t="s">
        <v>418</v>
      </c>
      <c r="C27" s="18"/>
      <c r="D27" s="18"/>
      <c r="E27" s="18"/>
      <c r="F27" s="18"/>
      <c r="G27" s="18"/>
      <c r="H27" s="18"/>
      <c r="I27" s="18"/>
      <c r="J27" s="18"/>
      <c r="K27" s="18"/>
    </row>
    <row r="28" spans="1:11" ht="16.05" customHeight="1" x14ac:dyDescent="0.3">
      <c r="A28" s="16">
        <v>7</v>
      </c>
      <c r="B28" s="16" t="s">
        <v>419</v>
      </c>
      <c r="C28" s="16"/>
      <c r="D28" s="16"/>
      <c r="E28" s="16"/>
      <c r="F28" s="16"/>
      <c r="G28" s="16"/>
      <c r="H28" s="16"/>
      <c r="I28" s="16"/>
      <c r="J28" s="16"/>
      <c r="K28" s="16"/>
    </row>
    <row r="29" spans="1:11" ht="16.05" customHeight="1" x14ac:dyDescent="0.3">
      <c r="A29" s="18">
        <v>8</v>
      </c>
      <c r="B29" s="18" t="s">
        <v>420</v>
      </c>
      <c r="C29" s="18"/>
      <c r="D29" s="18"/>
      <c r="E29" s="18"/>
      <c r="F29" s="18"/>
      <c r="G29" s="18"/>
      <c r="H29" s="18"/>
      <c r="I29" s="18"/>
      <c r="J29" s="18"/>
      <c r="K29" s="18"/>
    </row>
    <row r="30" spans="1:11" ht="16.05" customHeight="1" x14ac:dyDescent="0.3">
      <c r="A30" s="16">
        <v>9</v>
      </c>
      <c r="B30" s="16" t="s">
        <v>421</v>
      </c>
      <c r="C30" s="16"/>
      <c r="D30" s="16"/>
      <c r="E30" s="16"/>
      <c r="F30" s="16"/>
      <c r="G30" s="16"/>
      <c r="H30" s="16"/>
      <c r="I30" s="16"/>
      <c r="J30" s="16"/>
      <c r="K30" s="16"/>
    </row>
    <row r="31" spans="1:11" ht="16.05" customHeight="1" x14ac:dyDescent="0.3">
      <c r="A31" s="18">
        <v>10</v>
      </c>
      <c r="B31" s="18" t="s">
        <v>422</v>
      </c>
      <c r="C31" s="18"/>
      <c r="D31" s="18"/>
      <c r="E31" s="18"/>
      <c r="F31" s="18"/>
      <c r="G31" s="18"/>
      <c r="H31" s="18"/>
      <c r="I31" s="18"/>
      <c r="J31" s="18"/>
      <c r="K31" s="18"/>
    </row>
    <row r="32" spans="1:11" ht="16.05" customHeight="1" x14ac:dyDescent="0.3">
      <c r="A32" s="16">
        <v>11</v>
      </c>
      <c r="B32" s="16" t="s">
        <v>423</v>
      </c>
      <c r="C32" s="16"/>
      <c r="D32" s="16"/>
      <c r="E32" s="16"/>
      <c r="F32" s="16"/>
      <c r="G32" s="16"/>
      <c r="H32" s="16"/>
      <c r="I32" s="16"/>
      <c r="J32" s="16"/>
      <c r="K32" s="16"/>
    </row>
    <row r="33" spans="1:11" ht="16.05" customHeight="1" x14ac:dyDescent="0.3">
      <c r="A33" s="18">
        <v>12</v>
      </c>
      <c r="B33" s="18" t="s">
        <v>424</v>
      </c>
      <c r="C33" s="18"/>
      <c r="D33" s="18"/>
      <c r="E33" s="18"/>
      <c r="F33" s="18"/>
      <c r="G33" s="18"/>
      <c r="H33" s="18"/>
      <c r="I33" s="18"/>
      <c r="J33" s="18"/>
      <c r="K33" s="18"/>
    </row>
    <row r="34" spans="1:11" ht="16.05" customHeight="1" x14ac:dyDescent="0.3">
      <c r="A34" s="16">
        <v>13</v>
      </c>
      <c r="B34" s="16" t="s">
        <v>425</v>
      </c>
      <c r="C34" s="16"/>
      <c r="D34" s="16"/>
      <c r="E34" s="16"/>
      <c r="F34" s="16"/>
      <c r="G34" s="16"/>
      <c r="H34" s="16"/>
      <c r="I34" s="16"/>
      <c r="J34" s="16"/>
      <c r="K34" s="16"/>
    </row>
    <row r="35" spans="1:11" ht="16.05" customHeight="1" x14ac:dyDescent="0.3">
      <c r="A35" s="18">
        <v>14</v>
      </c>
      <c r="B35" s="18" t="s">
        <v>426</v>
      </c>
      <c r="C35" s="18"/>
      <c r="D35" s="18"/>
      <c r="E35" s="18"/>
      <c r="F35" s="18"/>
      <c r="G35" s="18"/>
      <c r="H35" s="18"/>
      <c r="I35" s="18"/>
      <c r="J35" s="18"/>
      <c r="K35" s="18"/>
    </row>
    <row r="36" spans="1:11" ht="16.05" customHeight="1" x14ac:dyDescent="0.3">
      <c r="A36" s="16">
        <v>15</v>
      </c>
      <c r="B36" s="16" t="s">
        <v>427</v>
      </c>
      <c r="C36" s="16"/>
      <c r="D36" s="16"/>
      <c r="E36" s="16"/>
      <c r="F36" s="16"/>
      <c r="G36" s="16"/>
      <c r="H36" s="16"/>
      <c r="I36" s="16"/>
      <c r="J36" s="16"/>
      <c r="K36" s="16"/>
    </row>
    <row r="38" spans="1:11" ht="19.95" customHeight="1" x14ac:dyDescent="0.3">
      <c r="A38" s="37" t="s">
        <v>428</v>
      </c>
      <c r="B38" s="33"/>
      <c r="C38" s="33"/>
      <c r="D38" s="33"/>
      <c r="E38" s="33"/>
      <c r="F38" s="33"/>
      <c r="G38" s="33"/>
      <c r="H38" s="33"/>
      <c r="I38" s="33"/>
      <c r="J38" s="33"/>
      <c r="K38" s="33"/>
    </row>
    <row r="39" spans="1:11" ht="31.95" customHeight="1" x14ac:dyDescent="0.3">
      <c r="A39" s="15" t="s">
        <v>78</v>
      </c>
      <c r="B39" s="15" t="s">
        <v>429</v>
      </c>
      <c r="C39" s="15" t="s">
        <v>430</v>
      </c>
      <c r="D39" s="15" t="s">
        <v>431</v>
      </c>
      <c r="E39" s="15" t="s">
        <v>432</v>
      </c>
      <c r="F39" s="15" t="s">
        <v>381</v>
      </c>
      <c r="G39" s="15" t="s">
        <v>382</v>
      </c>
      <c r="H39" s="15" t="s">
        <v>433</v>
      </c>
      <c r="I39" s="15" t="s">
        <v>434</v>
      </c>
      <c r="J39" s="15" t="s">
        <v>288</v>
      </c>
      <c r="K39" s="15" t="s">
        <v>86</v>
      </c>
    </row>
    <row r="40" spans="1:11" ht="16.05" customHeight="1" x14ac:dyDescent="0.3">
      <c r="A40" s="16" t="s">
        <v>87</v>
      </c>
      <c r="B40" s="16" t="s">
        <v>435</v>
      </c>
      <c r="C40" s="16"/>
      <c r="D40" s="16"/>
      <c r="E40" s="16"/>
      <c r="F40" s="16"/>
      <c r="G40" s="16"/>
      <c r="H40" s="16" t="s">
        <v>290</v>
      </c>
      <c r="I40" s="16"/>
      <c r="J40" s="16" t="s">
        <v>436</v>
      </c>
      <c r="K40" s="16" t="s">
        <v>437</v>
      </c>
    </row>
    <row r="41" spans="1:11" ht="16.05" customHeight="1" x14ac:dyDescent="0.3">
      <c r="A41" s="18" t="s">
        <v>90</v>
      </c>
      <c r="B41" s="18" t="s">
        <v>438</v>
      </c>
      <c r="C41" s="18"/>
      <c r="D41" s="18"/>
      <c r="E41" s="18"/>
      <c r="F41" s="18"/>
      <c r="G41" s="18"/>
      <c r="H41" s="18" t="s">
        <v>439</v>
      </c>
      <c r="I41" s="18"/>
      <c r="J41" s="18" t="s">
        <v>440</v>
      </c>
      <c r="K41" s="18"/>
    </row>
    <row r="42" spans="1:11" ht="16.05" customHeight="1" x14ac:dyDescent="0.3">
      <c r="A42" s="16" t="s">
        <v>92</v>
      </c>
      <c r="B42" s="16" t="s">
        <v>441</v>
      </c>
      <c r="C42" s="16"/>
      <c r="D42" s="16"/>
      <c r="E42" s="16"/>
      <c r="F42" s="16"/>
      <c r="G42" s="16"/>
      <c r="H42" s="16" t="s">
        <v>442</v>
      </c>
      <c r="I42" s="16"/>
      <c r="J42" s="16" t="s">
        <v>443</v>
      </c>
      <c r="K42" s="16" t="s">
        <v>444</v>
      </c>
    </row>
    <row r="43" spans="1:11" ht="16.05" customHeight="1" x14ac:dyDescent="0.3">
      <c r="A43" s="18" t="s">
        <v>94</v>
      </c>
      <c r="B43" s="18" t="s">
        <v>445</v>
      </c>
      <c r="C43" s="18"/>
      <c r="D43" s="18"/>
      <c r="E43" s="18"/>
      <c r="F43" s="18"/>
      <c r="G43" s="18"/>
      <c r="H43" s="18" t="s">
        <v>446</v>
      </c>
      <c r="I43" s="18"/>
      <c r="J43" s="18" t="s">
        <v>447</v>
      </c>
      <c r="K43" s="18"/>
    </row>
    <row r="44" spans="1:11" ht="16.05" customHeight="1" x14ac:dyDescent="0.3">
      <c r="A44" s="16" t="s">
        <v>96</v>
      </c>
      <c r="B44" s="16" t="s">
        <v>448</v>
      </c>
      <c r="C44" s="16"/>
      <c r="D44" s="16"/>
      <c r="E44" s="16"/>
      <c r="F44" s="16"/>
      <c r="G44" s="16"/>
      <c r="H44" s="16" t="s">
        <v>449</v>
      </c>
      <c r="I44" s="16"/>
      <c r="J44" s="16" t="s">
        <v>450</v>
      </c>
      <c r="K44" s="16" t="s">
        <v>451</v>
      </c>
    </row>
    <row r="45" spans="1:11" ht="16.05" customHeight="1" x14ac:dyDescent="0.3">
      <c r="A45" s="18" t="s">
        <v>99</v>
      </c>
      <c r="B45" s="18" t="s">
        <v>452</v>
      </c>
      <c r="C45" s="18"/>
      <c r="D45" s="18"/>
      <c r="E45" s="18"/>
      <c r="F45" s="18"/>
      <c r="G45" s="18"/>
      <c r="H45" s="18" t="s">
        <v>453</v>
      </c>
      <c r="I45" s="18"/>
      <c r="J45" s="18" t="s">
        <v>450</v>
      </c>
      <c r="K45" s="18"/>
    </row>
  </sheetData>
  <mergeCells count="6">
    <mergeCell ref="A1:K1"/>
    <mergeCell ref="A4:K4"/>
    <mergeCell ref="A20:K20"/>
    <mergeCell ref="A3:K3"/>
    <mergeCell ref="A38:K38"/>
    <mergeCell ref="A2:K2"/>
  </mergeCell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B00-000000000000}">
          <x14:formula1>
            <xm:f>REF!$A$2:$A$37</xm:f>
          </x14:formula1>
          <xm:sqref>C22:C36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76"/>
  <sheetViews>
    <sheetView showGridLines="0" workbookViewId="0">
      <selection sqref="A1:K1"/>
    </sheetView>
  </sheetViews>
  <sheetFormatPr defaultRowHeight="14.4" x14ac:dyDescent="0.3"/>
  <cols>
    <col min="1" max="1" width="4" customWidth="1"/>
    <col min="2" max="2" width="30" customWidth="1"/>
    <col min="3" max="3" width="16" customWidth="1"/>
    <col min="4" max="10" width="14" customWidth="1"/>
    <col min="11" max="11" width="22" customWidth="1"/>
  </cols>
  <sheetData>
    <row r="1" spans="1:11" ht="28.05" customHeight="1" x14ac:dyDescent="0.3">
      <c r="A1" s="32" t="s">
        <v>454</v>
      </c>
      <c r="B1" s="33"/>
      <c r="C1" s="33"/>
      <c r="D1" s="33"/>
      <c r="E1" s="33"/>
      <c r="F1" s="33"/>
      <c r="G1" s="33"/>
      <c r="H1" s="33"/>
      <c r="I1" s="33"/>
      <c r="J1" s="33"/>
      <c r="K1" s="33"/>
    </row>
    <row r="2" spans="1:11" ht="18" customHeight="1" x14ac:dyDescent="0.3">
      <c r="A2" s="38" t="str">
        <f>IF(SelectedScope="All India","NATIONAL VIEW — ALL INDIA","STATE VIEW — "&amp;SelectedScope)</f>
        <v>NATIONAL VIEW — ALL INDIA</v>
      </c>
      <c r="B2" s="33"/>
      <c r="C2" s="33"/>
      <c r="D2" s="33"/>
      <c r="E2" s="33"/>
      <c r="F2" s="33"/>
      <c r="G2" s="33"/>
      <c r="H2" s="33"/>
      <c r="I2" s="33"/>
      <c r="J2" s="33"/>
      <c r="K2" s="33"/>
    </row>
    <row r="3" spans="1:11" ht="16.05" customHeight="1" x14ac:dyDescent="0.3">
      <c r="A3" s="39" t="s">
        <v>455</v>
      </c>
      <c r="B3" s="33"/>
      <c r="C3" s="33"/>
      <c r="D3" s="33"/>
      <c r="E3" s="33"/>
      <c r="F3" s="33"/>
      <c r="G3" s="33"/>
      <c r="H3" s="33"/>
      <c r="I3" s="33"/>
      <c r="J3" s="33"/>
      <c r="K3" s="33"/>
    </row>
    <row r="4" spans="1:11" ht="19.95" customHeight="1" x14ac:dyDescent="0.3">
      <c r="A4" s="37" t="s">
        <v>456</v>
      </c>
      <c r="B4" s="33"/>
      <c r="C4" s="33"/>
      <c r="D4" s="33"/>
      <c r="E4" s="33"/>
      <c r="F4" s="33"/>
      <c r="G4" s="33"/>
      <c r="H4" s="33"/>
      <c r="I4" s="33"/>
      <c r="J4" s="33"/>
      <c r="K4" s="33"/>
    </row>
    <row r="5" spans="1:11" ht="31.95" customHeight="1" x14ac:dyDescent="0.3">
      <c r="A5" s="15" t="s">
        <v>78</v>
      </c>
      <c r="B5" s="15" t="s">
        <v>457</v>
      </c>
      <c r="C5" s="15" t="s">
        <v>116</v>
      </c>
      <c r="D5" s="15" t="s">
        <v>458</v>
      </c>
      <c r="E5" s="15" t="s">
        <v>118</v>
      </c>
      <c r="F5" s="15" t="s">
        <v>280</v>
      </c>
      <c r="G5" s="15" t="s">
        <v>72</v>
      </c>
      <c r="H5" s="15" t="s">
        <v>459</v>
      </c>
      <c r="I5" s="15" t="s">
        <v>460</v>
      </c>
      <c r="J5" s="15" t="s">
        <v>461</v>
      </c>
      <c r="K5" s="15" t="s">
        <v>86</v>
      </c>
    </row>
    <row r="6" spans="1:11" ht="16.05" customHeight="1" x14ac:dyDescent="0.3">
      <c r="A6" s="16" t="s">
        <v>87</v>
      </c>
      <c r="B6" s="16" t="s">
        <v>462</v>
      </c>
      <c r="C6" s="16" t="s">
        <v>123</v>
      </c>
      <c r="D6" s="12">
        <f>SUMPRODUCT((IF(SelectedScope="All India",1,'RAW_DISTRICT'!$B$4:$B$745=SelectedScope))*('RAW_DISTRICT'!$F$4:$F$745&gt;=$I$75))</f>
        <v>742</v>
      </c>
      <c r="E6" s="16"/>
      <c r="F6" s="16"/>
      <c r="G6" s="16"/>
      <c r="H6" s="16"/>
      <c r="I6" s="16"/>
      <c r="J6" s="16"/>
      <c r="K6" s="16"/>
    </row>
    <row r="7" spans="1:11" ht="16.05" customHeight="1" x14ac:dyDescent="0.3">
      <c r="A7" s="18" t="s">
        <v>90</v>
      </c>
      <c r="B7" s="18" t="s">
        <v>463</v>
      </c>
      <c r="C7" s="18" t="s">
        <v>464</v>
      </c>
      <c r="D7" s="9">
        <f>SUMPRODUCT((IF(SelectedScope="All India",1,'RAW_DISTRICT'!$B$4:$B$745=SelectedScope))*('RAW_DISTRICT'!$F$4:$F$745&gt;=$I$75))</f>
        <v>742</v>
      </c>
      <c r="E7" s="18"/>
      <c r="F7" s="18"/>
      <c r="G7" s="18"/>
      <c r="H7" s="18"/>
      <c r="I7" s="18"/>
      <c r="J7" s="18"/>
      <c r="K7" s="18"/>
    </row>
    <row r="8" spans="1:11" ht="16.05" customHeight="1" x14ac:dyDescent="0.3">
      <c r="A8" s="16" t="s">
        <v>92</v>
      </c>
      <c r="B8" s="16" t="s">
        <v>465</v>
      </c>
      <c r="C8" s="16" t="s">
        <v>127</v>
      </c>
      <c r="D8" s="12">
        <f>SUMPRODUCT((IF(SelectedScope="All India",1,'RAW_DISTRICT'!$B$4:$B$745=SelectedScope))*('RAW_DISTRICT'!$F$4:$F$745&gt;=$I$76)*('RAW_DISTRICT'!$F$4:$F$745&lt;$I$75))</f>
        <v>0</v>
      </c>
      <c r="E8" s="16"/>
      <c r="F8" s="16"/>
      <c r="G8" s="16"/>
      <c r="H8" s="16"/>
      <c r="I8" s="16"/>
      <c r="J8" s="16"/>
      <c r="K8" s="16"/>
    </row>
    <row r="9" spans="1:11" ht="16.05" customHeight="1" x14ac:dyDescent="0.3">
      <c r="A9" s="18" t="s">
        <v>94</v>
      </c>
      <c r="B9" s="18" t="s">
        <v>466</v>
      </c>
      <c r="C9" s="18" t="s">
        <v>467</v>
      </c>
      <c r="D9" s="9">
        <f>SUMPRODUCT((IF(SelectedScope="All India",1,'RAW_DISTRICT'!$B$4:$B$745=SelectedScope))*('RAW_DISTRICT'!$F$4:$F$745=0))</f>
        <v>742</v>
      </c>
      <c r="E9" s="18"/>
      <c r="F9" s="18"/>
      <c r="G9" s="18"/>
      <c r="H9" s="18"/>
      <c r="I9" s="18"/>
      <c r="J9" s="18"/>
      <c r="K9" s="18"/>
    </row>
    <row r="11" spans="1:11" ht="19.95" customHeight="1" x14ac:dyDescent="0.3">
      <c r="A11" s="37" t="s">
        <v>468</v>
      </c>
      <c r="B11" s="33"/>
      <c r="C11" s="33"/>
      <c r="D11" s="33"/>
      <c r="E11" s="33"/>
      <c r="F11" s="33"/>
      <c r="G11" s="33"/>
      <c r="H11" s="33"/>
      <c r="I11" s="33"/>
      <c r="J11" s="33"/>
      <c r="K11" s="33"/>
    </row>
    <row r="12" spans="1:11" ht="31.95" customHeight="1" x14ac:dyDescent="0.3">
      <c r="A12" s="15" t="s">
        <v>78</v>
      </c>
      <c r="B12" s="15" t="s">
        <v>469</v>
      </c>
      <c r="C12" s="15" t="s">
        <v>71</v>
      </c>
      <c r="D12" s="15" t="s">
        <v>470</v>
      </c>
      <c r="E12" s="15" t="s">
        <v>386</v>
      </c>
      <c r="F12" s="15" t="s">
        <v>72</v>
      </c>
      <c r="G12" s="15" t="s">
        <v>140</v>
      </c>
      <c r="H12" s="15" t="s">
        <v>326</v>
      </c>
      <c r="I12" s="15" t="s">
        <v>471</v>
      </c>
      <c r="J12" s="15" t="s">
        <v>288</v>
      </c>
      <c r="K12" s="15" t="s">
        <v>86</v>
      </c>
    </row>
    <row r="13" spans="1:11" ht="16.05" customHeight="1" x14ac:dyDescent="0.3">
      <c r="A13" s="18">
        <v>1</v>
      </c>
      <c r="B13" s="18" t="s">
        <v>472</v>
      </c>
      <c r="C13" s="18"/>
      <c r="D13" s="18"/>
      <c r="E13" s="18"/>
      <c r="F13" s="18"/>
      <c r="G13" s="18"/>
      <c r="H13" s="18"/>
      <c r="I13" s="18"/>
      <c r="J13" s="18" t="s">
        <v>473</v>
      </c>
      <c r="K13" s="18"/>
    </row>
    <row r="14" spans="1:11" ht="16.05" customHeight="1" x14ac:dyDescent="0.3">
      <c r="A14" s="16">
        <v>2</v>
      </c>
      <c r="B14" s="16" t="s">
        <v>474</v>
      </c>
      <c r="C14" s="16"/>
      <c r="D14" s="16"/>
      <c r="E14" s="16"/>
      <c r="F14" s="16"/>
      <c r="G14" s="16"/>
      <c r="H14" s="16"/>
      <c r="I14" s="16"/>
      <c r="J14" s="16" t="s">
        <v>473</v>
      </c>
      <c r="K14" s="16"/>
    </row>
    <row r="15" spans="1:11" ht="16.05" customHeight="1" x14ac:dyDescent="0.3">
      <c r="A15" s="18">
        <v>3</v>
      </c>
      <c r="B15" s="18" t="s">
        <v>475</v>
      </c>
      <c r="C15" s="18"/>
      <c r="D15" s="18"/>
      <c r="E15" s="18"/>
      <c r="F15" s="18"/>
      <c r="G15" s="18"/>
      <c r="H15" s="18"/>
      <c r="I15" s="18"/>
      <c r="J15" s="18" t="s">
        <v>473</v>
      </c>
      <c r="K15" s="18"/>
    </row>
    <row r="16" spans="1:11" ht="16.05" customHeight="1" x14ac:dyDescent="0.3">
      <c r="A16" s="16">
        <v>4</v>
      </c>
      <c r="B16" s="16" t="s">
        <v>476</v>
      </c>
      <c r="C16" s="16"/>
      <c r="D16" s="16"/>
      <c r="E16" s="16"/>
      <c r="F16" s="16"/>
      <c r="G16" s="16"/>
      <c r="H16" s="16"/>
      <c r="I16" s="16"/>
      <c r="J16" s="16" t="s">
        <v>473</v>
      </c>
      <c r="K16" s="16"/>
    </row>
    <row r="18" spans="1:11" ht="19.95" customHeight="1" x14ac:dyDescent="0.3">
      <c r="A18" s="37" t="s">
        <v>477</v>
      </c>
      <c r="B18" s="33"/>
      <c r="C18" s="33"/>
      <c r="D18" s="33"/>
      <c r="E18" s="33"/>
      <c r="F18" s="33"/>
      <c r="G18" s="33"/>
      <c r="H18" s="33"/>
      <c r="I18" s="33"/>
      <c r="J18" s="33"/>
      <c r="K18" s="33"/>
    </row>
    <row r="19" spans="1:11" ht="31.95" customHeight="1" x14ac:dyDescent="0.3">
      <c r="A19" s="15" t="s">
        <v>78</v>
      </c>
      <c r="B19" s="15" t="s">
        <v>478</v>
      </c>
      <c r="C19" s="15" t="s">
        <v>71</v>
      </c>
      <c r="D19" s="15" t="s">
        <v>470</v>
      </c>
      <c r="E19" s="15" t="s">
        <v>72</v>
      </c>
      <c r="F19" s="15" t="s">
        <v>140</v>
      </c>
      <c r="G19" s="15" t="s">
        <v>479</v>
      </c>
      <c r="H19" s="15" t="s">
        <v>383</v>
      </c>
      <c r="I19" s="15" t="s">
        <v>480</v>
      </c>
      <c r="J19" s="15" t="s">
        <v>481</v>
      </c>
      <c r="K19" s="15" t="s">
        <v>86</v>
      </c>
    </row>
    <row r="20" spans="1:11" ht="16.05" customHeight="1" x14ac:dyDescent="0.3">
      <c r="A20" s="16">
        <v>1</v>
      </c>
      <c r="B20" s="16" t="s">
        <v>482</v>
      </c>
      <c r="C20" s="16"/>
      <c r="D20" s="16"/>
      <c r="E20" s="16"/>
      <c r="F20" s="16"/>
      <c r="G20" s="16"/>
      <c r="H20" s="16"/>
      <c r="I20" s="16"/>
      <c r="J20" s="16"/>
      <c r="K20" s="16"/>
    </row>
    <row r="21" spans="1:11" ht="16.05" customHeight="1" x14ac:dyDescent="0.3">
      <c r="A21" s="18">
        <v>2</v>
      </c>
      <c r="B21" s="18" t="s">
        <v>483</v>
      </c>
      <c r="C21" s="18"/>
      <c r="D21" s="18"/>
      <c r="E21" s="18"/>
      <c r="F21" s="18"/>
      <c r="G21" s="18"/>
      <c r="H21" s="18"/>
      <c r="I21" s="18"/>
      <c r="J21" s="18"/>
      <c r="K21" s="18"/>
    </row>
    <row r="22" spans="1:11" ht="16.05" customHeight="1" x14ac:dyDescent="0.3">
      <c r="A22" s="16">
        <v>3</v>
      </c>
      <c r="B22" s="16" t="s">
        <v>484</v>
      </c>
      <c r="C22" s="16"/>
      <c r="D22" s="16"/>
      <c r="E22" s="16"/>
      <c r="F22" s="16"/>
      <c r="G22" s="16"/>
      <c r="H22" s="16"/>
      <c r="I22" s="16"/>
      <c r="J22" s="16"/>
      <c r="K22" s="16"/>
    </row>
    <row r="23" spans="1:11" ht="16.05" customHeight="1" x14ac:dyDescent="0.3">
      <c r="A23" s="18">
        <v>4</v>
      </c>
      <c r="B23" s="18" t="s">
        <v>485</v>
      </c>
      <c r="C23" s="18"/>
      <c r="D23" s="18"/>
      <c r="E23" s="18"/>
      <c r="F23" s="18"/>
      <c r="G23" s="18"/>
      <c r="H23" s="18"/>
      <c r="I23" s="18"/>
      <c r="J23" s="18"/>
      <c r="K23" s="18"/>
    </row>
    <row r="24" spans="1:11" ht="16.05" customHeight="1" x14ac:dyDescent="0.3">
      <c r="A24" s="16">
        <v>5</v>
      </c>
      <c r="B24" s="16" t="s">
        <v>486</v>
      </c>
      <c r="C24" s="16"/>
      <c r="D24" s="16"/>
      <c r="E24" s="16"/>
      <c r="F24" s="16"/>
      <c r="G24" s="16"/>
      <c r="H24" s="16"/>
      <c r="I24" s="16"/>
      <c r="J24" s="16"/>
      <c r="K24" s="16"/>
    </row>
    <row r="25" spans="1:11" ht="16.05" customHeight="1" x14ac:dyDescent="0.3">
      <c r="A25" s="18">
        <v>6</v>
      </c>
      <c r="B25" s="18" t="s">
        <v>476</v>
      </c>
      <c r="C25" s="18"/>
      <c r="D25" s="18"/>
      <c r="E25" s="18"/>
      <c r="F25" s="18"/>
      <c r="G25" s="18"/>
      <c r="H25" s="18"/>
      <c r="I25" s="18"/>
      <c r="J25" s="18"/>
      <c r="K25" s="18"/>
    </row>
    <row r="27" spans="1:11" ht="19.95" customHeight="1" x14ac:dyDescent="0.3">
      <c r="A27" s="37" t="s">
        <v>487</v>
      </c>
      <c r="B27" s="33"/>
      <c r="C27" s="33"/>
      <c r="D27" s="33"/>
      <c r="E27" s="33"/>
      <c r="F27" s="33"/>
      <c r="G27" s="33"/>
      <c r="H27" s="33"/>
      <c r="I27" s="33"/>
      <c r="J27" s="33"/>
      <c r="K27" s="33"/>
    </row>
    <row r="28" spans="1:11" ht="31.95" customHeight="1" x14ac:dyDescent="0.3">
      <c r="A28" s="15" t="s">
        <v>78</v>
      </c>
      <c r="B28" s="15" t="s">
        <v>193</v>
      </c>
      <c r="C28" s="15" t="s">
        <v>117</v>
      </c>
      <c r="D28" s="15" t="s">
        <v>71</v>
      </c>
      <c r="E28" s="15" t="s">
        <v>72</v>
      </c>
      <c r="F28" s="15" t="s">
        <v>140</v>
      </c>
      <c r="G28" s="15" t="s">
        <v>488</v>
      </c>
      <c r="H28" s="15" t="s">
        <v>97</v>
      </c>
      <c r="I28" s="15" t="s">
        <v>489</v>
      </c>
      <c r="J28" s="15" t="s">
        <v>490</v>
      </c>
      <c r="K28" s="15" t="s">
        <v>86</v>
      </c>
    </row>
    <row r="29" spans="1:11" ht="16.05" customHeight="1" x14ac:dyDescent="0.3">
      <c r="A29" s="18">
        <v>1</v>
      </c>
      <c r="B29" s="18" t="s">
        <v>491</v>
      </c>
      <c r="C29" s="9">
        <f>SUMPRODUCT((IF(SelectedScope="All India",1,'RAW_DISTRICT'!$B$4:$B$745=SelectedScope))*('RAW_DISTRICT'!$E$4:$E$745=$B29))</f>
        <v>0</v>
      </c>
      <c r="D29" s="9">
        <f>SUMPRODUCT((IF(SelectedScope="All India",1,'RAW_DISTRICT'!$B$4:$B$745=SelectedScope))*('RAW_DISTRICT'!$E$4:$E$745=$B29)*'RAW_DISTRICT'!$F$4:$F$745)</f>
        <v>0</v>
      </c>
      <c r="E29" s="18"/>
      <c r="F29" s="18"/>
      <c r="G29" s="18"/>
      <c r="H29" s="18"/>
      <c r="I29" s="18"/>
      <c r="J29" s="18"/>
      <c r="K29" s="18"/>
    </row>
    <row r="30" spans="1:11" ht="16.05" customHeight="1" x14ac:dyDescent="0.3">
      <c r="A30" s="16">
        <v>2</v>
      </c>
      <c r="B30" s="16" t="s">
        <v>492</v>
      </c>
      <c r="C30" s="12">
        <f>SUMPRODUCT((IF(SelectedScope="All India",1,'RAW_DISTRICT'!$B$4:$B$745=SelectedScope))*('RAW_DISTRICT'!$E$4:$E$745=$B30))</f>
        <v>0</v>
      </c>
      <c r="D30" s="12">
        <f>SUMPRODUCT((IF(SelectedScope="All India",1,'RAW_DISTRICT'!$B$4:$B$745=SelectedScope))*('RAW_DISTRICT'!$E$4:$E$745=$B30)*'RAW_DISTRICT'!$F$4:$F$745)</f>
        <v>0</v>
      </c>
      <c r="E30" s="16"/>
      <c r="F30" s="16"/>
      <c r="G30" s="16"/>
      <c r="H30" s="16"/>
      <c r="I30" s="16"/>
      <c r="J30" s="16"/>
      <c r="K30" s="16"/>
    </row>
    <row r="31" spans="1:11" ht="16.05" customHeight="1" x14ac:dyDescent="0.3">
      <c r="A31" s="18">
        <v>3</v>
      </c>
      <c r="B31" s="18" t="s">
        <v>493</v>
      </c>
      <c r="C31" s="9">
        <f>SUMPRODUCT((IF(SelectedScope="All India",1,'RAW_DISTRICT'!$B$4:$B$745=SelectedScope))*('RAW_DISTRICT'!$E$4:$E$745=$B31))</f>
        <v>0</v>
      </c>
      <c r="D31" s="9">
        <f>SUMPRODUCT((IF(SelectedScope="All India",1,'RAW_DISTRICT'!$B$4:$B$745=SelectedScope))*('RAW_DISTRICT'!$E$4:$E$745=$B31)*'RAW_DISTRICT'!$F$4:$F$745)</f>
        <v>0</v>
      </c>
      <c r="E31" s="18"/>
      <c r="F31" s="18"/>
      <c r="G31" s="18"/>
      <c r="H31" s="18"/>
      <c r="I31" s="18"/>
      <c r="J31" s="18"/>
      <c r="K31" s="18"/>
    </row>
    <row r="32" spans="1:11" ht="16.05" customHeight="1" x14ac:dyDescent="0.3">
      <c r="A32" s="16">
        <v>4</v>
      </c>
      <c r="B32" s="16" t="s">
        <v>494</v>
      </c>
      <c r="C32" s="12">
        <f>SUMPRODUCT((IF(SelectedScope="All India",1,'RAW_DISTRICT'!$B$4:$B$745=SelectedScope))*('RAW_DISTRICT'!$E$4:$E$745=$B32))</f>
        <v>0</v>
      </c>
      <c r="D32" s="12">
        <f>SUMPRODUCT((IF(SelectedScope="All India",1,'RAW_DISTRICT'!$B$4:$B$745=SelectedScope))*('RAW_DISTRICT'!$E$4:$E$745=$B32)*'RAW_DISTRICT'!$F$4:$F$745)</f>
        <v>0</v>
      </c>
      <c r="E32" s="16"/>
      <c r="F32" s="16"/>
      <c r="G32" s="16"/>
      <c r="H32" s="16"/>
      <c r="I32" s="16"/>
      <c r="J32" s="16"/>
      <c r="K32" s="16"/>
    </row>
    <row r="34" spans="1:11" ht="19.95" customHeight="1" x14ac:dyDescent="0.3">
      <c r="A34" s="37" t="s">
        <v>495</v>
      </c>
      <c r="B34" s="33"/>
      <c r="C34" s="33"/>
      <c r="D34" s="33"/>
      <c r="E34" s="33"/>
      <c r="F34" s="33"/>
      <c r="G34" s="33"/>
      <c r="H34" s="33"/>
      <c r="I34" s="33"/>
      <c r="J34" s="33"/>
      <c r="K34" s="33"/>
    </row>
    <row r="35" spans="1:11" ht="31.95" customHeight="1" x14ac:dyDescent="0.3">
      <c r="A35" s="15" t="s">
        <v>78</v>
      </c>
      <c r="B35" s="15" t="s">
        <v>496</v>
      </c>
      <c r="C35" s="15" t="s">
        <v>497</v>
      </c>
      <c r="D35" s="15" t="s">
        <v>498</v>
      </c>
      <c r="E35" s="15" t="s">
        <v>499</v>
      </c>
      <c r="F35" s="15" t="s">
        <v>500</v>
      </c>
      <c r="G35" s="15" t="s">
        <v>501</v>
      </c>
      <c r="H35" s="15" t="s">
        <v>192</v>
      </c>
      <c r="I35" s="15" t="s">
        <v>157</v>
      </c>
      <c r="J35" s="15" t="s">
        <v>288</v>
      </c>
      <c r="K35" s="15" t="s">
        <v>86</v>
      </c>
    </row>
    <row r="36" spans="1:11" ht="16.05" customHeight="1" x14ac:dyDescent="0.3">
      <c r="A36" s="16">
        <v>1</v>
      </c>
      <c r="B36" s="16" t="s">
        <v>502</v>
      </c>
      <c r="C36" s="16"/>
      <c r="D36" s="16"/>
      <c r="E36" s="16"/>
      <c r="F36" s="16"/>
      <c r="G36" s="16"/>
      <c r="H36" s="16"/>
      <c r="I36" s="16"/>
      <c r="J36" s="16" t="s">
        <v>503</v>
      </c>
      <c r="K36" s="16"/>
    </row>
    <row r="37" spans="1:11" ht="16.05" customHeight="1" x14ac:dyDescent="0.3">
      <c r="A37" s="18">
        <v>2</v>
      </c>
      <c r="B37" s="18" t="s">
        <v>504</v>
      </c>
      <c r="C37" s="18"/>
      <c r="D37" s="18"/>
      <c r="E37" s="18"/>
      <c r="F37" s="18"/>
      <c r="G37" s="18"/>
      <c r="H37" s="18"/>
      <c r="I37" s="18"/>
      <c r="J37" s="18" t="s">
        <v>503</v>
      </c>
      <c r="K37" s="18"/>
    </row>
    <row r="38" spans="1:11" ht="16.05" customHeight="1" x14ac:dyDescent="0.3">
      <c r="A38" s="16">
        <v>3</v>
      </c>
      <c r="B38" s="16" t="s">
        <v>505</v>
      </c>
      <c r="C38" s="16"/>
      <c r="D38" s="16"/>
      <c r="E38" s="16"/>
      <c r="F38" s="16"/>
      <c r="G38" s="16"/>
      <c r="H38" s="16"/>
      <c r="I38" s="16"/>
      <c r="J38" s="16" t="s">
        <v>503</v>
      </c>
      <c r="K38" s="16"/>
    </row>
    <row r="39" spans="1:11" ht="16.05" customHeight="1" x14ac:dyDescent="0.3">
      <c r="A39" s="18">
        <v>4</v>
      </c>
      <c r="B39" s="18" t="s">
        <v>506</v>
      </c>
      <c r="C39" s="18"/>
      <c r="D39" s="18"/>
      <c r="E39" s="18"/>
      <c r="F39" s="18"/>
      <c r="G39" s="18"/>
      <c r="H39" s="18"/>
      <c r="I39" s="18"/>
      <c r="J39" s="18" t="s">
        <v>503</v>
      </c>
      <c r="K39" s="18"/>
    </row>
    <row r="40" spans="1:11" ht="16.05" customHeight="1" x14ac:dyDescent="0.3">
      <c r="A40" s="16">
        <v>5</v>
      </c>
      <c r="B40" s="16" t="s">
        <v>507</v>
      </c>
      <c r="C40" s="16"/>
      <c r="D40" s="16"/>
      <c r="E40" s="16"/>
      <c r="F40" s="16"/>
      <c r="G40" s="16"/>
      <c r="H40" s="16"/>
      <c r="I40" s="16"/>
      <c r="J40" s="16" t="s">
        <v>503</v>
      </c>
      <c r="K40" s="16"/>
    </row>
    <row r="41" spans="1:11" ht="16.05" customHeight="1" x14ac:dyDescent="0.3">
      <c r="A41" s="18">
        <v>6</v>
      </c>
      <c r="B41" s="18" t="s">
        <v>508</v>
      </c>
      <c r="C41" s="18"/>
      <c r="D41" s="18"/>
      <c r="E41" s="18"/>
      <c r="F41" s="18"/>
      <c r="G41" s="18"/>
      <c r="H41" s="18"/>
      <c r="I41" s="18"/>
      <c r="J41" s="18" t="s">
        <v>503</v>
      </c>
      <c r="K41" s="18"/>
    </row>
    <row r="42" spans="1:11" ht="16.05" customHeight="1" x14ac:dyDescent="0.3">
      <c r="A42" s="16">
        <v>7</v>
      </c>
      <c r="B42" s="16" t="s">
        <v>509</v>
      </c>
      <c r="C42" s="16"/>
      <c r="D42" s="16"/>
      <c r="E42" s="16"/>
      <c r="F42" s="16"/>
      <c r="G42" s="16"/>
      <c r="H42" s="16"/>
      <c r="I42" s="16"/>
      <c r="J42" s="16" t="s">
        <v>503</v>
      </c>
      <c r="K42" s="16"/>
    </row>
    <row r="75" spans="8:9" x14ac:dyDescent="0.3">
      <c r="H75" s="26" t="s">
        <v>510</v>
      </c>
      <c r="I75" s="26">
        <f t="array" ref="I75">PERCENTILE(IF(IF(SelectedScope="All India",TRUE,'RAW_DISTRICT'!$B$4:$B$745=SelectedScope),N('RAW_DISTRICT'!$F$4:$F$745),0),0.8)</f>
        <v>0</v>
      </c>
    </row>
    <row r="76" spans="8:9" x14ac:dyDescent="0.3">
      <c r="H76" s="26" t="s">
        <v>511</v>
      </c>
      <c r="I76" s="26">
        <f t="array" ref="I76">PERCENTILE(IF(IF(SelectedScope="All India",TRUE,'RAW_DISTRICT'!$B$4:$B$745=SelectedScope),N('RAW_DISTRICT'!$F$4:$F$745),0),0.4)</f>
        <v>0</v>
      </c>
    </row>
  </sheetData>
  <mergeCells count="8">
    <mergeCell ref="A1:K1"/>
    <mergeCell ref="A27:K27"/>
    <mergeCell ref="A34:K34"/>
    <mergeCell ref="A18:K18"/>
    <mergeCell ref="A4:K4"/>
    <mergeCell ref="A3:K3"/>
    <mergeCell ref="A2:K2"/>
    <mergeCell ref="A11:K11"/>
  </mergeCell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xr:uid="{00000000-0002-0000-0C00-000000000000}">
          <x14:formula1>
            <xm:f>REF!$A$2:$A$37</xm:f>
          </x14:formula1>
          <xm:sqref>H36:H42 H20:I25</xm:sqref>
        </x14:dataValidation>
        <x14:dataValidation type="list" allowBlank="1" xr:uid="{00000000-0002-0000-0C00-000002000000}">
          <x14:formula1>
            <xm:f>REF!$K$2:$K$5</xm:f>
          </x14:formula1>
          <xm:sqref>G36:G42 J20:J25</xm:sqref>
        </x14:dataValidation>
        <x14:dataValidation type="list" allowBlank="1" xr:uid="{00000000-0002-0000-0C00-000013000000}">
          <x14:formula1>
            <xm:f>REF!$E$2:$E$13</xm:f>
          </x14:formula1>
          <xm:sqref>I36:I42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89"/>
  <sheetViews>
    <sheetView showGridLines="0" workbookViewId="0">
      <selection sqref="A1:L1"/>
    </sheetView>
  </sheetViews>
  <sheetFormatPr defaultRowHeight="14.4" x14ac:dyDescent="0.3"/>
  <cols>
    <col min="1" max="1" width="4" customWidth="1"/>
    <col min="2" max="2" width="26" customWidth="1"/>
    <col min="3" max="3" width="16" customWidth="1"/>
    <col min="4" max="6" width="14" customWidth="1"/>
    <col min="7" max="11" width="12" customWidth="1"/>
    <col min="12" max="12" width="22" customWidth="1"/>
  </cols>
  <sheetData>
    <row r="1" spans="1:12" ht="28.05" customHeight="1" x14ac:dyDescent="0.3">
      <c r="A1" s="32" t="s">
        <v>512</v>
      </c>
      <c r="B1" s="33"/>
      <c r="C1" s="33"/>
      <c r="D1" s="33"/>
      <c r="E1" s="33"/>
      <c r="F1" s="33"/>
      <c r="G1" s="33"/>
      <c r="H1" s="33"/>
      <c r="I1" s="33"/>
      <c r="J1" s="33"/>
      <c r="K1" s="33"/>
      <c r="L1" s="33"/>
    </row>
    <row r="2" spans="1:12" ht="18" customHeight="1" x14ac:dyDescent="0.3">
      <c r="A2" s="38" t="str">
        <f>IF(SelectedScope="All India","NATIONAL VIEW — ALL INDIA","STATE VIEW — "&amp;SelectedScope)</f>
        <v>NATIONAL VIEW — ALL INDIA</v>
      </c>
      <c r="B2" s="33"/>
      <c r="C2" s="33"/>
      <c r="D2" s="33"/>
      <c r="E2" s="33"/>
      <c r="F2" s="33"/>
      <c r="G2" s="33"/>
      <c r="H2" s="33"/>
      <c r="I2" s="33"/>
      <c r="J2" s="33"/>
      <c r="K2" s="33"/>
      <c r="L2" s="33"/>
    </row>
    <row r="3" spans="1:12" ht="16.05" customHeight="1" x14ac:dyDescent="0.3">
      <c r="A3" s="39" t="s">
        <v>513</v>
      </c>
      <c r="B3" s="33"/>
      <c r="C3" s="33"/>
      <c r="D3" s="33"/>
      <c r="E3" s="33"/>
      <c r="F3" s="33"/>
      <c r="G3" s="33"/>
      <c r="H3" s="33"/>
      <c r="I3" s="33"/>
      <c r="J3" s="33"/>
      <c r="K3" s="33"/>
      <c r="L3" s="33"/>
    </row>
    <row r="4" spans="1:12" ht="19.95" customHeight="1" x14ac:dyDescent="0.3">
      <c r="A4" s="37" t="s">
        <v>514</v>
      </c>
      <c r="B4" s="33"/>
      <c r="C4" s="33"/>
      <c r="D4" s="33"/>
      <c r="E4" s="33"/>
      <c r="F4" s="33"/>
      <c r="G4" s="33"/>
      <c r="H4" s="33"/>
      <c r="I4" s="33"/>
      <c r="J4" s="33"/>
      <c r="K4" s="33"/>
      <c r="L4" s="33"/>
    </row>
    <row r="5" spans="1:12" ht="31.95" customHeight="1" x14ac:dyDescent="0.3">
      <c r="A5" s="15" t="s">
        <v>78</v>
      </c>
      <c r="B5" s="15" t="s">
        <v>192</v>
      </c>
      <c r="C5" s="15" t="s">
        <v>515</v>
      </c>
      <c r="D5" s="15" t="s">
        <v>516</v>
      </c>
      <c r="E5" s="15" t="s">
        <v>72</v>
      </c>
      <c r="F5" s="15" t="s">
        <v>97</v>
      </c>
      <c r="G5" s="15" t="s">
        <v>517</v>
      </c>
      <c r="H5" s="15" t="s">
        <v>518</v>
      </c>
      <c r="I5" s="15" t="s">
        <v>84</v>
      </c>
      <c r="J5" s="15" t="s">
        <v>140</v>
      </c>
      <c r="K5" s="15" t="s">
        <v>74</v>
      </c>
      <c r="L5" s="15" t="s">
        <v>86</v>
      </c>
    </row>
    <row r="6" spans="1:12" ht="16.05" customHeight="1" x14ac:dyDescent="0.3">
      <c r="A6" s="16">
        <v>1</v>
      </c>
      <c r="B6" s="16" t="s">
        <v>519</v>
      </c>
      <c r="C6" s="12">
        <f>SUMPRODUCT(('RAW_DISTRICT'!$B$4:$B$745=$B6)*'RAW_DISTRICT'!$F$4:$F$745)</f>
        <v>0</v>
      </c>
      <c r="D6" s="12">
        <f>SUMPRODUCT(('RAW_DISTRICT'!$B$4:$B$745=$B6)*'RAW_DISTRICT'!$F$4:$F$745)</f>
        <v>0</v>
      </c>
      <c r="E6" s="20" t="str">
        <f>IFERROR((SUMPRODUCT(('RAW_DISTRICT'!$B$4:$B$745=$B6)*'RAW_DISTRICT'!$I$4:$I$745))/(SUMPRODUCT(('RAW_DISTRICT'!$B$4:$B$745=$B6)*'RAW_DISTRICT'!$H$4:$H$745)),"")</f>
        <v/>
      </c>
      <c r="F6" s="20" t="str">
        <f>IFERROR((SUMPRODUCT(('RAW_DISTRICT'!$B$4:$B$745=$B6)*'RAW_DISTRICT'!$M$4:$M$745))/(SUMPRODUCT(('RAW_DISTRICT'!$B$4:$B$745=$B6)*'RAW_DISTRICT'!$L$4:$L$745)),"")</f>
        <v/>
      </c>
      <c r="G6" s="16"/>
      <c r="H6" s="12">
        <f>SUMPRODUCT(('RAW_DISTRICT'!$B$4:$B$745=$B6)*1)</f>
        <v>3</v>
      </c>
      <c r="I6" s="12">
        <f>SUMPRODUCT(('RAW_DISTRICT'!$B$4:$B$745=$B6)*'RAW_DISTRICT'!$P$4:$P$745)</f>
        <v>0</v>
      </c>
      <c r="J6" s="20" t="str">
        <f>IFERROR((SUMPRODUCT(('RAW_DISTRICT'!$B$4:$B$745=$B6)*'RAW_DISTRICT'!$K$4:$K$745))/(SUMPRODUCT(('RAW_DISTRICT'!$B$4:$B$745=$B6)*'RAW_DISTRICT'!$J$4:$J$745)),"")</f>
        <v/>
      </c>
      <c r="K6" s="16"/>
      <c r="L6" s="16"/>
    </row>
    <row r="7" spans="1:12" ht="16.05" customHeight="1" x14ac:dyDescent="0.3">
      <c r="A7" s="18">
        <v>2</v>
      </c>
      <c r="B7" s="18" t="s">
        <v>520</v>
      </c>
      <c r="C7" s="9">
        <f>SUMPRODUCT(('RAW_DISTRICT'!$B$4:$B$745=$B7)*'RAW_DISTRICT'!$F$4:$F$745)</f>
        <v>0</v>
      </c>
      <c r="D7" s="9">
        <f>SUMPRODUCT(('RAW_DISTRICT'!$B$4:$B$745=$B7)*'RAW_DISTRICT'!$F$4:$F$745)</f>
        <v>0</v>
      </c>
      <c r="E7" s="21" t="str">
        <f>IFERROR((SUMPRODUCT(('RAW_DISTRICT'!$B$4:$B$745=$B7)*'RAW_DISTRICT'!$I$4:$I$745))/(SUMPRODUCT(('RAW_DISTRICT'!$B$4:$B$745=$B7)*'RAW_DISTRICT'!$H$4:$H$745)),"")</f>
        <v/>
      </c>
      <c r="F7" s="21" t="str">
        <f>IFERROR((SUMPRODUCT(('RAW_DISTRICT'!$B$4:$B$745=$B7)*'RAW_DISTRICT'!$M$4:$M$745))/(SUMPRODUCT(('RAW_DISTRICT'!$B$4:$B$745=$B7)*'RAW_DISTRICT'!$L$4:$L$745)),"")</f>
        <v/>
      </c>
      <c r="G7" s="18"/>
      <c r="H7" s="9">
        <f>SUMPRODUCT(('RAW_DISTRICT'!$B$4:$B$745=$B7)*1)</f>
        <v>21</v>
      </c>
      <c r="I7" s="9">
        <f>SUMPRODUCT(('RAW_DISTRICT'!$B$4:$B$745=$B7)*'RAW_DISTRICT'!$P$4:$P$745)</f>
        <v>0</v>
      </c>
      <c r="J7" s="21" t="str">
        <f>IFERROR((SUMPRODUCT(('RAW_DISTRICT'!$B$4:$B$745=$B7)*'RAW_DISTRICT'!$K$4:$K$745))/(SUMPRODUCT(('RAW_DISTRICT'!$B$4:$B$745=$B7)*'RAW_DISTRICT'!$J$4:$J$745)),"")</f>
        <v/>
      </c>
      <c r="K7" s="18"/>
      <c r="L7" s="18"/>
    </row>
    <row r="8" spans="1:12" ht="16.05" customHeight="1" x14ac:dyDescent="0.3">
      <c r="A8" s="16">
        <v>3</v>
      </c>
      <c r="B8" s="16" t="s">
        <v>521</v>
      </c>
      <c r="C8" s="12">
        <f>SUMPRODUCT(('RAW_DISTRICT'!$B$4:$B$745=$B8)*'RAW_DISTRICT'!$F$4:$F$745)</f>
        <v>0</v>
      </c>
      <c r="D8" s="12">
        <f>SUMPRODUCT(('RAW_DISTRICT'!$B$4:$B$745=$B8)*'RAW_DISTRICT'!$F$4:$F$745)</f>
        <v>0</v>
      </c>
      <c r="E8" s="20" t="str">
        <f>IFERROR((SUMPRODUCT(('RAW_DISTRICT'!$B$4:$B$745=$B8)*'RAW_DISTRICT'!$I$4:$I$745))/(SUMPRODUCT(('RAW_DISTRICT'!$B$4:$B$745=$B8)*'RAW_DISTRICT'!$H$4:$H$745)),"")</f>
        <v/>
      </c>
      <c r="F8" s="20" t="str">
        <f>IFERROR((SUMPRODUCT(('RAW_DISTRICT'!$B$4:$B$745=$B8)*'RAW_DISTRICT'!$M$4:$M$745))/(SUMPRODUCT(('RAW_DISTRICT'!$B$4:$B$745=$B8)*'RAW_DISTRICT'!$L$4:$L$745)),"")</f>
        <v/>
      </c>
      <c r="G8" s="16"/>
      <c r="H8" s="12">
        <f>SUMPRODUCT(('RAW_DISTRICT'!$B$4:$B$745=$B8)*1)</f>
        <v>22</v>
      </c>
      <c r="I8" s="12">
        <f>SUMPRODUCT(('RAW_DISTRICT'!$B$4:$B$745=$B8)*'RAW_DISTRICT'!$P$4:$P$745)</f>
        <v>0</v>
      </c>
      <c r="J8" s="20" t="str">
        <f>IFERROR((SUMPRODUCT(('RAW_DISTRICT'!$B$4:$B$745=$B8)*'RAW_DISTRICT'!$K$4:$K$745))/(SUMPRODUCT(('RAW_DISTRICT'!$B$4:$B$745=$B8)*'RAW_DISTRICT'!$J$4:$J$745)),"")</f>
        <v/>
      </c>
      <c r="K8" s="16"/>
      <c r="L8" s="16"/>
    </row>
    <row r="9" spans="1:12" ht="16.05" customHeight="1" x14ac:dyDescent="0.3">
      <c r="A9" s="18">
        <v>4</v>
      </c>
      <c r="B9" s="18" t="s">
        <v>522</v>
      </c>
      <c r="C9" s="9">
        <f>SUMPRODUCT(('RAW_DISTRICT'!$B$4:$B$745=$B9)*'RAW_DISTRICT'!$F$4:$F$745)</f>
        <v>0</v>
      </c>
      <c r="D9" s="9">
        <f>SUMPRODUCT(('RAW_DISTRICT'!$B$4:$B$745=$B9)*'RAW_DISTRICT'!$F$4:$F$745)</f>
        <v>0</v>
      </c>
      <c r="E9" s="21" t="str">
        <f>IFERROR((SUMPRODUCT(('RAW_DISTRICT'!$B$4:$B$745=$B9)*'RAW_DISTRICT'!$I$4:$I$745))/(SUMPRODUCT(('RAW_DISTRICT'!$B$4:$B$745=$B9)*'RAW_DISTRICT'!$H$4:$H$745)),"")</f>
        <v/>
      </c>
      <c r="F9" s="21" t="str">
        <f>IFERROR((SUMPRODUCT(('RAW_DISTRICT'!$B$4:$B$745=$B9)*'RAW_DISTRICT'!$M$4:$M$745))/(SUMPRODUCT(('RAW_DISTRICT'!$B$4:$B$745=$B9)*'RAW_DISTRICT'!$L$4:$L$745)),"")</f>
        <v/>
      </c>
      <c r="G9" s="18"/>
      <c r="H9" s="9">
        <f>SUMPRODUCT(('RAW_DISTRICT'!$B$4:$B$745=$B9)*1)</f>
        <v>29</v>
      </c>
      <c r="I9" s="9">
        <f>SUMPRODUCT(('RAW_DISTRICT'!$B$4:$B$745=$B9)*'RAW_DISTRICT'!$P$4:$P$745)</f>
        <v>0</v>
      </c>
      <c r="J9" s="21" t="str">
        <f>IFERROR((SUMPRODUCT(('RAW_DISTRICT'!$B$4:$B$745=$B9)*'RAW_DISTRICT'!$K$4:$K$745))/(SUMPRODUCT(('RAW_DISTRICT'!$B$4:$B$745=$B9)*'RAW_DISTRICT'!$J$4:$J$745)),"")</f>
        <v/>
      </c>
      <c r="K9" s="18"/>
      <c r="L9" s="18"/>
    </row>
    <row r="10" spans="1:12" ht="16.05" customHeight="1" x14ac:dyDescent="0.3">
      <c r="A10" s="16">
        <v>5</v>
      </c>
      <c r="B10" s="16" t="s">
        <v>523</v>
      </c>
      <c r="C10" s="12">
        <f>SUMPRODUCT(('RAW_DISTRICT'!$B$4:$B$745=$B10)*'RAW_DISTRICT'!$F$4:$F$745)</f>
        <v>0</v>
      </c>
      <c r="D10" s="12">
        <f>SUMPRODUCT(('RAW_DISTRICT'!$B$4:$B$745=$B10)*'RAW_DISTRICT'!$F$4:$F$745)</f>
        <v>0</v>
      </c>
      <c r="E10" s="20" t="str">
        <f>IFERROR((SUMPRODUCT(('RAW_DISTRICT'!$B$4:$B$745=$B10)*'RAW_DISTRICT'!$I$4:$I$745))/(SUMPRODUCT(('RAW_DISTRICT'!$B$4:$B$745=$B10)*'RAW_DISTRICT'!$H$4:$H$745)),"")</f>
        <v/>
      </c>
      <c r="F10" s="20" t="str">
        <f>IFERROR((SUMPRODUCT(('RAW_DISTRICT'!$B$4:$B$745=$B10)*'RAW_DISTRICT'!$M$4:$M$745))/(SUMPRODUCT(('RAW_DISTRICT'!$B$4:$B$745=$B10)*'RAW_DISTRICT'!$L$4:$L$745)),"")</f>
        <v/>
      </c>
      <c r="G10" s="16"/>
      <c r="H10" s="12">
        <f>SUMPRODUCT(('RAW_DISTRICT'!$B$4:$B$745=$B10)*1)</f>
        <v>38</v>
      </c>
      <c r="I10" s="12">
        <f>SUMPRODUCT(('RAW_DISTRICT'!$B$4:$B$745=$B10)*'RAW_DISTRICT'!$P$4:$P$745)</f>
        <v>0</v>
      </c>
      <c r="J10" s="20" t="str">
        <f>IFERROR((SUMPRODUCT(('RAW_DISTRICT'!$B$4:$B$745=$B10)*'RAW_DISTRICT'!$K$4:$K$745))/(SUMPRODUCT(('RAW_DISTRICT'!$B$4:$B$745=$B10)*'RAW_DISTRICT'!$J$4:$J$745)),"")</f>
        <v/>
      </c>
      <c r="K10" s="16"/>
      <c r="L10" s="16"/>
    </row>
    <row r="11" spans="1:12" ht="16.05" customHeight="1" x14ac:dyDescent="0.3">
      <c r="A11" s="18">
        <v>6</v>
      </c>
      <c r="B11" s="18" t="s">
        <v>524</v>
      </c>
      <c r="C11" s="9">
        <f>SUMPRODUCT(('RAW_DISTRICT'!$B$4:$B$745=$B11)*'RAW_DISTRICT'!$F$4:$F$745)</f>
        <v>0</v>
      </c>
      <c r="D11" s="9">
        <f>SUMPRODUCT(('RAW_DISTRICT'!$B$4:$B$745=$B11)*'RAW_DISTRICT'!$F$4:$F$745)</f>
        <v>0</v>
      </c>
      <c r="E11" s="21" t="str">
        <f>IFERROR((SUMPRODUCT(('RAW_DISTRICT'!$B$4:$B$745=$B11)*'RAW_DISTRICT'!$I$4:$I$745))/(SUMPRODUCT(('RAW_DISTRICT'!$B$4:$B$745=$B11)*'RAW_DISTRICT'!$H$4:$H$745)),"")</f>
        <v/>
      </c>
      <c r="F11" s="21" t="str">
        <f>IFERROR((SUMPRODUCT(('RAW_DISTRICT'!$B$4:$B$745=$B11)*'RAW_DISTRICT'!$M$4:$M$745))/(SUMPRODUCT(('RAW_DISTRICT'!$B$4:$B$745=$B11)*'RAW_DISTRICT'!$L$4:$L$745)),"")</f>
        <v/>
      </c>
      <c r="G11" s="18"/>
      <c r="H11" s="9">
        <f>SUMPRODUCT(('RAW_DISTRICT'!$B$4:$B$745=$B11)*1)</f>
        <v>1</v>
      </c>
      <c r="I11" s="9">
        <f>SUMPRODUCT(('RAW_DISTRICT'!$B$4:$B$745=$B11)*'RAW_DISTRICT'!$P$4:$P$745)</f>
        <v>0</v>
      </c>
      <c r="J11" s="21" t="str">
        <f>IFERROR((SUMPRODUCT(('RAW_DISTRICT'!$B$4:$B$745=$B11)*'RAW_DISTRICT'!$K$4:$K$745))/(SUMPRODUCT(('RAW_DISTRICT'!$B$4:$B$745=$B11)*'RAW_DISTRICT'!$J$4:$J$745)),"")</f>
        <v/>
      </c>
      <c r="K11" s="18"/>
      <c r="L11" s="18"/>
    </row>
    <row r="12" spans="1:12" ht="16.05" customHeight="1" x14ac:dyDescent="0.3">
      <c r="A12" s="16">
        <v>7</v>
      </c>
      <c r="B12" s="16" t="s">
        <v>525</v>
      </c>
      <c r="C12" s="12">
        <f>SUMPRODUCT(('RAW_DISTRICT'!$B$4:$B$745=$B12)*'RAW_DISTRICT'!$F$4:$F$745)</f>
        <v>0</v>
      </c>
      <c r="D12" s="12">
        <f>SUMPRODUCT(('RAW_DISTRICT'!$B$4:$B$745=$B12)*'RAW_DISTRICT'!$F$4:$F$745)</f>
        <v>0</v>
      </c>
      <c r="E12" s="20" t="str">
        <f>IFERROR((SUMPRODUCT(('RAW_DISTRICT'!$B$4:$B$745=$B12)*'RAW_DISTRICT'!$I$4:$I$745))/(SUMPRODUCT(('RAW_DISTRICT'!$B$4:$B$745=$B12)*'RAW_DISTRICT'!$H$4:$H$745)),"")</f>
        <v/>
      </c>
      <c r="F12" s="20" t="str">
        <f>IFERROR((SUMPRODUCT(('RAW_DISTRICT'!$B$4:$B$745=$B12)*'RAW_DISTRICT'!$M$4:$M$745))/(SUMPRODUCT(('RAW_DISTRICT'!$B$4:$B$745=$B12)*'RAW_DISTRICT'!$L$4:$L$745)),"")</f>
        <v/>
      </c>
      <c r="G12" s="16"/>
      <c r="H12" s="12">
        <f>SUMPRODUCT(('RAW_DISTRICT'!$B$4:$B$745=$B12)*1)</f>
        <v>27</v>
      </c>
      <c r="I12" s="12">
        <f>SUMPRODUCT(('RAW_DISTRICT'!$B$4:$B$745=$B12)*'RAW_DISTRICT'!$P$4:$P$745)</f>
        <v>0</v>
      </c>
      <c r="J12" s="20" t="str">
        <f>IFERROR((SUMPRODUCT(('RAW_DISTRICT'!$B$4:$B$745=$B12)*'RAW_DISTRICT'!$K$4:$K$745))/(SUMPRODUCT(('RAW_DISTRICT'!$B$4:$B$745=$B12)*'RAW_DISTRICT'!$J$4:$J$745)),"")</f>
        <v/>
      </c>
      <c r="K12" s="16"/>
      <c r="L12" s="16"/>
    </row>
    <row r="13" spans="1:12" ht="16.05" customHeight="1" x14ac:dyDescent="0.3">
      <c r="A13" s="18">
        <v>8</v>
      </c>
      <c r="B13" s="18" t="s">
        <v>526</v>
      </c>
      <c r="C13" s="9">
        <f>SUMPRODUCT(('RAW_DISTRICT'!$B$4:$B$745=$B13)*'RAW_DISTRICT'!$F$4:$F$745)</f>
        <v>0</v>
      </c>
      <c r="D13" s="9">
        <f>SUMPRODUCT(('RAW_DISTRICT'!$B$4:$B$745=$B13)*'RAW_DISTRICT'!$F$4:$F$745)</f>
        <v>0</v>
      </c>
      <c r="E13" s="21" t="str">
        <f>IFERROR((SUMPRODUCT(('RAW_DISTRICT'!$B$4:$B$745=$B13)*'RAW_DISTRICT'!$I$4:$I$745))/(SUMPRODUCT(('RAW_DISTRICT'!$B$4:$B$745=$B13)*'RAW_DISTRICT'!$H$4:$H$745)),"")</f>
        <v/>
      </c>
      <c r="F13" s="21" t="str">
        <f>IFERROR((SUMPRODUCT(('RAW_DISTRICT'!$B$4:$B$745=$B13)*'RAW_DISTRICT'!$M$4:$M$745))/(SUMPRODUCT(('RAW_DISTRICT'!$B$4:$B$745=$B13)*'RAW_DISTRICT'!$L$4:$L$745)),"")</f>
        <v/>
      </c>
      <c r="G13" s="18"/>
      <c r="H13" s="9">
        <f>SUMPRODUCT(('RAW_DISTRICT'!$B$4:$B$745=$B13)*1)</f>
        <v>3</v>
      </c>
      <c r="I13" s="9">
        <f>SUMPRODUCT(('RAW_DISTRICT'!$B$4:$B$745=$B13)*'RAW_DISTRICT'!$P$4:$P$745)</f>
        <v>0</v>
      </c>
      <c r="J13" s="21" t="str">
        <f>IFERROR((SUMPRODUCT(('RAW_DISTRICT'!$B$4:$B$745=$B13)*'RAW_DISTRICT'!$K$4:$K$745))/(SUMPRODUCT(('RAW_DISTRICT'!$B$4:$B$745=$B13)*'RAW_DISTRICT'!$J$4:$J$745)),"")</f>
        <v/>
      </c>
      <c r="K13" s="18"/>
      <c r="L13" s="18"/>
    </row>
    <row r="14" spans="1:12" ht="16.05" customHeight="1" x14ac:dyDescent="0.3">
      <c r="A14" s="16">
        <v>9</v>
      </c>
      <c r="B14" s="16" t="s">
        <v>527</v>
      </c>
      <c r="C14" s="12">
        <f>SUMPRODUCT(('RAW_DISTRICT'!$B$4:$B$745=$B14)*'RAW_DISTRICT'!$F$4:$F$745)</f>
        <v>0</v>
      </c>
      <c r="D14" s="12">
        <f>SUMPRODUCT(('RAW_DISTRICT'!$B$4:$B$745=$B14)*'RAW_DISTRICT'!$F$4:$F$745)</f>
        <v>0</v>
      </c>
      <c r="E14" s="20" t="str">
        <f>IFERROR((SUMPRODUCT(('RAW_DISTRICT'!$B$4:$B$745=$B14)*'RAW_DISTRICT'!$I$4:$I$745))/(SUMPRODUCT(('RAW_DISTRICT'!$B$4:$B$745=$B14)*'RAW_DISTRICT'!$H$4:$H$745)),"")</f>
        <v/>
      </c>
      <c r="F14" s="20" t="str">
        <f>IFERROR((SUMPRODUCT(('RAW_DISTRICT'!$B$4:$B$745=$B14)*'RAW_DISTRICT'!$M$4:$M$745))/(SUMPRODUCT(('RAW_DISTRICT'!$B$4:$B$745=$B14)*'RAW_DISTRICT'!$L$4:$L$745)),"")</f>
        <v/>
      </c>
      <c r="G14" s="16"/>
      <c r="H14" s="12">
        <f>SUMPRODUCT(('RAW_DISTRICT'!$B$4:$B$745=$B14)*1)</f>
        <v>11</v>
      </c>
      <c r="I14" s="12">
        <f>SUMPRODUCT(('RAW_DISTRICT'!$B$4:$B$745=$B14)*'RAW_DISTRICT'!$P$4:$P$745)</f>
        <v>0</v>
      </c>
      <c r="J14" s="20" t="str">
        <f>IFERROR((SUMPRODUCT(('RAW_DISTRICT'!$B$4:$B$745=$B14)*'RAW_DISTRICT'!$K$4:$K$745))/(SUMPRODUCT(('RAW_DISTRICT'!$B$4:$B$745=$B14)*'RAW_DISTRICT'!$J$4:$J$745)),"")</f>
        <v/>
      </c>
      <c r="K14" s="16"/>
      <c r="L14" s="16"/>
    </row>
    <row r="15" spans="1:12" ht="16.05" customHeight="1" x14ac:dyDescent="0.3">
      <c r="A15" s="18">
        <v>10</v>
      </c>
      <c r="B15" s="18" t="s">
        <v>528</v>
      </c>
      <c r="C15" s="9">
        <f>SUMPRODUCT(('RAW_DISTRICT'!$B$4:$B$745=$B15)*'RAW_DISTRICT'!$F$4:$F$745)</f>
        <v>0</v>
      </c>
      <c r="D15" s="9">
        <f>SUMPRODUCT(('RAW_DISTRICT'!$B$4:$B$745=$B15)*'RAW_DISTRICT'!$F$4:$F$745)</f>
        <v>0</v>
      </c>
      <c r="E15" s="21" t="str">
        <f>IFERROR((SUMPRODUCT(('RAW_DISTRICT'!$B$4:$B$745=$B15)*'RAW_DISTRICT'!$I$4:$I$745))/(SUMPRODUCT(('RAW_DISTRICT'!$B$4:$B$745=$B15)*'RAW_DISTRICT'!$H$4:$H$745)),"")</f>
        <v/>
      </c>
      <c r="F15" s="21" t="str">
        <f>IFERROR((SUMPRODUCT(('RAW_DISTRICT'!$B$4:$B$745=$B15)*'RAW_DISTRICT'!$M$4:$M$745))/(SUMPRODUCT(('RAW_DISTRICT'!$B$4:$B$745=$B15)*'RAW_DISTRICT'!$L$4:$L$745)),"")</f>
        <v/>
      </c>
      <c r="G15" s="18"/>
      <c r="H15" s="9">
        <f>SUMPRODUCT(('RAW_DISTRICT'!$B$4:$B$745=$B15)*1)</f>
        <v>2</v>
      </c>
      <c r="I15" s="9">
        <f>SUMPRODUCT(('RAW_DISTRICT'!$B$4:$B$745=$B15)*'RAW_DISTRICT'!$P$4:$P$745)</f>
        <v>0</v>
      </c>
      <c r="J15" s="21" t="str">
        <f>IFERROR((SUMPRODUCT(('RAW_DISTRICT'!$B$4:$B$745=$B15)*'RAW_DISTRICT'!$K$4:$K$745))/(SUMPRODUCT(('RAW_DISTRICT'!$B$4:$B$745=$B15)*'RAW_DISTRICT'!$J$4:$J$745)),"")</f>
        <v/>
      </c>
      <c r="K15" s="18"/>
      <c r="L15" s="18"/>
    </row>
    <row r="16" spans="1:12" ht="16.05" customHeight="1" x14ac:dyDescent="0.3">
      <c r="A16" s="16">
        <v>11</v>
      </c>
      <c r="B16" s="16" t="s">
        <v>529</v>
      </c>
      <c r="C16" s="12">
        <f>SUMPRODUCT(('RAW_DISTRICT'!$B$4:$B$745=$B16)*'RAW_DISTRICT'!$F$4:$F$745)</f>
        <v>0</v>
      </c>
      <c r="D16" s="12">
        <f>SUMPRODUCT(('RAW_DISTRICT'!$B$4:$B$745=$B16)*'RAW_DISTRICT'!$F$4:$F$745)</f>
        <v>0</v>
      </c>
      <c r="E16" s="20" t="str">
        <f>IFERROR((SUMPRODUCT(('RAW_DISTRICT'!$B$4:$B$745=$B16)*'RAW_DISTRICT'!$I$4:$I$745))/(SUMPRODUCT(('RAW_DISTRICT'!$B$4:$B$745=$B16)*'RAW_DISTRICT'!$H$4:$H$745)),"")</f>
        <v/>
      </c>
      <c r="F16" s="20" t="str">
        <f>IFERROR((SUMPRODUCT(('RAW_DISTRICT'!$B$4:$B$745=$B16)*'RAW_DISTRICT'!$M$4:$M$745))/(SUMPRODUCT(('RAW_DISTRICT'!$B$4:$B$745=$B16)*'RAW_DISTRICT'!$L$4:$L$745)),"")</f>
        <v/>
      </c>
      <c r="G16" s="16"/>
      <c r="H16" s="12">
        <f>SUMPRODUCT(('RAW_DISTRICT'!$B$4:$B$745=$B16)*1)</f>
        <v>33</v>
      </c>
      <c r="I16" s="12">
        <f>SUMPRODUCT(('RAW_DISTRICT'!$B$4:$B$745=$B16)*'RAW_DISTRICT'!$P$4:$P$745)</f>
        <v>0</v>
      </c>
      <c r="J16" s="20" t="str">
        <f>IFERROR((SUMPRODUCT(('RAW_DISTRICT'!$B$4:$B$745=$B16)*'RAW_DISTRICT'!$K$4:$K$745))/(SUMPRODUCT(('RAW_DISTRICT'!$B$4:$B$745=$B16)*'RAW_DISTRICT'!$J$4:$J$745)),"")</f>
        <v/>
      </c>
      <c r="K16" s="16"/>
      <c r="L16" s="16"/>
    </row>
    <row r="17" spans="1:12" ht="16.05" customHeight="1" x14ac:dyDescent="0.3">
      <c r="A17" s="18">
        <v>12</v>
      </c>
      <c r="B17" s="18" t="s">
        <v>530</v>
      </c>
      <c r="C17" s="9">
        <f>SUMPRODUCT(('RAW_DISTRICT'!$B$4:$B$745=$B17)*'RAW_DISTRICT'!$F$4:$F$745)</f>
        <v>0</v>
      </c>
      <c r="D17" s="9">
        <f>SUMPRODUCT(('RAW_DISTRICT'!$B$4:$B$745=$B17)*'RAW_DISTRICT'!$F$4:$F$745)</f>
        <v>0</v>
      </c>
      <c r="E17" s="21" t="str">
        <f>IFERROR((SUMPRODUCT(('RAW_DISTRICT'!$B$4:$B$745=$B17)*'RAW_DISTRICT'!$I$4:$I$745))/(SUMPRODUCT(('RAW_DISTRICT'!$B$4:$B$745=$B17)*'RAW_DISTRICT'!$H$4:$H$745)),"")</f>
        <v/>
      </c>
      <c r="F17" s="21" t="str">
        <f>IFERROR((SUMPRODUCT(('RAW_DISTRICT'!$B$4:$B$745=$B17)*'RAW_DISTRICT'!$M$4:$M$745))/(SUMPRODUCT(('RAW_DISTRICT'!$B$4:$B$745=$B17)*'RAW_DISTRICT'!$L$4:$L$745)),"")</f>
        <v/>
      </c>
      <c r="G17" s="18"/>
      <c r="H17" s="9">
        <f>SUMPRODUCT(('RAW_DISTRICT'!$B$4:$B$745=$B17)*1)</f>
        <v>22</v>
      </c>
      <c r="I17" s="9">
        <f>SUMPRODUCT(('RAW_DISTRICT'!$B$4:$B$745=$B17)*'RAW_DISTRICT'!$P$4:$P$745)</f>
        <v>0</v>
      </c>
      <c r="J17" s="21" t="str">
        <f>IFERROR((SUMPRODUCT(('RAW_DISTRICT'!$B$4:$B$745=$B17)*'RAW_DISTRICT'!$K$4:$K$745))/(SUMPRODUCT(('RAW_DISTRICT'!$B$4:$B$745=$B17)*'RAW_DISTRICT'!$J$4:$J$745)),"")</f>
        <v/>
      </c>
      <c r="K17" s="18"/>
      <c r="L17" s="18"/>
    </row>
    <row r="18" spans="1:12" ht="16.05" customHeight="1" x14ac:dyDescent="0.3">
      <c r="A18" s="16">
        <v>13</v>
      </c>
      <c r="B18" s="16" t="s">
        <v>531</v>
      </c>
      <c r="C18" s="12">
        <f>SUMPRODUCT(('RAW_DISTRICT'!$B$4:$B$745=$B18)*'RAW_DISTRICT'!$F$4:$F$745)</f>
        <v>0</v>
      </c>
      <c r="D18" s="12">
        <f>SUMPRODUCT(('RAW_DISTRICT'!$B$4:$B$745=$B18)*'RAW_DISTRICT'!$F$4:$F$745)</f>
        <v>0</v>
      </c>
      <c r="E18" s="20" t="str">
        <f>IFERROR((SUMPRODUCT(('RAW_DISTRICT'!$B$4:$B$745=$B18)*'RAW_DISTRICT'!$I$4:$I$745))/(SUMPRODUCT(('RAW_DISTRICT'!$B$4:$B$745=$B18)*'RAW_DISTRICT'!$H$4:$H$745)),"")</f>
        <v/>
      </c>
      <c r="F18" s="20" t="str">
        <f>IFERROR((SUMPRODUCT(('RAW_DISTRICT'!$B$4:$B$745=$B18)*'RAW_DISTRICT'!$M$4:$M$745))/(SUMPRODUCT(('RAW_DISTRICT'!$B$4:$B$745=$B18)*'RAW_DISTRICT'!$L$4:$L$745)),"")</f>
        <v/>
      </c>
      <c r="G18" s="16"/>
      <c r="H18" s="12">
        <f>SUMPRODUCT(('RAW_DISTRICT'!$B$4:$B$745=$B18)*1)</f>
        <v>12</v>
      </c>
      <c r="I18" s="12">
        <f>SUMPRODUCT(('RAW_DISTRICT'!$B$4:$B$745=$B18)*'RAW_DISTRICT'!$P$4:$P$745)</f>
        <v>0</v>
      </c>
      <c r="J18" s="20" t="str">
        <f>IFERROR((SUMPRODUCT(('RAW_DISTRICT'!$B$4:$B$745=$B18)*'RAW_DISTRICT'!$K$4:$K$745))/(SUMPRODUCT(('RAW_DISTRICT'!$B$4:$B$745=$B18)*'RAW_DISTRICT'!$J$4:$J$745)),"")</f>
        <v/>
      </c>
      <c r="K18" s="16"/>
      <c r="L18" s="16"/>
    </row>
    <row r="19" spans="1:12" ht="16.05" customHeight="1" x14ac:dyDescent="0.3">
      <c r="A19" s="18">
        <v>14</v>
      </c>
      <c r="B19" s="18" t="s">
        <v>532</v>
      </c>
      <c r="C19" s="9">
        <f>SUMPRODUCT(('RAW_DISTRICT'!$B$4:$B$745=$B19)*'RAW_DISTRICT'!$F$4:$F$745)</f>
        <v>0</v>
      </c>
      <c r="D19" s="9">
        <f>SUMPRODUCT(('RAW_DISTRICT'!$B$4:$B$745=$B19)*'RAW_DISTRICT'!$F$4:$F$745)</f>
        <v>0</v>
      </c>
      <c r="E19" s="21" t="str">
        <f>IFERROR((SUMPRODUCT(('RAW_DISTRICT'!$B$4:$B$745=$B19)*'RAW_DISTRICT'!$I$4:$I$745))/(SUMPRODUCT(('RAW_DISTRICT'!$B$4:$B$745=$B19)*'RAW_DISTRICT'!$H$4:$H$745)),"")</f>
        <v/>
      </c>
      <c r="F19" s="21" t="str">
        <f>IFERROR((SUMPRODUCT(('RAW_DISTRICT'!$B$4:$B$745=$B19)*'RAW_DISTRICT'!$M$4:$M$745))/(SUMPRODUCT(('RAW_DISTRICT'!$B$4:$B$745=$B19)*'RAW_DISTRICT'!$L$4:$L$745)),"")</f>
        <v/>
      </c>
      <c r="G19" s="18"/>
      <c r="H19" s="9">
        <f>SUMPRODUCT(('RAW_DISTRICT'!$B$4:$B$745=$B19)*1)</f>
        <v>20</v>
      </c>
      <c r="I19" s="9">
        <f>SUMPRODUCT(('RAW_DISTRICT'!$B$4:$B$745=$B19)*'RAW_DISTRICT'!$P$4:$P$745)</f>
        <v>0</v>
      </c>
      <c r="J19" s="21" t="str">
        <f>IFERROR((SUMPRODUCT(('RAW_DISTRICT'!$B$4:$B$745=$B19)*'RAW_DISTRICT'!$K$4:$K$745))/(SUMPRODUCT(('RAW_DISTRICT'!$B$4:$B$745=$B19)*'RAW_DISTRICT'!$J$4:$J$745)),"")</f>
        <v/>
      </c>
      <c r="K19" s="18"/>
      <c r="L19" s="18"/>
    </row>
    <row r="20" spans="1:12" ht="16.05" customHeight="1" x14ac:dyDescent="0.3">
      <c r="A20" s="16">
        <v>15</v>
      </c>
      <c r="B20" s="16" t="s">
        <v>533</v>
      </c>
      <c r="C20" s="12">
        <f>SUMPRODUCT(('RAW_DISTRICT'!$B$4:$B$745=$B20)*'RAW_DISTRICT'!$F$4:$F$745)</f>
        <v>0</v>
      </c>
      <c r="D20" s="12">
        <f>SUMPRODUCT(('RAW_DISTRICT'!$B$4:$B$745=$B20)*'RAW_DISTRICT'!$F$4:$F$745)</f>
        <v>0</v>
      </c>
      <c r="E20" s="20" t="str">
        <f>IFERROR((SUMPRODUCT(('RAW_DISTRICT'!$B$4:$B$745=$B20)*'RAW_DISTRICT'!$I$4:$I$745))/(SUMPRODUCT(('RAW_DISTRICT'!$B$4:$B$745=$B20)*'RAW_DISTRICT'!$H$4:$H$745)),"")</f>
        <v/>
      </c>
      <c r="F20" s="20" t="str">
        <f>IFERROR((SUMPRODUCT(('RAW_DISTRICT'!$B$4:$B$745=$B20)*'RAW_DISTRICT'!$M$4:$M$745))/(SUMPRODUCT(('RAW_DISTRICT'!$B$4:$B$745=$B20)*'RAW_DISTRICT'!$L$4:$L$745)),"")</f>
        <v/>
      </c>
      <c r="G20" s="16"/>
      <c r="H20" s="12">
        <f>SUMPRODUCT(('RAW_DISTRICT'!$B$4:$B$745=$B20)*1)</f>
        <v>24</v>
      </c>
      <c r="I20" s="12">
        <f>SUMPRODUCT(('RAW_DISTRICT'!$B$4:$B$745=$B20)*'RAW_DISTRICT'!$P$4:$P$745)</f>
        <v>0</v>
      </c>
      <c r="J20" s="20" t="str">
        <f>IFERROR((SUMPRODUCT(('RAW_DISTRICT'!$B$4:$B$745=$B20)*'RAW_DISTRICT'!$K$4:$K$745))/(SUMPRODUCT(('RAW_DISTRICT'!$B$4:$B$745=$B20)*'RAW_DISTRICT'!$J$4:$J$745)),"")</f>
        <v/>
      </c>
      <c r="K20" s="16"/>
      <c r="L20" s="16"/>
    </row>
    <row r="21" spans="1:12" ht="16.05" customHeight="1" x14ac:dyDescent="0.3">
      <c r="A21" s="18">
        <v>16</v>
      </c>
      <c r="B21" s="18" t="s">
        <v>534</v>
      </c>
      <c r="C21" s="9">
        <f>SUMPRODUCT(('RAW_DISTRICT'!$B$4:$B$745=$B21)*'RAW_DISTRICT'!$F$4:$F$745)</f>
        <v>0</v>
      </c>
      <c r="D21" s="9">
        <f>SUMPRODUCT(('RAW_DISTRICT'!$B$4:$B$745=$B21)*'RAW_DISTRICT'!$F$4:$F$745)</f>
        <v>0</v>
      </c>
      <c r="E21" s="21" t="str">
        <f>IFERROR((SUMPRODUCT(('RAW_DISTRICT'!$B$4:$B$745=$B21)*'RAW_DISTRICT'!$I$4:$I$745))/(SUMPRODUCT(('RAW_DISTRICT'!$B$4:$B$745=$B21)*'RAW_DISTRICT'!$H$4:$H$745)),"")</f>
        <v/>
      </c>
      <c r="F21" s="21" t="str">
        <f>IFERROR((SUMPRODUCT(('RAW_DISTRICT'!$B$4:$B$745=$B21)*'RAW_DISTRICT'!$M$4:$M$745))/(SUMPRODUCT(('RAW_DISTRICT'!$B$4:$B$745=$B21)*'RAW_DISTRICT'!$L$4:$L$745)),"")</f>
        <v/>
      </c>
      <c r="G21" s="18"/>
      <c r="H21" s="9">
        <f>SUMPRODUCT(('RAW_DISTRICT'!$B$4:$B$745=$B21)*1)</f>
        <v>31</v>
      </c>
      <c r="I21" s="9">
        <f>SUMPRODUCT(('RAW_DISTRICT'!$B$4:$B$745=$B21)*'RAW_DISTRICT'!$P$4:$P$745)</f>
        <v>0</v>
      </c>
      <c r="J21" s="21" t="str">
        <f>IFERROR((SUMPRODUCT(('RAW_DISTRICT'!$B$4:$B$745=$B21)*'RAW_DISTRICT'!$K$4:$K$745))/(SUMPRODUCT(('RAW_DISTRICT'!$B$4:$B$745=$B21)*'RAW_DISTRICT'!$J$4:$J$745)),"")</f>
        <v/>
      </c>
      <c r="K21" s="18"/>
      <c r="L21" s="18"/>
    </row>
    <row r="22" spans="1:12" ht="16.05" customHeight="1" x14ac:dyDescent="0.3">
      <c r="A22" s="16">
        <v>17</v>
      </c>
      <c r="B22" s="16" t="s">
        <v>535</v>
      </c>
      <c r="C22" s="12">
        <f>SUMPRODUCT(('RAW_DISTRICT'!$B$4:$B$745=$B22)*'RAW_DISTRICT'!$F$4:$F$745)</f>
        <v>0</v>
      </c>
      <c r="D22" s="12">
        <f>SUMPRODUCT(('RAW_DISTRICT'!$B$4:$B$745=$B22)*'RAW_DISTRICT'!$F$4:$F$745)</f>
        <v>0</v>
      </c>
      <c r="E22" s="20" t="str">
        <f>IFERROR((SUMPRODUCT(('RAW_DISTRICT'!$B$4:$B$745=$B22)*'RAW_DISTRICT'!$I$4:$I$745))/(SUMPRODUCT(('RAW_DISTRICT'!$B$4:$B$745=$B22)*'RAW_DISTRICT'!$H$4:$H$745)),"")</f>
        <v/>
      </c>
      <c r="F22" s="20" t="str">
        <f>IFERROR((SUMPRODUCT(('RAW_DISTRICT'!$B$4:$B$745=$B22)*'RAW_DISTRICT'!$M$4:$M$745))/(SUMPRODUCT(('RAW_DISTRICT'!$B$4:$B$745=$B22)*'RAW_DISTRICT'!$L$4:$L$745)),"")</f>
        <v/>
      </c>
      <c r="G22" s="16"/>
      <c r="H22" s="12">
        <f>SUMPRODUCT(('RAW_DISTRICT'!$B$4:$B$745=$B22)*1)</f>
        <v>14</v>
      </c>
      <c r="I22" s="12">
        <f>SUMPRODUCT(('RAW_DISTRICT'!$B$4:$B$745=$B22)*'RAW_DISTRICT'!$P$4:$P$745)</f>
        <v>0</v>
      </c>
      <c r="J22" s="20" t="str">
        <f>IFERROR((SUMPRODUCT(('RAW_DISTRICT'!$B$4:$B$745=$B22)*'RAW_DISTRICT'!$K$4:$K$745))/(SUMPRODUCT(('RAW_DISTRICT'!$B$4:$B$745=$B22)*'RAW_DISTRICT'!$J$4:$J$745)),"")</f>
        <v/>
      </c>
      <c r="K22" s="16"/>
      <c r="L22" s="16"/>
    </row>
    <row r="23" spans="1:12" ht="16.05" customHeight="1" x14ac:dyDescent="0.3">
      <c r="A23" s="18">
        <v>18</v>
      </c>
      <c r="B23" s="18" t="s">
        <v>536</v>
      </c>
      <c r="C23" s="9">
        <f>SUMPRODUCT(('RAW_DISTRICT'!$B$4:$B$745=$B23)*'RAW_DISTRICT'!$F$4:$F$745)</f>
        <v>0</v>
      </c>
      <c r="D23" s="9">
        <f>SUMPRODUCT(('RAW_DISTRICT'!$B$4:$B$745=$B23)*'RAW_DISTRICT'!$F$4:$F$745)</f>
        <v>0</v>
      </c>
      <c r="E23" s="21" t="str">
        <f>IFERROR((SUMPRODUCT(('RAW_DISTRICT'!$B$4:$B$745=$B23)*'RAW_DISTRICT'!$I$4:$I$745))/(SUMPRODUCT(('RAW_DISTRICT'!$B$4:$B$745=$B23)*'RAW_DISTRICT'!$H$4:$H$745)),"")</f>
        <v/>
      </c>
      <c r="F23" s="21" t="str">
        <f>IFERROR((SUMPRODUCT(('RAW_DISTRICT'!$B$4:$B$745=$B23)*'RAW_DISTRICT'!$M$4:$M$745))/(SUMPRODUCT(('RAW_DISTRICT'!$B$4:$B$745=$B23)*'RAW_DISTRICT'!$L$4:$L$745)),"")</f>
        <v/>
      </c>
      <c r="G23" s="18"/>
      <c r="H23" s="9">
        <f>SUMPRODUCT(('RAW_DISTRICT'!$B$4:$B$745=$B23)*1)</f>
        <v>2</v>
      </c>
      <c r="I23" s="9">
        <f>SUMPRODUCT(('RAW_DISTRICT'!$B$4:$B$745=$B23)*'RAW_DISTRICT'!$P$4:$P$745)</f>
        <v>0</v>
      </c>
      <c r="J23" s="21" t="str">
        <f>IFERROR((SUMPRODUCT(('RAW_DISTRICT'!$B$4:$B$745=$B23)*'RAW_DISTRICT'!$K$4:$K$745))/(SUMPRODUCT(('RAW_DISTRICT'!$B$4:$B$745=$B23)*'RAW_DISTRICT'!$J$4:$J$745)),"")</f>
        <v/>
      </c>
      <c r="K23" s="18"/>
      <c r="L23" s="18"/>
    </row>
    <row r="24" spans="1:12" ht="16.05" customHeight="1" x14ac:dyDescent="0.3">
      <c r="A24" s="16">
        <v>19</v>
      </c>
      <c r="B24" s="16" t="s">
        <v>537</v>
      </c>
      <c r="C24" s="12">
        <f>SUMPRODUCT(('RAW_DISTRICT'!$B$4:$B$745=$B24)*'RAW_DISTRICT'!$F$4:$F$745)</f>
        <v>0</v>
      </c>
      <c r="D24" s="12">
        <f>SUMPRODUCT(('RAW_DISTRICT'!$B$4:$B$745=$B24)*'RAW_DISTRICT'!$F$4:$F$745)</f>
        <v>0</v>
      </c>
      <c r="E24" s="20" t="str">
        <f>IFERROR((SUMPRODUCT(('RAW_DISTRICT'!$B$4:$B$745=$B24)*'RAW_DISTRICT'!$I$4:$I$745))/(SUMPRODUCT(('RAW_DISTRICT'!$B$4:$B$745=$B24)*'RAW_DISTRICT'!$H$4:$H$745)),"")</f>
        <v/>
      </c>
      <c r="F24" s="20" t="str">
        <f>IFERROR((SUMPRODUCT(('RAW_DISTRICT'!$B$4:$B$745=$B24)*'RAW_DISTRICT'!$M$4:$M$745))/(SUMPRODUCT(('RAW_DISTRICT'!$B$4:$B$745=$B24)*'RAW_DISTRICT'!$L$4:$L$745)),"")</f>
        <v/>
      </c>
      <c r="G24" s="16"/>
      <c r="H24" s="12">
        <f>SUMPRODUCT(('RAW_DISTRICT'!$B$4:$B$745=$B24)*1)</f>
        <v>1</v>
      </c>
      <c r="I24" s="12">
        <f>SUMPRODUCT(('RAW_DISTRICT'!$B$4:$B$745=$B24)*'RAW_DISTRICT'!$P$4:$P$745)</f>
        <v>0</v>
      </c>
      <c r="J24" s="20" t="str">
        <f>IFERROR((SUMPRODUCT(('RAW_DISTRICT'!$B$4:$B$745=$B24)*'RAW_DISTRICT'!$K$4:$K$745))/(SUMPRODUCT(('RAW_DISTRICT'!$B$4:$B$745=$B24)*'RAW_DISTRICT'!$J$4:$J$745)),"")</f>
        <v/>
      </c>
      <c r="K24" s="16"/>
      <c r="L24" s="16"/>
    </row>
    <row r="25" spans="1:12" ht="16.05" customHeight="1" x14ac:dyDescent="0.3">
      <c r="A25" s="18">
        <v>20</v>
      </c>
      <c r="B25" s="18" t="s">
        <v>538</v>
      </c>
      <c r="C25" s="9">
        <f>SUMPRODUCT(('RAW_DISTRICT'!$B$4:$B$745=$B25)*'RAW_DISTRICT'!$F$4:$F$745)</f>
        <v>0</v>
      </c>
      <c r="D25" s="9">
        <f>SUMPRODUCT(('RAW_DISTRICT'!$B$4:$B$745=$B25)*'RAW_DISTRICT'!$F$4:$F$745)</f>
        <v>0</v>
      </c>
      <c r="E25" s="21" t="str">
        <f>IFERROR((SUMPRODUCT(('RAW_DISTRICT'!$B$4:$B$745=$B25)*'RAW_DISTRICT'!$I$4:$I$745))/(SUMPRODUCT(('RAW_DISTRICT'!$B$4:$B$745=$B25)*'RAW_DISTRICT'!$H$4:$H$745)),"")</f>
        <v/>
      </c>
      <c r="F25" s="21" t="str">
        <f>IFERROR((SUMPRODUCT(('RAW_DISTRICT'!$B$4:$B$745=$B25)*'RAW_DISTRICT'!$M$4:$M$745))/(SUMPRODUCT(('RAW_DISTRICT'!$B$4:$B$745=$B25)*'RAW_DISTRICT'!$L$4:$L$745)),"")</f>
        <v/>
      </c>
      <c r="G25" s="18"/>
      <c r="H25" s="9">
        <f>SUMPRODUCT(('RAW_DISTRICT'!$B$4:$B$745=$B25)*1)</f>
        <v>51</v>
      </c>
      <c r="I25" s="9">
        <f>SUMPRODUCT(('RAW_DISTRICT'!$B$4:$B$745=$B25)*'RAW_DISTRICT'!$P$4:$P$745)</f>
        <v>0</v>
      </c>
      <c r="J25" s="21" t="str">
        <f>IFERROR((SUMPRODUCT(('RAW_DISTRICT'!$B$4:$B$745=$B25)*'RAW_DISTRICT'!$K$4:$K$745))/(SUMPRODUCT(('RAW_DISTRICT'!$B$4:$B$745=$B25)*'RAW_DISTRICT'!$J$4:$J$745)),"")</f>
        <v/>
      </c>
      <c r="K25" s="18"/>
      <c r="L25" s="18"/>
    </row>
    <row r="26" spans="1:12" ht="16.05" customHeight="1" x14ac:dyDescent="0.3">
      <c r="A26" s="16">
        <v>21</v>
      </c>
      <c r="B26" s="16" t="s">
        <v>539</v>
      </c>
      <c r="C26" s="12">
        <f>SUMPRODUCT(('RAW_DISTRICT'!$B$4:$B$745=$B26)*'RAW_DISTRICT'!$F$4:$F$745)</f>
        <v>0</v>
      </c>
      <c r="D26" s="12">
        <f>SUMPRODUCT(('RAW_DISTRICT'!$B$4:$B$745=$B26)*'RAW_DISTRICT'!$F$4:$F$745)</f>
        <v>0</v>
      </c>
      <c r="E26" s="20" t="str">
        <f>IFERROR((SUMPRODUCT(('RAW_DISTRICT'!$B$4:$B$745=$B26)*'RAW_DISTRICT'!$I$4:$I$745))/(SUMPRODUCT(('RAW_DISTRICT'!$B$4:$B$745=$B26)*'RAW_DISTRICT'!$H$4:$H$745)),"")</f>
        <v/>
      </c>
      <c r="F26" s="20" t="str">
        <f>IFERROR((SUMPRODUCT(('RAW_DISTRICT'!$B$4:$B$745=$B26)*'RAW_DISTRICT'!$M$4:$M$745))/(SUMPRODUCT(('RAW_DISTRICT'!$B$4:$B$745=$B26)*'RAW_DISTRICT'!$L$4:$L$745)),"")</f>
        <v/>
      </c>
      <c r="G26" s="16"/>
      <c r="H26" s="12">
        <f>SUMPRODUCT(('RAW_DISTRICT'!$B$4:$B$745=$B26)*1)</f>
        <v>36</v>
      </c>
      <c r="I26" s="12">
        <f>SUMPRODUCT(('RAW_DISTRICT'!$B$4:$B$745=$B26)*'RAW_DISTRICT'!$P$4:$P$745)</f>
        <v>0</v>
      </c>
      <c r="J26" s="20" t="str">
        <f>IFERROR((SUMPRODUCT(('RAW_DISTRICT'!$B$4:$B$745=$B26)*'RAW_DISTRICT'!$K$4:$K$745))/(SUMPRODUCT(('RAW_DISTRICT'!$B$4:$B$745=$B26)*'RAW_DISTRICT'!$J$4:$J$745)),"")</f>
        <v/>
      </c>
      <c r="K26" s="16"/>
      <c r="L26" s="16"/>
    </row>
    <row r="27" spans="1:12" ht="16.05" customHeight="1" x14ac:dyDescent="0.3">
      <c r="A27" s="18">
        <v>22</v>
      </c>
      <c r="B27" s="18" t="s">
        <v>540</v>
      </c>
      <c r="C27" s="9">
        <f>SUMPRODUCT(('RAW_DISTRICT'!$B$4:$B$745=$B27)*'RAW_DISTRICT'!$F$4:$F$745)</f>
        <v>0</v>
      </c>
      <c r="D27" s="9">
        <f>SUMPRODUCT(('RAW_DISTRICT'!$B$4:$B$745=$B27)*'RAW_DISTRICT'!$F$4:$F$745)</f>
        <v>0</v>
      </c>
      <c r="E27" s="21" t="str">
        <f>IFERROR((SUMPRODUCT(('RAW_DISTRICT'!$B$4:$B$745=$B27)*'RAW_DISTRICT'!$I$4:$I$745))/(SUMPRODUCT(('RAW_DISTRICT'!$B$4:$B$745=$B27)*'RAW_DISTRICT'!$H$4:$H$745)),"")</f>
        <v/>
      </c>
      <c r="F27" s="21" t="str">
        <f>IFERROR((SUMPRODUCT(('RAW_DISTRICT'!$B$4:$B$745=$B27)*'RAW_DISTRICT'!$M$4:$M$745))/(SUMPRODUCT(('RAW_DISTRICT'!$B$4:$B$745=$B27)*'RAW_DISTRICT'!$L$4:$L$745)),"")</f>
        <v/>
      </c>
      <c r="G27" s="18"/>
      <c r="H27" s="9">
        <f>SUMPRODUCT(('RAW_DISTRICT'!$B$4:$B$745=$B27)*1)</f>
        <v>16</v>
      </c>
      <c r="I27" s="9">
        <f>SUMPRODUCT(('RAW_DISTRICT'!$B$4:$B$745=$B27)*'RAW_DISTRICT'!$P$4:$P$745)</f>
        <v>0</v>
      </c>
      <c r="J27" s="21" t="str">
        <f>IFERROR((SUMPRODUCT(('RAW_DISTRICT'!$B$4:$B$745=$B27)*'RAW_DISTRICT'!$K$4:$K$745))/(SUMPRODUCT(('RAW_DISTRICT'!$B$4:$B$745=$B27)*'RAW_DISTRICT'!$J$4:$J$745)),"")</f>
        <v/>
      </c>
      <c r="K27" s="18"/>
      <c r="L27" s="18"/>
    </row>
    <row r="28" spans="1:12" ht="16.05" customHeight="1" x14ac:dyDescent="0.3">
      <c r="A28" s="16">
        <v>23</v>
      </c>
      <c r="B28" s="16" t="s">
        <v>541</v>
      </c>
      <c r="C28" s="12">
        <f>SUMPRODUCT(('RAW_DISTRICT'!$B$4:$B$745=$B28)*'RAW_DISTRICT'!$F$4:$F$745)</f>
        <v>0</v>
      </c>
      <c r="D28" s="12">
        <f>SUMPRODUCT(('RAW_DISTRICT'!$B$4:$B$745=$B28)*'RAW_DISTRICT'!$F$4:$F$745)</f>
        <v>0</v>
      </c>
      <c r="E28" s="20" t="str">
        <f>IFERROR((SUMPRODUCT(('RAW_DISTRICT'!$B$4:$B$745=$B28)*'RAW_DISTRICT'!$I$4:$I$745))/(SUMPRODUCT(('RAW_DISTRICT'!$B$4:$B$745=$B28)*'RAW_DISTRICT'!$H$4:$H$745)),"")</f>
        <v/>
      </c>
      <c r="F28" s="20" t="str">
        <f>IFERROR((SUMPRODUCT(('RAW_DISTRICT'!$B$4:$B$745=$B28)*'RAW_DISTRICT'!$M$4:$M$745))/(SUMPRODUCT(('RAW_DISTRICT'!$B$4:$B$745=$B28)*'RAW_DISTRICT'!$L$4:$L$745)),"")</f>
        <v/>
      </c>
      <c r="G28" s="16"/>
      <c r="H28" s="12">
        <f>SUMPRODUCT(('RAW_DISTRICT'!$B$4:$B$745=$B28)*1)</f>
        <v>11</v>
      </c>
      <c r="I28" s="12">
        <f>SUMPRODUCT(('RAW_DISTRICT'!$B$4:$B$745=$B28)*'RAW_DISTRICT'!$P$4:$P$745)</f>
        <v>0</v>
      </c>
      <c r="J28" s="20" t="str">
        <f>IFERROR((SUMPRODUCT(('RAW_DISTRICT'!$B$4:$B$745=$B28)*'RAW_DISTRICT'!$K$4:$K$745))/(SUMPRODUCT(('RAW_DISTRICT'!$B$4:$B$745=$B28)*'RAW_DISTRICT'!$J$4:$J$745)),"")</f>
        <v/>
      </c>
      <c r="K28" s="16"/>
      <c r="L28" s="16"/>
    </row>
    <row r="29" spans="1:12" ht="16.05" customHeight="1" x14ac:dyDescent="0.3">
      <c r="A29" s="18">
        <v>24</v>
      </c>
      <c r="B29" s="18" t="s">
        <v>542</v>
      </c>
      <c r="C29" s="9">
        <f>SUMPRODUCT(('RAW_DISTRICT'!$B$4:$B$745=$B29)*'RAW_DISTRICT'!$F$4:$F$745)</f>
        <v>0</v>
      </c>
      <c r="D29" s="9">
        <f>SUMPRODUCT(('RAW_DISTRICT'!$B$4:$B$745=$B29)*'RAW_DISTRICT'!$F$4:$F$745)</f>
        <v>0</v>
      </c>
      <c r="E29" s="21" t="str">
        <f>IFERROR((SUMPRODUCT(('RAW_DISTRICT'!$B$4:$B$745=$B29)*'RAW_DISTRICT'!$I$4:$I$745))/(SUMPRODUCT(('RAW_DISTRICT'!$B$4:$B$745=$B29)*'RAW_DISTRICT'!$H$4:$H$745)),"")</f>
        <v/>
      </c>
      <c r="F29" s="21" t="str">
        <f>IFERROR((SUMPRODUCT(('RAW_DISTRICT'!$B$4:$B$745=$B29)*'RAW_DISTRICT'!$M$4:$M$745))/(SUMPRODUCT(('RAW_DISTRICT'!$B$4:$B$745=$B29)*'RAW_DISTRICT'!$L$4:$L$745)),"")</f>
        <v/>
      </c>
      <c r="G29" s="18"/>
      <c r="H29" s="9">
        <f>SUMPRODUCT(('RAW_DISTRICT'!$B$4:$B$745=$B29)*1)</f>
        <v>11</v>
      </c>
      <c r="I29" s="9">
        <f>SUMPRODUCT(('RAW_DISTRICT'!$B$4:$B$745=$B29)*'RAW_DISTRICT'!$P$4:$P$745)</f>
        <v>0</v>
      </c>
      <c r="J29" s="21" t="str">
        <f>IFERROR((SUMPRODUCT(('RAW_DISTRICT'!$B$4:$B$745=$B29)*'RAW_DISTRICT'!$K$4:$K$745))/(SUMPRODUCT(('RAW_DISTRICT'!$B$4:$B$745=$B29)*'RAW_DISTRICT'!$J$4:$J$745)),"")</f>
        <v/>
      </c>
      <c r="K29" s="18"/>
      <c r="L29" s="18"/>
    </row>
    <row r="30" spans="1:12" ht="16.05" customHeight="1" x14ac:dyDescent="0.3">
      <c r="A30" s="16">
        <v>25</v>
      </c>
      <c r="B30" s="16" t="s">
        <v>543</v>
      </c>
      <c r="C30" s="12">
        <f>SUMPRODUCT(('RAW_DISTRICT'!$B$4:$B$745=$B30)*'RAW_DISTRICT'!$F$4:$F$745)</f>
        <v>0</v>
      </c>
      <c r="D30" s="12">
        <f>SUMPRODUCT(('RAW_DISTRICT'!$B$4:$B$745=$B30)*'RAW_DISTRICT'!$F$4:$F$745)</f>
        <v>0</v>
      </c>
      <c r="E30" s="20" t="str">
        <f>IFERROR((SUMPRODUCT(('RAW_DISTRICT'!$B$4:$B$745=$B30)*'RAW_DISTRICT'!$I$4:$I$745))/(SUMPRODUCT(('RAW_DISTRICT'!$B$4:$B$745=$B30)*'RAW_DISTRICT'!$H$4:$H$745)),"")</f>
        <v/>
      </c>
      <c r="F30" s="20" t="str">
        <f>IFERROR((SUMPRODUCT(('RAW_DISTRICT'!$B$4:$B$745=$B30)*'RAW_DISTRICT'!$M$4:$M$745))/(SUMPRODUCT(('RAW_DISTRICT'!$B$4:$B$745=$B30)*'RAW_DISTRICT'!$L$4:$L$745)),"")</f>
        <v/>
      </c>
      <c r="G30" s="16"/>
      <c r="H30" s="12">
        <f>SUMPRODUCT(('RAW_DISTRICT'!$B$4:$B$745=$B30)*1)</f>
        <v>15</v>
      </c>
      <c r="I30" s="12">
        <f>SUMPRODUCT(('RAW_DISTRICT'!$B$4:$B$745=$B30)*'RAW_DISTRICT'!$P$4:$P$745)</f>
        <v>0</v>
      </c>
      <c r="J30" s="20" t="str">
        <f>IFERROR((SUMPRODUCT(('RAW_DISTRICT'!$B$4:$B$745=$B30)*'RAW_DISTRICT'!$K$4:$K$745))/(SUMPRODUCT(('RAW_DISTRICT'!$B$4:$B$745=$B30)*'RAW_DISTRICT'!$J$4:$J$745)),"")</f>
        <v/>
      </c>
      <c r="K30" s="16"/>
      <c r="L30" s="16"/>
    </row>
    <row r="31" spans="1:12" ht="16.05" customHeight="1" x14ac:dyDescent="0.3">
      <c r="A31" s="18">
        <v>26</v>
      </c>
      <c r="B31" s="18" t="s">
        <v>544</v>
      </c>
      <c r="C31" s="9">
        <f>SUMPRODUCT(('RAW_DISTRICT'!$B$4:$B$745=$B31)*'RAW_DISTRICT'!$F$4:$F$745)</f>
        <v>0</v>
      </c>
      <c r="D31" s="9">
        <f>SUMPRODUCT(('RAW_DISTRICT'!$B$4:$B$745=$B31)*'RAW_DISTRICT'!$F$4:$F$745)</f>
        <v>0</v>
      </c>
      <c r="E31" s="21" t="str">
        <f>IFERROR((SUMPRODUCT(('RAW_DISTRICT'!$B$4:$B$745=$B31)*'RAW_DISTRICT'!$I$4:$I$745))/(SUMPRODUCT(('RAW_DISTRICT'!$B$4:$B$745=$B31)*'RAW_DISTRICT'!$H$4:$H$745)),"")</f>
        <v/>
      </c>
      <c r="F31" s="21" t="str">
        <f>IFERROR((SUMPRODUCT(('RAW_DISTRICT'!$B$4:$B$745=$B31)*'RAW_DISTRICT'!$M$4:$M$745))/(SUMPRODUCT(('RAW_DISTRICT'!$B$4:$B$745=$B31)*'RAW_DISTRICT'!$L$4:$L$745)),"")</f>
        <v/>
      </c>
      <c r="G31" s="18"/>
      <c r="H31" s="9">
        <f>SUMPRODUCT(('RAW_DISTRICT'!$B$4:$B$745=$B31)*1)</f>
        <v>30</v>
      </c>
      <c r="I31" s="9">
        <f>SUMPRODUCT(('RAW_DISTRICT'!$B$4:$B$745=$B31)*'RAW_DISTRICT'!$P$4:$P$745)</f>
        <v>0</v>
      </c>
      <c r="J31" s="21" t="str">
        <f>IFERROR((SUMPRODUCT(('RAW_DISTRICT'!$B$4:$B$745=$B31)*'RAW_DISTRICT'!$K$4:$K$745))/(SUMPRODUCT(('RAW_DISTRICT'!$B$4:$B$745=$B31)*'RAW_DISTRICT'!$J$4:$J$745)),"")</f>
        <v/>
      </c>
      <c r="K31" s="18"/>
      <c r="L31" s="18"/>
    </row>
    <row r="32" spans="1:12" ht="16.05" customHeight="1" x14ac:dyDescent="0.3">
      <c r="A32" s="16">
        <v>27</v>
      </c>
      <c r="B32" s="16" t="s">
        <v>545</v>
      </c>
      <c r="C32" s="12">
        <f>SUMPRODUCT(('RAW_DISTRICT'!$B$4:$B$745=$B32)*'RAW_DISTRICT'!$F$4:$F$745)</f>
        <v>0</v>
      </c>
      <c r="D32" s="12">
        <f>SUMPRODUCT(('RAW_DISTRICT'!$B$4:$B$745=$B32)*'RAW_DISTRICT'!$F$4:$F$745)</f>
        <v>0</v>
      </c>
      <c r="E32" s="20" t="str">
        <f>IFERROR((SUMPRODUCT(('RAW_DISTRICT'!$B$4:$B$745=$B32)*'RAW_DISTRICT'!$I$4:$I$745))/(SUMPRODUCT(('RAW_DISTRICT'!$B$4:$B$745=$B32)*'RAW_DISTRICT'!$H$4:$H$745)),"")</f>
        <v/>
      </c>
      <c r="F32" s="20" t="str">
        <f>IFERROR((SUMPRODUCT(('RAW_DISTRICT'!$B$4:$B$745=$B32)*'RAW_DISTRICT'!$M$4:$M$745))/(SUMPRODUCT(('RAW_DISTRICT'!$B$4:$B$745=$B32)*'RAW_DISTRICT'!$L$4:$L$745)),"")</f>
        <v/>
      </c>
      <c r="G32" s="16"/>
      <c r="H32" s="12">
        <f>SUMPRODUCT(('RAW_DISTRICT'!$B$4:$B$745=$B32)*1)</f>
        <v>4</v>
      </c>
      <c r="I32" s="12">
        <f>SUMPRODUCT(('RAW_DISTRICT'!$B$4:$B$745=$B32)*'RAW_DISTRICT'!$P$4:$P$745)</f>
        <v>0</v>
      </c>
      <c r="J32" s="20" t="str">
        <f>IFERROR((SUMPRODUCT(('RAW_DISTRICT'!$B$4:$B$745=$B32)*'RAW_DISTRICT'!$K$4:$K$745))/(SUMPRODUCT(('RAW_DISTRICT'!$B$4:$B$745=$B32)*'RAW_DISTRICT'!$J$4:$J$745)),"")</f>
        <v/>
      </c>
      <c r="K32" s="16"/>
      <c r="L32" s="16"/>
    </row>
    <row r="33" spans="1:12" ht="16.05" customHeight="1" x14ac:dyDescent="0.3">
      <c r="A33" s="18">
        <v>28</v>
      </c>
      <c r="B33" s="18" t="s">
        <v>546</v>
      </c>
      <c r="C33" s="9">
        <f>SUMPRODUCT(('RAW_DISTRICT'!$B$4:$B$745=$B33)*'RAW_DISTRICT'!$F$4:$F$745)</f>
        <v>0</v>
      </c>
      <c r="D33" s="9">
        <f>SUMPRODUCT(('RAW_DISTRICT'!$B$4:$B$745=$B33)*'RAW_DISTRICT'!$F$4:$F$745)</f>
        <v>0</v>
      </c>
      <c r="E33" s="21" t="str">
        <f>IFERROR((SUMPRODUCT(('RAW_DISTRICT'!$B$4:$B$745=$B33)*'RAW_DISTRICT'!$I$4:$I$745))/(SUMPRODUCT(('RAW_DISTRICT'!$B$4:$B$745=$B33)*'RAW_DISTRICT'!$H$4:$H$745)),"")</f>
        <v/>
      </c>
      <c r="F33" s="21" t="str">
        <f>IFERROR((SUMPRODUCT(('RAW_DISTRICT'!$B$4:$B$745=$B33)*'RAW_DISTRICT'!$M$4:$M$745))/(SUMPRODUCT(('RAW_DISTRICT'!$B$4:$B$745=$B33)*'RAW_DISTRICT'!$L$4:$L$745)),"")</f>
        <v/>
      </c>
      <c r="G33" s="18"/>
      <c r="H33" s="9">
        <f>SUMPRODUCT(('RAW_DISTRICT'!$B$4:$B$745=$B33)*1)</f>
        <v>23</v>
      </c>
      <c r="I33" s="9">
        <f>SUMPRODUCT(('RAW_DISTRICT'!$B$4:$B$745=$B33)*'RAW_DISTRICT'!$P$4:$P$745)</f>
        <v>0</v>
      </c>
      <c r="J33" s="21" t="str">
        <f>IFERROR((SUMPRODUCT(('RAW_DISTRICT'!$B$4:$B$745=$B33)*'RAW_DISTRICT'!$K$4:$K$745))/(SUMPRODUCT(('RAW_DISTRICT'!$B$4:$B$745=$B33)*'RAW_DISTRICT'!$J$4:$J$745)),"")</f>
        <v/>
      </c>
      <c r="K33" s="18"/>
      <c r="L33" s="18"/>
    </row>
    <row r="34" spans="1:12" ht="16.05" customHeight="1" x14ac:dyDescent="0.3">
      <c r="A34" s="16">
        <v>29</v>
      </c>
      <c r="B34" s="16" t="s">
        <v>547</v>
      </c>
      <c r="C34" s="12">
        <f>SUMPRODUCT(('RAW_DISTRICT'!$B$4:$B$745=$B34)*'RAW_DISTRICT'!$F$4:$F$745)</f>
        <v>0</v>
      </c>
      <c r="D34" s="12">
        <f>SUMPRODUCT(('RAW_DISTRICT'!$B$4:$B$745=$B34)*'RAW_DISTRICT'!$F$4:$F$745)</f>
        <v>0</v>
      </c>
      <c r="E34" s="20" t="str">
        <f>IFERROR((SUMPRODUCT(('RAW_DISTRICT'!$B$4:$B$745=$B34)*'RAW_DISTRICT'!$I$4:$I$745))/(SUMPRODUCT(('RAW_DISTRICT'!$B$4:$B$745=$B34)*'RAW_DISTRICT'!$H$4:$H$745)),"")</f>
        <v/>
      </c>
      <c r="F34" s="20" t="str">
        <f>IFERROR((SUMPRODUCT(('RAW_DISTRICT'!$B$4:$B$745=$B34)*'RAW_DISTRICT'!$M$4:$M$745))/(SUMPRODUCT(('RAW_DISTRICT'!$B$4:$B$745=$B34)*'RAW_DISTRICT'!$L$4:$L$745)),"")</f>
        <v/>
      </c>
      <c r="G34" s="16"/>
      <c r="H34" s="12">
        <f>SUMPRODUCT(('RAW_DISTRICT'!$B$4:$B$745=$B34)*1)</f>
        <v>33</v>
      </c>
      <c r="I34" s="12">
        <f>SUMPRODUCT(('RAW_DISTRICT'!$B$4:$B$745=$B34)*'RAW_DISTRICT'!$P$4:$P$745)</f>
        <v>0</v>
      </c>
      <c r="J34" s="20" t="str">
        <f>IFERROR((SUMPRODUCT(('RAW_DISTRICT'!$B$4:$B$745=$B34)*'RAW_DISTRICT'!$K$4:$K$745))/(SUMPRODUCT(('RAW_DISTRICT'!$B$4:$B$745=$B34)*'RAW_DISTRICT'!$J$4:$J$745)),"")</f>
        <v/>
      </c>
      <c r="K34" s="16"/>
      <c r="L34" s="16"/>
    </row>
    <row r="35" spans="1:12" ht="16.05" customHeight="1" x14ac:dyDescent="0.3">
      <c r="A35" s="18">
        <v>30</v>
      </c>
      <c r="B35" s="18" t="s">
        <v>548</v>
      </c>
      <c r="C35" s="9">
        <f>SUMPRODUCT(('RAW_DISTRICT'!$B$4:$B$745=$B35)*'RAW_DISTRICT'!$F$4:$F$745)</f>
        <v>0</v>
      </c>
      <c r="D35" s="9">
        <f>SUMPRODUCT(('RAW_DISTRICT'!$B$4:$B$745=$B35)*'RAW_DISTRICT'!$F$4:$F$745)</f>
        <v>0</v>
      </c>
      <c r="E35" s="21" t="str">
        <f>IFERROR((SUMPRODUCT(('RAW_DISTRICT'!$B$4:$B$745=$B35)*'RAW_DISTRICT'!$I$4:$I$745))/(SUMPRODUCT(('RAW_DISTRICT'!$B$4:$B$745=$B35)*'RAW_DISTRICT'!$H$4:$H$745)),"")</f>
        <v/>
      </c>
      <c r="F35" s="21" t="str">
        <f>IFERROR((SUMPRODUCT(('RAW_DISTRICT'!$B$4:$B$745=$B35)*'RAW_DISTRICT'!$M$4:$M$745))/(SUMPRODUCT(('RAW_DISTRICT'!$B$4:$B$745=$B35)*'RAW_DISTRICT'!$L$4:$L$745)),"")</f>
        <v/>
      </c>
      <c r="G35" s="18"/>
      <c r="H35" s="9">
        <f>SUMPRODUCT(('RAW_DISTRICT'!$B$4:$B$745=$B35)*1)</f>
        <v>6</v>
      </c>
      <c r="I35" s="9">
        <f>SUMPRODUCT(('RAW_DISTRICT'!$B$4:$B$745=$B35)*'RAW_DISTRICT'!$P$4:$P$745)</f>
        <v>0</v>
      </c>
      <c r="J35" s="21" t="str">
        <f>IFERROR((SUMPRODUCT(('RAW_DISTRICT'!$B$4:$B$745=$B35)*'RAW_DISTRICT'!$K$4:$K$745))/(SUMPRODUCT(('RAW_DISTRICT'!$B$4:$B$745=$B35)*'RAW_DISTRICT'!$J$4:$J$745)),"")</f>
        <v/>
      </c>
      <c r="K35" s="18"/>
      <c r="L35" s="18"/>
    </row>
    <row r="36" spans="1:12" ht="16.05" customHeight="1" x14ac:dyDescent="0.3">
      <c r="A36" s="16">
        <v>31</v>
      </c>
      <c r="B36" s="16" t="s">
        <v>549</v>
      </c>
      <c r="C36" s="12">
        <f>SUMPRODUCT(('RAW_DISTRICT'!$B$4:$B$745=$B36)*'RAW_DISTRICT'!$F$4:$F$745)</f>
        <v>0</v>
      </c>
      <c r="D36" s="12">
        <f>SUMPRODUCT(('RAW_DISTRICT'!$B$4:$B$745=$B36)*'RAW_DISTRICT'!$F$4:$F$745)</f>
        <v>0</v>
      </c>
      <c r="E36" s="20" t="str">
        <f>IFERROR((SUMPRODUCT(('RAW_DISTRICT'!$B$4:$B$745=$B36)*'RAW_DISTRICT'!$I$4:$I$745))/(SUMPRODUCT(('RAW_DISTRICT'!$B$4:$B$745=$B36)*'RAW_DISTRICT'!$H$4:$H$745)),"")</f>
        <v/>
      </c>
      <c r="F36" s="20" t="str">
        <f>IFERROR((SUMPRODUCT(('RAW_DISTRICT'!$B$4:$B$745=$B36)*'RAW_DISTRICT'!$M$4:$M$745))/(SUMPRODUCT(('RAW_DISTRICT'!$B$4:$B$745=$B36)*'RAW_DISTRICT'!$L$4:$L$745)),"")</f>
        <v/>
      </c>
      <c r="G36" s="16"/>
      <c r="H36" s="12">
        <f>SUMPRODUCT(('RAW_DISTRICT'!$B$4:$B$745=$B36)*1)</f>
        <v>38</v>
      </c>
      <c r="I36" s="12">
        <f>SUMPRODUCT(('RAW_DISTRICT'!$B$4:$B$745=$B36)*'RAW_DISTRICT'!$P$4:$P$745)</f>
        <v>0</v>
      </c>
      <c r="J36" s="20" t="str">
        <f>IFERROR((SUMPRODUCT(('RAW_DISTRICT'!$B$4:$B$745=$B36)*'RAW_DISTRICT'!$K$4:$K$745))/(SUMPRODUCT(('RAW_DISTRICT'!$B$4:$B$745=$B36)*'RAW_DISTRICT'!$J$4:$J$745)),"")</f>
        <v/>
      </c>
      <c r="K36" s="16"/>
      <c r="L36" s="16"/>
    </row>
    <row r="37" spans="1:12" ht="16.05" customHeight="1" x14ac:dyDescent="0.3">
      <c r="A37" s="18">
        <v>32</v>
      </c>
      <c r="B37" s="18" t="s">
        <v>550</v>
      </c>
      <c r="C37" s="9">
        <f>SUMPRODUCT(('RAW_DISTRICT'!$B$4:$B$745=$B37)*'RAW_DISTRICT'!$F$4:$F$745)</f>
        <v>0</v>
      </c>
      <c r="D37" s="9">
        <f>SUMPRODUCT(('RAW_DISTRICT'!$B$4:$B$745=$B37)*'RAW_DISTRICT'!$F$4:$F$745)</f>
        <v>0</v>
      </c>
      <c r="E37" s="21" t="str">
        <f>IFERROR((SUMPRODUCT(('RAW_DISTRICT'!$B$4:$B$745=$B37)*'RAW_DISTRICT'!$I$4:$I$745))/(SUMPRODUCT(('RAW_DISTRICT'!$B$4:$B$745=$B37)*'RAW_DISTRICT'!$H$4:$H$745)),"")</f>
        <v/>
      </c>
      <c r="F37" s="21" t="str">
        <f>IFERROR((SUMPRODUCT(('RAW_DISTRICT'!$B$4:$B$745=$B37)*'RAW_DISTRICT'!$M$4:$M$745))/(SUMPRODUCT(('RAW_DISTRICT'!$B$4:$B$745=$B37)*'RAW_DISTRICT'!$L$4:$L$745)),"")</f>
        <v/>
      </c>
      <c r="G37" s="18"/>
      <c r="H37" s="9">
        <f>SUMPRODUCT(('RAW_DISTRICT'!$B$4:$B$745=$B37)*1)</f>
        <v>33</v>
      </c>
      <c r="I37" s="9">
        <f>SUMPRODUCT(('RAW_DISTRICT'!$B$4:$B$745=$B37)*'RAW_DISTRICT'!$P$4:$P$745)</f>
        <v>0</v>
      </c>
      <c r="J37" s="21" t="str">
        <f>IFERROR((SUMPRODUCT(('RAW_DISTRICT'!$B$4:$B$745=$B37)*'RAW_DISTRICT'!$K$4:$K$745))/(SUMPRODUCT(('RAW_DISTRICT'!$B$4:$B$745=$B37)*'RAW_DISTRICT'!$J$4:$J$745)),"")</f>
        <v/>
      </c>
      <c r="K37" s="18"/>
      <c r="L37" s="18"/>
    </row>
    <row r="38" spans="1:12" ht="16.05" customHeight="1" x14ac:dyDescent="0.3">
      <c r="A38" s="16">
        <v>33</v>
      </c>
      <c r="B38" s="16" t="s">
        <v>551</v>
      </c>
      <c r="C38" s="12">
        <f>SUMPRODUCT(('RAW_DISTRICT'!$B$4:$B$745=$B38)*'RAW_DISTRICT'!$F$4:$F$745)</f>
        <v>0</v>
      </c>
      <c r="D38" s="12">
        <f>SUMPRODUCT(('RAW_DISTRICT'!$B$4:$B$745=$B38)*'RAW_DISTRICT'!$F$4:$F$745)</f>
        <v>0</v>
      </c>
      <c r="E38" s="20" t="str">
        <f>IFERROR((SUMPRODUCT(('RAW_DISTRICT'!$B$4:$B$745=$B38)*'RAW_DISTRICT'!$I$4:$I$745))/(SUMPRODUCT(('RAW_DISTRICT'!$B$4:$B$745=$B38)*'RAW_DISTRICT'!$H$4:$H$745)),"")</f>
        <v/>
      </c>
      <c r="F38" s="20" t="str">
        <f>IFERROR((SUMPRODUCT(('RAW_DISTRICT'!$B$4:$B$745=$B38)*'RAW_DISTRICT'!$M$4:$M$745))/(SUMPRODUCT(('RAW_DISTRICT'!$B$4:$B$745=$B38)*'RAW_DISTRICT'!$L$4:$L$745)),"")</f>
        <v/>
      </c>
      <c r="G38" s="16"/>
      <c r="H38" s="12">
        <f>SUMPRODUCT(('RAW_DISTRICT'!$B$4:$B$745=$B38)*1)</f>
        <v>8</v>
      </c>
      <c r="I38" s="12">
        <f>SUMPRODUCT(('RAW_DISTRICT'!$B$4:$B$745=$B38)*'RAW_DISTRICT'!$P$4:$P$745)</f>
        <v>0</v>
      </c>
      <c r="J38" s="20" t="str">
        <f>IFERROR((SUMPRODUCT(('RAW_DISTRICT'!$B$4:$B$745=$B38)*'RAW_DISTRICT'!$K$4:$K$745))/(SUMPRODUCT(('RAW_DISTRICT'!$B$4:$B$745=$B38)*'RAW_DISTRICT'!$J$4:$J$745)),"")</f>
        <v/>
      </c>
      <c r="K38" s="16"/>
      <c r="L38" s="16"/>
    </row>
    <row r="39" spans="1:12" ht="16.05" customHeight="1" x14ac:dyDescent="0.3">
      <c r="A39" s="18">
        <v>34</v>
      </c>
      <c r="B39" s="18" t="s">
        <v>552</v>
      </c>
      <c r="C39" s="9">
        <f>SUMPRODUCT(('RAW_DISTRICT'!$B$4:$B$745=$B39)*'RAW_DISTRICT'!$F$4:$F$745)</f>
        <v>0</v>
      </c>
      <c r="D39" s="9">
        <f>SUMPRODUCT(('RAW_DISTRICT'!$B$4:$B$745=$B39)*'RAW_DISTRICT'!$F$4:$F$745)</f>
        <v>0</v>
      </c>
      <c r="E39" s="21" t="str">
        <f>IFERROR((SUMPRODUCT(('RAW_DISTRICT'!$B$4:$B$745=$B39)*'RAW_DISTRICT'!$I$4:$I$745))/(SUMPRODUCT(('RAW_DISTRICT'!$B$4:$B$745=$B39)*'RAW_DISTRICT'!$H$4:$H$745)),"")</f>
        <v/>
      </c>
      <c r="F39" s="21" t="str">
        <f>IFERROR((SUMPRODUCT(('RAW_DISTRICT'!$B$4:$B$745=$B39)*'RAW_DISTRICT'!$M$4:$M$745))/(SUMPRODUCT(('RAW_DISTRICT'!$B$4:$B$745=$B39)*'RAW_DISTRICT'!$L$4:$L$745)),"")</f>
        <v/>
      </c>
      <c r="G39" s="18"/>
      <c r="H39" s="9">
        <f>SUMPRODUCT(('RAW_DISTRICT'!$B$4:$B$745=$B39)*1)</f>
        <v>75</v>
      </c>
      <c r="I39" s="9">
        <f>SUMPRODUCT(('RAW_DISTRICT'!$B$4:$B$745=$B39)*'RAW_DISTRICT'!$P$4:$P$745)</f>
        <v>0</v>
      </c>
      <c r="J39" s="21" t="str">
        <f>IFERROR((SUMPRODUCT(('RAW_DISTRICT'!$B$4:$B$745=$B39)*'RAW_DISTRICT'!$K$4:$K$745))/(SUMPRODUCT(('RAW_DISTRICT'!$B$4:$B$745=$B39)*'RAW_DISTRICT'!$J$4:$J$745)),"")</f>
        <v/>
      </c>
      <c r="K39" s="18"/>
      <c r="L39" s="18"/>
    </row>
    <row r="40" spans="1:12" ht="16.05" customHeight="1" x14ac:dyDescent="0.3">
      <c r="A40" s="16">
        <v>35</v>
      </c>
      <c r="B40" s="16" t="s">
        <v>553</v>
      </c>
      <c r="C40" s="12">
        <f>SUMPRODUCT(('RAW_DISTRICT'!$B$4:$B$745=$B40)*'RAW_DISTRICT'!$F$4:$F$745)</f>
        <v>0</v>
      </c>
      <c r="D40" s="12">
        <f>SUMPRODUCT(('RAW_DISTRICT'!$B$4:$B$745=$B40)*'RAW_DISTRICT'!$F$4:$F$745)</f>
        <v>0</v>
      </c>
      <c r="E40" s="20" t="str">
        <f>IFERROR((SUMPRODUCT(('RAW_DISTRICT'!$B$4:$B$745=$B40)*'RAW_DISTRICT'!$I$4:$I$745))/(SUMPRODUCT(('RAW_DISTRICT'!$B$4:$B$745=$B40)*'RAW_DISTRICT'!$H$4:$H$745)),"")</f>
        <v/>
      </c>
      <c r="F40" s="20" t="str">
        <f>IFERROR((SUMPRODUCT(('RAW_DISTRICT'!$B$4:$B$745=$B40)*'RAW_DISTRICT'!$M$4:$M$745))/(SUMPRODUCT(('RAW_DISTRICT'!$B$4:$B$745=$B40)*'RAW_DISTRICT'!$L$4:$L$745)),"")</f>
        <v/>
      </c>
      <c r="G40" s="16"/>
      <c r="H40" s="12">
        <f>SUMPRODUCT(('RAW_DISTRICT'!$B$4:$B$745=$B40)*1)</f>
        <v>13</v>
      </c>
      <c r="I40" s="12">
        <f>SUMPRODUCT(('RAW_DISTRICT'!$B$4:$B$745=$B40)*'RAW_DISTRICT'!$P$4:$P$745)</f>
        <v>0</v>
      </c>
      <c r="J40" s="20" t="str">
        <f>IFERROR((SUMPRODUCT(('RAW_DISTRICT'!$B$4:$B$745=$B40)*'RAW_DISTRICT'!$K$4:$K$745))/(SUMPRODUCT(('RAW_DISTRICT'!$B$4:$B$745=$B40)*'RAW_DISTRICT'!$J$4:$J$745)),"")</f>
        <v/>
      </c>
      <c r="K40" s="16"/>
      <c r="L40" s="16"/>
    </row>
    <row r="41" spans="1:12" ht="16.05" customHeight="1" x14ac:dyDescent="0.3">
      <c r="A41" s="18">
        <v>36</v>
      </c>
      <c r="B41" s="18" t="s">
        <v>554</v>
      </c>
      <c r="C41" s="9">
        <f>SUMPRODUCT(('RAW_DISTRICT'!$B$4:$B$745=$B41)*'RAW_DISTRICT'!$F$4:$F$745)</f>
        <v>0</v>
      </c>
      <c r="D41" s="9">
        <f>SUMPRODUCT(('RAW_DISTRICT'!$B$4:$B$745=$B41)*'RAW_DISTRICT'!$F$4:$F$745)</f>
        <v>0</v>
      </c>
      <c r="E41" s="21" t="str">
        <f>IFERROR((SUMPRODUCT(('RAW_DISTRICT'!$B$4:$B$745=$B41)*'RAW_DISTRICT'!$I$4:$I$745))/(SUMPRODUCT(('RAW_DISTRICT'!$B$4:$B$745=$B41)*'RAW_DISTRICT'!$H$4:$H$745)),"")</f>
        <v/>
      </c>
      <c r="F41" s="21" t="str">
        <f>IFERROR((SUMPRODUCT(('RAW_DISTRICT'!$B$4:$B$745=$B41)*'RAW_DISTRICT'!$M$4:$M$745))/(SUMPRODUCT(('RAW_DISTRICT'!$B$4:$B$745=$B41)*'RAW_DISTRICT'!$L$4:$L$745)),"")</f>
        <v/>
      </c>
      <c r="G41" s="18"/>
      <c r="H41" s="9">
        <f>SUMPRODUCT(('RAW_DISTRICT'!$B$4:$B$745=$B41)*1)</f>
        <v>23</v>
      </c>
      <c r="I41" s="9">
        <f>SUMPRODUCT(('RAW_DISTRICT'!$B$4:$B$745=$B41)*'RAW_DISTRICT'!$P$4:$P$745)</f>
        <v>0</v>
      </c>
      <c r="J41" s="21" t="str">
        <f>IFERROR((SUMPRODUCT(('RAW_DISTRICT'!$B$4:$B$745=$B41)*'RAW_DISTRICT'!$K$4:$K$745))/(SUMPRODUCT(('RAW_DISTRICT'!$B$4:$B$745=$B41)*'RAW_DISTRICT'!$J$4:$J$745)),"")</f>
        <v/>
      </c>
      <c r="K41" s="18"/>
      <c r="L41" s="18"/>
    </row>
    <row r="43" spans="1:12" ht="19.95" customHeight="1" x14ac:dyDescent="0.3">
      <c r="A43" s="37" t="s">
        <v>555</v>
      </c>
      <c r="B43" s="33"/>
      <c r="C43" s="33"/>
      <c r="D43" s="33"/>
      <c r="E43" s="33"/>
      <c r="F43" s="33"/>
      <c r="G43" s="33"/>
      <c r="H43" s="33"/>
      <c r="I43" s="33"/>
      <c r="J43" s="33"/>
      <c r="K43" s="33"/>
      <c r="L43" s="33"/>
    </row>
    <row r="44" spans="1:12" ht="31.95" customHeight="1" x14ac:dyDescent="0.3">
      <c r="A44" s="15" t="s">
        <v>78</v>
      </c>
      <c r="B44" s="15" t="s">
        <v>192</v>
      </c>
      <c r="C44" s="15" t="s">
        <v>191</v>
      </c>
      <c r="D44" s="15" t="s">
        <v>93</v>
      </c>
      <c r="E44" s="15" t="s">
        <v>556</v>
      </c>
      <c r="F44" s="15" t="s">
        <v>95</v>
      </c>
      <c r="G44" s="15" t="s">
        <v>557</v>
      </c>
      <c r="H44" s="15" t="s">
        <v>558</v>
      </c>
      <c r="I44" s="15" t="s">
        <v>559</v>
      </c>
      <c r="J44" s="15" t="s">
        <v>560</v>
      </c>
      <c r="K44" s="15" t="s">
        <v>561</v>
      </c>
      <c r="L44" s="15" t="s">
        <v>86</v>
      </c>
    </row>
    <row r="45" spans="1:12" ht="16.05" customHeight="1" x14ac:dyDescent="0.3">
      <c r="A45" s="18">
        <v>1</v>
      </c>
      <c r="B45" s="18" t="s">
        <v>547</v>
      </c>
      <c r="C45" s="18" t="s">
        <v>562</v>
      </c>
      <c r="D45" s="9">
        <f>SUMPRODUCT(('RAW_DISTRICT'!$B$4:$B$745=$B45)*('RAW_DISTRICT'!$C$4:$C$745=$C45)*'RAW_DISTRICT'!$L$4:$L$745)</f>
        <v>0</v>
      </c>
      <c r="E45" s="9" t="str">
        <f t="shared" ref="E45:E59" ca="1" si="0">IFERROR(D45-E45,"")</f>
        <v/>
      </c>
      <c r="F45" s="9">
        <f>SUMPRODUCT(('RAW_DISTRICT'!$B$4:$B$745=$B45)*('RAW_DISTRICT'!$C$4:$C$745=$C45)*'RAW_DISTRICT'!$M$4:$M$745)</f>
        <v>0</v>
      </c>
      <c r="G45" s="21" t="str">
        <f t="shared" ref="G45:G59" si="1">IFERROR(F45/D45,"")</f>
        <v/>
      </c>
      <c r="H45" s="18"/>
      <c r="I45" s="18"/>
      <c r="J45" s="18"/>
      <c r="K45" s="18"/>
      <c r="L45" s="18"/>
    </row>
    <row r="46" spans="1:12" ht="16.05" customHeight="1" x14ac:dyDescent="0.3">
      <c r="A46" s="16">
        <v>2</v>
      </c>
      <c r="B46" s="16" t="s">
        <v>547</v>
      </c>
      <c r="C46" s="16" t="s">
        <v>563</v>
      </c>
      <c r="D46" s="12">
        <f>SUMPRODUCT(('RAW_DISTRICT'!$B$4:$B$745=$B46)*('RAW_DISTRICT'!$C$4:$C$745=$C46)*'RAW_DISTRICT'!$L$4:$L$745)</f>
        <v>0</v>
      </c>
      <c r="E46" s="12" t="str">
        <f t="shared" ca="1" si="0"/>
        <v/>
      </c>
      <c r="F46" s="12">
        <f>SUMPRODUCT(('RAW_DISTRICT'!$B$4:$B$745=$B46)*('RAW_DISTRICT'!$C$4:$C$745=$C46)*'RAW_DISTRICT'!$M$4:$M$745)</f>
        <v>0</v>
      </c>
      <c r="G46" s="20" t="str">
        <f t="shared" si="1"/>
        <v/>
      </c>
      <c r="H46" s="16"/>
      <c r="I46" s="16"/>
      <c r="J46" s="16"/>
      <c r="K46" s="16"/>
      <c r="L46" s="16"/>
    </row>
    <row r="47" spans="1:12" ht="16.05" customHeight="1" x14ac:dyDescent="0.3">
      <c r="A47" s="18">
        <v>3</v>
      </c>
      <c r="B47" s="18" t="s">
        <v>552</v>
      </c>
      <c r="C47" s="18" t="s">
        <v>564</v>
      </c>
      <c r="D47" s="9">
        <f>SUMPRODUCT(('RAW_DISTRICT'!$B$4:$B$745=$B47)*('RAW_DISTRICT'!$C$4:$C$745=$C47)*'RAW_DISTRICT'!$L$4:$L$745)</f>
        <v>0</v>
      </c>
      <c r="E47" s="9" t="str">
        <f t="shared" ca="1" si="0"/>
        <v/>
      </c>
      <c r="F47" s="9">
        <f>SUMPRODUCT(('RAW_DISTRICT'!$B$4:$B$745=$B47)*('RAW_DISTRICT'!$C$4:$C$745=$C47)*'RAW_DISTRICT'!$M$4:$M$745)</f>
        <v>0</v>
      </c>
      <c r="G47" s="21" t="str">
        <f t="shared" si="1"/>
        <v/>
      </c>
      <c r="H47" s="18"/>
      <c r="I47" s="18"/>
      <c r="J47" s="18"/>
      <c r="K47" s="18"/>
      <c r="L47" s="18"/>
    </row>
    <row r="48" spans="1:12" ht="16.05" customHeight="1" x14ac:dyDescent="0.3">
      <c r="A48" s="16">
        <v>4</v>
      </c>
      <c r="B48" s="16" t="s">
        <v>523</v>
      </c>
      <c r="C48" s="16" t="s">
        <v>565</v>
      </c>
      <c r="D48" s="12">
        <f>SUMPRODUCT(('RAW_DISTRICT'!$B$4:$B$745=$B48)*('RAW_DISTRICT'!$C$4:$C$745=$C48)*'RAW_DISTRICT'!$L$4:$L$745)</f>
        <v>0</v>
      </c>
      <c r="E48" s="12" t="str">
        <f t="shared" ca="1" si="0"/>
        <v/>
      </c>
      <c r="F48" s="12">
        <f>SUMPRODUCT(('RAW_DISTRICT'!$B$4:$B$745=$B48)*('RAW_DISTRICT'!$C$4:$C$745=$C48)*'RAW_DISTRICT'!$M$4:$M$745)</f>
        <v>0</v>
      </c>
      <c r="G48" s="20" t="str">
        <f t="shared" si="1"/>
        <v/>
      </c>
      <c r="H48" s="16"/>
      <c r="I48" s="16"/>
      <c r="J48" s="16"/>
      <c r="K48" s="16"/>
      <c r="L48" s="16"/>
    </row>
    <row r="49" spans="1:12" ht="16.05" customHeight="1" x14ac:dyDescent="0.3">
      <c r="A49" s="18">
        <v>5</v>
      </c>
      <c r="B49" s="18" t="s">
        <v>523</v>
      </c>
      <c r="C49" s="18" t="s">
        <v>566</v>
      </c>
      <c r="D49" s="9">
        <f>SUMPRODUCT(('RAW_DISTRICT'!$B$4:$B$745=$B49)*('RAW_DISTRICT'!$C$4:$C$745=$C49)*'RAW_DISTRICT'!$L$4:$L$745)</f>
        <v>0</v>
      </c>
      <c r="E49" s="9" t="str">
        <f t="shared" ca="1" si="0"/>
        <v/>
      </c>
      <c r="F49" s="9">
        <f>SUMPRODUCT(('RAW_DISTRICT'!$B$4:$B$745=$B49)*('RAW_DISTRICT'!$C$4:$C$745=$C49)*'RAW_DISTRICT'!$M$4:$M$745)</f>
        <v>0</v>
      </c>
      <c r="G49" s="21" t="str">
        <f t="shared" si="1"/>
        <v/>
      </c>
      <c r="H49" s="18"/>
      <c r="I49" s="18"/>
      <c r="J49" s="18"/>
      <c r="K49" s="18"/>
      <c r="L49" s="18"/>
    </row>
    <row r="50" spans="1:12" ht="16.05" customHeight="1" x14ac:dyDescent="0.3">
      <c r="A50" s="16">
        <v>6</v>
      </c>
      <c r="B50" s="16" t="s">
        <v>522</v>
      </c>
      <c r="C50" s="16" t="s">
        <v>567</v>
      </c>
      <c r="D50" s="12">
        <f>SUMPRODUCT(('RAW_DISTRICT'!$B$4:$B$745=$B50)*('RAW_DISTRICT'!$C$4:$C$745=$C50)*'RAW_DISTRICT'!$L$4:$L$745)</f>
        <v>0</v>
      </c>
      <c r="E50" s="12" t="str">
        <f t="shared" ca="1" si="0"/>
        <v/>
      </c>
      <c r="F50" s="12">
        <f>SUMPRODUCT(('RAW_DISTRICT'!$B$4:$B$745=$B50)*('RAW_DISTRICT'!$C$4:$C$745=$C50)*'RAW_DISTRICT'!$M$4:$M$745)</f>
        <v>0</v>
      </c>
      <c r="G50" s="20" t="str">
        <f t="shared" si="1"/>
        <v/>
      </c>
      <c r="H50" s="16"/>
      <c r="I50" s="16"/>
      <c r="J50" s="16"/>
      <c r="K50" s="16"/>
      <c r="L50" s="16"/>
    </row>
    <row r="51" spans="1:12" ht="16.05" customHeight="1" x14ac:dyDescent="0.3">
      <c r="A51" s="18">
        <v>7</v>
      </c>
      <c r="B51" s="18" t="s">
        <v>533</v>
      </c>
      <c r="C51" s="18" t="s">
        <v>568</v>
      </c>
      <c r="D51" s="9">
        <f>SUMPRODUCT(('RAW_DISTRICT'!$B$4:$B$745=$B51)*('RAW_DISTRICT'!$C$4:$C$745=$C51)*'RAW_DISTRICT'!$L$4:$L$745)</f>
        <v>0</v>
      </c>
      <c r="E51" s="9" t="str">
        <f t="shared" ca="1" si="0"/>
        <v/>
      </c>
      <c r="F51" s="9">
        <f>SUMPRODUCT(('RAW_DISTRICT'!$B$4:$B$745=$B51)*('RAW_DISTRICT'!$C$4:$C$745=$C51)*'RAW_DISTRICT'!$M$4:$M$745)</f>
        <v>0</v>
      </c>
      <c r="G51" s="21" t="str">
        <f t="shared" si="1"/>
        <v/>
      </c>
      <c r="H51" s="18"/>
      <c r="I51" s="18"/>
      <c r="J51" s="18"/>
      <c r="K51" s="18"/>
      <c r="L51" s="18"/>
    </row>
    <row r="52" spans="1:12" ht="16.05" customHeight="1" x14ac:dyDescent="0.3">
      <c r="A52" s="16">
        <v>8</v>
      </c>
      <c r="B52" s="16" t="s">
        <v>544</v>
      </c>
      <c r="C52" s="16" t="s">
        <v>569</v>
      </c>
      <c r="D52" s="12">
        <f>SUMPRODUCT(('RAW_DISTRICT'!$B$4:$B$745=$B52)*('RAW_DISTRICT'!$C$4:$C$745=$C52)*'RAW_DISTRICT'!$L$4:$L$745)</f>
        <v>0</v>
      </c>
      <c r="E52" s="12" t="str">
        <f t="shared" ca="1" si="0"/>
        <v/>
      </c>
      <c r="F52" s="12">
        <f>SUMPRODUCT(('RAW_DISTRICT'!$B$4:$B$745=$B52)*('RAW_DISTRICT'!$C$4:$C$745=$C52)*'RAW_DISTRICT'!$M$4:$M$745)</f>
        <v>0</v>
      </c>
      <c r="G52" s="20" t="str">
        <f t="shared" si="1"/>
        <v/>
      </c>
      <c r="H52" s="16"/>
      <c r="I52" s="16"/>
      <c r="J52" s="16"/>
      <c r="K52" s="16"/>
      <c r="L52" s="16"/>
    </row>
    <row r="53" spans="1:12" ht="16.05" customHeight="1" x14ac:dyDescent="0.3">
      <c r="A53" s="18">
        <v>9</v>
      </c>
      <c r="B53" s="18" t="s">
        <v>525</v>
      </c>
      <c r="C53" s="18" t="s">
        <v>570</v>
      </c>
      <c r="D53" s="9">
        <f>SUMPRODUCT(('RAW_DISTRICT'!$B$4:$B$745=$B53)*('RAW_DISTRICT'!$C$4:$C$745=$C53)*'RAW_DISTRICT'!$L$4:$L$745)</f>
        <v>0</v>
      </c>
      <c r="E53" s="9" t="str">
        <f t="shared" ca="1" si="0"/>
        <v/>
      </c>
      <c r="F53" s="9">
        <f>SUMPRODUCT(('RAW_DISTRICT'!$B$4:$B$745=$B53)*('RAW_DISTRICT'!$C$4:$C$745=$C53)*'RAW_DISTRICT'!$M$4:$M$745)</f>
        <v>0</v>
      </c>
      <c r="G53" s="21" t="str">
        <f t="shared" si="1"/>
        <v/>
      </c>
      <c r="H53" s="18"/>
      <c r="I53" s="18"/>
      <c r="J53" s="18"/>
      <c r="K53" s="18"/>
      <c r="L53" s="18"/>
    </row>
    <row r="54" spans="1:12" ht="16.05" customHeight="1" x14ac:dyDescent="0.3">
      <c r="A54" s="16">
        <v>10</v>
      </c>
      <c r="B54" s="16" t="s">
        <v>538</v>
      </c>
      <c r="C54" s="16" t="s">
        <v>571</v>
      </c>
      <c r="D54" s="12">
        <f>SUMPRODUCT(('RAW_DISTRICT'!$B$4:$B$745=$B54)*('RAW_DISTRICT'!$C$4:$C$745=$C54)*'RAW_DISTRICT'!$L$4:$L$745)</f>
        <v>0</v>
      </c>
      <c r="E54" s="12" t="str">
        <f t="shared" ca="1" si="0"/>
        <v/>
      </c>
      <c r="F54" s="12">
        <f>SUMPRODUCT(('RAW_DISTRICT'!$B$4:$B$745=$B54)*('RAW_DISTRICT'!$C$4:$C$745=$C54)*'RAW_DISTRICT'!$M$4:$M$745)</f>
        <v>0</v>
      </c>
      <c r="G54" s="20" t="str">
        <f t="shared" si="1"/>
        <v/>
      </c>
      <c r="H54" s="16"/>
      <c r="I54" s="16"/>
      <c r="J54" s="16"/>
      <c r="K54" s="16"/>
      <c r="L54" s="16"/>
    </row>
    <row r="55" spans="1:12" ht="16.05" customHeight="1" x14ac:dyDescent="0.3">
      <c r="A55" s="18">
        <v>11</v>
      </c>
      <c r="B55" s="18" t="s">
        <v>541</v>
      </c>
      <c r="C55" s="18" t="s">
        <v>572</v>
      </c>
      <c r="D55" s="9">
        <f>SUMPRODUCT(('RAW_DISTRICT'!$B$4:$B$745=$B55)*('RAW_DISTRICT'!$C$4:$C$745=$C55)*'RAW_DISTRICT'!$L$4:$L$745)</f>
        <v>0</v>
      </c>
      <c r="E55" s="9" t="str">
        <f t="shared" ca="1" si="0"/>
        <v/>
      </c>
      <c r="F55" s="9">
        <f>SUMPRODUCT(('RAW_DISTRICT'!$B$4:$B$745=$B55)*('RAW_DISTRICT'!$C$4:$C$745=$C55)*'RAW_DISTRICT'!$M$4:$M$745)</f>
        <v>0</v>
      </c>
      <c r="G55" s="21" t="str">
        <f t="shared" si="1"/>
        <v/>
      </c>
      <c r="H55" s="18"/>
      <c r="I55" s="18"/>
      <c r="J55" s="18"/>
      <c r="K55" s="18"/>
      <c r="L55" s="18"/>
    </row>
    <row r="56" spans="1:12" ht="16.05" customHeight="1" x14ac:dyDescent="0.3">
      <c r="A56" s="16">
        <v>12</v>
      </c>
      <c r="B56" s="16" t="s">
        <v>543</v>
      </c>
      <c r="C56" s="16" t="s">
        <v>573</v>
      </c>
      <c r="D56" s="12">
        <f>SUMPRODUCT(('RAW_DISTRICT'!$B$4:$B$745=$B56)*('RAW_DISTRICT'!$C$4:$C$745=$C56)*'RAW_DISTRICT'!$L$4:$L$745)</f>
        <v>0</v>
      </c>
      <c r="E56" s="12" t="str">
        <f t="shared" ca="1" si="0"/>
        <v/>
      </c>
      <c r="F56" s="12">
        <f>SUMPRODUCT(('RAW_DISTRICT'!$B$4:$B$745=$B56)*('RAW_DISTRICT'!$C$4:$C$745=$C56)*'RAW_DISTRICT'!$M$4:$M$745)</f>
        <v>0</v>
      </c>
      <c r="G56" s="20" t="str">
        <f t="shared" si="1"/>
        <v/>
      </c>
      <c r="H56" s="16"/>
      <c r="I56" s="16"/>
      <c r="J56" s="16"/>
      <c r="K56" s="16"/>
      <c r="L56" s="16"/>
    </row>
    <row r="57" spans="1:12" ht="16.05" customHeight="1" x14ac:dyDescent="0.3">
      <c r="A57" s="18">
        <v>13</v>
      </c>
      <c r="B57" s="18" t="s">
        <v>521</v>
      </c>
      <c r="C57" s="18" t="s">
        <v>574</v>
      </c>
      <c r="D57" s="9">
        <f>SUMPRODUCT(('RAW_DISTRICT'!$B$4:$B$745=$B57)*('RAW_DISTRICT'!$C$4:$C$745=$C57)*'RAW_DISTRICT'!$L$4:$L$745)</f>
        <v>0</v>
      </c>
      <c r="E57" s="9" t="str">
        <f t="shared" ca="1" si="0"/>
        <v/>
      </c>
      <c r="F57" s="9">
        <f>SUMPRODUCT(('RAW_DISTRICT'!$B$4:$B$745=$B57)*('RAW_DISTRICT'!$C$4:$C$745=$C57)*'RAW_DISTRICT'!$M$4:$M$745)</f>
        <v>0</v>
      </c>
      <c r="G57" s="21" t="str">
        <f t="shared" si="1"/>
        <v/>
      </c>
      <c r="H57" s="18"/>
      <c r="I57" s="18"/>
      <c r="J57" s="18"/>
      <c r="K57" s="18"/>
      <c r="L57" s="18"/>
    </row>
    <row r="58" spans="1:12" ht="16.05" customHeight="1" x14ac:dyDescent="0.3">
      <c r="A58" s="16">
        <v>14</v>
      </c>
      <c r="B58" s="16" t="s">
        <v>540</v>
      </c>
      <c r="C58" s="16" t="s">
        <v>575</v>
      </c>
      <c r="D58" s="12">
        <f>SUMPRODUCT(('RAW_DISTRICT'!$B$4:$B$745=$B58)*('RAW_DISTRICT'!$C$4:$C$745=$C58)*'RAW_DISTRICT'!$L$4:$L$745)</f>
        <v>0</v>
      </c>
      <c r="E58" s="12" t="str">
        <f t="shared" ca="1" si="0"/>
        <v/>
      </c>
      <c r="F58" s="12">
        <f>SUMPRODUCT(('RAW_DISTRICT'!$B$4:$B$745=$B58)*('RAW_DISTRICT'!$C$4:$C$745=$C58)*'RAW_DISTRICT'!$M$4:$M$745)</f>
        <v>0</v>
      </c>
      <c r="G58" s="20" t="str">
        <f t="shared" si="1"/>
        <v/>
      </c>
      <c r="H58" s="16"/>
      <c r="I58" s="16"/>
      <c r="J58" s="16"/>
      <c r="K58" s="16"/>
      <c r="L58" s="16"/>
    </row>
    <row r="59" spans="1:12" ht="16.05" customHeight="1" x14ac:dyDescent="0.3">
      <c r="A59" s="18">
        <v>15</v>
      </c>
      <c r="B59" s="18" t="s">
        <v>551</v>
      </c>
      <c r="C59" s="18" t="s">
        <v>576</v>
      </c>
      <c r="D59" s="9">
        <f>SUMPRODUCT(('RAW_DISTRICT'!$B$4:$B$745=$B59)*('RAW_DISTRICT'!$C$4:$C$745=$C59)*'RAW_DISTRICT'!$L$4:$L$745)</f>
        <v>0</v>
      </c>
      <c r="E59" s="9" t="str">
        <f t="shared" ca="1" si="0"/>
        <v/>
      </c>
      <c r="F59" s="9">
        <f>SUMPRODUCT(('RAW_DISTRICT'!$B$4:$B$745=$B59)*('RAW_DISTRICT'!$C$4:$C$745=$C59)*'RAW_DISTRICT'!$M$4:$M$745)</f>
        <v>0</v>
      </c>
      <c r="G59" s="21" t="str">
        <f t="shared" si="1"/>
        <v/>
      </c>
      <c r="H59" s="18"/>
      <c r="I59" s="18"/>
      <c r="J59" s="18"/>
      <c r="K59" s="18"/>
      <c r="L59" s="18"/>
    </row>
    <row r="61" spans="1:12" ht="19.95" customHeight="1" x14ac:dyDescent="0.3">
      <c r="A61" s="37" t="s">
        <v>577</v>
      </c>
      <c r="B61" s="33"/>
      <c r="C61" s="33"/>
      <c r="D61" s="33"/>
      <c r="E61" s="33"/>
      <c r="F61" s="33"/>
      <c r="G61" s="33"/>
      <c r="H61" s="33"/>
      <c r="I61" s="33"/>
      <c r="J61" s="33"/>
      <c r="K61" s="33"/>
      <c r="L61" s="33"/>
    </row>
    <row r="62" spans="1:12" ht="31.95" customHeight="1" x14ac:dyDescent="0.3">
      <c r="A62" s="15" t="s">
        <v>78</v>
      </c>
      <c r="B62" s="15" t="s">
        <v>192</v>
      </c>
      <c r="C62" s="15" t="s">
        <v>578</v>
      </c>
      <c r="D62" s="15" t="s">
        <v>579</v>
      </c>
      <c r="E62" s="15" t="s">
        <v>580</v>
      </c>
      <c r="F62" s="15" t="s">
        <v>72</v>
      </c>
      <c r="G62" s="15" t="s">
        <v>140</v>
      </c>
      <c r="H62" s="15" t="s">
        <v>97</v>
      </c>
      <c r="I62" s="15" t="s">
        <v>109</v>
      </c>
      <c r="J62" s="15" t="s">
        <v>581</v>
      </c>
      <c r="K62" s="15" t="s">
        <v>582</v>
      </c>
      <c r="L62" s="15" t="s">
        <v>583</v>
      </c>
    </row>
    <row r="63" spans="1:12" ht="16.05" customHeight="1" x14ac:dyDescent="0.3">
      <c r="A63" s="18" t="s">
        <v>87</v>
      </c>
      <c r="B63" s="18" t="s">
        <v>520</v>
      </c>
      <c r="C63" s="18" t="s">
        <v>584</v>
      </c>
      <c r="D63" s="18" t="s">
        <v>87</v>
      </c>
      <c r="E63" s="9">
        <f>SUMPRODUCT(('RAW_DISTRICT'!$B$4:$B$745=$B63)*('RAW_DISTRICT'!$C$4:$C$745=$C63)*'RAW_DISTRICT'!$F$4:$F$745)</f>
        <v>0</v>
      </c>
      <c r="F63" s="21" t="str">
        <f>IFERROR((SUMPRODUCT(('RAW_DISTRICT'!$B$4:$B$745=$B63)*('RAW_DISTRICT'!$C$4:$C$745=$C63)*'RAW_DISTRICT'!$I$4:$I$745))/(SUMPRODUCT(('RAW_DISTRICT'!$B$4:$B$745=$B63)*('RAW_DISTRICT'!$C$4:$C$745=$C63)*'RAW_DISTRICT'!$H$4:$H$745)),"")</f>
        <v/>
      </c>
      <c r="G63" s="21" t="str">
        <f>IFERROR((SUMPRODUCT(('RAW_DISTRICT'!$B$4:$B$745=$B63)*('RAW_DISTRICT'!$C$4:$C$745=$C63)*'RAW_DISTRICT'!$K$4:$K$745))/(SUMPRODUCT(('RAW_DISTRICT'!$B$4:$B$745=$B63)*('RAW_DISTRICT'!$C$4:$C$745=$C63)*'RAW_DISTRICT'!$J$4:$J$745)),"")</f>
        <v/>
      </c>
      <c r="H63" s="18"/>
      <c r="I63" s="18"/>
      <c r="J63" s="18"/>
      <c r="K63" s="18"/>
      <c r="L63" s="18"/>
    </row>
    <row r="64" spans="1:12" ht="16.05" customHeight="1" x14ac:dyDescent="0.3">
      <c r="A64" s="16" t="s">
        <v>90</v>
      </c>
      <c r="B64" s="16" t="s">
        <v>522</v>
      </c>
      <c r="C64" s="16" t="s">
        <v>585</v>
      </c>
      <c r="D64" s="16" t="s">
        <v>90</v>
      </c>
      <c r="E64" s="12">
        <f>SUMPRODUCT(('RAW_DISTRICT'!$B$4:$B$745=$B64)*('RAW_DISTRICT'!$C$4:$C$745=$C64)*'RAW_DISTRICT'!$F$4:$F$745)</f>
        <v>0</v>
      </c>
      <c r="F64" s="20" t="str">
        <f>IFERROR((SUMPRODUCT(('RAW_DISTRICT'!$B$4:$B$745=$B64)*('RAW_DISTRICT'!$C$4:$C$745=$C64)*'RAW_DISTRICT'!$I$4:$I$745))/(SUMPRODUCT(('RAW_DISTRICT'!$B$4:$B$745=$B64)*('RAW_DISTRICT'!$C$4:$C$745=$C64)*'RAW_DISTRICT'!$H$4:$H$745)),"")</f>
        <v/>
      </c>
      <c r="G64" s="20" t="str">
        <f>IFERROR((SUMPRODUCT(('RAW_DISTRICT'!$B$4:$B$745=$B64)*('RAW_DISTRICT'!$C$4:$C$745=$C64)*'RAW_DISTRICT'!$K$4:$K$745))/(SUMPRODUCT(('RAW_DISTRICT'!$B$4:$B$745=$B64)*('RAW_DISTRICT'!$C$4:$C$745=$C64)*'RAW_DISTRICT'!$J$4:$J$745)),"")</f>
        <v/>
      </c>
      <c r="H64" s="16"/>
      <c r="I64" s="16"/>
      <c r="J64" s="16"/>
      <c r="K64" s="16"/>
      <c r="L64" s="16"/>
    </row>
    <row r="65" spans="1:12" ht="16.05" customHeight="1" x14ac:dyDescent="0.3">
      <c r="A65" s="18" t="s">
        <v>92</v>
      </c>
      <c r="B65" s="18" t="s">
        <v>523</v>
      </c>
      <c r="C65" s="18" t="s">
        <v>565</v>
      </c>
      <c r="D65" s="18" t="s">
        <v>92</v>
      </c>
      <c r="E65" s="9">
        <f>SUMPRODUCT(('RAW_DISTRICT'!$B$4:$B$745=$B65)*('RAW_DISTRICT'!$C$4:$C$745=$C65)*'RAW_DISTRICT'!$F$4:$F$745)</f>
        <v>0</v>
      </c>
      <c r="F65" s="21" t="str">
        <f>IFERROR((SUMPRODUCT(('RAW_DISTRICT'!$B$4:$B$745=$B65)*('RAW_DISTRICT'!$C$4:$C$745=$C65)*'RAW_DISTRICT'!$I$4:$I$745))/(SUMPRODUCT(('RAW_DISTRICT'!$B$4:$B$745=$B65)*('RAW_DISTRICT'!$C$4:$C$745=$C65)*'RAW_DISTRICT'!$H$4:$H$745)),"")</f>
        <v/>
      </c>
      <c r="G65" s="21" t="str">
        <f>IFERROR((SUMPRODUCT(('RAW_DISTRICT'!$B$4:$B$745=$B65)*('RAW_DISTRICT'!$C$4:$C$745=$C65)*'RAW_DISTRICT'!$K$4:$K$745))/(SUMPRODUCT(('RAW_DISTRICT'!$B$4:$B$745=$B65)*('RAW_DISTRICT'!$C$4:$C$745=$C65)*'RAW_DISTRICT'!$J$4:$J$745)),"")</f>
        <v/>
      </c>
      <c r="H65" s="18"/>
      <c r="I65" s="18"/>
      <c r="J65" s="18"/>
      <c r="K65" s="18"/>
      <c r="L65" s="18"/>
    </row>
    <row r="66" spans="1:12" ht="16.05" customHeight="1" x14ac:dyDescent="0.3">
      <c r="A66" s="16" t="s">
        <v>94</v>
      </c>
      <c r="B66" s="16" t="s">
        <v>523</v>
      </c>
      <c r="C66" s="16" t="s">
        <v>586</v>
      </c>
      <c r="D66" s="16" t="s">
        <v>94</v>
      </c>
      <c r="E66" s="12">
        <f>SUMPRODUCT(('RAW_DISTRICT'!$B$4:$B$745=$B66)*('RAW_DISTRICT'!$C$4:$C$745=$C66)*'RAW_DISTRICT'!$F$4:$F$745)</f>
        <v>0</v>
      </c>
      <c r="F66" s="20" t="str">
        <f>IFERROR((SUMPRODUCT(('RAW_DISTRICT'!$B$4:$B$745=$B66)*('RAW_DISTRICT'!$C$4:$C$745=$C66)*'RAW_DISTRICT'!$I$4:$I$745))/(SUMPRODUCT(('RAW_DISTRICT'!$B$4:$B$745=$B66)*('RAW_DISTRICT'!$C$4:$C$745=$C66)*'RAW_DISTRICT'!$H$4:$H$745)),"")</f>
        <v/>
      </c>
      <c r="G66" s="20" t="str">
        <f>IFERROR((SUMPRODUCT(('RAW_DISTRICT'!$B$4:$B$745=$B66)*('RAW_DISTRICT'!$C$4:$C$745=$C66)*'RAW_DISTRICT'!$K$4:$K$745))/(SUMPRODUCT(('RAW_DISTRICT'!$B$4:$B$745=$B66)*('RAW_DISTRICT'!$C$4:$C$745=$C66)*'RAW_DISTRICT'!$J$4:$J$745)),"")</f>
        <v/>
      </c>
      <c r="H66" s="16"/>
      <c r="I66" s="16"/>
      <c r="J66" s="16"/>
      <c r="K66" s="16"/>
      <c r="L66" s="16"/>
    </row>
    <row r="67" spans="1:12" ht="16.05" customHeight="1" x14ac:dyDescent="0.3">
      <c r="A67" s="18" t="s">
        <v>96</v>
      </c>
      <c r="B67" s="18" t="s">
        <v>525</v>
      </c>
      <c r="C67" s="18" t="s">
        <v>587</v>
      </c>
      <c r="D67" s="18" t="s">
        <v>96</v>
      </c>
      <c r="E67" s="9">
        <f>SUMPRODUCT(('RAW_DISTRICT'!$B$4:$B$745=$B67)*('RAW_DISTRICT'!$C$4:$C$745=$C67)*'RAW_DISTRICT'!$F$4:$F$745)</f>
        <v>0</v>
      </c>
      <c r="F67" s="21" t="str">
        <f>IFERROR((SUMPRODUCT(('RAW_DISTRICT'!$B$4:$B$745=$B67)*('RAW_DISTRICT'!$C$4:$C$745=$C67)*'RAW_DISTRICT'!$I$4:$I$745))/(SUMPRODUCT(('RAW_DISTRICT'!$B$4:$B$745=$B67)*('RAW_DISTRICT'!$C$4:$C$745=$C67)*'RAW_DISTRICT'!$H$4:$H$745)),"")</f>
        <v/>
      </c>
      <c r="G67" s="21" t="str">
        <f>IFERROR((SUMPRODUCT(('RAW_DISTRICT'!$B$4:$B$745=$B67)*('RAW_DISTRICT'!$C$4:$C$745=$C67)*'RAW_DISTRICT'!$K$4:$K$745))/(SUMPRODUCT(('RAW_DISTRICT'!$B$4:$B$745=$B67)*('RAW_DISTRICT'!$C$4:$C$745=$C67)*'RAW_DISTRICT'!$J$4:$J$745)),"")</f>
        <v/>
      </c>
      <c r="H67" s="18"/>
      <c r="I67" s="18"/>
      <c r="J67" s="18"/>
      <c r="K67" s="18"/>
      <c r="L67" s="18"/>
    </row>
    <row r="68" spans="1:12" ht="16.05" customHeight="1" x14ac:dyDescent="0.3">
      <c r="A68" s="16" t="s">
        <v>99</v>
      </c>
      <c r="B68" s="16" t="s">
        <v>525</v>
      </c>
      <c r="C68" s="16" t="s">
        <v>588</v>
      </c>
      <c r="D68" s="16" t="s">
        <v>99</v>
      </c>
      <c r="E68" s="12">
        <f>SUMPRODUCT(('RAW_DISTRICT'!$B$4:$B$745=$B68)*('RAW_DISTRICT'!$C$4:$C$745=$C68)*'RAW_DISTRICT'!$F$4:$F$745)</f>
        <v>0</v>
      </c>
      <c r="F68" s="20" t="str">
        <f>IFERROR((SUMPRODUCT(('RAW_DISTRICT'!$B$4:$B$745=$B68)*('RAW_DISTRICT'!$C$4:$C$745=$C68)*'RAW_DISTRICT'!$I$4:$I$745))/(SUMPRODUCT(('RAW_DISTRICT'!$B$4:$B$745=$B68)*('RAW_DISTRICT'!$C$4:$C$745=$C68)*'RAW_DISTRICT'!$H$4:$H$745)),"")</f>
        <v/>
      </c>
      <c r="G68" s="20" t="str">
        <f>IFERROR((SUMPRODUCT(('RAW_DISTRICT'!$B$4:$B$745=$B68)*('RAW_DISTRICT'!$C$4:$C$745=$C68)*'RAW_DISTRICT'!$K$4:$K$745))/(SUMPRODUCT(('RAW_DISTRICT'!$B$4:$B$745=$B68)*('RAW_DISTRICT'!$C$4:$C$745=$C68)*'RAW_DISTRICT'!$J$4:$J$745)),"")</f>
        <v/>
      </c>
      <c r="H68" s="16"/>
      <c r="I68" s="16"/>
      <c r="J68" s="16"/>
      <c r="K68" s="16"/>
      <c r="L68" s="16"/>
    </row>
    <row r="69" spans="1:12" ht="16.05" customHeight="1" x14ac:dyDescent="0.3">
      <c r="A69" s="18" t="s">
        <v>101</v>
      </c>
      <c r="B69" s="18" t="s">
        <v>525</v>
      </c>
      <c r="C69" s="18" t="s">
        <v>589</v>
      </c>
      <c r="D69" s="18" t="s">
        <v>101</v>
      </c>
      <c r="E69" s="9">
        <f>SUMPRODUCT(('RAW_DISTRICT'!$B$4:$B$745=$B69)*('RAW_DISTRICT'!$C$4:$C$745=$C69)*'RAW_DISTRICT'!$F$4:$F$745)</f>
        <v>0</v>
      </c>
      <c r="F69" s="21" t="str">
        <f>IFERROR((SUMPRODUCT(('RAW_DISTRICT'!$B$4:$B$745=$B69)*('RAW_DISTRICT'!$C$4:$C$745=$C69)*'RAW_DISTRICT'!$I$4:$I$745))/(SUMPRODUCT(('RAW_DISTRICT'!$B$4:$B$745=$B69)*('RAW_DISTRICT'!$C$4:$C$745=$C69)*'RAW_DISTRICT'!$H$4:$H$745)),"")</f>
        <v/>
      </c>
      <c r="G69" s="21" t="str">
        <f>IFERROR((SUMPRODUCT(('RAW_DISTRICT'!$B$4:$B$745=$B69)*('RAW_DISTRICT'!$C$4:$C$745=$C69)*'RAW_DISTRICT'!$K$4:$K$745))/(SUMPRODUCT(('RAW_DISTRICT'!$B$4:$B$745=$B69)*('RAW_DISTRICT'!$C$4:$C$745=$C69)*'RAW_DISTRICT'!$J$4:$J$745)),"")</f>
        <v/>
      </c>
      <c r="H69" s="18"/>
      <c r="I69" s="18"/>
      <c r="J69" s="18"/>
      <c r="K69" s="18"/>
      <c r="L69" s="18"/>
    </row>
    <row r="70" spans="1:12" ht="16.05" customHeight="1" x14ac:dyDescent="0.3">
      <c r="A70" s="16" t="s">
        <v>104</v>
      </c>
      <c r="B70" s="16" t="s">
        <v>529</v>
      </c>
      <c r="C70" s="16" t="s">
        <v>590</v>
      </c>
      <c r="D70" s="16" t="s">
        <v>104</v>
      </c>
      <c r="E70" s="12">
        <f>SUMPRODUCT(('RAW_DISTRICT'!$B$4:$B$745=$B70)*('RAW_DISTRICT'!$C$4:$C$745=$C70)*'RAW_DISTRICT'!$F$4:$F$745)</f>
        <v>0</v>
      </c>
      <c r="F70" s="20" t="str">
        <f>IFERROR((SUMPRODUCT(('RAW_DISTRICT'!$B$4:$B$745=$B70)*('RAW_DISTRICT'!$C$4:$C$745=$C70)*'RAW_DISTRICT'!$I$4:$I$745))/(SUMPRODUCT(('RAW_DISTRICT'!$B$4:$B$745=$B70)*('RAW_DISTRICT'!$C$4:$C$745=$C70)*'RAW_DISTRICT'!$H$4:$H$745)),"")</f>
        <v/>
      </c>
      <c r="G70" s="20" t="str">
        <f>IFERROR((SUMPRODUCT(('RAW_DISTRICT'!$B$4:$B$745=$B70)*('RAW_DISTRICT'!$C$4:$C$745=$C70)*'RAW_DISTRICT'!$K$4:$K$745))/(SUMPRODUCT(('RAW_DISTRICT'!$B$4:$B$745=$B70)*('RAW_DISTRICT'!$C$4:$C$745=$C70)*'RAW_DISTRICT'!$J$4:$J$745)),"")</f>
        <v/>
      </c>
      <c r="H70" s="16"/>
      <c r="I70" s="16"/>
      <c r="J70" s="16"/>
      <c r="K70" s="16"/>
      <c r="L70" s="16"/>
    </row>
    <row r="71" spans="1:12" ht="16.05" customHeight="1" x14ac:dyDescent="0.3">
      <c r="A71" s="18" t="s">
        <v>106</v>
      </c>
      <c r="B71" s="18" t="s">
        <v>531</v>
      </c>
      <c r="C71" s="18" t="s">
        <v>591</v>
      </c>
      <c r="D71" s="18" t="s">
        <v>106</v>
      </c>
      <c r="E71" s="9">
        <f>SUMPRODUCT(('RAW_DISTRICT'!$B$4:$B$745=$B71)*('RAW_DISTRICT'!$C$4:$C$745=$C71)*'RAW_DISTRICT'!$F$4:$F$745)</f>
        <v>0</v>
      </c>
      <c r="F71" s="21" t="str">
        <f>IFERROR((SUMPRODUCT(('RAW_DISTRICT'!$B$4:$B$745=$B71)*('RAW_DISTRICT'!$C$4:$C$745=$C71)*'RAW_DISTRICT'!$I$4:$I$745))/(SUMPRODUCT(('RAW_DISTRICT'!$B$4:$B$745=$B71)*('RAW_DISTRICT'!$C$4:$C$745=$C71)*'RAW_DISTRICT'!$H$4:$H$745)),"")</f>
        <v/>
      </c>
      <c r="G71" s="21" t="str">
        <f>IFERROR((SUMPRODUCT(('RAW_DISTRICT'!$B$4:$B$745=$B71)*('RAW_DISTRICT'!$C$4:$C$745=$C71)*'RAW_DISTRICT'!$K$4:$K$745))/(SUMPRODUCT(('RAW_DISTRICT'!$B$4:$B$745=$B71)*('RAW_DISTRICT'!$C$4:$C$745=$C71)*'RAW_DISTRICT'!$J$4:$J$745)),"")</f>
        <v/>
      </c>
      <c r="H71" s="18"/>
      <c r="I71" s="18"/>
      <c r="J71" s="18"/>
      <c r="K71" s="18"/>
      <c r="L71" s="18"/>
    </row>
    <row r="72" spans="1:12" ht="16.05" customHeight="1" x14ac:dyDescent="0.3">
      <c r="A72" s="16" t="s">
        <v>108</v>
      </c>
      <c r="B72" s="16" t="s">
        <v>533</v>
      </c>
      <c r="C72" s="16" t="s">
        <v>592</v>
      </c>
      <c r="D72" s="16" t="s">
        <v>108</v>
      </c>
      <c r="E72" s="12">
        <f>SUMPRODUCT(('RAW_DISTRICT'!$B$4:$B$745=$B72)*('RAW_DISTRICT'!$C$4:$C$745=$C72)*'RAW_DISTRICT'!$F$4:$F$745)</f>
        <v>0</v>
      </c>
      <c r="F72" s="20" t="str">
        <f>IFERROR((SUMPRODUCT(('RAW_DISTRICT'!$B$4:$B$745=$B72)*('RAW_DISTRICT'!$C$4:$C$745=$C72)*'RAW_DISTRICT'!$I$4:$I$745))/(SUMPRODUCT(('RAW_DISTRICT'!$B$4:$B$745=$B72)*('RAW_DISTRICT'!$C$4:$C$745=$C72)*'RAW_DISTRICT'!$H$4:$H$745)),"")</f>
        <v/>
      </c>
      <c r="G72" s="20" t="str">
        <f>IFERROR((SUMPRODUCT(('RAW_DISTRICT'!$B$4:$B$745=$B72)*('RAW_DISTRICT'!$C$4:$C$745=$C72)*'RAW_DISTRICT'!$K$4:$K$745))/(SUMPRODUCT(('RAW_DISTRICT'!$B$4:$B$745=$B72)*('RAW_DISTRICT'!$C$4:$C$745=$C72)*'RAW_DISTRICT'!$J$4:$J$745)),"")</f>
        <v/>
      </c>
      <c r="H72" s="16"/>
      <c r="I72" s="16"/>
      <c r="J72" s="16"/>
      <c r="K72" s="16"/>
      <c r="L72" s="16"/>
    </row>
    <row r="73" spans="1:12" ht="16.05" customHeight="1" x14ac:dyDescent="0.3">
      <c r="A73" s="18" t="s">
        <v>111</v>
      </c>
      <c r="B73" s="18" t="s">
        <v>533</v>
      </c>
      <c r="C73" s="18" t="s">
        <v>593</v>
      </c>
      <c r="D73" s="18" t="s">
        <v>111</v>
      </c>
      <c r="E73" s="9">
        <f>SUMPRODUCT(('RAW_DISTRICT'!$B$4:$B$745=$B73)*('RAW_DISTRICT'!$C$4:$C$745=$C73)*'RAW_DISTRICT'!$F$4:$F$745)</f>
        <v>0</v>
      </c>
      <c r="F73" s="21" t="str">
        <f>IFERROR((SUMPRODUCT(('RAW_DISTRICT'!$B$4:$B$745=$B73)*('RAW_DISTRICT'!$C$4:$C$745=$C73)*'RAW_DISTRICT'!$I$4:$I$745))/(SUMPRODUCT(('RAW_DISTRICT'!$B$4:$B$745=$B73)*('RAW_DISTRICT'!$C$4:$C$745=$C73)*'RAW_DISTRICT'!$H$4:$H$745)),"")</f>
        <v/>
      </c>
      <c r="G73" s="21" t="str">
        <f>IFERROR((SUMPRODUCT(('RAW_DISTRICT'!$B$4:$B$745=$B73)*('RAW_DISTRICT'!$C$4:$C$745=$C73)*'RAW_DISTRICT'!$K$4:$K$745))/(SUMPRODUCT(('RAW_DISTRICT'!$B$4:$B$745=$B73)*('RAW_DISTRICT'!$C$4:$C$745=$C73)*'RAW_DISTRICT'!$J$4:$J$745)),"")</f>
        <v/>
      </c>
      <c r="H73" s="18"/>
      <c r="I73" s="18"/>
      <c r="J73" s="18"/>
      <c r="K73" s="18"/>
      <c r="L73" s="18"/>
    </row>
    <row r="74" spans="1:12" ht="16.05" customHeight="1" x14ac:dyDescent="0.3">
      <c r="A74" s="16" t="s">
        <v>112</v>
      </c>
      <c r="B74" s="16" t="s">
        <v>534</v>
      </c>
      <c r="C74" s="16" t="s">
        <v>594</v>
      </c>
      <c r="D74" s="16" t="s">
        <v>112</v>
      </c>
      <c r="E74" s="12">
        <f>SUMPRODUCT(('RAW_DISTRICT'!$B$4:$B$745=$B74)*('RAW_DISTRICT'!$C$4:$C$745=$C74)*'RAW_DISTRICT'!$F$4:$F$745)</f>
        <v>0</v>
      </c>
      <c r="F74" s="20" t="str">
        <f>IFERROR((SUMPRODUCT(('RAW_DISTRICT'!$B$4:$B$745=$B74)*('RAW_DISTRICT'!$C$4:$C$745=$C74)*'RAW_DISTRICT'!$I$4:$I$745))/(SUMPRODUCT(('RAW_DISTRICT'!$B$4:$B$745=$B74)*('RAW_DISTRICT'!$C$4:$C$745=$C74)*'RAW_DISTRICT'!$H$4:$H$745)),"")</f>
        <v/>
      </c>
      <c r="G74" s="20" t="str">
        <f>IFERROR((SUMPRODUCT(('RAW_DISTRICT'!$B$4:$B$745=$B74)*('RAW_DISTRICT'!$C$4:$C$745=$C74)*'RAW_DISTRICT'!$K$4:$K$745))/(SUMPRODUCT(('RAW_DISTRICT'!$B$4:$B$745=$B74)*('RAW_DISTRICT'!$C$4:$C$745=$C74)*'RAW_DISTRICT'!$J$4:$J$745)),"")</f>
        <v/>
      </c>
      <c r="H74" s="16"/>
      <c r="I74" s="16"/>
      <c r="J74" s="16"/>
      <c r="K74" s="16"/>
      <c r="L74" s="16"/>
    </row>
    <row r="75" spans="1:12" ht="16.05" customHeight="1" x14ac:dyDescent="0.3">
      <c r="A75" s="18" t="s">
        <v>402</v>
      </c>
      <c r="B75" s="18" t="s">
        <v>534</v>
      </c>
      <c r="C75" s="18" t="s">
        <v>595</v>
      </c>
      <c r="D75" s="18" t="s">
        <v>402</v>
      </c>
      <c r="E75" s="9">
        <f>SUMPRODUCT(('RAW_DISTRICT'!$B$4:$B$745=$B75)*('RAW_DISTRICT'!$C$4:$C$745=$C75)*'RAW_DISTRICT'!$F$4:$F$745)</f>
        <v>0</v>
      </c>
      <c r="F75" s="21" t="str">
        <f>IFERROR((SUMPRODUCT(('RAW_DISTRICT'!$B$4:$B$745=$B75)*('RAW_DISTRICT'!$C$4:$C$745=$C75)*'RAW_DISTRICT'!$I$4:$I$745))/(SUMPRODUCT(('RAW_DISTRICT'!$B$4:$B$745=$B75)*('RAW_DISTRICT'!$C$4:$C$745=$C75)*'RAW_DISTRICT'!$H$4:$H$745)),"")</f>
        <v/>
      </c>
      <c r="G75" s="21" t="str">
        <f>IFERROR((SUMPRODUCT(('RAW_DISTRICT'!$B$4:$B$745=$B75)*('RAW_DISTRICT'!$C$4:$C$745=$C75)*'RAW_DISTRICT'!$K$4:$K$745))/(SUMPRODUCT(('RAW_DISTRICT'!$B$4:$B$745=$B75)*('RAW_DISTRICT'!$C$4:$C$745=$C75)*'RAW_DISTRICT'!$J$4:$J$745)),"")</f>
        <v/>
      </c>
      <c r="H75" s="18"/>
      <c r="I75" s="18"/>
      <c r="J75" s="18"/>
      <c r="K75" s="18"/>
      <c r="L75" s="18"/>
    </row>
    <row r="76" spans="1:12" ht="16.05" customHeight="1" x14ac:dyDescent="0.3">
      <c r="A76" s="16" t="s">
        <v>596</v>
      </c>
      <c r="B76" s="16" t="s">
        <v>538</v>
      </c>
      <c r="C76" s="16" t="s">
        <v>597</v>
      </c>
      <c r="D76" s="16" t="s">
        <v>596</v>
      </c>
      <c r="E76" s="12">
        <f>SUMPRODUCT(('RAW_DISTRICT'!$B$4:$B$745=$B76)*('RAW_DISTRICT'!$C$4:$C$745=$C76)*'RAW_DISTRICT'!$F$4:$F$745)</f>
        <v>0</v>
      </c>
      <c r="F76" s="20" t="str">
        <f>IFERROR((SUMPRODUCT(('RAW_DISTRICT'!$B$4:$B$745=$B76)*('RAW_DISTRICT'!$C$4:$C$745=$C76)*'RAW_DISTRICT'!$I$4:$I$745))/(SUMPRODUCT(('RAW_DISTRICT'!$B$4:$B$745=$B76)*('RAW_DISTRICT'!$C$4:$C$745=$C76)*'RAW_DISTRICT'!$H$4:$H$745)),"")</f>
        <v/>
      </c>
      <c r="G76" s="20" t="str">
        <f>IFERROR((SUMPRODUCT(('RAW_DISTRICT'!$B$4:$B$745=$B76)*('RAW_DISTRICT'!$C$4:$C$745=$C76)*'RAW_DISTRICT'!$K$4:$K$745))/(SUMPRODUCT(('RAW_DISTRICT'!$B$4:$B$745=$B76)*('RAW_DISTRICT'!$C$4:$C$745=$C76)*'RAW_DISTRICT'!$J$4:$J$745)),"")</f>
        <v/>
      </c>
      <c r="H76" s="16"/>
      <c r="I76" s="16"/>
      <c r="J76" s="16"/>
      <c r="K76" s="16"/>
      <c r="L76" s="16"/>
    </row>
    <row r="77" spans="1:12" ht="16.05" customHeight="1" x14ac:dyDescent="0.3">
      <c r="A77" s="18" t="s">
        <v>598</v>
      </c>
      <c r="B77" s="18" t="s">
        <v>538</v>
      </c>
      <c r="C77" s="18" t="s">
        <v>599</v>
      </c>
      <c r="D77" s="18" t="s">
        <v>598</v>
      </c>
      <c r="E77" s="9">
        <f>SUMPRODUCT(('RAW_DISTRICT'!$B$4:$B$745=$B77)*('RAW_DISTRICT'!$C$4:$C$745=$C77)*'RAW_DISTRICT'!$F$4:$F$745)</f>
        <v>0</v>
      </c>
      <c r="F77" s="21" t="str">
        <f>IFERROR((SUMPRODUCT(('RAW_DISTRICT'!$B$4:$B$745=$B77)*('RAW_DISTRICT'!$C$4:$C$745=$C77)*'RAW_DISTRICT'!$I$4:$I$745))/(SUMPRODUCT(('RAW_DISTRICT'!$B$4:$B$745=$B77)*('RAW_DISTRICT'!$C$4:$C$745=$C77)*'RAW_DISTRICT'!$H$4:$H$745)),"")</f>
        <v/>
      </c>
      <c r="G77" s="21" t="str">
        <f>IFERROR((SUMPRODUCT(('RAW_DISTRICT'!$B$4:$B$745=$B77)*('RAW_DISTRICT'!$C$4:$C$745=$C77)*'RAW_DISTRICT'!$K$4:$K$745))/(SUMPRODUCT(('RAW_DISTRICT'!$B$4:$B$745=$B77)*('RAW_DISTRICT'!$C$4:$C$745=$C77)*'RAW_DISTRICT'!$J$4:$J$745)),"")</f>
        <v/>
      </c>
      <c r="H77" s="18"/>
      <c r="I77" s="18"/>
      <c r="J77" s="18"/>
      <c r="K77" s="18"/>
      <c r="L77" s="18"/>
    </row>
    <row r="78" spans="1:12" ht="16.05" customHeight="1" x14ac:dyDescent="0.3">
      <c r="A78" s="16" t="s">
        <v>600</v>
      </c>
      <c r="B78" s="16" t="s">
        <v>539</v>
      </c>
      <c r="C78" s="16" t="s">
        <v>601</v>
      </c>
      <c r="D78" s="16" t="s">
        <v>600</v>
      </c>
      <c r="E78" s="12">
        <f>SUMPRODUCT(('RAW_DISTRICT'!$B$4:$B$745=$B78)*('RAW_DISTRICT'!$C$4:$C$745=$C78)*'RAW_DISTRICT'!$F$4:$F$745)</f>
        <v>0</v>
      </c>
      <c r="F78" s="20" t="str">
        <f>IFERROR((SUMPRODUCT(('RAW_DISTRICT'!$B$4:$B$745=$B78)*('RAW_DISTRICT'!$C$4:$C$745=$C78)*'RAW_DISTRICT'!$I$4:$I$745))/(SUMPRODUCT(('RAW_DISTRICT'!$B$4:$B$745=$B78)*('RAW_DISTRICT'!$C$4:$C$745=$C78)*'RAW_DISTRICT'!$H$4:$H$745)),"")</f>
        <v/>
      </c>
      <c r="G78" s="20" t="str">
        <f>IFERROR((SUMPRODUCT(('RAW_DISTRICT'!$B$4:$B$745=$B78)*('RAW_DISTRICT'!$C$4:$C$745=$C78)*'RAW_DISTRICT'!$K$4:$K$745))/(SUMPRODUCT(('RAW_DISTRICT'!$B$4:$B$745=$B78)*('RAW_DISTRICT'!$C$4:$C$745=$C78)*'RAW_DISTRICT'!$J$4:$J$745)),"")</f>
        <v/>
      </c>
      <c r="H78" s="16"/>
      <c r="I78" s="16"/>
      <c r="J78" s="16"/>
      <c r="K78" s="16"/>
      <c r="L78" s="16"/>
    </row>
    <row r="79" spans="1:12" ht="16.05" customHeight="1" x14ac:dyDescent="0.3">
      <c r="A79" s="18" t="s">
        <v>602</v>
      </c>
      <c r="B79" s="18" t="s">
        <v>540</v>
      </c>
      <c r="C79" s="18" t="s">
        <v>603</v>
      </c>
      <c r="D79" s="18" t="s">
        <v>602</v>
      </c>
      <c r="E79" s="9">
        <f>SUMPRODUCT(('RAW_DISTRICT'!$B$4:$B$745=$B79)*('RAW_DISTRICT'!$C$4:$C$745=$C79)*'RAW_DISTRICT'!$F$4:$F$745)</f>
        <v>0</v>
      </c>
      <c r="F79" s="21" t="str">
        <f>IFERROR((SUMPRODUCT(('RAW_DISTRICT'!$B$4:$B$745=$B79)*('RAW_DISTRICT'!$C$4:$C$745=$C79)*'RAW_DISTRICT'!$I$4:$I$745))/(SUMPRODUCT(('RAW_DISTRICT'!$B$4:$B$745=$B79)*('RAW_DISTRICT'!$C$4:$C$745=$C79)*'RAW_DISTRICT'!$H$4:$H$745)),"")</f>
        <v/>
      </c>
      <c r="G79" s="21" t="str">
        <f>IFERROR((SUMPRODUCT(('RAW_DISTRICT'!$B$4:$B$745=$B79)*('RAW_DISTRICT'!$C$4:$C$745=$C79)*'RAW_DISTRICT'!$K$4:$K$745))/(SUMPRODUCT(('RAW_DISTRICT'!$B$4:$B$745=$B79)*('RAW_DISTRICT'!$C$4:$C$745=$C79)*'RAW_DISTRICT'!$J$4:$J$745)),"")</f>
        <v/>
      </c>
      <c r="H79" s="18"/>
      <c r="I79" s="18"/>
      <c r="J79" s="18"/>
      <c r="K79" s="18"/>
      <c r="L79" s="18"/>
    </row>
    <row r="80" spans="1:12" ht="16.05" customHeight="1" x14ac:dyDescent="0.3">
      <c r="A80" s="16" t="s">
        <v>604</v>
      </c>
      <c r="B80" s="16" t="s">
        <v>541</v>
      </c>
      <c r="C80" s="16" t="s">
        <v>605</v>
      </c>
      <c r="D80" s="16" t="s">
        <v>604</v>
      </c>
      <c r="E80" s="12">
        <f>SUMPRODUCT(('RAW_DISTRICT'!$B$4:$B$745=$B80)*('RAW_DISTRICT'!$C$4:$C$745=$C80)*'RAW_DISTRICT'!$F$4:$F$745)</f>
        <v>0</v>
      </c>
      <c r="F80" s="20" t="str">
        <f>IFERROR((SUMPRODUCT(('RAW_DISTRICT'!$B$4:$B$745=$B80)*('RAW_DISTRICT'!$C$4:$C$745=$C80)*'RAW_DISTRICT'!$I$4:$I$745))/(SUMPRODUCT(('RAW_DISTRICT'!$B$4:$B$745=$B80)*('RAW_DISTRICT'!$C$4:$C$745=$C80)*'RAW_DISTRICT'!$H$4:$H$745)),"")</f>
        <v/>
      </c>
      <c r="G80" s="20" t="str">
        <f>IFERROR((SUMPRODUCT(('RAW_DISTRICT'!$B$4:$B$745=$B80)*('RAW_DISTRICT'!$C$4:$C$745=$C80)*'RAW_DISTRICT'!$K$4:$K$745))/(SUMPRODUCT(('RAW_DISTRICT'!$B$4:$B$745=$B80)*('RAW_DISTRICT'!$C$4:$C$745=$C80)*'RAW_DISTRICT'!$J$4:$J$745)),"")</f>
        <v/>
      </c>
      <c r="H80" s="16"/>
      <c r="I80" s="16"/>
      <c r="J80" s="16"/>
      <c r="K80" s="16"/>
      <c r="L80" s="16"/>
    </row>
    <row r="81" spans="1:12" ht="16.05" customHeight="1" x14ac:dyDescent="0.3">
      <c r="A81" s="18" t="s">
        <v>606</v>
      </c>
      <c r="B81" s="18" t="s">
        <v>543</v>
      </c>
      <c r="C81" s="18" t="s">
        <v>573</v>
      </c>
      <c r="D81" s="18" t="s">
        <v>606</v>
      </c>
      <c r="E81" s="9">
        <f>SUMPRODUCT(('RAW_DISTRICT'!$B$4:$B$745=$B81)*('RAW_DISTRICT'!$C$4:$C$745=$C81)*'RAW_DISTRICT'!$F$4:$F$745)</f>
        <v>0</v>
      </c>
      <c r="F81" s="21" t="str">
        <f>IFERROR((SUMPRODUCT(('RAW_DISTRICT'!$B$4:$B$745=$B81)*('RAW_DISTRICT'!$C$4:$C$745=$C81)*'RAW_DISTRICT'!$I$4:$I$745))/(SUMPRODUCT(('RAW_DISTRICT'!$B$4:$B$745=$B81)*('RAW_DISTRICT'!$C$4:$C$745=$C81)*'RAW_DISTRICT'!$H$4:$H$745)),"")</f>
        <v/>
      </c>
      <c r="G81" s="21" t="str">
        <f>IFERROR((SUMPRODUCT(('RAW_DISTRICT'!$B$4:$B$745=$B81)*('RAW_DISTRICT'!$C$4:$C$745=$C81)*'RAW_DISTRICT'!$K$4:$K$745))/(SUMPRODUCT(('RAW_DISTRICT'!$B$4:$B$745=$B81)*('RAW_DISTRICT'!$C$4:$C$745=$C81)*'RAW_DISTRICT'!$J$4:$J$745)),"")</f>
        <v/>
      </c>
      <c r="H81" s="18"/>
      <c r="I81" s="18"/>
      <c r="J81" s="18"/>
      <c r="K81" s="18"/>
      <c r="L81" s="18"/>
    </row>
    <row r="82" spans="1:12" ht="16.05" customHeight="1" x14ac:dyDescent="0.3">
      <c r="A82" s="16" t="s">
        <v>607</v>
      </c>
      <c r="B82" s="16" t="s">
        <v>544</v>
      </c>
      <c r="C82" s="16" t="s">
        <v>569</v>
      </c>
      <c r="D82" s="16" t="s">
        <v>607</v>
      </c>
      <c r="E82" s="12">
        <f>SUMPRODUCT(('RAW_DISTRICT'!$B$4:$B$745=$B82)*('RAW_DISTRICT'!$C$4:$C$745=$C82)*'RAW_DISTRICT'!$F$4:$F$745)</f>
        <v>0</v>
      </c>
      <c r="F82" s="20" t="str">
        <f>IFERROR((SUMPRODUCT(('RAW_DISTRICT'!$B$4:$B$745=$B82)*('RAW_DISTRICT'!$C$4:$C$745=$C82)*'RAW_DISTRICT'!$I$4:$I$745))/(SUMPRODUCT(('RAW_DISTRICT'!$B$4:$B$745=$B82)*('RAW_DISTRICT'!$C$4:$C$745=$C82)*'RAW_DISTRICT'!$H$4:$H$745)),"")</f>
        <v/>
      </c>
      <c r="G82" s="20" t="str">
        <f>IFERROR((SUMPRODUCT(('RAW_DISTRICT'!$B$4:$B$745=$B82)*('RAW_DISTRICT'!$C$4:$C$745=$C82)*'RAW_DISTRICT'!$K$4:$K$745))/(SUMPRODUCT(('RAW_DISTRICT'!$B$4:$B$745=$B82)*('RAW_DISTRICT'!$C$4:$C$745=$C82)*'RAW_DISTRICT'!$J$4:$J$745)),"")</f>
        <v/>
      </c>
      <c r="H82" s="16"/>
      <c r="I82" s="16"/>
      <c r="J82" s="16"/>
      <c r="K82" s="16"/>
      <c r="L82" s="16"/>
    </row>
    <row r="83" spans="1:12" ht="16.05" customHeight="1" x14ac:dyDescent="0.3">
      <c r="A83" s="18" t="s">
        <v>608</v>
      </c>
      <c r="B83" s="18" t="s">
        <v>544</v>
      </c>
      <c r="C83" s="18" t="s">
        <v>609</v>
      </c>
      <c r="D83" s="18" t="s">
        <v>608</v>
      </c>
      <c r="E83" s="9">
        <f>SUMPRODUCT(('RAW_DISTRICT'!$B$4:$B$745=$B83)*('RAW_DISTRICT'!$C$4:$C$745=$C83)*'RAW_DISTRICT'!$F$4:$F$745)</f>
        <v>0</v>
      </c>
      <c r="F83" s="21" t="str">
        <f>IFERROR((SUMPRODUCT(('RAW_DISTRICT'!$B$4:$B$745=$B83)*('RAW_DISTRICT'!$C$4:$C$745=$C83)*'RAW_DISTRICT'!$I$4:$I$745))/(SUMPRODUCT(('RAW_DISTRICT'!$B$4:$B$745=$B83)*('RAW_DISTRICT'!$C$4:$C$745=$C83)*'RAW_DISTRICT'!$H$4:$H$745)),"")</f>
        <v/>
      </c>
      <c r="G83" s="21" t="str">
        <f>IFERROR((SUMPRODUCT(('RAW_DISTRICT'!$B$4:$B$745=$B83)*('RAW_DISTRICT'!$C$4:$C$745=$C83)*'RAW_DISTRICT'!$K$4:$K$745))/(SUMPRODUCT(('RAW_DISTRICT'!$B$4:$B$745=$B83)*('RAW_DISTRICT'!$C$4:$C$745=$C83)*'RAW_DISTRICT'!$J$4:$J$745)),"")</f>
        <v/>
      </c>
      <c r="H83" s="18"/>
      <c r="I83" s="18"/>
      <c r="J83" s="18"/>
      <c r="K83" s="18"/>
      <c r="L83" s="18"/>
    </row>
    <row r="84" spans="1:12" ht="16.05" customHeight="1" x14ac:dyDescent="0.3">
      <c r="A84" s="16" t="s">
        <v>610</v>
      </c>
      <c r="B84" s="16" t="s">
        <v>547</v>
      </c>
      <c r="C84" s="16" t="s">
        <v>611</v>
      </c>
      <c r="D84" s="16" t="s">
        <v>610</v>
      </c>
      <c r="E84" s="12">
        <f>SUMPRODUCT(('RAW_DISTRICT'!$B$4:$B$745=$B84)*('RAW_DISTRICT'!$C$4:$C$745=$C84)*'RAW_DISTRICT'!$F$4:$F$745)</f>
        <v>0</v>
      </c>
      <c r="F84" s="20" t="str">
        <f>IFERROR((SUMPRODUCT(('RAW_DISTRICT'!$B$4:$B$745=$B84)*('RAW_DISTRICT'!$C$4:$C$745=$C84)*'RAW_DISTRICT'!$I$4:$I$745))/(SUMPRODUCT(('RAW_DISTRICT'!$B$4:$B$745=$B84)*('RAW_DISTRICT'!$C$4:$C$745=$C84)*'RAW_DISTRICT'!$H$4:$H$745)),"")</f>
        <v/>
      </c>
      <c r="G84" s="20" t="str">
        <f>IFERROR((SUMPRODUCT(('RAW_DISTRICT'!$B$4:$B$745=$B84)*('RAW_DISTRICT'!$C$4:$C$745=$C84)*'RAW_DISTRICT'!$K$4:$K$745))/(SUMPRODUCT(('RAW_DISTRICT'!$B$4:$B$745=$B84)*('RAW_DISTRICT'!$C$4:$C$745=$C84)*'RAW_DISTRICT'!$J$4:$J$745)),"")</f>
        <v/>
      </c>
      <c r="H84" s="16"/>
      <c r="I84" s="16"/>
      <c r="J84" s="16"/>
      <c r="K84" s="16"/>
      <c r="L84" s="16"/>
    </row>
    <row r="85" spans="1:12" ht="16.05" customHeight="1" x14ac:dyDescent="0.3">
      <c r="A85" s="18" t="s">
        <v>612</v>
      </c>
      <c r="B85" s="18" t="s">
        <v>547</v>
      </c>
      <c r="C85" s="18" t="s">
        <v>613</v>
      </c>
      <c r="D85" s="18" t="s">
        <v>612</v>
      </c>
      <c r="E85" s="9">
        <f>SUMPRODUCT(('RAW_DISTRICT'!$B$4:$B$745=$B85)*('RAW_DISTRICT'!$C$4:$C$745=$C85)*'RAW_DISTRICT'!$F$4:$F$745)</f>
        <v>0</v>
      </c>
      <c r="F85" s="21" t="str">
        <f>IFERROR((SUMPRODUCT(('RAW_DISTRICT'!$B$4:$B$745=$B85)*('RAW_DISTRICT'!$C$4:$C$745=$C85)*'RAW_DISTRICT'!$I$4:$I$745))/(SUMPRODUCT(('RAW_DISTRICT'!$B$4:$B$745=$B85)*('RAW_DISTRICT'!$C$4:$C$745=$C85)*'RAW_DISTRICT'!$H$4:$H$745)),"")</f>
        <v/>
      </c>
      <c r="G85" s="21" t="str">
        <f>IFERROR((SUMPRODUCT(('RAW_DISTRICT'!$B$4:$B$745=$B85)*('RAW_DISTRICT'!$C$4:$C$745=$C85)*'RAW_DISTRICT'!$K$4:$K$745))/(SUMPRODUCT(('RAW_DISTRICT'!$B$4:$B$745=$B85)*('RAW_DISTRICT'!$C$4:$C$745=$C85)*'RAW_DISTRICT'!$J$4:$J$745)),"")</f>
        <v/>
      </c>
      <c r="H85" s="18"/>
      <c r="I85" s="18"/>
      <c r="J85" s="18"/>
      <c r="K85" s="18"/>
      <c r="L85" s="18"/>
    </row>
    <row r="86" spans="1:12" ht="16.05" customHeight="1" x14ac:dyDescent="0.3">
      <c r="A86" s="16" t="s">
        <v>614</v>
      </c>
      <c r="B86" s="16" t="s">
        <v>550</v>
      </c>
      <c r="C86" s="16" t="s">
        <v>615</v>
      </c>
      <c r="D86" s="16" t="s">
        <v>614</v>
      </c>
      <c r="E86" s="12">
        <f>SUMPRODUCT(('RAW_DISTRICT'!$B$4:$B$745=$B86)*('RAW_DISTRICT'!$C$4:$C$745=$C86)*'RAW_DISTRICT'!$F$4:$F$745)</f>
        <v>0</v>
      </c>
      <c r="F86" s="20" t="str">
        <f>IFERROR((SUMPRODUCT(('RAW_DISTRICT'!$B$4:$B$745=$B86)*('RAW_DISTRICT'!$C$4:$C$745=$C86)*'RAW_DISTRICT'!$I$4:$I$745))/(SUMPRODUCT(('RAW_DISTRICT'!$B$4:$B$745=$B86)*('RAW_DISTRICT'!$C$4:$C$745=$C86)*'RAW_DISTRICT'!$H$4:$H$745)),"")</f>
        <v/>
      </c>
      <c r="G86" s="20" t="str">
        <f>IFERROR((SUMPRODUCT(('RAW_DISTRICT'!$B$4:$B$745=$B86)*('RAW_DISTRICT'!$C$4:$C$745=$C86)*'RAW_DISTRICT'!$K$4:$K$745))/(SUMPRODUCT(('RAW_DISTRICT'!$B$4:$B$745=$B86)*('RAW_DISTRICT'!$C$4:$C$745=$C86)*'RAW_DISTRICT'!$J$4:$J$745)),"")</f>
        <v/>
      </c>
      <c r="H86" s="16"/>
      <c r="I86" s="16"/>
      <c r="J86" s="16"/>
      <c r="K86" s="16"/>
      <c r="L86" s="16"/>
    </row>
    <row r="87" spans="1:12" ht="16.05" customHeight="1" x14ac:dyDescent="0.3">
      <c r="A87" s="18" t="s">
        <v>616</v>
      </c>
      <c r="B87" s="18" t="s">
        <v>552</v>
      </c>
      <c r="C87" s="18" t="s">
        <v>617</v>
      </c>
      <c r="D87" s="18" t="s">
        <v>616</v>
      </c>
      <c r="E87" s="9">
        <f>SUMPRODUCT(('RAW_DISTRICT'!$B$4:$B$745=$B87)*('RAW_DISTRICT'!$C$4:$C$745=$C87)*'RAW_DISTRICT'!$F$4:$F$745)</f>
        <v>0</v>
      </c>
      <c r="F87" s="21" t="str">
        <f>IFERROR((SUMPRODUCT(('RAW_DISTRICT'!$B$4:$B$745=$B87)*('RAW_DISTRICT'!$C$4:$C$745=$C87)*'RAW_DISTRICT'!$I$4:$I$745))/(SUMPRODUCT(('RAW_DISTRICT'!$B$4:$B$745=$B87)*('RAW_DISTRICT'!$C$4:$C$745=$C87)*'RAW_DISTRICT'!$H$4:$H$745)),"")</f>
        <v/>
      </c>
      <c r="G87" s="21" t="str">
        <f>IFERROR((SUMPRODUCT(('RAW_DISTRICT'!$B$4:$B$745=$B87)*('RAW_DISTRICT'!$C$4:$C$745=$C87)*'RAW_DISTRICT'!$K$4:$K$745))/(SUMPRODUCT(('RAW_DISTRICT'!$B$4:$B$745=$B87)*('RAW_DISTRICT'!$C$4:$C$745=$C87)*'RAW_DISTRICT'!$J$4:$J$745)),"")</f>
        <v/>
      </c>
      <c r="H87" s="18"/>
      <c r="I87" s="18"/>
      <c r="J87" s="18"/>
      <c r="K87" s="18"/>
      <c r="L87" s="18"/>
    </row>
    <row r="88" spans="1:12" ht="16.05" customHeight="1" x14ac:dyDescent="0.3">
      <c r="A88" s="16" t="s">
        <v>618</v>
      </c>
      <c r="B88" s="16" t="s">
        <v>552</v>
      </c>
      <c r="C88" s="16" t="s">
        <v>619</v>
      </c>
      <c r="D88" s="16" t="s">
        <v>618</v>
      </c>
      <c r="E88" s="12">
        <f>SUMPRODUCT(('RAW_DISTRICT'!$B$4:$B$745=$B88)*('RAW_DISTRICT'!$C$4:$C$745=$C88)*'RAW_DISTRICT'!$F$4:$F$745)</f>
        <v>0</v>
      </c>
      <c r="F88" s="20" t="str">
        <f>IFERROR((SUMPRODUCT(('RAW_DISTRICT'!$B$4:$B$745=$B88)*('RAW_DISTRICT'!$C$4:$C$745=$C88)*'RAW_DISTRICT'!$I$4:$I$745))/(SUMPRODUCT(('RAW_DISTRICT'!$B$4:$B$745=$B88)*('RAW_DISTRICT'!$C$4:$C$745=$C88)*'RAW_DISTRICT'!$H$4:$H$745)),"")</f>
        <v/>
      </c>
      <c r="G88" s="20" t="str">
        <f>IFERROR((SUMPRODUCT(('RAW_DISTRICT'!$B$4:$B$745=$B88)*('RAW_DISTRICT'!$C$4:$C$745=$C88)*'RAW_DISTRICT'!$K$4:$K$745))/(SUMPRODUCT(('RAW_DISTRICT'!$B$4:$B$745=$B88)*('RAW_DISTRICT'!$C$4:$C$745=$C88)*'RAW_DISTRICT'!$J$4:$J$745)),"")</f>
        <v/>
      </c>
      <c r="H88" s="16"/>
      <c r="I88" s="16"/>
      <c r="J88" s="16"/>
      <c r="K88" s="16"/>
      <c r="L88" s="16"/>
    </row>
    <row r="89" spans="1:12" ht="16.05" customHeight="1" x14ac:dyDescent="0.3">
      <c r="A89" s="18" t="s">
        <v>620</v>
      </c>
      <c r="B89" s="18" t="s">
        <v>554</v>
      </c>
      <c r="C89" s="18" t="s">
        <v>621</v>
      </c>
      <c r="D89" s="18" t="s">
        <v>620</v>
      </c>
      <c r="E89" s="9">
        <f>SUMPRODUCT(('RAW_DISTRICT'!$B$4:$B$745=$B89)*('RAW_DISTRICT'!$C$4:$C$745=$C89)*'RAW_DISTRICT'!$F$4:$F$745)</f>
        <v>0</v>
      </c>
      <c r="F89" s="21" t="str">
        <f>IFERROR((SUMPRODUCT(('RAW_DISTRICT'!$B$4:$B$745=$B89)*('RAW_DISTRICT'!$C$4:$C$745=$C89)*'RAW_DISTRICT'!$I$4:$I$745))/(SUMPRODUCT(('RAW_DISTRICT'!$B$4:$B$745=$B89)*('RAW_DISTRICT'!$C$4:$C$745=$C89)*'RAW_DISTRICT'!$H$4:$H$745)),"")</f>
        <v/>
      </c>
      <c r="G89" s="21" t="str">
        <f>IFERROR((SUMPRODUCT(('RAW_DISTRICT'!$B$4:$B$745=$B89)*('RAW_DISTRICT'!$C$4:$C$745=$C89)*'RAW_DISTRICT'!$K$4:$K$745))/(SUMPRODUCT(('RAW_DISTRICT'!$B$4:$B$745=$B89)*('RAW_DISTRICT'!$C$4:$C$745=$C89)*'RAW_DISTRICT'!$J$4:$J$745)),"")</f>
        <v/>
      </c>
      <c r="H89" s="18"/>
      <c r="I89" s="18"/>
      <c r="J89" s="18"/>
      <c r="K89" s="18"/>
      <c r="L89" s="18"/>
    </row>
  </sheetData>
  <mergeCells count="6">
    <mergeCell ref="A2:L2"/>
    <mergeCell ref="A43:L43"/>
    <mergeCell ref="A1:L1"/>
    <mergeCell ref="A61:L61"/>
    <mergeCell ref="A3:L3"/>
    <mergeCell ref="A4:L4"/>
  </mergeCell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D00-000000000000}">
          <x14:formula1>
            <xm:f>REF!$H$2:$H$5</xm:f>
          </x14:formula1>
          <xm:sqref>K6:K41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59"/>
  <sheetViews>
    <sheetView showGridLines="0" workbookViewId="0">
      <selection sqref="A1:J1"/>
    </sheetView>
  </sheetViews>
  <sheetFormatPr defaultRowHeight="14.4" x14ac:dyDescent="0.3"/>
  <cols>
    <col min="1" max="1" width="4" customWidth="1"/>
    <col min="2" max="2" width="32" customWidth="1"/>
    <col min="3" max="4" width="16" customWidth="1"/>
    <col min="5" max="9" width="14" customWidth="1"/>
    <col min="10" max="10" width="22" customWidth="1"/>
  </cols>
  <sheetData>
    <row r="1" spans="1:10" ht="28.05" customHeight="1" x14ac:dyDescent="0.3">
      <c r="A1" s="32" t="s">
        <v>622</v>
      </c>
      <c r="B1" s="33"/>
      <c r="C1" s="33"/>
      <c r="D1" s="33"/>
      <c r="E1" s="33"/>
      <c r="F1" s="33"/>
      <c r="G1" s="33"/>
      <c r="H1" s="33"/>
      <c r="I1" s="33"/>
      <c r="J1" s="33"/>
    </row>
    <row r="2" spans="1:10" ht="18" customHeight="1" x14ac:dyDescent="0.3">
      <c r="A2" s="38" t="str">
        <f>IF(SelectedScope="All India","NATIONAL VIEW — ALL INDIA","STATE VIEW — "&amp;SelectedScope)</f>
        <v>NATIONAL VIEW — ALL INDIA</v>
      </c>
      <c r="B2" s="33"/>
      <c r="C2" s="33"/>
      <c r="D2" s="33"/>
      <c r="E2" s="33"/>
      <c r="F2" s="33"/>
      <c r="G2" s="33"/>
      <c r="H2" s="33"/>
      <c r="I2" s="33"/>
      <c r="J2" s="33"/>
    </row>
    <row r="3" spans="1:10" ht="16.05" customHeight="1" x14ac:dyDescent="0.3">
      <c r="A3" s="39" t="s">
        <v>623</v>
      </c>
      <c r="B3" s="33"/>
      <c r="C3" s="33"/>
      <c r="D3" s="33"/>
      <c r="E3" s="33"/>
      <c r="F3" s="33"/>
      <c r="G3" s="33"/>
      <c r="H3" s="33"/>
      <c r="I3" s="33"/>
      <c r="J3" s="33"/>
    </row>
    <row r="4" spans="1:10" ht="19.95" customHeight="1" x14ac:dyDescent="0.3">
      <c r="A4" s="37" t="s">
        <v>624</v>
      </c>
      <c r="B4" s="33"/>
      <c r="C4" s="33"/>
      <c r="D4" s="33"/>
      <c r="E4" s="33"/>
      <c r="F4" s="33"/>
      <c r="G4" s="33"/>
      <c r="H4" s="33"/>
      <c r="I4" s="33"/>
      <c r="J4" s="33"/>
    </row>
    <row r="5" spans="1:10" ht="31.95" customHeight="1" x14ac:dyDescent="0.3">
      <c r="A5" s="15" t="s">
        <v>78</v>
      </c>
      <c r="B5" s="15" t="s">
        <v>625</v>
      </c>
      <c r="C5" s="15" t="s">
        <v>379</v>
      </c>
      <c r="D5" s="15" t="s">
        <v>626</v>
      </c>
      <c r="E5" s="15" t="s">
        <v>81</v>
      </c>
      <c r="F5" s="15" t="s">
        <v>82</v>
      </c>
      <c r="G5" s="15" t="s">
        <v>627</v>
      </c>
      <c r="H5" s="15" t="s">
        <v>628</v>
      </c>
      <c r="I5" s="15" t="s">
        <v>629</v>
      </c>
      <c r="J5" s="15" t="s">
        <v>86</v>
      </c>
    </row>
    <row r="6" spans="1:10" ht="16.05" customHeight="1" x14ac:dyDescent="0.3">
      <c r="A6" s="16" t="s">
        <v>87</v>
      </c>
      <c r="B6" s="16" t="s">
        <v>630</v>
      </c>
      <c r="C6" s="12">
        <f>SUMPRODUCT((IF(SelectedScope="All India",1,RAW_DEVICE!$B$4:$B$39=SelectedScope))*RAW_DEVICE!$C$4:$C$39)</f>
        <v>0</v>
      </c>
      <c r="D6" s="12" t="str">
        <f>IFERROR(C6/SUMPRODUCT((IF(SelectedScope="All India",1,RAW_DEVICE!$B$4:$B$39=SelectedScope))*RAW_DEVICE!$D$4:$D$39),"")</f>
        <v/>
      </c>
      <c r="E6" s="16" t="s">
        <v>110</v>
      </c>
      <c r="F6" s="16"/>
      <c r="G6" s="16"/>
      <c r="H6" s="16"/>
      <c r="I6" s="16"/>
      <c r="J6" s="16"/>
    </row>
    <row r="7" spans="1:10" ht="16.05" customHeight="1" x14ac:dyDescent="0.3">
      <c r="A7" s="18" t="s">
        <v>90</v>
      </c>
      <c r="B7" s="18" t="s">
        <v>631</v>
      </c>
      <c r="C7" s="9">
        <f>SUMPRODUCT((IF(SelectedScope="All India",1,RAW_DEVICE!$B$4:$B$39=SelectedScope))*RAW_DEVICE!$D$4:$D$39)</f>
        <v>0</v>
      </c>
      <c r="D7" s="18" t="s">
        <v>89</v>
      </c>
      <c r="E7" s="18" t="s">
        <v>89</v>
      </c>
      <c r="F7" s="18"/>
      <c r="G7" s="18"/>
      <c r="H7" s="18"/>
      <c r="I7" s="18"/>
      <c r="J7" s="18"/>
    </row>
    <row r="8" spans="1:10" ht="16.05" customHeight="1" x14ac:dyDescent="0.3">
      <c r="A8" s="16" t="s">
        <v>92</v>
      </c>
      <c r="B8" s="16" t="s">
        <v>632</v>
      </c>
      <c r="C8" s="12">
        <f>SUMPRODUCT((IF(SelectedScope="All India",1,RAW_DEVICE!$B$4:$B$39=SelectedScope))*RAW_DEVICE!$E$4:$E$39)</f>
        <v>0</v>
      </c>
      <c r="D8" s="12" t="str">
        <f>IFERROR(C8/SUMPRODUCT((IF(SelectedScope="All India",1,RAW_DEVICE!$B$4:$B$39=SelectedScope))*RAW_DEVICE!$D$4:$D$39),"")</f>
        <v/>
      </c>
      <c r="E8" s="16" t="s">
        <v>98</v>
      </c>
      <c r="F8" s="16"/>
      <c r="G8" s="16"/>
      <c r="H8" s="16"/>
      <c r="I8" s="16"/>
      <c r="J8" s="16"/>
    </row>
    <row r="9" spans="1:10" ht="16.05" customHeight="1" x14ac:dyDescent="0.3">
      <c r="A9" s="18" t="s">
        <v>94</v>
      </c>
      <c r="B9" s="18" t="s">
        <v>633</v>
      </c>
      <c r="C9" s="9">
        <f>SUMPRODUCT((IF(SelectedScope="All India",1,RAW_DEVICE!$B$4:$B$39=SelectedScope))*RAW_DEVICE!$F$4:$F$39)</f>
        <v>0</v>
      </c>
      <c r="D9" s="9" t="str">
        <f>IFERROR(C9/SUMPRODUCT((IF(SelectedScope="All India",1,RAW_DEVICE!$B$4:$B$39=SelectedScope))*RAW_DEVICE!$D$4:$D$39),"")</f>
        <v/>
      </c>
      <c r="E9" s="18" t="s">
        <v>89</v>
      </c>
      <c r="F9" s="18"/>
      <c r="G9" s="18"/>
      <c r="H9" s="18"/>
      <c r="I9" s="18"/>
      <c r="J9" s="18"/>
    </row>
    <row r="10" spans="1:10" ht="16.05" customHeight="1" x14ac:dyDescent="0.3">
      <c r="A10" s="16" t="s">
        <v>96</v>
      </c>
      <c r="B10" s="16" t="s">
        <v>634</v>
      </c>
      <c r="C10" s="12">
        <f>SUMPRODUCT((IF(SelectedScope="All India",1,RAW_DEVICE!$B$4:$B$39=SelectedScope))*RAW_DEVICE!$G$4:$G$39)</f>
        <v>0</v>
      </c>
      <c r="D10" s="12" t="str">
        <f>IFERROR(C10/SUMPRODUCT((IF(SelectedScope="All India",1,RAW_DEVICE!$B$4:$B$39=SelectedScope))*RAW_DEVICE!$D$4:$D$39),"")</f>
        <v/>
      </c>
      <c r="E10" s="16" t="s">
        <v>89</v>
      </c>
      <c r="F10" s="16"/>
      <c r="G10" s="16"/>
      <c r="H10" s="16"/>
      <c r="I10" s="16"/>
      <c r="J10" s="16"/>
    </row>
    <row r="11" spans="1:10" ht="16.05" customHeight="1" x14ac:dyDescent="0.3">
      <c r="A11" s="18" t="s">
        <v>99</v>
      </c>
      <c r="B11" s="18" t="s">
        <v>635</v>
      </c>
      <c r="C11" s="9">
        <f>SUMPRODUCT((IF(SelectedScope="All India",1,RAW_DEVICE!$B$4:$B$39=SelectedScope))*RAW_DEVICE!$H$4:$H$39)</f>
        <v>0</v>
      </c>
      <c r="D11" s="9" t="str">
        <f>IFERROR(C11/SUMPRODUCT((IF(SelectedScope="All India",1,RAW_DEVICE!$B$4:$B$39=SelectedScope))*RAW_DEVICE!$D$4:$D$39),"")</f>
        <v/>
      </c>
      <c r="E11" s="18" t="s">
        <v>636</v>
      </c>
      <c r="F11" s="18"/>
      <c r="G11" s="18"/>
      <c r="H11" s="18"/>
      <c r="I11" s="18"/>
      <c r="J11" s="18"/>
    </row>
    <row r="12" spans="1:10" ht="16.05" customHeight="1" x14ac:dyDescent="0.3">
      <c r="A12" s="16" t="s">
        <v>101</v>
      </c>
      <c r="B12" s="16" t="s">
        <v>637</v>
      </c>
      <c r="C12" s="12">
        <f>SUMPRODUCT((IF(SelectedScope="All India",1,RAW_DEVICE!$B$4:$B$39=SelectedScope))*RAW_DEVICE!$I$4:$I$39)</f>
        <v>0</v>
      </c>
      <c r="D12" s="12" t="str">
        <f>IFERROR(C12/SUMPRODUCT((IF(SelectedScope="All India",1,RAW_DEVICE!$B$4:$B$39=SelectedScope))*RAW_DEVICE!$D$4:$D$39),"")</f>
        <v/>
      </c>
      <c r="E12" s="16" t="s">
        <v>89</v>
      </c>
      <c r="F12" s="16"/>
      <c r="G12" s="16"/>
      <c r="H12" s="16"/>
      <c r="I12" s="16"/>
      <c r="J12" s="16"/>
    </row>
    <row r="13" spans="1:10" ht="16.05" customHeight="1" x14ac:dyDescent="0.3">
      <c r="A13" s="18" t="s">
        <v>104</v>
      </c>
      <c r="B13" s="18" t="s">
        <v>638</v>
      </c>
      <c r="C13" s="9">
        <f>SUMPRODUCT((IF(SelectedScope="All India",1,RAW_DEVICE!$B$4:$B$39=SelectedScope))*RAW_DEVICE!$J$4:$J$39)</f>
        <v>0</v>
      </c>
      <c r="D13" s="9" t="str">
        <f>IFERROR(C13/SUMPRODUCT((IF(SelectedScope="All India",1,RAW_DEVICE!$B$4:$B$39=SelectedScope))*RAW_DEVICE!$D$4:$D$39),"")</f>
        <v/>
      </c>
      <c r="E13" s="18" t="s">
        <v>107</v>
      </c>
      <c r="F13" s="18"/>
      <c r="G13" s="18"/>
      <c r="H13" s="18"/>
      <c r="I13" s="18"/>
      <c r="J13" s="18"/>
    </row>
    <row r="14" spans="1:10" ht="16.05" customHeight="1" x14ac:dyDescent="0.3">
      <c r="A14" s="16" t="s">
        <v>106</v>
      </c>
      <c r="B14" s="16" t="s">
        <v>639</v>
      </c>
      <c r="C14" s="12">
        <f>SUMPRODUCT((IF(SelectedScope="All India",1,RAW_DEVICE!$B$4:$B$39=SelectedScope))*RAW_DEVICE!$K$4:$K$39)</f>
        <v>0</v>
      </c>
      <c r="D14" s="12" t="str">
        <f>IFERROR(C14/SUMPRODUCT((IF(SelectedScope="All India",1,RAW_DEVICE!$B$4:$B$39=SelectedScope))*RAW_DEVICE!$D$4:$D$39),"")</f>
        <v/>
      </c>
      <c r="E14" s="16" t="s">
        <v>89</v>
      </c>
      <c r="F14" s="16"/>
      <c r="G14" s="16"/>
      <c r="H14" s="16"/>
      <c r="I14" s="16"/>
      <c r="J14" s="16"/>
    </row>
    <row r="15" spans="1:10" ht="16.05" customHeight="1" x14ac:dyDescent="0.3">
      <c r="A15" s="18" t="s">
        <v>108</v>
      </c>
      <c r="B15" s="18" t="s">
        <v>640</v>
      </c>
      <c r="C15" s="9">
        <f>IFERROR((SUMPRODUCT((IF(SelectedScope="All India",1,RAW_DEVICE!$B$4:$B$39=SelectedScope))*RAW_DEVICE!$L$4:$L$39))/(SUMPRODUCT((IF(SelectedScope="All India",1,RAW_DEVICE!$B$4:$B$39=SelectedScope))*1)),"")</f>
        <v>0</v>
      </c>
      <c r="D15" s="18" t="s">
        <v>89</v>
      </c>
      <c r="E15" s="18" t="s">
        <v>89</v>
      </c>
      <c r="F15" s="18"/>
      <c r="G15" s="18"/>
      <c r="H15" s="18"/>
      <c r="I15" s="18"/>
      <c r="J15" s="18"/>
    </row>
    <row r="16" spans="1:10" ht="16.05" customHeight="1" x14ac:dyDescent="0.3">
      <c r="A16" s="16" t="s">
        <v>111</v>
      </c>
      <c r="B16" s="16" t="s">
        <v>641</v>
      </c>
      <c r="C16" s="12">
        <f>IFERROR((SUMPRODUCT((IF(SelectedScope="All India",1,RAW_DEVICE!$B$4:$B$39=SelectedScope))*RAW_DEVICE!$M$4:$M$39))/(SUMPRODUCT((IF(SelectedScope="All India",1,RAW_DEVICE!$B$4:$B$39=SelectedScope))*1)),"")</f>
        <v>0</v>
      </c>
      <c r="D16" s="16" t="s">
        <v>89</v>
      </c>
      <c r="E16" s="16" t="s">
        <v>89</v>
      </c>
      <c r="F16" s="16"/>
      <c r="G16" s="16"/>
      <c r="H16" s="16"/>
      <c r="I16" s="16"/>
      <c r="J16" s="16"/>
    </row>
    <row r="17" spans="1:10" ht="16.05" customHeight="1" x14ac:dyDescent="0.3">
      <c r="A17" s="18" t="s">
        <v>112</v>
      </c>
      <c r="B17" s="18" t="s">
        <v>642</v>
      </c>
      <c r="C17" s="9">
        <f>IFERROR((SUMPRODUCT((IF(SelectedScope="All India",1,RAW_DEVICE!$B$4:$B$39=SelectedScope))*RAW_DEVICE!$N$4:$N$39))/(SUMPRODUCT((IF(SelectedScope="All India",1,RAW_DEVICE!$B$4:$B$39=SelectedScope))*1)),"")</f>
        <v>0</v>
      </c>
      <c r="D17" s="18" t="s">
        <v>89</v>
      </c>
      <c r="E17" s="18" t="s">
        <v>89</v>
      </c>
      <c r="F17" s="18"/>
      <c r="G17" s="18"/>
      <c r="H17" s="18"/>
      <c r="I17" s="18"/>
      <c r="J17" s="18"/>
    </row>
    <row r="18" spans="1:10" ht="16.05" customHeight="1" x14ac:dyDescent="0.3">
      <c r="A18" s="16" t="s">
        <v>402</v>
      </c>
      <c r="B18" s="16" t="s">
        <v>643</v>
      </c>
      <c r="C18" s="12">
        <f>IFERROR((SUMPRODUCT((IF(SelectedScope="All India",1,RAW_DEVICE!$B$4:$B$39=SelectedScope))*RAW_DEVICE!$O$4:$O$39))/(SUMPRODUCT((IF(SelectedScope="All India",1,RAW_DEVICE!$B$4:$B$39=SelectedScope))*1)),"")</f>
        <v>0</v>
      </c>
      <c r="D18" s="16" t="s">
        <v>89</v>
      </c>
      <c r="E18" s="16" t="s">
        <v>89</v>
      </c>
      <c r="F18" s="16"/>
      <c r="G18" s="16"/>
      <c r="H18" s="16"/>
      <c r="I18" s="16"/>
      <c r="J18" s="16"/>
    </row>
    <row r="19" spans="1:10" ht="16.05" customHeight="1" x14ac:dyDescent="0.3">
      <c r="A19" s="18" t="s">
        <v>596</v>
      </c>
      <c r="B19" s="18" t="s">
        <v>644</v>
      </c>
      <c r="C19" s="9">
        <f>IFERROR((SUMPRODUCT((IF(SelectedScope="All India",1,RAW_DEVICE!$B$4:$B$39=SelectedScope))*RAW_DEVICE!$P$4:$P$39))/(SUMPRODUCT((IF(SelectedScope="All India",1,RAW_DEVICE!$B$4:$B$39=SelectedScope))*1)),"")</f>
        <v>0</v>
      </c>
      <c r="D19" s="9" t="s">
        <v>98</v>
      </c>
      <c r="E19" s="18" t="s">
        <v>98</v>
      </c>
      <c r="F19" s="18"/>
      <c r="G19" s="18"/>
      <c r="H19" s="18"/>
      <c r="I19" s="18"/>
      <c r="J19" s="18"/>
    </row>
    <row r="20" spans="1:10" ht="16.05" customHeight="1" x14ac:dyDescent="0.3">
      <c r="A20" s="16" t="s">
        <v>598</v>
      </c>
      <c r="B20" s="16" t="s">
        <v>645</v>
      </c>
      <c r="C20" s="12">
        <f>IFERROR((SUMPRODUCT((IF(SelectedScope="All India",1,RAW_DEVICE!$B$4:$B$39=SelectedScope))*RAW_DEVICE!$Q$4:$Q$39))/(SUMPRODUCT((IF(SelectedScope="All India",1,RAW_DEVICE!$B$4:$B$39=SelectedScope))*1)),"")</f>
        <v>0</v>
      </c>
      <c r="D20" s="12" t="s">
        <v>646</v>
      </c>
      <c r="E20" s="16" t="s">
        <v>646</v>
      </c>
      <c r="F20" s="16"/>
      <c r="G20" s="16"/>
      <c r="H20" s="16"/>
      <c r="I20" s="16"/>
      <c r="J20" s="16"/>
    </row>
    <row r="22" spans="1:10" ht="19.95" customHeight="1" x14ac:dyDescent="0.3">
      <c r="A22" s="37" t="s">
        <v>647</v>
      </c>
      <c r="B22" s="33"/>
      <c r="C22" s="33"/>
      <c r="D22" s="33"/>
      <c r="E22" s="33"/>
      <c r="F22" s="33"/>
      <c r="G22" s="33"/>
      <c r="H22" s="33"/>
      <c r="I22" s="33"/>
      <c r="J22" s="33"/>
    </row>
    <row r="23" spans="1:10" ht="31.95" customHeight="1" x14ac:dyDescent="0.3">
      <c r="A23" s="15" t="s">
        <v>78</v>
      </c>
      <c r="B23" s="15" t="s">
        <v>192</v>
      </c>
      <c r="C23" s="15" t="s">
        <v>648</v>
      </c>
      <c r="D23" s="15" t="s">
        <v>640</v>
      </c>
      <c r="E23" s="15" t="s">
        <v>649</v>
      </c>
      <c r="F23" s="15" t="s">
        <v>642</v>
      </c>
      <c r="G23" s="15" t="s">
        <v>643</v>
      </c>
      <c r="H23" s="15" t="s">
        <v>644</v>
      </c>
      <c r="I23" s="15" t="s">
        <v>650</v>
      </c>
      <c r="J23" s="15" t="s">
        <v>86</v>
      </c>
    </row>
    <row r="24" spans="1:10" ht="16.05" customHeight="1" x14ac:dyDescent="0.3">
      <c r="A24" s="16">
        <v>1</v>
      </c>
      <c r="B24" s="16" t="s">
        <v>519</v>
      </c>
      <c r="C24" s="12">
        <f>SUMPRODUCT((RAW_DEVICE!$B$4:$B$39=$B24)*RAW_DEVICE!$C$4:$C$39)</f>
        <v>0</v>
      </c>
      <c r="D24" s="20">
        <f>SUMPRODUCT((RAW_DEVICE!$B$4:$B$39=$B24)*RAW_DEVICE!$L$4:$L$39)</f>
        <v>0</v>
      </c>
      <c r="E24" s="20">
        <f>SUMPRODUCT((RAW_DEVICE!$B$4:$B$39=$B24)*RAW_DEVICE!$M$4:$M$39)</f>
        <v>0</v>
      </c>
      <c r="F24" s="20">
        <f>SUMPRODUCT((RAW_DEVICE!$B$4:$B$39=$B24)*RAW_DEVICE!$N$4:$N$39)</f>
        <v>0</v>
      </c>
      <c r="G24" s="20">
        <f>SUMPRODUCT((RAW_DEVICE!$B$4:$B$39=$B24)*RAW_DEVICE!$O$4:$O$39)</f>
        <v>0</v>
      </c>
      <c r="H24" s="20">
        <f>SUMPRODUCT((RAW_DEVICE!$B$4:$B$39=$B24)*RAW_DEVICE!$P$4:$P$39)</f>
        <v>0</v>
      </c>
      <c r="I24" s="20">
        <f>SUMPRODUCT((RAW_DEVICE!$B$4:$B$39=$B24)*RAW_DEVICE!$Q$4:$Q$39)</f>
        <v>0</v>
      </c>
      <c r="J24" s="16"/>
    </row>
    <row r="25" spans="1:10" ht="16.05" customHeight="1" x14ac:dyDescent="0.3">
      <c r="A25" s="18">
        <v>2</v>
      </c>
      <c r="B25" s="18" t="s">
        <v>520</v>
      </c>
      <c r="C25" s="9">
        <f>SUMPRODUCT((RAW_DEVICE!$B$4:$B$39=$B25)*RAW_DEVICE!$C$4:$C$39)</f>
        <v>0</v>
      </c>
      <c r="D25" s="21">
        <f>SUMPRODUCT((RAW_DEVICE!$B$4:$B$39=$B25)*RAW_DEVICE!$L$4:$L$39)</f>
        <v>0</v>
      </c>
      <c r="E25" s="21">
        <f>SUMPRODUCT((RAW_DEVICE!$B$4:$B$39=$B25)*RAW_DEVICE!$M$4:$M$39)</f>
        <v>0</v>
      </c>
      <c r="F25" s="21">
        <f>SUMPRODUCT((RAW_DEVICE!$B$4:$B$39=$B25)*RAW_DEVICE!$N$4:$N$39)</f>
        <v>0</v>
      </c>
      <c r="G25" s="21">
        <f>SUMPRODUCT((RAW_DEVICE!$B$4:$B$39=$B25)*RAW_DEVICE!$O$4:$O$39)</f>
        <v>0</v>
      </c>
      <c r="H25" s="21">
        <f>SUMPRODUCT((RAW_DEVICE!$B$4:$B$39=$B25)*RAW_DEVICE!$P$4:$P$39)</f>
        <v>0</v>
      </c>
      <c r="I25" s="21">
        <f>SUMPRODUCT((RAW_DEVICE!$B$4:$B$39=$B25)*RAW_DEVICE!$Q$4:$Q$39)</f>
        <v>0</v>
      </c>
      <c r="J25" s="18"/>
    </row>
    <row r="26" spans="1:10" ht="16.05" customHeight="1" x14ac:dyDescent="0.3">
      <c r="A26" s="16">
        <v>3</v>
      </c>
      <c r="B26" s="16" t="s">
        <v>521</v>
      </c>
      <c r="C26" s="12">
        <f>SUMPRODUCT((RAW_DEVICE!$B$4:$B$39=$B26)*RAW_DEVICE!$C$4:$C$39)</f>
        <v>0</v>
      </c>
      <c r="D26" s="20">
        <f>SUMPRODUCT((RAW_DEVICE!$B$4:$B$39=$B26)*RAW_DEVICE!$L$4:$L$39)</f>
        <v>0</v>
      </c>
      <c r="E26" s="20">
        <f>SUMPRODUCT((RAW_DEVICE!$B$4:$B$39=$B26)*RAW_DEVICE!$M$4:$M$39)</f>
        <v>0</v>
      </c>
      <c r="F26" s="20">
        <f>SUMPRODUCT((RAW_DEVICE!$B$4:$B$39=$B26)*RAW_DEVICE!$N$4:$N$39)</f>
        <v>0</v>
      </c>
      <c r="G26" s="20">
        <f>SUMPRODUCT((RAW_DEVICE!$B$4:$B$39=$B26)*RAW_DEVICE!$O$4:$O$39)</f>
        <v>0</v>
      </c>
      <c r="H26" s="20">
        <f>SUMPRODUCT((RAW_DEVICE!$B$4:$B$39=$B26)*RAW_DEVICE!$P$4:$P$39)</f>
        <v>0</v>
      </c>
      <c r="I26" s="20">
        <f>SUMPRODUCT((RAW_DEVICE!$B$4:$B$39=$B26)*RAW_DEVICE!$Q$4:$Q$39)</f>
        <v>0</v>
      </c>
      <c r="J26" s="16"/>
    </row>
    <row r="27" spans="1:10" ht="16.05" customHeight="1" x14ac:dyDescent="0.3">
      <c r="A27" s="18">
        <v>4</v>
      </c>
      <c r="B27" s="18" t="s">
        <v>522</v>
      </c>
      <c r="C27" s="9">
        <f>SUMPRODUCT((RAW_DEVICE!$B$4:$B$39=$B27)*RAW_DEVICE!$C$4:$C$39)</f>
        <v>0</v>
      </c>
      <c r="D27" s="21">
        <f>SUMPRODUCT((RAW_DEVICE!$B$4:$B$39=$B27)*RAW_DEVICE!$L$4:$L$39)</f>
        <v>0</v>
      </c>
      <c r="E27" s="21">
        <f>SUMPRODUCT((RAW_DEVICE!$B$4:$B$39=$B27)*RAW_DEVICE!$M$4:$M$39)</f>
        <v>0</v>
      </c>
      <c r="F27" s="21">
        <f>SUMPRODUCT((RAW_DEVICE!$B$4:$B$39=$B27)*RAW_DEVICE!$N$4:$N$39)</f>
        <v>0</v>
      </c>
      <c r="G27" s="21">
        <f>SUMPRODUCT((RAW_DEVICE!$B$4:$B$39=$B27)*RAW_DEVICE!$O$4:$O$39)</f>
        <v>0</v>
      </c>
      <c r="H27" s="21">
        <f>SUMPRODUCT((RAW_DEVICE!$B$4:$B$39=$B27)*RAW_DEVICE!$P$4:$P$39)</f>
        <v>0</v>
      </c>
      <c r="I27" s="21">
        <f>SUMPRODUCT((RAW_DEVICE!$B$4:$B$39=$B27)*RAW_DEVICE!$Q$4:$Q$39)</f>
        <v>0</v>
      </c>
      <c r="J27" s="18"/>
    </row>
    <row r="28" spans="1:10" ht="16.05" customHeight="1" x14ac:dyDescent="0.3">
      <c r="A28" s="16">
        <v>5</v>
      </c>
      <c r="B28" s="16" t="s">
        <v>523</v>
      </c>
      <c r="C28" s="12">
        <f>SUMPRODUCT((RAW_DEVICE!$B$4:$B$39=$B28)*RAW_DEVICE!$C$4:$C$39)</f>
        <v>0</v>
      </c>
      <c r="D28" s="20">
        <f>SUMPRODUCT((RAW_DEVICE!$B$4:$B$39=$B28)*RAW_DEVICE!$L$4:$L$39)</f>
        <v>0</v>
      </c>
      <c r="E28" s="20">
        <f>SUMPRODUCT((RAW_DEVICE!$B$4:$B$39=$B28)*RAW_DEVICE!$M$4:$M$39)</f>
        <v>0</v>
      </c>
      <c r="F28" s="20">
        <f>SUMPRODUCT((RAW_DEVICE!$B$4:$B$39=$B28)*RAW_DEVICE!$N$4:$N$39)</f>
        <v>0</v>
      </c>
      <c r="G28" s="20">
        <f>SUMPRODUCT((RAW_DEVICE!$B$4:$B$39=$B28)*RAW_DEVICE!$O$4:$O$39)</f>
        <v>0</v>
      </c>
      <c r="H28" s="20">
        <f>SUMPRODUCT((RAW_DEVICE!$B$4:$B$39=$B28)*RAW_DEVICE!$P$4:$P$39)</f>
        <v>0</v>
      </c>
      <c r="I28" s="20">
        <f>SUMPRODUCT((RAW_DEVICE!$B$4:$B$39=$B28)*RAW_DEVICE!$Q$4:$Q$39)</f>
        <v>0</v>
      </c>
      <c r="J28" s="16"/>
    </row>
    <row r="29" spans="1:10" ht="16.05" customHeight="1" x14ac:dyDescent="0.3">
      <c r="A29" s="18">
        <v>6</v>
      </c>
      <c r="B29" s="18" t="s">
        <v>524</v>
      </c>
      <c r="C29" s="9">
        <f>SUMPRODUCT((RAW_DEVICE!$B$4:$B$39=$B29)*RAW_DEVICE!$C$4:$C$39)</f>
        <v>0</v>
      </c>
      <c r="D29" s="21">
        <f>SUMPRODUCT((RAW_DEVICE!$B$4:$B$39=$B29)*RAW_DEVICE!$L$4:$L$39)</f>
        <v>0</v>
      </c>
      <c r="E29" s="21">
        <f>SUMPRODUCT((RAW_DEVICE!$B$4:$B$39=$B29)*RAW_DEVICE!$M$4:$M$39)</f>
        <v>0</v>
      </c>
      <c r="F29" s="21">
        <f>SUMPRODUCT((RAW_DEVICE!$B$4:$B$39=$B29)*RAW_DEVICE!$N$4:$N$39)</f>
        <v>0</v>
      </c>
      <c r="G29" s="21">
        <f>SUMPRODUCT((RAW_DEVICE!$B$4:$B$39=$B29)*RAW_DEVICE!$O$4:$O$39)</f>
        <v>0</v>
      </c>
      <c r="H29" s="21">
        <f>SUMPRODUCT((RAW_DEVICE!$B$4:$B$39=$B29)*RAW_DEVICE!$P$4:$P$39)</f>
        <v>0</v>
      </c>
      <c r="I29" s="21">
        <f>SUMPRODUCT((RAW_DEVICE!$B$4:$B$39=$B29)*RAW_DEVICE!$Q$4:$Q$39)</f>
        <v>0</v>
      </c>
      <c r="J29" s="18"/>
    </row>
    <row r="30" spans="1:10" ht="16.05" customHeight="1" x14ac:dyDescent="0.3">
      <c r="A30" s="16">
        <v>7</v>
      </c>
      <c r="B30" s="16" t="s">
        <v>525</v>
      </c>
      <c r="C30" s="12">
        <f>SUMPRODUCT((RAW_DEVICE!$B$4:$B$39=$B30)*RAW_DEVICE!$C$4:$C$39)</f>
        <v>0</v>
      </c>
      <c r="D30" s="20">
        <f>SUMPRODUCT((RAW_DEVICE!$B$4:$B$39=$B30)*RAW_DEVICE!$L$4:$L$39)</f>
        <v>0</v>
      </c>
      <c r="E30" s="20">
        <f>SUMPRODUCT((RAW_DEVICE!$B$4:$B$39=$B30)*RAW_DEVICE!$M$4:$M$39)</f>
        <v>0</v>
      </c>
      <c r="F30" s="20">
        <f>SUMPRODUCT((RAW_DEVICE!$B$4:$B$39=$B30)*RAW_DEVICE!$N$4:$N$39)</f>
        <v>0</v>
      </c>
      <c r="G30" s="20">
        <f>SUMPRODUCT((RAW_DEVICE!$B$4:$B$39=$B30)*RAW_DEVICE!$O$4:$O$39)</f>
        <v>0</v>
      </c>
      <c r="H30" s="20">
        <f>SUMPRODUCT((RAW_DEVICE!$B$4:$B$39=$B30)*RAW_DEVICE!$P$4:$P$39)</f>
        <v>0</v>
      </c>
      <c r="I30" s="20">
        <f>SUMPRODUCT((RAW_DEVICE!$B$4:$B$39=$B30)*RAW_DEVICE!$Q$4:$Q$39)</f>
        <v>0</v>
      </c>
      <c r="J30" s="16"/>
    </row>
    <row r="31" spans="1:10" ht="16.05" customHeight="1" x14ac:dyDescent="0.3">
      <c r="A31" s="18">
        <v>8</v>
      </c>
      <c r="B31" s="18" t="s">
        <v>526</v>
      </c>
      <c r="C31" s="9">
        <f>SUMPRODUCT((RAW_DEVICE!$B$4:$B$39=$B31)*RAW_DEVICE!$C$4:$C$39)</f>
        <v>0</v>
      </c>
      <c r="D31" s="21">
        <f>SUMPRODUCT((RAW_DEVICE!$B$4:$B$39=$B31)*RAW_DEVICE!$L$4:$L$39)</f>
        <v>0</v>
      </c>
      <c r="E31" s="21">
        <f>SUMPRODUCT((RAW_DEVICE!$B$4:$B$39=$B31)*RAW_DEVICE!$M$4:$M$39)</f>
        <v>0</v>
      </c>
      <c r="F31" s="21">
        <f>SUMPRODUCT((RAW_DEVICE!$B$4:$B$39=$B31)*RAW_DEVICE!$N$4:$N$39)</f>
        <v>0</v>
      </c>
      <c r="G31" s="21">
        <f>SUMPRODUCT((RAW_DEVICE!$B$4:$B$39=$B31)*RAW_DEVICE!$O$4:$O$39)</f>
        <v>0</v>
      </c>
      <c r="H31" s="21">
        <f>SUMPRODUCT((RAW_DEVICE!$B$4:$B$39=$B31)*RAW_DEVICE!$P$4:$P$39)</f>
        <v>0</v>
      </c>
      <c r="I31" s="21">
        <f>SUMPRODUCT((RAW_DEVICE!$B$4:$B$39=$B31)*RAW_DEVICE!$Q$4:$Q$39)</f>
        <v>0</v>
      </c>
      <c r="J31" s="18"/>
    </row>
    <row r="32" spans="1:10" ht="16.05" customHeight="1" x14ac:dyDescent="0.3">
      <c r="A32" s="16">
        <v>9</v>
      </c>
      <c r="B32" s="16" t="s">
        <v>527</v>
      </c>
      <c r="C32" s="12">
        <f>SUMPRODUCT((RAW_DEVICE!$B$4:$B$39=$B32)*RAW_DEVICE!$C$4:$C$39)</f>
        <v>0</v>
      </c>
      <c r="D32" s="20">
        <f>SUMPRODUCT((RAW_DEVICE!$B$4:$B$39=$B32)*RAW_DEVICE!$L$4:$L$39)</f>
        <v>0</v>
      </c>
      <c r="E32" s="20">
        <f>SUMPRODUCT((RAW_DEVICE!$B$4:$B$39=$B32)*RAW_DEVICE!$M$4:$M$39)</f>
        <v>0</v>
      </c>
      <c r="F32" s="20">
        <f>SUMPRODUCT((RAW_DEVICE!$B$4:$B$39=$B32)*RAW_DEVICE!$N$4:$N$39)</f>
        <v>0</v>
      </c>
      <c r="G32" s="20">
        <f>SUMPRODUCT((RAW_DEVICE!$B$4:$B$39=$B32)*RAW_DEVICE!$O$4:$O$39)</f>
        <v>0</v>
      </c>
      <c r="H32" s="20">
        <f>SUMPRODUCT((RAW_DEVICE!$B$4:$B$39=$B32)*RAW_DEVICE!$P$4:$P$39)</f>
        <v>0</v>
      </c>
      <c r="I32" s="20">
        <f>SUMPRODUCT((RAW_DEVICE!$B$4:$B$39=$B32)*RAW_DEVICE!$Q$4:$Q$39)</f>
        <v>0</v>
      </c>
      <c r="J32" s="16"/>
    </row>
    <row r="33" spans="1:10" ht="16.05" customHeight="1" x14ac:dyDescent="0.3">
      <c r="A33" s="18">
        <v>10</v>
      </c>
      <c r="B33" s="18" t="s">
        <v>528</v>
      </c>
      <c r="C33" s="9">
        <f>SUMPRODUCT((RAW_DEVICE!$B$4:$B$39=$B33)*RAW_DEVICE!$C$4:$C$39)</f>
        <v>0</v>
      </c>
      <c r="D33" s="21">
        <f>SUMPRODUCT((RAW_DEVICE!$B$4:$B$39=$B33)*RAW_DEVICE!$L$4:$L$39)</f>
        <v>0</v>
      </c>
      <c r="E33" s="21">
        <f>SUMPRODUCT((RAW_DEVICE!$B$4:$B$39=$B33)*RAW_DEVICE!$M$4:$M$39)</f>
        <v>0</v>
      </c>
      <c r="F33" s="21">
        <f>SUMPRODUCT((RAW_DEVICE!$B$4:$B$39=$B33)*RAW_DEVICE!$N$4:$N$39)</f>
        <v>0</v>
      </c>
      <c r="G33" s="21">
        <f>SUMPRODUCT((RAW_DEVICE!$B$4:$B$39=$B33)*RAW_DEVICE!$O$4:$O$39)</f>
        <v>0</v>
      </c>
      <c r="H33" s="21">
        <f>SUMPRODUCT((RAW_DEVICE!$B$4:$B$39=$B33)*RAW_DEVICE!$P$4:$P$39)</f>
        <v>0</v>
      </c>
      <c r="I33" s="21">
        <f>SUMPRODUCT((RAW_DEVICE!$B$4:$B$39=$B33)*RAW_DEVICE!$Q$4:$Q$39)</f>
        <v>0</v>
      </c>
      <c r="J33" s="18"/>
    </row>
    <row r="34" spans="1:10" ht="16.05" customHeight="1" x14ac:dyDescent="0.3">
      <c r="A34" s="16">
        <v>11</v>
      </c>
      <c r="B34" s="16" t="s">
        <v>529</v>
      </c>
      <c r="C34" s="12">
        <f>SUMPRODUCT((RAW_DEVICE!$B$4:$B$39=$B34)*RAW_DEVICE!$C$4:$C$39)</f>
        <v>0</v>
      </c>
      <c r="D34" s="20">
        <f>SUMPRODUCT((RAW_DEVICE!$B$4:$B$39=$B34)*RAW_DEVICE!$L$4:$L$39)</f>
        <v>0</v>
      </c>
      <c r="E34" s="20">
        <f>SUMPRODUCT((RAW_DEVICE!$B$4:$B$39=$B34)*RAW_DEVICE!$M$4:$M$39)</f>
        <v>0</v>
      </c>
      <c r="F34" s="20">
        <f>SUMPRODUCT((RAW_DEVICE!$B$4:$B$39=$B34)*RAW_DEVICE!$N$4:$N$39)</f>
        <v>0</v>
      </c>
      <c r="G34" s="20">
        <f>SUMPRODUCT((RAW_DEVICE!$B$4:$B$39=$B34)*RAW_DEVICE!$O$4:$O$39)</f>
        <v>0</v>
      </c>
      <c r="H34" s="20">
        <f>SUMPRODUCT((RAW_DEVICE!$B$4:$B$39=$B34)*RAW_DEVICE!$P$4:$P$39)</f>
        <v>0</v>
      </c>
      <c r="I34" s="20">
        <f>SUMPRODUCT((RAW_DEVICE!$B$4:$B$39=$B34)*RAW_DEVICE!$Q$4:$Q$39)</f>
        <v>0</v>
      </c>
      <c r="J34" s="16"/>
    </row>
    <row r="35" spans="1:10" ht="16.05" customHeight="1" x14ac:dyDescent="0.3">
      <c r="A35" s="18">
        <v>12</v>
      </c>
      <c r="B35" s="18" t="s">
        <v>530</v>
      </c>
      <c r="C35" s="9">
        <f>SUMPRODUCT((RAW_DEVICE!$B$4:$B$39=$B35)*RAW_DEVICE!$C$4:$C$39)</f>
        <v>0</v>
      </c>
      <c r="D35" s="21">
        <f>SUMPRODUCT((RAW_DEVICE!$B$4:$B$39=$B35)*RAW_DEVICE!$L$4:$L$39)</f>
        <v>0</v>
      </c>
      <c r="E35" s="21">
        <f>SUMPRODUCT((RAW_DEVICE!$B$4:$B$39=$B35)*RAW_DEVICE!$M$4:$M$39)</f>
        <v>0</v>
      </c>
      <c r="F35" s="21">
        <f>SUMPRODUCT((RAW_DEVICE!$B$4:$B$39=$B35)*RAW_DEVICE!$N$4:$N$39)</f>
        <v>0</v>
      </c>
      <c r="G35" s="21">
        <f>SUMPRODUCT((RAW_DEVICE!$B$4:$B$39=$B35)*RAW_DEVICE!$O$4:$O$39)</f>
        <v>0</v>
      </c>
      <c r="H35" s="21">
        <f>SUMPRODUCT((RAW_DEVICE!$B$4:$B$39=$B35)*RAW_DEVICE!$P$4:$P$39)</f>
        <v>0</v>
      </c>
      <c r="I35" s="21">
        <f>SUMPRODUCT((RAW_DEVICE!$B$4:$B$39=$B35)*RAW_DEVICE!$Q$4:$Q$39)</f>
        <v>0</v>
      </c>
      <c r="J35" s="18"/>
    </row>
    <row r="36" spans="1:10" ht="16.05" customHeight="1" x14ac:dyDescent="0.3">
      <c r="A36" s="16">
        <v>13</v>
      </c>
      <c r="B36" s="16" t="s">
        <v>531</v>
      </c>
      <c r="C36" s="12">
        <f>SUMPRODUCT((RAW_DEVICE!$B$4:$B$39=$B36)*RAW_DEVICE!$C$4:$C$39)</f>
        <v>0</v>
      </c>
      <c r="D36" s="20">
        <f>SUMPRODUCT((RAW_DEVICE!$B$4:$B$39=$B36)*RAW_DEVICE!$L$4:$L$39)</f>
        <v>0</v>
      </c>
      <c r="E36" s="20">
        <f>SUMPRODUCT((RAW_DEVICE!$B$4:$B$39=$B36)*RAW_DEVICE!$M$4:$M$39)</f>
        <v>0</v>
      </c>
      <c r="F36" s="20">
        <f>SUMPRODUCT((RAW_DEVICE!$B$4:$B$39=$B36)*RAW_DEVICE!$N$4:$N$39)</f>
        <v>0</v>
      </c>
      <c r="G36" s="20">
        <f>SUMPRODUCT((RAW_DEVICE!$B$4:$B$39=$B36)*RAW_DEVICE!$O$4:$O$39)</f>
        <v>0</v>
      </c>
      <c r="H36" s="20">
        <f>SUMPRODUCT((RAW_DEVICE!$B$4:$B$39=$B36)*RAW_DEVICE!$P$4:$P$39)</f>
        <v>0</v>
      </c>
      <c r="I36" s="20">
        <f>SUMPRODUCT((RAW_DEVICE!$B$4:$B$39=$B36)*RAW_DEVICE!$Q$4:$Q$39)</f>
        <v>0</v>
      </c>
      <c r="J36" s="16"/>
    </row>
    <row r="37" spans="1:10" ht="16.05" customHeight="1" x14ac:dyDescent="0.3">
      <c r="A37" s="18">
        <v>14</v>
      </c>
      <c r="B37" s="18" t="s">
        <v>532</v>
      </c>
      <c r="C37" s="9">
        <f>SUMPRODUCT((RAW_DEVICE!$B$4:$B$39=$B37)*RAW_DEVICE!$C$4:$C$39)</f>
        <v>0</v>
      </c>
      <c r="D37" s="21">
        <f>SUMPRODUCT((RAW_DEVICE!$B$4:$B$39=$B37)*RAW_DEVICE!$L$4:$L$39)</f>
        <v>0</v>
      </c>
      <c r="E37" s="21">
        <f>SUMPRODUCT((RAW_DEVICE!$B$4:$B$39=$B37)*RAW_DEVICE!$M$4:$M$39)</f>
        <v>0</v>
      </c>
      <c r="F37" s="21">
        <f>SUMPRODUCT((RAW_DEVICE!$B$4:$B$39=$B37)*RAW_DEVICE!$N$4:$N$39)</f>
        <v>0</v>
      </c>
      <c r="G37" s="21">
        <f>SUMPRODUCT((RAW_DEVICE!$B$4:$B$39=$B37)*RAW_DEVICE!$O$4:$O$39)</f>
        <v>0</v>
      </c>
      <c r="H37" s="21">
        <f>SUMPRODUCT((RAW_DEVICE!$B$4:$B$39=$B37)*RAW_DEVICE!$P$4:$P$39)</f>
        <v>0</v>
      </c>
      <c r="I37" s="21">
        <f>SUMPRODUCT((RAW_DEVICE!$B$4:$B$39=$B37)*RAW_DEVICE!$Q$4:$Q$39)</f>
        <v>0</v>
      </c>
      <c r="J37" s="18"/>
    </row>
    <row r="38" spans="1:10" ht="16.05" customHeight="1" x14ac:dyDescent="0.3">
      <c r="A38" s="16">
        <v>15</v>
      </c>
      <c r="B38" s="16" t="s">
        <v>533</v>
      </c>
      <c r="C38" s="12">
        <f>SUMPRODUCT((RAW_DEVICE!$B$4:$B$39=$B38)*RAW_DEVICE!$C$4:$C$39)</f>
        <v>0</v>
      </c>
      <c r="D38" s="20">
        <f>SUMPRODUCT((RAW_DEVICE!$B$4:$B$39=$B38)*RAW_DEVICE!$L$4:$L$39)</f>
        <v>0</v>
      </c>
      <c r="E38" s="20">
        <f>SUMPRODUCT((RAW_DEVICE!$B$4:$B$39=$B38)*RAW_DEVICE!$M$4:$M$39)</f>
        <v>0</v>
      </c>
      <c r="F38" s="20">
        <f>SUMPRODUCT((RAW_DEVICE!$B$4:$B$39=$B38)*RAW_DEVICE!$N$4:$N$39)</f>
        <v>0</v>
      </c>
      <c r="G38" s="20">
        <f>SUMPRODUCT((RAW_DEVICE!$B$4:$B$39=$B38)*RAW_DEVICE!$O$4:$O$39)</f>
        <v>0</v>
      </c>
      <c r="H38" s="20">
        <f>SUMPRODUCT((RAW_DEVICE!$B$4:$B$39=$B38)*RAW_DEVICE!$P$4:$P$39)</f>
        <v>0</v>
      </c>
      <c r="I38" s="20">
        <f>SUMPRODUCT((RAW_DEVICE!$B$4:$B$39=$B38)*RAW_DEVICE!$Q$4:$Q$39)</f>
        <v>0</v>
      </c>
      <c r="J38" s="16"/>
    </row>
    <row r="39" spans="1:10" ht="16.05" customHeight="1" x14ac:dyDescent="0.3">
      <c r="A39" s="18">
        <v>16</v>
      </c>
      <c r="B39" s="18" t="s">
        <v>534</v>
      </c>
      <c r="C39" s="9">
        <f>SUMPRODUCT((RAW_DEVICE!$B$4:$B$39=$B39)*RAW_DEVICE!$C$4:$C$39)</f>
        <v>0</v>
      </c>
      <c r="D39" s="21">
        <f>SUMPRODUCT((RAW_DEVICE!$B$4:$B$39=$B39)*RAW_DEVICE!$L$4:$L$39)</f>
        <v>0</v>
      </c>
      <c r="E39" s="21">
        <f>SUMPRODUCT((RAW_DEVICE!$B$4:$B$39=$B39)*RAW_DEVICE!$M$4:$M$39)</f>
        <v>0</v>
      </c>
      <c r="F39" s="21">
        <f>SUMPRODUCT((RAW_DEVICE!$B$4:$B$39=$B39)*RAW_DEVICE!$N$4:$N$39)</f>
        <v>0</v>
      </c>
      <c r="G39" s="21">
        <f>SUMPRODUCT((RAW_DEVICE!$B$4:$B$39=$B39)*RAW_DEVICE!$O$4:$O$39)</f>
        <v>0</v>
      </c>
      <c r="H39" s="21">
        <f>SUMPRODUCT((RAW_DEVICE!$B$4:$B$39=$B39)*RAW_DEVICE!$P$4:$P$39)</f>
        <v>0</v>
      </c>
      <c r="I39" s="21">
        <f>SUMPRODUCT((RAW_DEVICE!$B$4:$B$39=$B39)*RAW_DEVICE!$Q$4:$Q$39)</f>
        <v>0</v>
      </c>
      <c r="J39" s="18"/>
    </row>
    <row r="40" spans="1:10" ht="16.05" customHeight="1" x14ac:dyDescent="0.3">
      <c r="A40" s="16">
        <v>17</v>
      </c>
      <c r="B40" s="16" t="s">
        <v>535</v>
      </c>
      <c r="C40" s="12">
        <f>SUMPRODUCT((RAW_DEVICE!$B$4:$B$39=$B40)*RAW_DEVICE!$C$4:$C$39)</f>
        <v>0</v>
      </c>
      <c r="D40" s="20">
        <f>SUMPRODUCT((RAW_DEVICE!$B$4:$B$39=$B40)*RAW_DEVICE!$L$4:$L$39)</f>
        <v>0</v>
      </c>
      <c r="E40" s="20">
        <f>SUMPRODUCT((RAW_DEVICE!$B$4:$B$39=$B40)*RAW_DEVICE!$M$4:$M$39)</f>
        <v>0</v>
      </c>
      <c r="F40" s="20">
        <f>SUMPRODUCT((RAW_DEVICE!$B$4:$B$39=$B40)*RAW_DEVICE!$N$4:$N$39)</f>
        <v>0</v>
      </c>
      <c r="G40" s="20">
        <f>SUMPRODUCT((RAW_DEVICE!$B$4:$B$39=$B40)*RAW_DEVICE!$O$4:$O$39)</f>
        <v>0</v>
      </c>
      <c r="H40" s="20">
        <f>SUMPRODUCT((RAW_DEVICE!$B$4:$B$39=$B40)*RAW_DEVICE!$P$4:$P$39)</f>
        <v>0</v>
      </c>
      <c r="I40" s="20">
        <f>SUMPRODUCT((RAW_DEVICE!$B$4:$B$39=$B40)*RAW_DEVICE!$Q$4:$Q$39)</f>
        <v>0</v>
      </c>
      <c r="J40" s="16"/>
    </row>
    <row r="41" spans="1:10" ht="16.05" customHeight="1" x14ac:dyDescent="0.3">
      <c r="A41" s="18">
        <v>18</v>
      </c>
      <c r="B41" s="18" t="s">
        <v>536</v>
      </c>
      <c r="C41" s="9">
        <f>SUMPRODUCT((RAW_DEVICE!$B$4:$B$39=$B41)*RAW_DEVICE!$C$4:$C$39)</f>
        <v>0</v>
      </c>
      <c r="D41" s="21">
        <f>SUMPRODUCT((RAW_DEVICE!$B$4:$B$39=$B41)*RAW_DEVICE!$L$4:$L$39)</f>
        <v>0</v>
      </c>
      <c r="E41" s="21">
        <f>SUMPRODUCT((RAW_DEVICE!$B$4:$B$39=$B41)*RAW_DEVICE!$M$4:$M$39)</f>
        <v>0</v>
      </c>
      <c r="F41" s="21">
        <f>SUMPRODUCT((RAW_DEVICE!$B$4:$B$39=$B41)*RAW_DEVICE!$N$4:$N$39)</f>
        <v>0</v>
      </c>
      <c r="G41" s="21">
        <f>SUMPRODUCT((RAW_DEVICE!$B$4:$B$39=$B41)*RAW_DEVICE!$O$4:$O$39)</f>
        <v>0</v>
      </c>
      <c r="H41" s="21">
        <f>SUMPRODUCT((RAW_DEVICE!$B$4:$B$39=$B41)*RAW_DEVICE!$P$4:$P$39)</f>
        <v>0</v>
      </c>
      <c r="I41" s="21">
        <f>SUMPRODUCT((RAW_DEVICE!$B$4:$B$39=$B41)*RAW_DEVICE!$Q$4:$Q$39)</f>
        <v>0</v>
      </c>
      <c r="J41" s="18"/>
    </row>
    <row r="42" spans="1:10" ht="16.05" customHeight="1" x14ac:dyDescent="0.3">
      <c r="A42" s="16">
        <v>19</v>
      </c>
      <c r="B42" s="16" t="s">
        <v>537</v>
      </c>
      <c r="C42" s="12">
        <f>SUMPRODUCT((RAW_DEVICE!$B$4:$B$39=$B42)*RAW_DEVICE!$C$4:$C$39)</f>
        <v>0</v>
      </c>
      <c r="D42" s="20">
        <f>SUMPRODUCT((RAW_DEVICE!$B$4:$B$39=$B42)*RAW_DEVICE!$L$4:$L$39)</f>
        <v>0</v>
      </c>
      <c r="E42" s="20">
        <f>SUMPRODUCT((RAW_DEVICE!$B$4:$B$39=$B42)*RAW_DEVICE!$M$4:$M$39)</f>
        <v>0</v>
      </c>
      <c r="F42" s="20">
        <f>SUMPRODUCT((RAW_DEVICE!$B$4:$B$39=$B42)*RAW_DEVICE!$N$4:$N$39)</f>
        <v>0</v>
      </c>
      <c r="G42" s="20">
        <f>SUMPRODUCT((RAW_DEVICE!$B$4:$B$39=$B42)*RAW_DEVICE!$O$4:$O$39)</f>
        <v>0</v>
      </c>
      <c r="H42" s="20">
        <f>SUMPRODUCT((RAW_DEVICE!$B$4:$B$39=$B42)*RAW_DEVICE!$P$4:$P$39)</f>
        <v>0</v>
      </c>
      <c r="I42" s="20">
        <f>SUMPRODUCT((RAW_DEVICE!$B$4:$B$39=$B42)*RAW_DEVICE!$Q$4:$Q$39)</f>
        <v>0</v>
      </c>
      <c r="J42" s="16"/>
    </row>
    <row r="43" spans="1:10" ht="16.05" customHeight="1" x14ac:dyDescent="0.3">
      <c r="A43" s="18">
        <v>20</v>
      </c>
      <c r="B43" s="18" t="s">
        <v>538</v>
      </c>
      <c r="C43" s="9">
        <f>SUMPRODUCT((RAW_DEVICE!$B$4:$B$39=$B43)*RAW_DEVICE!$C$4:$C$39)</f>
        <v>0</v>
      </c>
      <c r="D43" s="21">
        <f>SUMPRODUCT((RAW_DEVICE!$B$4:$B$39=$B43)*RAW_DEVICE!$L$4:$L$39)</f>
        <v>0</v>
      </c>
      <c r="E43" s="21">
        <f>SUMPRODUCT((RAW_DEVICE!$B$4:$B$39=$B43)*RAW_DEVICE!$M$4:$M$39)</f>
        <v>0</v>
      </c>
      <c r="F43" s="21">
        <f>SUMPRODUCT((RAW_DEVICE!$B$4:$B$39=$B43)*RAW_DEVICE!$N$4:$N$39)</f>
        <v>0</v>
      </c>
      <c r="G43" s="21">
        <f>SUMPRODUCT((RAW_DEVICE!$B$4:$B$39=$B43)*RAW_DEVICE!$O$4:$O$39)</f>
        <v>0</v>
      </c>
      <c r="H43" s="21">
        <f>SUMPRODUCT((RAW_DEVICE!$B$4:$B$39=$B43)*RAW_DEVICE!$P$4:$P$39)</f>
        <v>0</v>
      </c>
      <c r="I43" s="21">
        <f>SUMPRODUCT((RAW_DEVICE!$B$4:$B$39=$B43)*RAW_DEVICE!$Q$4:$Q$39)</f>
        <v>0</v>
      </c>
      <c r="J43" s="18"/>
    </row>
    <row r="44" spans="1:10" ht="16.05" customHeight="1" x14ac:dyDescent="0.3">
      <c r="A44" s="16">
        <v>21</v>
      </c>
      <c r="B44" s="16" t="s">
        <v>539</v>
      </c>
      <c r="C44" s="12">
        <f>SUMPRODUCT((RAW_DEVICE!$B$4:$B$39=$B44)*RAW_DEVICE!$C$4:$C$39)</f>
        <v>0</v>
      </c>
      <c r="D44" s="20">
        <f>SUMPRODUCT((RAW_DEVICE!$B$4:$B$39=$B44)*RAW_DEVICE!$L$4:$L$39)</f>
        <v>0</v>
      </c>
      <c r="E44" s="20">
        <f>SUMPRODUCT((RAW_DEVICE!$B$4:$B$39=$B44)*RAW_DEVICE!$M$4:$M$39)</f>
        <v>0</v>
      </c>
      <c r="F44" s="20">
        <f>SUMPRODUCT((RAW_DEVICE!$B$4:$B$39=$B44)*RAW_DEVICE!$N$4:$N$39)</f>
        <v>0</v>
      </c>
      <c r="G44" s="20">
        <f>SUMPRODUCT((RAW_DEVICE!$B$4:$B$39=$B44)*RAW_DEVICE!$O$4:$O$39)</f>
        <v>0</v>
      </c>
      <c r="H44" s="20">
        <f>SUMPRODUCT((RAW_DEVICE!$B$4:$B$39=$B44)*RAW_DEVICE!$P$4:$P$39)</f>
        <v>0</v>
      </c>
      <c r="I44" s="20">
        <f>SUMPRODUCT((RAW_DEVICE!$B$4:$B$39=$B44)*RAW_DEVICE!$Q$4:$Q$39)</f>
        <v>0</v>
      </c>
      <c r="J44" s="16"/>
    </row>
    <row r="45" spans="1:10" ht="16.05" customHeight="1" x14ac:dyDescent="0.3">
      <c r="A45" s="18">
        <v>22</v>
      </c>
      <c r="B45" s="18" t="s">
        <v>540</v>
      </c>
      <c r="C45" s="9">
        <f>SUMPRODUCT((RAW_DEVICE!$B$4:$B$39=$B45)*RAW_DEVICE!$C$4:$C$39)</f>
        <v>0</v>
      </c>
      <c r="D45" s="21">
        <f>SUMPRODUCT((RAW_DEVICE!$B$4:$B$39=$B45)*RAW_DEVICE!$L$4:$L$39)</f>
        <v>0</v>
      </c>
      <c r="E45" s="21">
        <f>SUMPRODUCT((RAW_DEVICE!$B$4:$B$39=$B45)*RAW_DEVICE!$M$4:$M$39)</f>
        <v>0</v>
      </c>
      <c r="F45" s="21">
        <f>SUMPRODUCT((RAW_DEVICE!$B$4:$B$39=$B45)*RAW_DEVICE!$N$4:$N$39)</f>
        <v>0</v>
      </c>
      <c r="G45" s="21">
        <f>SUMPRODUCT((RAW_DEVICE!$B$4:$B$39=$B45)*RAW_DEVICE!$O$4:$O$39)</f>
        <v>0</v>
      </c>
      <c r="H45" s="21">
        <f>SUMPRODUCT((RAW_DEVICE!$B$4:$B$39=$B45)*RAW_DEVICE!$P$4:$P$39)</f>
        <v>0</v>
      </c>
      <c r="I45" s="21">
        <f>SUMPRODUCT((RAW_DEVICE!$B$4:$B$39=$B45)*RAW_DEVICE!$Q$4:$Q$39)</f>
        <v>0</v>
      </c>
      <c r="J45" s="18"/>
    </row>
    <row r="46" spans="1:10" ht="16.05" customHeight="1" x14ac:dyDescent="0.3">
      <c r="A46" s="16">
        <v>23</v>
      </c>
      <c r="B46" s="16" t="s">
        <v>541</v>
      </c>
      <c r="C46" s="12">
        <f>SUMPRODUCT((RAW_DEVICE!$B$4:$B$39=$B46)*RAW_DEVICE!$C$4:$C$39)</f>
        <v>0</v>
      </c>
      <c r="D46" s="20">
        <f>SUMPRODUCT((RAW_DEVICE!$B$4:$B$39=$B46)*RAW_DEVICE!$L$4:$L$39)</f>
        <v>0</v>
      </c>
      <c r="E46" s="20">
        <f>SUMPRODUCT((RAW_DEVICE!$B$4:$B$39=$B46)*RAW_DEVICE!$M$4:$M$39)</f>
        <v>0</v>
      </c>
      <c r="F46" s="20">
        <f>SUMPRODUCT((RAW_DEVICE!$B$4:$B$39=$B46)*RAW_DEVICE!$N$4:$N$39)</f>
        <v>0</v>
      </c>
      <c r="G46" s="20">
        <f>SUMPRODUCT((RAW_DEVICE!$B$4:$B$39=$B46)*RAW_DEVICE!$O$4:$O$39)</f>
        <v>0</v>
      </c>
      <c r="H46" s="20">
        <f>SUMPRODUCT((RAW_DEVICE!$B$4:$B$39=$B46)*RAW_DEVICE!$P$4:$P$39)</f>
        <v>0</v>
      </c>
      <c r="I46" s="20">
        <f>SUMPRODUCT((RAW_DEVICE!$B$4:$B$39=$B46)*RAW_DEVICE!$Q$4:$Q$39)</f>
        <v>0</v>
      </c>
      <c r="J46" s="16"/>
    </row>
    <row r="47" spans="1:10" ht="16.05" customHeight="1" x14ac:dyDescent="0.3">
      <c r="A47" s="18">
        <v>24</v>
      </c>
      <c r="B47" s="18" t="s">
        <v>542</v>
      </c>
      <c r="C47" s="9">
        <f>SUMPRODUCT((RAW_DEVICE!$B$4:$B$39=$B47)*RAW_DEVICE!$C$4:$C$39)</f>
        <v>0</v>
      </c>
      <c r="D47" s="21">
        <f>SUMPRODUCT((RAW_DEVICE!$B$4:$B$39=$B47)*RAW_DEVICE!$L$4:$L$39)</f>
        <v>0</v>
      </c>
      <c r="E47" s="21">
        <f>SUMPRODUCT((RAW_DEVICE!$B$4:$B$39=$B47)*RAW_DEVICE!$M$4:$M$39)</f>
        <v>0</v>
      </c>
      <c r="F47" s="21">
        <f>SUMPRODUCT((RAW_DEVICE!$B$4:$B$39=$B47)*RAW_DEVICE!$N$4:$N$39)</f>
        <v>0</v>
      </c>
      <c r="G47" s="21">
        <f>SUMPRODUCT((RAW_DEVICE!$B$4:$B$39=$B47)*RAW_DEVICE!$O$4:$O$39)</f>
        <v>0</v>
      </c>
      <c r="H47" s="21">
        <f>SUMPRODUCT((RAW_DEVICE!$B$4:$B$39=$B47)*RAW_DEVICE!$P$4:$P$39)</f>
        <v>0</v>
      </c>
      <c r="I47" s="21">
        <f>SUMPRODUCT((RAW_DEVICE!$B$4:$B$39=$B47)*RAW_DEVICE!$Q$4:$Q$39)</f>
        <v>0</v>
      </c>
      <c r="J47" s="18"/>
    </row>
    <row r="48" spans="1:10" ht="16.05" customHeight="1" x14ac:dyDescent="0.3">
      <c r="A48" s="16">
        <v>25</v>
      </c>
      <c r="B48" s="16" t="s">
        <v>543</v>
      </c>
      <c r="C48" s="12">
        <f>SUMPRODUCT((RAW_DEVICE!$B$4:$B$39=$B48)*RAW_DEVICE!$C$4:$C$39)</f>
        <v>0</v>
      </c>
      <c r="D48" s="20">
        <f>SUMPRODUCT((RAW_DEVICE!$B$4:$B$39=$B48)*RAW_DEVICE!$L$4:$L$39)</f>
        <v>0</v>
      </c>
      <c r="E48" s="20">
        <f>SUMPRODUCT((RAW_DEVICE!$B$4:$B$39=$B48)*RAW_DEVICE!$M$4:$M$39)</f>
        <v>0</v>
      </c>
      <c r="F48" s="20">
        <f>SUMPRODUCT((RAW_DEVICE!$B$4:$B$39=$B48)*RAW_DEVICE!$N$4:$N$39)</f>
        <v>0</v>
      </c>
      <c r="G48" s="20">
        <f>SUMPRODUCT((RAW_DEVICE!$B$4:$B$39=$B48)*RAW_DEVICE!$O$4:$O$39)</f>
        <v>0</v>
      </c>
      <c r="H48" s="20">
        <f>SUMPRODUCT((RAW_DEVICE!$B$4:$B$39=$B48)*RAW_DEVICE!$P$4:$P$39)</f>
        <v>0</v>
      </c>
      <c r="I48" s="20">
        <f>SUMPRODUCT((RAW_DEVICE!$B$4:$B$39=$B48)*RAW_DEVICE!$Q$4:$Q$39)</f>
        <v>0</v>
      </c>
      <c r="J48" s="16"/>
    </row>
    <row r="49" spans="1:10" ht="16.05" customHeight="1" x14ac:dyDescent="0.3">
      <c r="A49" s="18">
        <v>26</v>
      </c>
      <c r="B49" s="18" t="s">
        <v>544</v>
      </c>
      <c r="C49" s="9">
        <f>SUMPRODUCT((RAW_DEVICE!$B$4:$B$39=$B49)*RAW_DEVICE!$C$4:$C$39)</f>
        <v>0</v>
      </c>
      <c r="D49" s="21">
        <f>SUMPRODUCT((RAW_DEVICE!$B$4:$B$39=$B49)*RAW_DEVICE!$L$4:$L$39)</f>
        <v>0</v>
      </c>
      <c r="E49" s="21">
        <f>SUMPRODUCT((RAW_DEVICE!$B$4:$B$39=$B49)*RAW_DEVICE!$M$4:$M$39)</f>
        <v>0</v>
      </c>
      <c r="F49" s="21">
        <f>SUMPRODUCT((RAW_DEVICE!$B$4:$B$39=$B49)*RAW_DEVICE!$N$4:$N$39)</f>
        <v>0</v>
      </c>
      <c r="G49" s="21">
        <f>SUMPRODUCT((RAW_DEVICE!$B$4:$B$39=$B49)*RAW_DEVICE!$O$4:$O$39)</f>
        <v>0</v>
      </c>
      <c r="H49" s="21">
        <f>SUMPRODUCT((RAW_DEVICE!$B$4:$B$39=$B49)*RAW_DEVICE!$P$4:$P$39)</f>
        <v>0</v>
      </c>
      <c r="I49" s="21">
        <f>SUMPRODUCT((RAW_DEVICE!$B$4:$B$39=$B49)*RAW_DEVICE!$Q$4:$Q$39)</f>
        <v>0</v>
      </c>
      <c r="J49" s="18"/>
    </row>
    <row r="50" spans="1:10" ht="16.05" customHeight="1" x14ac:dyDescent="0.3">
      <c r="A50" s="16">
        <v>27</v>
      </c>
      <c r="B50" s="16" t="s">
        <v>545</v>
      </c>
      <c r="C50" s="12">
        <f>SUMPRODUCT((RAW_DEVICE!$B$4:$B$39=$B50)*RAW_DEVICE!$C$4:$C$39)</f>
        <v>0</v>
      </c>
      <c r="D50" s="20">
        <f>SUMPRODUCT((RAW_DEVICE!$B$4:$B$39=$B50)*RAW_DEVICE!$L$4:$L$39)</f>
        <v>0</v>
      </c>
      <c r="E50" s="20">
        <f>SUMPRODUCT((RAW_DEVICE!$B$4:$B$39=$B50)*RAW_DEVICE!$M$4:$M$39)</f>
        <v>0</v>
      </c>
      <c r="F50" s="20">
        <f>SUMPRODUCT((RAW_DEVICE!$B$4:$B$39=$B50)*RAW_DEVICE!$N$4:$N$39)</f>
        <v>0</v>
      </c>
      <c r="G50" s="20">
        <f>SUMPRODUCT((RAW_DEVICE!$B$4:$B$39=$B50)*RAW_DEVICE!$O$4:$O$39)</f>
        <v>0</v>
      </c>
      <c r="H50" s="20">
        <f>SUMPRODUCT((RAW_DEVICE!$B$4:$B$39=$B50)*RAW_DEVICE!$P$4:$P$39)</f>
        <v>0</v>
      </c>
      <c r="I50" s="20">
        <f>SUMPRODUCT((RAW_DEVICE!$B$4:$B$39=$B50)*RAW_DEVICE!$Q$4:$Q$39)</f>
        <v>0</v>
      </c>
      <c r="J50" s="16"/>
    </row>
    <row r="51" spans="1:10" ht="16.05" customHeight="1" x14ac:dyDescent="0.3">
      <c r="A51" s="18">
        <v>28</v>
      </c>
      <c r="B51" s="18" t="s">
        <v>546</v>
      </c>
      <c r="C51" s="9">
        <f>SUMPRODUCT((RAW_DEVICE!$B$4:$B$39=$B51)*RAW_DEVICE!$C$4:$C$39)</f>
        <v>0</v>
      </c>
      <c r="D51" s="21">
        <f>SUMPRODUCT((RAW_DEVICE!$B$4:$B$39=$B51)*RAW_DEVICE!$L$4:$L$39)</f>
        <v>0</v>
      </c>
      <c r="E51" s="21">
        <f>SUMPRODUCT((RAW_DEVICE!$B$4:$B$39=$B51)*RAW_DEVICE!$M$4:$M$39)</f>
        <v>0</v>
      </c>
      <c r="F51" s="21">
        <f>SUMPRODUCT((RAW_DEVICE!$B$4:$B$39=$B51)*RAW_DEVICE!$N$4:$N$39)</f>
        <v>0</v>
      </c>
      <c r="G51" s="21">
        <f>SUMPRODUCT((RAW_DEVICE!$B$4:$B$39=$B51)*RAW_DEVICE!$O$4:$O$39)</f>
        <v>0</v>
      </c>
      <c r="H51" s="21">
        <f>SUMPRODUCT((RAW_DEVICE!$B$4:$B$39=$B51)*RAW_DEVICE!$P$4:$P$39)</f>
        <v>0</v>
      </c>
      <c r="I51" s="21">
        <f>SUMPRODUCT((RAW_DEVICE!$B$4:$B$39=$B51)*RAW_DEVICE!$Q$4:$Q$39)</f>
        <v>0</v>
      </c>
      <c r="J51" s="18"/>
    </row>
    <row r="52" spans="1:10" ht="16.05" customHeight="1" x14ac:dyDescent="0.3">
      <c r="A52" s="16">
        <v>29</v>
      </c>
      <c r="B52" s="16" t="s">
        <v>547</v>
      </c>
      <c r="C52" s="12">
        <f>SUMPRODUCT((RAW_DEVICE!$B$4:$B$39=$B52)*RAW_DEVICE!$C$4:$C$39)</f>
        <v>0</v>
      </c>
      <c r="D52" s="20">
        <f>SUMPRODUCT((RAW_DEVICE!$B$4:$B$39=$B52)*RAW_DEVICE!$L$4:$L$39)</f>
        <v>0</v>
      </c>
      <c r="E52" s="20">
        <f>SUMPRODUCT((RAW_DEVICE!$B$4:$B$39=$B52)*RAW_DEVICE!$M$4:$M$39)</f>
        <v>0</v>
      </c>
      <c r="F52" s="20">
        <f>SUMPRODUCT((RAW_DEVICE!$B$4:$B$39=$B52)*RAW_DEVICE!$N$4:$N$39)</f>
        <v>0</v>
      </c>
      <c r="G52" s="20">
        <f>SUMPRODUCT((RAW_DEVICE!$B$4:$B$39=$B52)*RAW_DEVICE!$O$4:$O$39)</f>
        <v>0</v>
      </c>
      <c r="H52" s="20">
        <f>SUMPRODUCT((RAW_DEVICE!$B$4:$B$39=$B52)*RAW_DEVICE!$P$4:$P$39)</f>
        <v>0</v>
      </c>
      <c r="I52" s="20">
        <f>SUMPRODUCT((RAW_DEVICE!$B$4:$B$39=$B52)*RAW_DEVICE!$Q$4:$Q$39)</f>
        <v>0</v>
      </c>
      <c r="J52" s="16"/>
    </row>
    <row r="53" spans="1:10" ht="16.05" customHeight="1" x14ac:dyDescent="0.3">
      <c r="A53" s="18">
        <v>30</v>
      </c>
      <c r="B53" s="18" t="s">
        <v>548</v>
      </c>
      <c r="C53" s="9">
        <f>SUMPRODUCT((RAW_DEVICE!$B$4:$B$39=$B53)*RAW_DEVICE!$C$4:$C$39)</f>
        <v>0</v>
      </c>
      <c r="D53" s="21">
        <f>SUMPRODUCT((RAW_DEVICE!$B$4:$B$39=$B53)*RAW_DEVICE!$L$4:$L$39)</f>
        <v>0</v>
      </c>
      <c r="E53" s="21">
        <f>SUMPRODUCT((RAW_DEVICE!$B$4:$B$39=$B53)*RAW_DEVICE!$M$4:$M$39)</f>
        <v>0</v>
      </c>
      <c r="F53" s="21">
        <f>SUMPRODUCT((RAW_DEVICE!$B$4:$B$39=$B53)*RAW_DEVICE!$N$4:$N$39)</f>
        <v>0</v>
      </c>
      <c r="G53" s="21">
        <f>SUMPRODUCT((RAW_DEVICE!$B$4:$B$39=$B53)*RAW_DEVICE!$O$4:$O$39)</f>
        <v>0</v>
      </c>
      <c r="H53" s="21">
        <f>SUMPRODUCT((RAW_DEVICE!$B$4:$B$39=$B53)*RAW_DEVICE!$P$4:$P$39)</f>
        <v>0</v>
      </c>
      <c r="I53" s="21">
        <f>SUMPRODUCT((RAW_DEVICE!$B$4:$B$39=$B53)*RAW_DEVICE!$Q$4:$Q$39)</f>
        <v>0</v>
      </c>
      <c r="J53" s="18"/>
    </row>
    <row r="54" spans="1:10" ht="16.05" customHeight="1" x14ac:dyDescent="0.3">
      <c r="A54" s="16">
        <v>31</v>
      </c>
      <c r="B54" s="16" t="s">
        <v>549</v>
      </c>
      <c r="C54" s="12">
        <f>SUMPRODUCT((RAW_DEVICE!$B$4:$B$39=$B54)*RAW_DEVICE!$C$4:$C$39)</f>
        <v>0</v>
      </c>
      <c r="D54" s="20">
        <f>SUMPRODUCT((RAW_DEVICE!$B$4:$B$39=$B54)*RAW_DEVICE!$L$4:$L$39)</f>
        <v>0</v>
      </c>
      <c r="E54" s="20">
        <f>SUMPRODUCT((RAW_DEVICE!$B$4:$B$39=$B54)*RAW_DEVICE!$M$4:$M$39)</f>
        <v>0</v>
      </c>
      <c r="F54" s="20">
        <f>SUMPRODUCT((RAW_DEVICE!$B$4:$B$39=$B54)*RAW_DEVICE!$N$4:$N$39)</f>
        <v>0</v>
      </c>
      <c r="G54" s="20">
        <f>SUMPRODUCT((RAW_DEVICE!$B$4:$B$39=$B54)*RAW_DEVICE!$O$4:$O$39)</f>
        <v>0</v>
      </c>
      <c r="H54" s="20">
        <f>SUMPRODUCT((RAW_DEVICE!$B$4:$B$39=$B54)*RAW_DEVICE!$P$4:$P$39)</f>
        <v>0</v>
      </c>
      <c r="I54" s="20">
        <f>SUMPRODUCT((RAW_DEVICE!$B$4:$B$39=$B54)*RAW_DEVICE!$Q$4:$Q$39)</f>
        <v>0</v>
      </c>
      <c r="J54" s="16"/>
    </row>
    <row r="55" spans="1:10" ht="16.05" customHeight="1" x14ac:dyDescent="0.3">
      <c r="A55" s="18">
        <v>32</v>
      </c>
      <c r="B55" s="18" t="s">
        <v>550</v>
      </c>
      <c r="C55" s="9">
        <f>SUMPRODUCT((RAW_DEVICE!$B$4:$B$39=$B55)*RAW_DEVICE!$C$4:$C$39)</f>
        <v>0</v>
      </c>
      <c r="D55" s="21">
        <f>SUMPRODUCT((RAW_DEVICE!$B$4:$B$39=$B55)*RAW_DEVICE!$L$4:$L$39)</f>
        <v>0</v>
      </c>
      <c r="E55" s="21">
        <f>SUMPRODUCT((RAW_DEVICE!$B$4:$B$39=$B55)*RAW_DEVICE!$M$4:$M$39)</f>
        <v>0</v>
      </c>
      <c r="F55" s="21">
        <f>SUMPRODUCT((RAW_DEVICE!$B$4:$B$39=$B55)*RAW_DEVICE!$N$4:$N$39)</f>
        <v>0</v>
      </c>
      <c r="G55" s="21">
        <f>SUMPRODUCT((RAW_DEVICE!$B$4:$B$39=$B55)*RAW_DEVICE!$O$4:$O$39)</f>
        <v>0</v>
      </c>
      <c r="H55" s="21">
        <f>SUMPRODUCT((RAW_DEVICE!$B$4:$B$39=$B55)*RAW_DEVICE!$P$4:$P$39)</f>
        <v>0</v>
      </c>
      <c r="I55" s="21">
        <f>SUMPRODUCT((RAW_DEVICE!$B$4:$B$39=$B55)*RAW_DEVICE!$Q$4:$Q$39)</f>
        <v>0</v>
      </c>
      <c r="J55" s="18"/>
    </row>
    <row r="56" spans="1:10" ht="16.05" customHeight="1" x14ac:dyDescent="0.3">
      <c r="A56" s="16">
        <v>33</v>
      </c>
      <c r="B56" s="16" t="s">
        <v>551</v>
      </c>
      <c r="C56" s="12">
        <f>SUMPRODUCT((RAW_DEVICE!$B$4:$B$39=$B56)*RAW_DEVICE!$C$4:$C$39)</f>
        <v>0</v>
      </c>
      <c r="D56" s="20">
        <f>SUMPRODUCT((RAW_DEVICE!$B$4:$B$39=$B56)*RAW_DEVICE!$L$4:$L$39)</f>
        <v>0</v>
      </c>
      <c r="E56" s="20">
        <f>SUMPRODUCT((RAW_DEVICE!$B$4:$B$39=$B56)*RAW_DEVICE!$M$4:$M$39)</f>
        <v>0</v>
      </c>
      <c r="F56" s="20">
        <f>SUMPRODUCT((RAW_DEVICE!$B$4:$B$39=$B56)*RAW_DEVICE!$N$4:$N$39)</f>
        <v>0</v>
      </c>
      <c r="G56" s="20">
        <f>SUMPRODUCT((RAW_DEVICE!$B$4:$B$39=$B56)*RAW_DEVICE!$O$4:$O$39)</f>
        <v>0</v>
      </c>
      <c r="H56" s="20">
        <f>SUMPRODUCT((RAW_DEVICE!$B$4:$B$39=$B56)*RAW_DEVICE!$P$4:$P$39)</f>
        <v>0</v>
      </c>
      <c r="I56" s="20">
        <f>SUMPRODUCT((RAW_DEVICE!$B$4:$B$39=$B56)*RAW_DEVICE!$Q$4:$Q$39)</f>
        <v>0</v>
      </c>
      <c r="J56" s="16"/>
    </row>
    <row r="57" spans="1:10" ht="16.05" customHeight="1" x14ac:dyDescent="0.3">
      <c r="A57" s="18">
        <v>34</v>
      </c>
      <c r="B57" s="18" t="s">
        <v>552</v>
      </c>
      <c r="C57" s="9">
        <f>SUMPRODUCT((RAW_DEVICE!$B$4:$B$39=$B57)*RAW_DEVICE!$C$4:$C$39)</f>
        <v>0</v>
      </c>
      <c r="D57" s="21">
        <f>SUMPRODUCT((RAW_DEVICE!$B$4:$B$39=$B57)*RAW_DEVICE!$L$4:$L$39)</f>
        <v>0</v>
      </c>
      <c r="E57" s="21">
        <f>SUMPRODUCT((RAW_DEVICE!$B$4:$B$39=$B57)*RAW_DEVICE!$M$4:$M$39)</f>
        <v>0</v>
      </c>
      <c r="F57" s="21">
        <f>SUMPRODUCT((RAW_DEVICE!$B$4:$B$39=$B57)*RAW_DEVICE!$N$4:$N$39)</f>
        <v>0</v>
      </c>
      <c r="G57" s="21">
        <f>SUMPRODUCT((RAW_DEVICE!$B$4:$B$39=$B57)*RAW_DEVICE!$O$4:$O$39)</f>
        <v>0</v>
      </c>
      <c r="H57" s="21">
        <f>SUMPRODUCT((RAW_DEVICE!$B$4:$B$39=$B57)*RAW_DEVICE!$P$4:$P$39)</f>
        <v>0</v>
      </c>
      <c r="I57" s="21">
        <f>SUMPRODUCT((RAW_DEVICE!$B$4:$B$39=$B57)*RAW_DEVICE!$Q$4:$Q$39)</f>
        <v>0</v>
      </c>
      <c r="J57" s="18"/>
    </row>
    <row r="58" spans="1:10" ht="16.05" customHeight="1" x14ac:dyDescent="0.3">
      <c r="A58" s="16">
        <v>35</v>
      </c>
      <c r="B58" s="16" t="s">
        <v>553</v>
      </c>
      <c r="C58" s="12">
        <f>SUMPRODUCT((RAW_DEVICE!$B$4:$B$39=$B58)*RAW_DEVICE!$C$4:$C$39)</f>
        <v>0</v>
      </c>
      <c r="D58" s="20">
        <f>SUMPRODUCT((RAW_DEVICE!$B$4:$B$39=$B58)*RAW_DEVICE!$L$4:$L$39)</f>
        <v>0</v>
      </c>
      <c r="E58" s="20">
        <f>SUMPRODUCT((RAW_DEVICE!$B$4:$B$39=$B58)*RAW_DEVICE!$M$4:$M$39)</f>
        <v>0</v>
      </c>
      <c r="F58" s="20">
        <f>SUMPRODUCT((RAW_DEVICE!$B$4:$B$39=$B58)*RAW_DEVICE!$N$4:$N$39)</f>
        <v>0</v>
      </c>
      <c r="G58" s="20">
        <f>SUMPRODUCT((RAW_DEVICE!$B$4:$B$39=$B58)*RAW_DEVICE!$O$4:$O$39)</f>
        <v>0</v>
      </c>
      <c r="H58" s="20">
        <f>SUMPRODUCT((RAW_DEVICE!$B$4:$B$39=$B58)*RAW_DEVICE!$P$4:$P$39)</f>
        <v>0</v>
      </c>
      <c r="I58" s="20">
        <f>SUMPRODUCT((RAW_DEVICE!$B$4:$B$39=$B58)*RAW_DEVICE!$Q$4:$Q$39)</f>
        <v>0</v>
      </c>
      <c r="J58" s="16"/>
    </row>
    <row r="59" spans="1:10" ht="16.05" customHeight="1" x14ac:dyDescent="0.3">
      <c r="A59" s="18">
        <v>36</v>
      </c>
      <c r="B59" s="18" t="s">
        <v>554</v>
      </c>
      <c r="C59" s="9">
        <f>SUMPRODUCT((RAW_DEVICE!$B$4:$B$39=$B59)*RAW_DEVICE!$C$4:$C$39)</f>
        <v>0</v>
      </c>
      <c r="D59" s="21">
        <f>SUMPRODUCT((RAW_DEVICE!$B$4:$B$39=$B59)*RAW_DEVICE!$L$4:$L$39)</f>
        <v>0</v>
      </c>
      <c r="E59" s="21">
        <f>SUMPRODUCT((RAW_DEVICE!$B$4:$B$39=$B59)*RAW_DEVICE!$M$4:$M$39)</f>
        <v>0</v>
      </c>
      <c r="F59" s="21">
        <f>SUMPRODUCT((RAW_DEVICE!$B$4:$B$39=$B59)*RAW_DEVICE!$N$4:$N$39)</f>
        <v>0</v>
      </c>
      <c r="G59" s="21">
        <f>SUMPRODUCT((RAW_DEVICE!$B$4:$B$39=$B59)*RAW_DEVICE!$O$4:$O$39)</f>
        <v>0</v>
      </c>
      <c r="H59" s="21">
        <f>SUMPRODUCT((RAW_DEVICE!$B$4:$B$39=$B59)*RAW_DEVICE!$P$4:$P$39)</f>
        <v>0</v>
      </c>
      <c r="I59" s="21">
        <f>SUMPRODUCT((RAW_DEVICE!$B$4:$B$39=$B59)*RAW_DEVICE!$Q$4:$Q$39)</f>
        <v>0</v>
      </c>
      <c r="J59" s="18"/>
    </row>
  </sheetData>
  <mergeCells count="5">
    <mergeCell ref="A1:J1"/>
    <mergeCell ref="A22:J22"/>
    <mergeCell ref="A3:J3"/>
    <mergeCell ref="A4:J4"/>
    <mergeCell ref="A2:J2"/>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63"/>
  <sheetViews>
    <sheetView showGridLines="0" workbookViewId="0">
      <selection activeCell="F16" sqref="F16"/>
    </sheetView>
  </sheetViews>
  <sheetFormatPr defaultRowHeight="14.4" x14ac:dyDescent="0.3"/>
  <cols>
    <col min="1" max="1" width="4" customWidth="1"/>
    <col min="2" max="2" width="32" customWidth="1"/>
    <col min="3" max="3" width="18" customWidth="1"/>
    <col min="4" max="9" width="14" customWidth="1"/>
    <col min="10" max="10" width="22" customWidth="1"/>
  </cols>
  <sheetData>
    <row r="1" spans="1:10" ht="28.05" customHeight="1" x14ac:dyDescent="0.3">
      <c r="A1" s="32" t="s">
        <v>651</v>
      </c>
      <c r="B1" s="33"/>
      <c r="C1" s="33"/>
      <c r="D1" s="33"/>
      <c r="E1" s="33"/>
      <c r="F1" s="33"/>
      <c r="G1" s="33"/>
      <c r="H1" s="33"/>
      <c r="I1" s="33"/>
      <c r="J1" s="33"/>
    </row>
    <row r="2" spans="1:10" ht="18" customHeight="1" x14ac:dyDescent="0.3">
      <c r="A2" s="38" t="str">
        <f>IF(SelectedScope="All India","NATIONAL VIEW — ALL INDIA","STATE VIEW — "&amp;SelectedScope)</f>
        <v>NATIONAL VIEW — ALL INDIA</v>
      </c>
      <c r="B2" s="33"/>
      <c r="C2" s="33"/>
      <c r="D2" s="33"/>
      <c r="E2" s="33"/>
      <c r="F2" s="33"/>
      <c r="G2" s="33"/>
      <c r="H2" s="33"/>
      <c r="I2" s="33"/>
      <c r="J2" s="33"/>
    </row>
    <row r="3" spans="1:10" ht="16.05" customHeight="1" x14ac:dyDescent="0.3">
      <c r="A3" s="39" t="s">
        <v>652</v>
      </c>
      <c r="B3" s="33"/>
      <c r="C3" s="33"/>
      <c r="D3" s="33"/>
      <c r="E3" s="33"/>
      <c r="F3" s="33"/>
      <c r="G3" s="33"/>
      <c r="H3" s="33"/>
      <c r="I3" s="33"/>
      <c r="J3" s="33"/>
    </row>
    <row r="4" spans="1:10" ht="19.95" customHeight="1" x14ac:dyDescent="0.3">
      <c r="A4" s="37" t="s">
        <v>653</v>
      </c>
      <c r="B4" s="33"/>
      <c r="C4" s="33"/>
      <c r="D4" s="33"/>
      <c r="E4" s="33"/>
      <c r="F4" s="33"/>
      <c r="G4" s="33"/>
      <c r="H4" s="33"/>
      <c r="I4" s="33"/>
      <c r="J4" s="33"/>
    </row>
    <row r="5" spans="1:10" ht="31.95" customHeight="1" x14ac:dyDescent="0.3">
      <c r="A5" s="15" t="s">
        <v>78</v>
      </c>
      <c r="B5" s="15" t="s">
        <v>192</v>
      </c>
      <c r="C5" s="15" t="s">
        <v>654</v>
      </c>
      <c r="D5" s="15" t="s">
        <v>655</v>
      </c>
      <c r="E5" s="15" t="s">
        <v>656</v>
      </c>
      <c r="F5" s="15" t="s">
        <v>657</v>
      </c>
      <c r="G5" s="15" t="s">
        <v>658</v>
      </c>
      <c r="H5" s="15" t="s">
        <v>659</v>
      </c>
      <c r="I5" s="15" t="s">
        <v>660</v>
      </c>
      <c r="J5" s="15" t="s">
        <v>86</v>
      </c>
    </row>
    <row r="6" spans="1:10" ht="16.05" customHeight="1" x14ac:dyDescent="0.3">
      <c r="A6" s="16">
        <v>1</v>
      </c>
      <c r="B6" s="16" t="s">
        <v>519</v>
      </c>
      <c r="C6" s="12">
        <f>IFERROR(INDEX(RAW_LANGUAGE!$C$4:$C$39,MATCH($B6,RAW_LANGUAGE!$B$4:$B$39,0)),"")</f>
        <v>0</v>
      </c>
      <c r="D6" s="12">
        <f>SUMPRODUCT((RAW_LANGUAGE!$B$4:$B$39=$B6)*RAW_LANGUAGE!$D$4:$D$39)</f>
        <v>0</v>
      </c>
      <c r="E6" s="12">
        <f>SUMPRODUCT((RAW_LANGUAGE!$B$4:$B$39=$B6)*RAW_LANGUAGE!$E$4:$E$39)</f>
        <v>0</v>
      </c>
      <c r="F6" s="12">
        <f>SUMPRODUCT((RAW_LANGUAGE!$B$4:$B$39=$B6)*RAW_LANGUAGE!$F$4:$F$39)</f>
        <v>0</v>
      </c>
      <c r="G6" s="12">
        <f>SUMPRODUCT((RAW_LANGUAGE!$B$4:$B$39=$B6)*RAW_LANGUAGE!$G$4:$G$39)</f>
        <v>0</v>
      </c>
      <c r="H6" s="12">
        <f>SUMPRODUCT((RAW_LANGUAGE!$B$4:$B$39=$B6)*RAW_LANGUAGE!$H$4:$H$39)</f>
        <v>0</v>
      </c>
      <c r="I6" s="12">
        <f>SUMPRODUCT((RAW_LANGUAGE!$B$4:$B$39=$B6)*RAW_LANGUAGE!$I$4:$I$39)</f>
        <v>0</v>
      </c>
      <c r="J6" s="16"/>
    </row>
    <row r="7" spans="1:10" ht="16.05" customHeight="1" x14ac:dyDescent="0.3">
      <c r="A7" s="18">
        <v>2</v>
      </c>
      <c r="B7" s="18" t="s">
        <v>520</v>
      </c>
      <c r="C7" s="9">
        <f>IFERROR(INDEX(RAW_LANGUAGE!$C$4:$C$39,MATCH($B7,RAW_LANGUAGE!$B$4:$B$39,0)),"")</f>
        <v>0</v>
      </c>
      <c r="D7" s="9">
        <f>SUMPRODUCT((RAW_LANGUAGE!$B$4:$B$39=$B7)*RAW_LANGUAGE!$D$4:$D$39)</f>
        <v>0</v>
      </c>
      <c r="E7" s="9">
        <f>SUMPRODUCT((RAW_LANGUAGE!$B$4:$B$39=$B7)*RAW_LANGUAGE!$E$4:$E$39)</f>
        <v>0</v>
      </c>
      <c r="F7" s="9">
        <f>SUMPRODUCT((RAW_LANGUAGE!$B$4:$B$39=$B7)*RAW_LANGUAGE!$F$4:$F$39)</f>
        <v>0</v>
      </c>
      <c r="G7" s="9">
        <f>SUMPRODUCT((RAW_LANGUAGE!$B$4:$B$39=$B7)*RAW_LANGUAGE!$G$4:$G$39)</f>
        <v>0</v>
      </c>
      <c r="H7" s="9">
        <f>SUMPRODUCT((RAW_LANGUAGE!$B$4:$B$39=$B7)*RAW_LANGUAGE!$H$4:$H$39)</f>
        <v>0</v>
      </c>
      <c r="I7" s="9">
        <f>SUMPRODUCT((RAW_LANGUAGE!$B$4:$B$39=$B7)*RAW_LANGUAGE!$I$4:$I$39)</f>
        <v>0</v>
      </c>
      <c r="J7" s="18"/>
    </row>
    <row r="8" spans="1:10" ht="16.05" customHeight="1" x14ac:dyDescent="0.3">
      <c r="A8" s="16">
        <v>3</v>
      </c>
      <c r="B8" s="16" t="s">
        <v>521</v>
      </c>
      <c r="C8" s="12">
        <f>IFERROR(INDEX(RAW_LANGUAGE!$C$4:$C$39,MATCH($B8,RAW_LANGUAGE!$B$4:$B$39,0)),"")</f>
        <v>0</v>
      </c>
      <c r="D8" s="12">
        <f>SUMPRODUCT((RAW_LANGUAGE!$B$4:$B$39=$B8)*RAW_LANGUAGE!$D$4:$D$39)</f>
        <v>0</v>
      </c>
      <c r="E8" s="12">
        <f>SUMPRODUCT((RAW_LANGUAGE!$B$4:$B$39=$B8)*RAW_LANGUAGE!$E$4:$E$39)</f>
        <v>0</v>
      </c>
      <c r="F8" s="12">
        <f>SUMPRODUCT((RAW_LANGUAGE!$B$4:$B$39=$B8)*RAW_LANGUAGE!$F$4:$F$39)</f>
        <v>0</v>
      </c>
      <c r="G8" s="12">
        <f>SUMPRODUCT((RAW_LANGUAGE!$B$4:$B$39=$B8)*RAW_LANGUAGE!$G$4:$G$39)</f>
        <v>0</v>
      </c>
      <c r="H8" s="12">
        <f>SUMPRODUCT((RAW_LANGUAGE!$B$4:$B$39=$B8)*RAW_LANGUAGE!$H$4:$H$39)</f>
        <v>0</v>
      </c>
      <c r="I8" s="12">
        <f>SUMPRODUCT((RAW_LANGUAGE!$B$4:$B$39=$B8)*RAW_LANGUAGE!$I$4:$I$39)</f>
        <v>0</v>
      </c>
      <c r="J8" s="16"/>
    </row>
    <row r="9" spans="1:10" ht="16.05" customHeight="1" x14ac:dyDescent="0.3">
      <c r="A9" s="18">
        <v>4</v>
      </c>
      <c r="B9" s="18" t="s">
        <v>522</v>
      </c>
      <c r="C9" s="9">
        <f>IFERROR(INDEX(RAW_LANGUAGE!$C$4:$C$39,MATCH($B9,RAW_LANGUAGE!$B$4:$B$39,0)),"")</f>
        <v>0</v>
      </c>
      <c r="D9" s="9">
        <f>SUMPRODUCT((RAW_LANGUAGE!$B$4:$B$39=$B9)*RAW_LANGUAGE!$D$4:$D$39)</f>
        <v>0</v>
      </c>
      <c r="E9" s="9">
        <f>SUMPRODUCT((RAW_LANGUAGE!$B$4:$B$39=$B9)*RAW_LANGUAGE!$E$4:$E$39)</f>
        <v>0</v>
      </c>
      <c r="F9" s="9">
        <f>SUMPRODUCT((RAW_LANGUAGE!$B$4:$B$39=$B9)*RAW_LANGUAGE!$F$4:$F$39)</f>
        <v>0</v>
      </c>
      <c r="G9" s="9">
        <f>SUMPRODUCT((RAW_LANGUAGE!$B$4:$B$39=$B9)*RAW_LANGUAGE!$G$4:$G$39)</f>
        <v>0</v>
      </c>
      <c r="H9" s="9">
        <f>SUMPRODUCT((RAW_LANGUAGE!$B$4:$B$39=$B9)*RAW_LANGUAGE!$H$4:$H$39)</f>
        <v>0</v>
      </c>
      <c r="I9" s="9">
        <f>SUMPRODUCT((RAW_LANGUAGE!$B$4:$B$39=$B9)*RAW_LANGUAGE!$I$4:$I$39)</f>
        <v>0</v>
      </c>
      <c r="J9" s="18"/>
    </row>
    <row r="10" spans="1:10" ht="16.05" customHeight="1" x14ac:dyDescent="0.3">
      <c r="A10" s="16">
        <v>5</v>
      </c>
      <c r="B10" s="16" t="s">
        <v>523</v>
      </c>
      <c r="C10" s="12">
        <f>IFERROR(INDEX(RAW_LANGUAGE!$C$4:$C$39,MATCH($B10,RAW_LANGUAGE!$B$4:$B$39,0)),"")</f>
        <v>0</v>
      </c>
      <c r="D10" s="12">
        <f>SUMPRODUCT((RAW_LANGUAGE!$B$4:$B$39=$B10)*RAW_LANGUAGE!$D$4:$D$39)</f>
        <v>0</v>
      </c>
      <c r="E10" s="12">
        <f>SUMPRODUCT((RAW_LANGUAGE!$B$4:$B$39=$B10)*RAW_LANGUAGE!$E$4:$E$39)</f>
        <v>0</v>
      </c>
      <c r="F10" s="12">
        <f>SUMPRODUCT((RAW_LANGUAGE!$B$4:$B$39=$B10)*RAW_LANGUAGE!$F$4:$F$39)</f>
        <v>0</v>
      </c>
      <c r="G10" s="12">
        <f>SUMPRODUCT((RAW_LANGUAGE!$B$4:$B$39=$B10)*RAW_LANGUAGE!$G$4:$G$39)</f>
        <v>0</v>
      </c>
      <c r="H10" s="12">
        <f>SUMPRODUCT((RAW_LANGUAGE!$B$4:$B$39=$B10)*RAW_LANGUAGE!$H$4:$H$39)</f>
        <v>0</v>
      </c>
      <c r="I10" s="12">
        <f>SUMPRODUCT((RAW_LANGUAGE!$B$4:$B$39=$B10)*RAW_LANGUAGE!$I$4:$I$39)</f>
        <v>0</v>
      </c>
      <c r="J10" s="16"/>
    </row>
    <row r="11" spans="1:10" ht="16.05" customHeight="1" x14ac:dyDescent="0.3">
      <c r="A11" s="18">
        <v>6</v>
      </c>
      <c r="B11" s="18" t="s">
        <v>524</v>
      </c>
      <c r="C11" s="9">
        <f>IFERROR(INDEX(RAW_LANGUAGE!$C$4:$C$39,MATCH($B11,RAW_LANGUAGE!$B$4:$B$39,0)),"")</f>
        <v>0</v>
      </c>
      <c r="D11" s="9">
        <f>SUMPRODUCT((RAW_LANGUAGE!$B$4:$B$39=$B11)*RAW_LANGUAGE!$D$4:$D$39)</f>
        <v>0</v>
      </c>
      <c r="E11" s="9">
        <f>SUMPRODUCT((RAW_LANGUAGE!$B$4:$B$39=$B11)*RAW_LANGUAGE!$E$4:$E$39)</f>
        <v>0</v>
      </c>
      <c r="F11" s="9">
        <f>SUMPRODUCT((RAW_LANGUAGE!$B$4:$B$39=$B11)*RAW_LANGUAGE!$F$4:$F$39)</f>
        <v>0</v>
      </c>
      <c r="G11" s="9">
        <f>SUMPRODUCT((RAW_LANGUAGE!$B$4:$B$39=$B11)*RAW_LANGUAGE!$G$4:$G$39)</f>
        <v>0</v>
      </c>
      <c r="H11" s="9">
        <f>SUMPRODUCT((RAW_LANGUAGE!$B$4:$B$39=$B11)*RAW_LANGUAGE!$H$4:$H$39)</f>
        <v>0</v>
      </c>
      <c r="I11" s="9">
        <f>SUMPRODUCT((RAW_LANGUAGE!$B$4:$B$39=$B11)*RAW_LANGUAGE!$I$4:$I$39)</f>
        <v>0</v>
      </c>
      <c r="J11" s="18"/>
    </row>
    <row r="12" spans="1:10" ht="16.05" customHeight="1" x14ac:dyDescent="0.3">
      <c r="A12" s="16">
        <v>7</v>
      </c>
      <c r="B12" s="16" t="s">
        <v>525</v>
      </c>
      <c r="C12" s="12">
        <f>IFERROR(INDEX(RAW_LANGUAGE!$C$4:$C$39,MATCH($B12,RAW_LANGUAGE!$B$4:$B$39,0)),"")</f>
        <v>0</v>
      </c>
      <c r="D12" s="12">
        <f>SUMPRODUCT((RAW_LANGUAGE!$B$4:$B$39=$B12)*RAW_LANGUAGE!$D$4:$D$39)</f>
        <v>0</v>
      </c>
      <c r="E12" s="12">
        <f>SUMPRODUCT((RAW_LANGUAGE!$B$4:$B$39=$B12)*RAW_LANGUAGE!$E$4:$E$39)</f>
        <v>0</v>
      </c>
      <c r="F12" s="12">
        <f>SUMPRODUCT((RAW_LANGUAGE!$B$4:$B$39=$B12)*RAW_LANGUAGE!$F$4:$F$39)</f>
        <v>0</v>
      </c>
      <c r="G12" s="12">
        <f>SUMPRODUCT((RAW_LANGUAGE!$B$4:$B$39=$B12)*RAW_LANGUAGE!$G$4:$G$39)</f>
        <v>0</v>
      </c>
      <c r="H12" s="12">
        <f>SUMPRODUCT((RAW_LANGUAGE!$B$4:$B$39=$B12)*RAW_LANGUAGE!$H$4:$H$39)</f>
        <v>0</v>
      </c>
      <c r="I12" s="12">
        <f>SUMPRODUCT((RAW_LANGUAGE!$B$4:$B$39=$B12)*RAW_LANGUAGE!$I$4:$I$39)</f>
        <v>0</v>
      </c>
      <c r="J12" s="16"/>
    </row>
    <row r="13" spans="1:10" ht="16.05" customHeight="1" x14ac:dyDescent="0.3">
      <c r="A13" s="18">
        <v>8</v>
      </c>
      <c r="B13" s="18" t="s">
        <v>526</v>
      </c>
      <c r="C13" s="9">
        <f>IFERROR(INDEX(RAW_LANGUAGE!$C$4:$C$39,MATCH($B13,RAW_LANGUAGE!$B$4:$B$39,0)),"")</f>
        <v>0</v>
      </c>
      <c r="D13" s="9">
        <f>SUMPRODUCT((RAW_LANGUAGE!$B$4:$B$39=$B13)*RAW_LANGUAGE!$D$4:$D$39)</f>
        <v>0</v>
      </c>
      <c r="E13" s="9">
        <f>SUMPRODUCT((RAW_LANGUAGE!$B$4:$B$39=$B13)*RAW_LANGUAGE!$E$4:$E$39)</f>
        <v>0</v>
      </c>
      <c r="F13" s="9">
        <f>SUMPRODUCT((RAW_LANGUAGE!$B$4:$B$39=$B13)*RAW_LANGUAGE!$F$4:$F$39)</f>
        <v>0</v>
      </c>
      <c r="G13" s="9">
        <f>SUMPRODUCT((RAW_LANGUAGE!$B$4:$B$39=$B13)*RAW_LANGUAGE!$G$4:$G$39)</f>
        <v>0</v>
      </c>
      <c r="H13" s="9">
        <f>SUMPRODUCT((RAW_LANGUAGE!$B$4:$B$39=$B13)*RAW_LANGUAGE!$H$4:$H$39)</f>
        <v>0</v>
      </c>
      <c r="I13" s="9">
        <f>SUMPRODUCT((RAW_LANGUAGE!$B$4:$B$39=$B13)*RAW_LANGUAGE!$I$4:$I$39)</f>
        <v>0</v>
      </c>
      <c r="J13" s="18"/>
    </row>
    <row r="14" spans="1:10" ht="16.05" customHeight="1" x14ac:dyDescent="0.3">
      <c r="A14" s="16">
        <v>9</v>
      </c>
      <c r="B14" s="16" t="s">
        <v>527</v>
      </c>
      <c r="C14" s="12">
        <f>IFERROR(INDEX(RAW_LANGUAGE!$C$4:$C$39,MATCH($B14,RAW_LANGUAGE!$B$4:$B$39,0)),"")</f>
        <v>0</v>
      </c>
      <c r="D14" s="12">
        <f>SUMPRODUCT((RAW_LANGUAGE!$B$4:$B$39=$B14)*RAW_LANGUAGE!$D$4:$D$39)</f>
        <v>0</v>
      </c>
      <c r="E14" s="12">
        <f>SUMPRODUCT((RAW_LANGUAGE!$B$4:$B$39=$B14)*RAW_LANGUAGE!$E$4:$E$39)</f>
        <v>0</v>
      </c>
      <c r="F14" s="12">
        <f>SUMPRODUCT((RAW_LANGUAGE!$B$4:$B$39=$B14)*RAW_LANGUAGE!$F$4:$F$39)</f>
        <v>0</v>
      </c>
      <c r="G14" s="12">
        <f>SUMPRODUCT((RAW_LANGUAGE!$B$4:$B$39=$B14)*RAW_LANGUAGE!$G$4:$G$39)</f>
        <v>0</v>
      </c>
      <c r="H14" s="12">
        <f>SUMPRODUCT((RAW_LANGUAGE!$B$4:$B$39=$B14)*RAW_LANGUAGE!$H$4:$H$39)</f>
        <v>0</v>
      </c>
      <c r="I14" s="12">
        <f>SUMPRODUCT((RAW_LANGUAGE!$B$4:$B$39=$B14)*RAW_LANGUAGE!$I$4:$I$39)</f>
        <v>0</v>
      </c>
      <c r="J14" s="16"/>
    </row>
    <row r="15" spans="1:10" ht="16.05" customHeight="1" x14ac:dyDescent="0.3">
      <c r="A15" s="18">
        <v>10</v>
      </c>
      <c r="B15" s="18" t="s">
        <v>528</v>
      </c>
      <c r="C15" s="9">
        <f>IFERROR(INDEX(RAW_LANGUAGE!$C$4:$C$39,MATCH($B15,RAW_LANGUAGE!$B$4:$B$39,0)),"")</f>
        <v>0</v>
      </c>
      <c r="D15" s="9">
        <f>SUMPRODUCT((RAW_LANGUAGE!$B$4:$B$39=$B15)*RAW_LANGUAGE!$D$4:$D$39)</f>
        <v>0</v>
      </c>
      <c r="E15" s="9">
        <f>SUMPRODUCT((RAW_LANGUAGE!$B$4:$B$39=$B15)*RAW_LANGUAGE!$E$4:$E$39)</f>
        <v>0</v>
      </c>
      <c r="F15" s="9">
        <f>SUMPRODUCT((RAW_LANGUAGE!$B$4:$B$39=$B15)*RAW_LANGUAGE!$F$4:$F$39)</f>
        <v>0</v>
      </c>
      <c r="G15" s="9">
        <f>SUMPRODUCT((RAW_LANGUAGE!$B$4:$B$39=$B15)*RAW_LANGUAGE!$G$4:$G$39)</f>
        <v>0</v>
      </c>
      <c r="H15" s="9">
        <f>SUMPRODUCT((RAW_LANGUAGE!$B$4:$B$39=$B15)*RAW_LANGUAGE!$H$4:$H$39)</f>
        <v>0</v>
      </c>
      <c r="I15" s="9">
        <f>SUMPRODUCT((RAW_LANGUAGE!$B$4:$B$39=$B15)*RAW_LANGUAGE!$I$4:$I$39)</f>
        <v>0</v>
      </c>
      <c r="J15" s="18"/>
    </row>
    <row r="16" spans="1:10" ht="16.05" customHeight="1" x14ac:dyDescent="0.3">
      <c r="A16" s="16">
        <v>11</v>
      </c>
      <c r="B16" s="16" t="s">
        <v>529</v>
      </c>
      <c r="C16" s="12">
        <f>IFERROR(INDEX(RAW_LANGUAGE!$C$4:$C$39,MATCH($B16,RAW_LANGUAGE!$B$4:$B$39,0)),"")</f>
        <v>0</v>
      </c>
      <c r="D16" s="12">
        <f>SUMPRODUCT((RAW_LANGUAGE!$B$4:$B$39=$B16)*RAW_LANGUAGE!$D$4:$D$39)</f>
        <v>0</v>
      </c>
      <c r="E16" s="12">
        <f>SUMPRODUCT((RAW_LANGUAGE!$B$4:$B$39=$B16)*RAW_LANGUAGE!$E$4:$E$39)</f>
        <v>0</v>
      </c>
      <c r="F16" s="12">
        <f>SUMPRODUCT((RAW_LANGUAGE!$B$4:$B$39=$B16)*RAW_LANGUAGE!$F$4:$F$39)</f>
        <v>0</v>
      </c>
      <c r="G16" s="12">
        <f>SUMPRODUCT((RAW_LANGUAGE!$B$4:$B$39=$B16)*RAW_LANGUAGE!$G$4:$G$39)</f>
        <v>0</v>
      </c>
      <c r="H16" s="12">
        <f>SUMPRODUCT((RAW_LANGUAGE!$B$4:$B$39=$B16)*RAW_LANGUAGE!$H$4:$H$39)</f>
        <v>0</v>
      </c>
      <c r="I16" s="12">
        <f>SUMPRODUCT((RAW_LANGUAGE!$B$4:$B$39=$B16)*RAW_LANGUAGE!$I$4:$I$39)</f>
        <v>0</v>
      </c>
      <c r="J16" s="16"/>
    </row>
    <row r="17" spans="1:10" ht="16.05" customHeight="1" x14ac:dyDescent="0.3">
      <c r="A17" s="18">
        <v>12</v>
      </c>
      <c r="B17" s="18" t="s">
        <v>530</v>
      </c>
      <c r="C17" s="9">
        <f>IFERROR(INDEX(RAW_LANGUAGE!$C$4:$C$39,MATCH($B17,RAW_LANGUAGE!$B$4:$B$39,0)),"")</f>
        <v>0</v>
      </c>
      <c r="D17" s="9">
        <f>SUMPRODUCT((RAW_LANGUAGE!$B$4:$B$39=$B17)*RAW_LANGUAGE!$D$4:$D$39)</f>
        <v>0</v>
      </c>
      <c r="E17" s="9">
        <f>SUMPRODUCT((RAW_LANGUAGE!$B$4:$B$39=$B17)*RAW_LANGUAGE!$E$4:$E$39)</f>
        <v>0</v>
      </c>
      <c r="F17" s="9">
        <f>SUMPRODUCT((RAW_LANGUAGE!$B$4:$B$39=$B17)*RAW_LANGUAGE!$F$4:$F$39)</f>
        <v>0</v>
      </c>
      <c r="G17" s="9">
        <f>SUMPRODUCT((RAW_LANGUAGE!$B$4:$B$39=$B17)*RAW_LANGUAGE!$G$4:$G$39)</f>
        <v>0</v>
      </c>
      <c r="H17" s="9">
        <f>SUMPRODUCT((RAW_LANGUAGE!$B$4:$B$39=$B17)*RAW_LANGUAGE!$H$4:$H$39)</f>
        <v>0</v>
      </c>
      <c r="I17" s="9">
        <f>SUMPRODUCT((RAW_LANGUAGE!$B$4:$B$39=$B17)*RAW_LANGUAGE!$I$4:$I$39)</f>
        <v>0</v>
      </c>
      <c r="J17" s="18"/>
    </row>
    <row r="18" spans="1:10" ht="16.05" customHeight="1" x14ac:dyDescent="0.3">
      <c r="A18" s="16">
        <v>13</v>
      </c>
      <c r="B18" s="16" t="s">
        <v>531</v>
      </c>
      <c r="C18" s="12">
        <f>IFERROR(INDEX(RAW_LANGUAGE!$C$4:$C$39,MATCH($B18,RAW_LANGUAGE!$B$4:$B$39,0)),"")</f>
        <v>0</v>
      </c>
      <c r="D18" s="12">
        <f>SUMPRODUCT((RAW_LANGUAGE!$B$4:$B$39=$B18)*RAW_LANGUAGE!$D$4:$D$39)</f>
        <v>0</v>
      </c>
      <c r="E18" s="12">
        <f>SUMPRODUCT((RAW_LANGUAGE!$B$4:$B$39=$B18)*RAW_LANGUAGE!$E$4:$E$39)</f>
        <v>0</v>
      </c>
      <c r="F18" s="12">
        <f>SUMPRODUCT((RAW_LANGUAGE!$B$4:$B$39=$B18)*RAW_LANGUAGE!$F$4:$F$39)</f>
        <v>0</v>
      </c>
      <c r="G18" s="12">
        <f>SUMPRODUCT((RAW_LANGUAGE!$B$4:$B$39=$B18)*RAW_LANGUAGE!$G$4:$G$39)</f>
        <v>0</v>
      </c>
      <c r="H18" s="12">
        <f>SUMPRODUCT((RAW_LANGUAGE!$B$4:$B$39=$B18)*RAW_LANGUAGE!$H$4:$H$39)</f>
        <v>0</v>
      </c>
      <c r="I18" s="12">
        <f>SUMPRODUCT((RAW_LANGUAGE!$B$4:$B$39=$B18)*RAW_LANGUAGE!$I$4:$I$39)</f>
        <v>0</v>
      </c>
      <c r="J18" s="16"/>
    </row>
    <row r="19" spans="1:10" ht="16.05" customHeight="1" x14ac:dyDescent="0.3">
      <c r="A19" s="18">
        <v>14</v>
      </c>
      <c r="B19" s="18" t="s">
        <v>532</v>
      </c>
      <c r="C19" s="9">
        <f>IFERROR(INDEX(RAW_LANGUAGE!$C$4:$C$39,MATCH($B19,RAW_LANGUAGE!$B$4:$B$39,0)),"")</f>
        <v>0</v>
      </c>
      <c r="D19" s="9">
        <f>SUMPRODUCT((RAW_LANGUAGE!$B$4:$B$39=$B19)*RAW_LANGUAGE!$D$4:$D$39)</f>
        <v>0</v>
      </c>
      <c r="E19" s="9">
        <f>SUMPRODUCT((RAW_LANGUAGE!$B$4:$B$39=$B19)*RAW_LANGUAGE!$E$4:$E$39)</f>
        <v>0</v>
      </c>
      <c r="F19" s="9">
        <f>SUMPRODUCT((RAW_LANGUAGE!$B$4:$B$39=$B19)*RAW_LANGUAGE!$F$4:$F$39)</f>
        <v>0</v>
      </c>
      <c r="G19" s="9">
        <f>SUMPRODUCT((RAW_LANGUAGE!$B$4:$B$39=$B19)*RAW_LANGUAGE!$G$4:$G$39)</f>
        <v>0</v>
      </c>
      <c r="H19" s="9">
        <f>SUMPRODUCT((RAW_LANGUAGE!$B$4:$B$39=$B19)*RAW_LANGUAGE!$H$4:$H$39)</f>
        <v>0</v>
      </c>
      <c r="I19" s="9">
        <f>SUMPRODUCT((RAW_LANGUAGE!$B$4:$B$39=$B19)*RAW_LANGUAGE!$I$4:$I$39)</f>
        <v>0</v>
      </c>
      <c r="J19" s="18"/>
    </row>
    <row r="20" spans="1:10" ht="16.05" customHeight="1" x14ac:dyDescent="0.3">
      <c r="A20" s="16">
        <v>15</v>
      </c>
      <c r="B20" s="16" t="s">
        <v>533</v>
      </c>
      <c r="C20" s="12">
        <f>IFERROR(INDEX(RAW_LANGUAGE!$C$4:$C$39,MATCH($B20,RAW_LANGUAGE!$B$4:$B$39,0)),"")</f>
        <v>0</v>
      </c>
      <c r="D20" s="12">
        <f>SUMPRODUCT((RAW_LANGUAGE!$B$4:$B$39=$B20)*RAW_LANGUAGE!$D$4:$D$39)</f>
        <v>0</v>
      </c>
      <c r="E20" s="12">
        <f>SUMPRODUCT((RAW_LANGUAGE!$B$4:$B$39=$B20)*RAW_LANGUAGE!$E$4:$E$39)</f>
        <v>0</v>
      </c>
      <c r="F20" s="12">
        <f>SUMPRODUCT((RAW_LANGUAGE!$B$4:$B$39=$B20)*RAW_LANGUAGE!$F$4:$F$39)</f>
        <v>0</v>
      </c>
      <c r="G20" s="12">
        <f>SUMPRODUCT((RAW_LANGUAGE!$B$4:$B$39=$B20)*RAW_LANGUAGE!$G$4:$G$39)</f>
        <v>0</v>
      </c>
      <c r="H20" s="12">
        <f>SUMPRODUCT((RAW_LANGUAGE!$B$4:$B$39=$B20)*RAW_LANGUAGE!$H$4:$H$39)</f>
        <v>0</v>
      </c>
      <c r="I20" s="12">
        <f>SUMPRODUCT((RAW_LANGUAGE!$B$4:$B$39=$B20)*RAW_LANGUAGE!$I$4:$I$39)</f>
        <v>0</v>
      </c>
      <c r="J20" s="16"/>
    </row>
    <row r="21" spans="1:10" ht="16.05" customHeight="1" x14ac:dyDescent="0.3">
      <c r="A21" s="18">
        <v>16</v>
      </c>
      <c r="B21" s="18" t="s">
        <v>534</v>
      </c>
      <c r="C21" s="9">
        <f>IFERROR(INDEX(RAW_LANGUAGE!$C$4:$C$39,MATCH($B21,RAW_LANGUAGE!$B$4:$B$39,0)),"")</f>
        <v>0</v>
      </c>
      <c r="D21" s="9">
        <f>SUMPRODUCT((RAW_LANGUAGE!$B$4:$B$39=$B21)*RAW_LANGUAGE!$D$4:$D$39)</f>
        <v>0</v>
      </c>
      <c r="E21" s="9">
        <f>SUMPRODUCT((RAW_LANGUAGE!$B$4:$B$39=$B21)*RAW_LANGUAGE!$E$4:$E$39)</f>
        <v>0</v>
      </c>
      <c r="F21" s="9">
        <f>SUMPRODUCT((RAW_LANGUAGE!$B$4:$B$39=$B21)*RAW_LANGUAGE!$F$4:$F$39)</f>
        <v>0</v>
      </c>
      <c r="G21" s="9">
        <f>SUMPRODUCT((RAW_LANGUAGE!$B$4:$B$39=$B21)*RAW_LANGUAGE!$G$4:$G$39)</f>
        <v>0</v>
      </c>
      <c r="H21" s="9">
        <f>SUMPRODUCT((RAW_LANGUAGE!$B$4:$B$39=$B21)*RAW_LANGUAGE!$H$4:$H$39)</f>
        <v>0</v>
      </c>
      <c r="I21" s="9">
        <f>SUMPRODUCT((RAW_LANGUAGE!$B$4:$B$39=$B21)*RAW_LANGUAGE!$I$4:$I$39)</f>
        <v>0</v>
      </c>
      <c r="J21" s="18"/>
    </row>
    <row r="22" spans="1:10" ht="16.05" customHeight="1" x14ac:dyDescent="0.3">
      <c r="A22" s="16">
        <v>17</v>
      </c>
      <c r="B22" s="16" t="s">
        <v>535</v>
      </c>
      <c r="C22" s="12">
        <f>IFERROR(INDEX(RAW_LANGUAGE!$C$4:$C$39,MATCH($B22,RAW_LANGUAGE!$B$4:$B$39,0)),"")</f>
        <v>0</v>
      </c>
      <c r="D22" s="12">
        <f>SUMPRODUCT((RAW_LANGUAGE!$B$4:$B$39=$B22)*RAW_LANGUAGE!$D$4:$D$39)</f>
        <v>0</v>
      </c>
      <c r="E22" s="12">
        <f>SUMPRODUCT((RAW_LANGUAGE!$B$4:$B$39=$B22)*RAW_LANGUAGE!$E$4:$E$39)</f>
        <v>0</v>
      </c>
      <c r="F22" s="12">
        <f>SUMPRODUCT((RAW_LANGUAGE!$B$4:$B$39=$B22)*RAW_LANGUAGE!$F$4:$F$39)</f>
        <v>0</v>
      </c>
      <c r="G22" s="12">
        <f>SUMPRODUCT((RAW_LANGUAGE!$B$4:$B$39=$B22)*RAW_LANGUAGE!$G$4:$G$39)</f>
        <v>0</v>
      </c>
      <c r="H22" s="12">
        <f>SUMPRODUCT((RAW_LANGUAGE!$B$4:$B$39=$B22)*RAW_LANGUAGE!$H$4:$H$39)</f>
        <v>0</v>
      </c>
      <c r="I22" s="12">
        <f>SUMPRODUCT((RAW_LANGUAGE!$B$4:$B$39=$B22)*RAW_LANGUAGE!$I$4:$I$39)</f>
        <v>0</v>
      </c>
      <c r="J22" s="16"/>
    </row>
    <row r="23" spans="1:10" ht="16.05" customHeight="1" x14ac:dyDescent="0.3">
      <c r="A23" s="18">
        <v>18</v>
      </c>
      <c r="B23" s="18" t="s">
        <v>536</v>
      </c>
      <c r="C23" s="9">
        <f>IFERROR(INDEX(RAW_LANGUAGE!$C$4:$C$39,MATCH($B23,RAW_LANGUAGE!$B$4:$B$39,0)),"")</f>
        <v>0</v>
      </c>
      <c r="D23" s="9">
        <f>SUMPRODUCT((RAW_LANGUAGE!$B$4:$B$39=$B23)*RAW_LANGUAGE!$D$4:$D$39)</f>
        <v>0</v>
      </c>
      <c r="E23" s="9">
        <f>SUMPRODUCT((RAW_LANGUAGE!$B$4:$B$39=$B23)*RAW_LANGUAGE!$E$4:$E$39)</f>
        <v>0</v>
      </c>
      <c r="F23" s="9">
        <f>SUMPRODUCT((RAW_LANGUAGE!$B$4:$B$39=$B23)*RAW_LANGUAGE!$F$4:$F$39)</f>
        <v>0</v>
      </c>
      <c r="G23" s="9">
        <f>SUMPRODUCT((RAW_LANGUAGE!$B$4:$B$39=$B23)*RAW_LANGUAGE!$G$4:$G$39)</f>
        <v>0</v>
      </c>
      <c r="H23" s="9">
        <f>SUMPRODUCT((RAW_LANGUAGE!$B$4:$B$39=$B23)*RAW_LANGUAGE!$H$4:$H$39)</f>
        <v>0</v>
      </c>
      <c r="I23" s="9">
        <f>SUMPRODUCT((RAW_LANGUAGE!$B$4:$B$39=$B23)*RAW_LANGUAGE!$I$4:$I$39)</f>
        <v>0</v>
      </c>
      <c r="J23" s="18"/>
    </row>
    <row r="24" spans="1:10" ht="16.05" customHeight="1" x14ac:dyDescent="0.3">
      <c r="A24" s="16">
        <v>19</v>
      </c>
      <c r="B24" s="16" t="s">
        <v>537</v>
      </c>
      <c r="C24" s="12">
        <f>IFERROR(INDEX(RAW_LANGUAGE!$C$4:$C$39,MATCH($B24,RAW_LANGUAGE!$B$4:$B$39,0)),"")</f>
        <v>0</v>
      </c>
      <c r="D24" s="12">
        <f>SUMPRODUCT((RAW_LANGUAGE!$B$4:$B$39=$B24)*RAW_LANGUAGE!$D$4:$D$39)</f>
        <v>0</v>
      </c>
      <c r="E24" s="12">
        <f>SUMPRODUCT((RAW_LANGUAGE!$B$4:$B$39=$B24)*RAW_LANGUAGE!$E$4:$E$39)</f>
        <v>0</v>
      </c>
      <c r="F24" s="12">
        <f>SUMPRODUCT((RAW_LANGUAGE!$B$4:$B$39=$B24)*RAW_LANGUAGE!$F$4:$F$39)</f>
        <v>0</v>
      </c>
      <c r="G24" s="12">
        <f>SUMPRODUCT((RAW_LANGUAGE!$B$4:$B$39=$B24)*RAW_LANGUAGE!$G$4:$G$39)</f>
        <v>0</v>
      </c>
      <c r="H24" s="12">
        <f>SUMPRODUCT((RAW_LANGUAGE!$B$4:$B$39=$B24)*RAW_LANGUAGE!$H$4:$H$39)</f>
        <v>0</v>
      </c>
      <c r="I24" s="12">
        <f>SUMPRODUCT((RAW_LANGUAGE!$B$4:$B$39=$B24)*RAW_LANGUAGE!$I$4:$I$39)</f>
        <v>0</v>
      </c>
      <c r="J24" s="16"/>
    </row>
    <row r="25" spans="1:10" ht="16.05" customHeight="1" x14ac:dyDescent="0.3">
      <c r="A25" s="18">
        <v>20</v>
      </c>
      <c r="B25" s="18" t="s">
        <v>538</v>
      </c>
      <c r="C25" s="9">
        <f>IFERROR(INDEX(RAW_LANGUAGE!$C$4:$C$39,MATCH($B25,RAW_LANGUAGE!$B$4:$B$39,0)),"")</f>
        <v>0</v>
      </c>
      <c r="D25" s="9">
        <f>SUMPRODUCT((RAW_LANGUAGE!$B$4:$B$39=$B25)*RAW_LANGUAGE!$D$4:$D$39)</f>
        <v>0</v>
      </c>
      <c r="E25" s="9">
        <f>SUMPRODUCT((RAW_LANGUAGE!$B$4:$B$39=$B25)*RAW_LANGUAGE!$E$4:$E$39)</f>
        <v>0</v>
      </c>
      <c r="F25" s="9">
        <f>SUMPRODUCT((RAW_LANGUAGE!$B$4:$B$39=$B25)*RAW_LANGUAGE!$F$4:$F$39)</f>
        <v>0</v>
      </c>
      <c r="G25" s="9">
        <f>SUMPRODUCT((RAW_LANGUAGE!$B$4:$B$39=$B25)*RAW_LANGUAGE!$G$4:$G$39)</f>
        <v>0</v>
      </c>
      <c r="H25" s="9">
        <f>SUMPRODUCT((RAW_LANGUAGE!$B$4:$B$39=$B25)*RAW_LANGUAGE!$H$4:$H$39)</f>
        <v>0</v>
      </c>
      <c r="I25" s="9">
        <f>SUMPRODUCT((RAW_LANGUAGE!$B$4:$B$39=$B25)*RAW_LANGUAGE!$I$4:$I$39)</f>
        <v>0</v>
      </c>
      <c r="J25" s="18"/>
    </row>
    <row r="26" spans="1:10" ht="16.05" customHeight="1" x14ac:dyDescent="0.3">
      <c r="A26" s="16">
        <v>21</v>
      </c>
      <c r="B26" s="16" t="s">
        <v>539</v>
      </c>
      <c r="C26" s="12">
        <f>IFERROR(INDEX(RAW_LANGUAGE!$C$4:$C$39,MATCH($B26,RAW_LANGUAGE!$B$4:$B$39,0)),"")</f>
        <v>0</v>
      </c>
      <c r="D26" s="12">
        <f>SUMPRODUCT((RAW_LANGUAGE!$B$4:$B$39=$B26)*RAW_LANGUAGE!$D$4:$D$39)</f>
        <v>0</v>
      </c>
      <c r="E26" s="12">
        <f>SUMPRODUCT((RAW_LANGUAGE!$B$4:$B$39=$B26)*RAW_LANGUAGE!$E$4:$E$39)</f>
        <v>0</v>
      </c>
      <c r="F26" s="12">
        <f>SUMPRODUCT((RAW_LANGUAGE!$B$4:$B$39=$B26)*RAW_LANGUAGE!$F$4:$F$39)</f>
        <v>0</v>
      </c>
      <c r="G26" s="12">
        <f>SUMPRODUCT((RAW_LANGUAGE!$B$4:$B$39=$B26)*RAW_LANGUAGE!$G$4:$G$39)</f>
        <v>0</v>
      </c>
      <c r="H26" s="12">
        <f>SUMPRODUCT((RAW_LANGUAGE!$B$4:$B$39=$B26)*RAW_LANGUAGE!$H$4:$H$39)</f>
        <v>0</v>
      </c>
      <c r="I26" s="12">
        <f>SUMPRODUCT((RAW_LANGUAGE!$B$4:$B$39=$B26)*RAW_LANGUAGE!$I$4:$I$39)</f>
        <v>0</v>
      </c>
      <c r="J26" s="16"/>
    </row>
    <row r="27" spans="1:10" ht="16.05" customHeight="1" x14ac:dyDescent="0.3">
      <c r="A27" s="18">
        <v>22</v>
      </c>
      <c r="B27" s="18" t="s">
        <v>540</v>
      </c>
      <c r="C27" s="9">
        <f>IFERROR(INDEX(RAW_LANGUAGE!$C$4:$C$39,MATCH($B27,RAW_LANGUAGE!$B$4:$B$39,0)),"")</f>
        <v>0</v>
      </c>
      <c r="D27" s="9">
        <f>SUMPRODUCT((RAW_LANGUAGE!$B$4:$B$39=$B27)*RAW_LANGUAGE!$D$4:$D$39)</f>
        <v>0</v>
      </c>
      <c r="E27" s="9">
        <f>SUMPRODUCT((RAW_LANGUAGE!$B$4:$B$39=$B27)*RAW_LANGUAGE!$E$4:$E$39)</f>
        <v>0</v>
      </c>
      <c r="F27" s="9">
        <f>SUMPRODUCT((RAW_LANGUAGE!$B$4:$B$39=$B27)*RAW_LANGUAGE!$F$4:$F$39)</f>
        <v>0</v>
      </c>
      <c r="G27" s="9">
        <f>SUMPRODUCT((RAW_LANGUAGE!$B$4:$B$39=$B27)*RAW_LANGUAGE!$G$4:$G$39)</f>
        <v>0</v>
      </c>
      <c r="H27" s="9">
        <f>SUMPRODUCT((RAW_LANGUAGE!$B$4:$B$39=$B27)*RAW_LANGUAGE!$H$4:$H$39)</f>
        <v>0</v>
      </c>
      <c r="I27" s="9">
        <f>SUMPRODUCT((RAW_LANGUAGE!$B$4:$B$39=$B27)*RAW_LANGUAGE!$I$4:$I$39)</f>
        <v>0</v>
      </c>
      <c r="J27" s="18"/>
    </row>
    <row r="28" spans="1:10" ht="16.05" customHeight="1" x14ac:dyDescent="0.3">
      <c r="A28" s="16">
        <v>23</v>
      </c>
      <c r="B28" s="16" t="s">
        <v>541</v>
      </c>
      <c r="C28" s="12">
        <f>IFERROR(INDEX(RAW_LANGUAGE!$C$4:$C$39,MATCH($B28,RAW_LANGUAGE!$B$4:$B$39,0)),"")</f>
        <v>0</v>
      </c>
      <c r="D28" s="12">
        <f>SUMPRODUCT((RAW_LANGUAGE!$B$4:$B$39=$B28)*RAW_LANGUAGE!$D$4:$D$39)</f>
        <v>0</v>
      </c>
      <c r="E28" s="12">
        <f>SUMPRODUCT((RAW_LANGUAGE!$B$4:$B$39=$B28)*RAW_LANGUAGE!$E$4:$E$39)</f>
        <v>0</v>
      </c>
      <c r="F28" s="12">
        <f>SUMPRODUCT((RAW_LANGUAGE!$B$4:$B$39=$B28)*RAW_LANGUAGE!$F$4:$F$39)</f>
        <v>0</v>
      </c>
      <c r="G28" s="12">
        <f>SUMPRODUCT((RAW_LANGUAGE!$B$4:$B$39=$B28)*RAW_LANGUAGE!$G$4:$G$39)</f>
        <v>0</v>
      </c>
      <c r="H28" s="12">
        <f>SUMPRODUCT((RAW_LANGUAGE!$B$4:$B$39=$B28)*RAW_LANGUAGE!$H$4:$H$39)</f>
        <v>0</v>
      </c>
      <c r="I28" s="12">
        <f>SUMPRODUCT((RAW_LANGUAGE!$B$4:$B$39=$B28)*RAW_LANGUAGE!$I$4:$I$39)</f>
        <v>0</v>
      </c>
      <c r="J28" s="16"/>
    </row>
    <row r="29" spans="1:10" ht="16.05" customHeight="1" x14ac:dyDescent="0.3">
      <c r="A29" s="18">
        <v>24</v>
      </c>
      <c r="B29" s="18" t="s">
        <v>542</v>
      </c>
      <c r="C29" s="9">
        <f>IFERROR(INDEX(RAW_LANGUAGE!$C$4:$C$39,MATCH($B29,RAW_LANGUAGE!$B$4:$B$39,0)),"")</f>
        <v>0</v>
      </c>
      <c r="D29" s="9">
        <f>SUMPRODUCT((RAW_LANGUAGE!$B$4:$B$39=$B29)*RAW_LANGUAGE!$D$4:$D$39)</f>
        <v>0</v>
      </c>
      <c r="E29" s="9">
        <f>SUMPRODUCT((RAW_LANGUAGE!$B$4:$B$39=$B29)*RAW_LANGUAGE!$E$4:$E$39)</f>
        <v>0</v>
      </c>
      <c r="F29" s="9">
        <f>SUMPRODUCT((RAW_LANGUAGE!$B$4:$B$39=$B29)*RAW_LANGUAGE!$F$4:$F$39)</f>
        <v>0</v>
      </c>
      <c r="G29" s="9">
        <f>SUMPRODUCT((RAW_LANGUAGE!$B$4:$B$39=$B29)*RAW_LANGUAGE!$G$4:$G$39)</f>
        <v>0</v>
      </c>
      <c r="H29" s="9">
        <f>SUMPRODUCT((RAW_LANGUAGE!$B$4:$B$39=$B29)*RAW_LANGUAGE!$H$4:$H$39)</f>
        <v>0</v>
      </c>
      <c r="I29" s="9">
        <f>SUMPRODUCT((RAW_LANGUAGE!$B$4:$B$39=$B29)*RAW_LANGUAGE!$I$4:$I$39)</f>
        <v>0</v>
      </c>
      <c r="J29" s="18"/>
    </row>
    <row r="30" spans="1:10" ht="16.05" customHeight="1" x14ac:dyDescent="0.3">
      <c r="A30" s="16">
        <v>25</v>
      </c>
      <c r="B30" s="16" t="s">
        <v>543</v>
      </c>
      <c r="C30" s="12">
        <f>IFERROR(INDEX(RAW_LANGUAGE!$C$4:$C$39,MATCH($B30,RAW_LANGUAGE!$B$4:$B$39,0)),"")</f>
        <v>0</v>
      </c>
      <c r="D30" s="12">
        <f>SUMPRODUCT((RAW_LANGUAGE!$B$4:$B$39=$B30)*RAW_LANGUAGE!$D$4:$D$39)</f>
        <v>0</v>
      </c>
      <c r="E30" s="12">
        <f>SUMPRODUCT((RAW_LANGUAGE!$B$4:$B$39=$B30)*RAW_LANGUAGE!$E$4:$E$39)</f>
        <v>0</v>
      </c>
      <c r="F30" s="12">
        <f>SUMPRODUCT((RAW_LANGUAGE!$B$4:$B$39=$B30)*RAW_LANGUAGE!$F$4:$F$39)</f>
        <v>0</v>
      </c>
      <c r="G30" s="12">
        <f>SUMPRODUCT((RAW_LANGUAGE!$B$4:$B$39=$B30)*RAW_LANGUAGE!$G$4:$G$39)</f>
        <v>0</v>
      </c>
      <c r="H30" s="12">
        <f>SUMPRODUCT((RAW_LANGUAGE!$B$4:$B$39=$B30)*RAW_LANGUAGE!$H$4:$H$39)</f>
        <v>0</v>
      </c>
      <c r="I30" s="12">
        <f>SUMPRODUCT((RAW_LANGUAGE!$B$4:$B$39=$B30)*RAW_LANGUAGE!$I$4:$I$39)</f>
        <v>0</v>
      </c>
      <c r="J30" s="16"/>
    </row>
    <row r="31" spans="1:10" ht="16.05" customHeight="1" x14ac:dyDescent="0.3">
      <c r="A31" s="18">
        <v>26</v>
      </c>
      <c r="B31" s="18" t="s">
        <v>544</v>
      </c>
      <c r="C31" s="9">
        <f>IFERROR(INDEX(RAW_LANGUAGE!$C$4:$C$39,MATCH($B31,RAW_LANGUAGE!$B$4:$B$39,0)),"")</f>
        <v>0</v>
      </c>
      <c r="D31" s="9">
        <f>SUMPRODUCT((RAW_LANGUAGE!$B$4:$B$39=$B31)*RAW_LANGUAGE!$D$4:$D$39)</f>
        <v>0</v>
      </c>
      <c r="E31" s="9">
        <f>SUMPRODUCT((RAW_LANGUAGE!$B$4:$B$39=$B31)*RAW_LANGUAGE!$E$4:$E$39)</f>
        <v>0</v>
      </c>
      <c r="F31" s="9">
        <f>SUMPRODUCT((RAW_LANGUAGE!$B$4:$B$39=$B31)*RAW_LANGUAGE!$F$4:$F$39)</f>
        <v>0</v>
      </c>
      <c r="G31" s="9">
        <f>SUMPRODUCT((RAW_LANGUAGE!$B$4:$B$39=$B31)*RAW_LANGUAGE!$G$4:$G$39)</f>
        <v>0</v>
      </c>
      <c r="H31" s="9">
        <f>SUMPRODUCT((RAW_LANGUAGE!$B$4:$B$39=$B31)*RAW_LANGUAGE!$H$4:$H$39)</f>
        <v>0</v>
      </c>
      <c r="I31" s="9">
        <f>SUMPRODUCT((RAW_LANGUAGE!$B$4:$B$39=$B31)*RAW_LANGUAGE!$I$4:$I$39)</f>
        <v>0</v>
      </c>
      <c r="J31" s="18"/>
    </row>
    <row r="32" spans="1:10" ht="16.05" customHeight="1" x14ac:dyDescent="0.3">
      <c r="A32" s="16">
        <v>27</v>
      </c>
      <c r="B32" s="16" t="s">
        <v>545</v>
      </c>
      <c r="C32" s="12">
        <f>IFERROR(INDEX(RAW_LANGUAGE!$C$4:$C$39,MATCH($B32,RAW_LANGUAGE!$B$4:$B$39,0)),"")</f>
        <v>0</v>
      </c>
      <c r="D32" s="12">
        <f>SUMPRODUCT((RAW_LANGUAGE!$B$4:$B$39=$B32)*RAW_LANGUAGE!$D$4:$D$39)</f>
        <v>0</v>
      </c>
      <c r="E32" s="12">
        <f>SUMPRODUCT((RAW_LANGUAGE!$B$4:$B$39=$B32)*RAW_LANGUAGE!$E$4:$E$39)</f>
        <v>0</v>
      </c>
      <c r="F32" s="12">
        <f>SUMPRODUCT((RAW_LANGUAGE!$B$4:$B$39=$B32)*RAW_LANGUAGE!$F$4:$F$39)</f>
        <v>0</v>
      </c>
      <c r="G32" s="12">
        <f>SUMPRODUCT((RAW_LANGUAGE!$B$4:$B$39=$B32)*RAW_LANGUAGE!$G$4:$G$39)</f>
        <v>0</v>
      </c>
      <c r="H32" s="12">
        <f>SUMPRODUCT((RAW_LANGUAGE!$B$4:$B$39=$B32)*RAW_LANGUAGE!$H$4:$H$39)</f>
        <v>0</v>
      </c>
      <c r="I32" s="12">
        <f>SUMPRODUCT((RAW_LANGUAGE!$B$4:$B$39=$B32)*RAW_LANGUAGE!$I$4:$I$39)</f>
        <v>0</v>
      </c>
      <c r="J32" s="16"/>
    </row>
    <row r="33" spans="1:10" ht="16.05" customHeight="1" x14ac:dyDescent="0.3">
      <c r="A33" s="18">
        <v>28</v>
      </c>
      <c r="B33" s="18" t="s">
        <v>546</v>
      </c>
      <c r="C33" s="9">
        <f>IFERROR(INDEX(RAW_LANGUAGE!$C$4:$C$39,MATCH($B33,RAW_LANGUAGE!$B$4:$B$39,0)),"")</f>
        <v>0</v>
      </c>
      <c r="D33" s="9">
        <f>SUMPRODUCT((RAW_LANGUAGE!$B$4:$B$39=$B33)*RAW_LANGUAGE!$D$4:$D$39)</f>
        <v>0</v>
      </c>
      <c r="E33" s="9">
        <f>SUMPRODUCT((RAW_LANGUAGE!$B$4:$B$39=$B33)*RAW_LANGUAGE!$E$4:$E$39)</f>
        <v>0</v>
      </c>
      <c r="F33" s="9">
        <f>SUMPRODUCT((RAW_LANGUAGE!$B$4:$B$39=$B33)*RAW_LANGUAGE!$F$4:$F$39)</f>
        <v>0</v>
      </c>
      <c r="G33" s="9">
        <f>SUMPRODUCT((RAW_LANGUAGE!$B$4:$B$39=$B33)*RAW_LANGUAGE!$G$4:$G$39)</f>
        <v>0</v>
      </c>
      <c r="H33" s="9">
        <f>SUMPRODUCT((RAW_LANGUAGE!$B$4:$B$39=$B33)*RAW_LANGUAGE!$H$4:$H$39)</f>
        <v>0</v>
      </c>
      <c r="I33" s="9">
        <f>SUMPRODUCT((RAW_LANGUAGE!$B$4:$B$39=$B33)*RAW_LANGUAGE!$I$4:$I$39)</f>
        <v>0</v>
      </c>
      <c r="J33" s="18"/>
    </row>
    <row r="34" spans="1:10" ht="16.05" customHeight="1" x14ac:dyDescent="0.3">
      <c r="A34" s="16">
        <v>29</v>
      </c>
      <c r="B34" s="16" t="s">
        <v>547</v>
      </c>
      <c r="C34" s="12">
        <f>IFERROR(INDEX(RAW_LANGUAGE!$C$4:$C$39,MATCH($B34,RAW_LANGUAGE!$B$4:$B$39,0)),"")</f>
        <v>0</v>
      </c>
      <c r="D34" s="12">
        <f>SUMPRODUCT((RAW_LANGUAGE!$B$4:$B$39=$B34)*RAW_LANGUAGE!$D$4:$D$39)</f>
        <v>0</v>
      </c>
      <c r="E34" s="12">
        <f>SUMPRODUCT((RAW_LANGUAGE!$B$4:$B$39=$B34)*RAW_LANGUAGE!$E$4:$E$39)</f>
        <v>0</v>
      </c>
      <c r="F34" s="12">
        <f>SUMPRODUCT((RAW_LANGUAGE!$B$4:$B$39=$B34)*RAW_LANGUAGE!$F$4:$F$39)</f>
        <v>0</v>
      </c>
      <c r="G34" s="12">
        <f>SUMPRODUCT((RAW_LANGUAGE!$B$4:$B$39=$B34)*RAW_LANGUAGE!$G$4:$G$39)</f>
        <v>0</v>
      </c>
      <c r="H34" s="12">
        <f>SUMPRODUCT((RAW_LANGUAGE!$B$4:$B$39=$B34)*RAW_LANGUAGE!$H$4:$H$39)</f>
        <v>0</v>
      </c>
      <c r="I34" s="12">
        <f>SUMPRODUCT((RAW_LANGUAGE!$B$4:$B$39=$B34)*RAW_LANGUAGE!$I$4:$I$39)</f>
        <v>0</v>
      </c>
      <c r="J34" s="16"/>
    </row>
    <row r="35" spans="1:10" ht="16.05" customHeight="1" x14ac:dyDescent="0.3">
      <c r="A35" s="18">
        <v>30</v>
      </c>
      <c r="B35" s="18" t="s">
        <v>548</v>
      </c>
      <c r="C35" s="9">
        <f>IFERROR(INDEX(RAW_LANGUAGE!$C$4:$C$39,MATCH($B35,RAW_LANGUAGE!$B$4:$B$39,0)),"")</f>
        <v>0</v>
      </c>
      <c r="D35" s="9">
        <f>SUMPRODUCT((RAW_LANGUAGE!$B$4:$B$39=$B35)*RAW_LANGUAGE!$D$4:$D$39)</f>
        <v>0</v>
      </c>
      <c r="E35" s="9">
        <f>SUMPRODUCT((RAW_LANGUAGE!$B$4:$B$39=$B35)*RAW_LANGUAGE!$E$4:$E$39)</f>
        <v>0</v>
      </c>
      <c r="F35" s="9">
        <f>SUMPRODUCT((RAW_LANGUAGE!$B$4:$B$39=$B35)*RAW_LANGUAGE!$F$4:$F$39)</f>
        <v>0</v>
      </c>
      <c r="G35" s="9">
        <f>SUMPRODUCT((RAW_LANGUAGE!$B$4:$B$39=$B35)*RAW_LANGUAGE!$G$4:$G$39)</f>
        <v>0</v>
      </c>
      <c r="H35" s="9">
        <f>SUMPRODUCT((RAW_LANGUAGE!$B$4:$B$39=$B35)*RAW_LANGUAGE!$H$4:$H$39)</f>
        <v>0</v>
      </c>
      <c r="I35" s="9">
        <f>SUMPRODUCT((RAW_LANGUAGE!$B$4:$B$39=$B35)*RAW_LANGUAGE!$I$4:$I$39)</f>
        <v>0</v>
      </c>
      <c r="J35" s="18"/>
    </row>
    <row r="36" spans="1:10" ht="16.05" customHeight="1" x14ac:dyDescent="0.3">
      <c r="A36" s="16">
        <v>31</v>
      </c>
      <c r="B36" s="16" t="s">
        <v>549</v>
      </c>
      <c r="C36" s="12">
        <f>IFERROR(INDEX(RAW_LANGUAGE!$C$4:$C$39,MATCH($B36,RAW_LANGUAGE!$B$4:$B$39,0)),"")</f>
        <v>0</v>
      </c>
      <c r="D36" s="12">
        <f>SUMPRODUCT((RAW_LANGUAGE!$B$4:$B$39=$B36)*RAW_LANGUAGE!$D$4:$D$39)</f>
        <v>0</v>
      </c>
      <c r="E36" s="12">
        <f>SUMPRODUCT((RAW_LANGUAGE!$B$4:$B$39=$B36)*RAW_LANGUAGE!$E$4:$E$39)</f>
        <v>0</v>
      </c>
      <c r="F36" s="12">
        <f>SUMPRODUCT((RAW_LANGUAGE!$B$4:$B$39=$B36)*RAW_LANGUAGE!$F$4:$F$39)</f>
        <v>0</v>
      </c>
      <c r="G36" s="12">
        <f>SUMPRODUCT((RAW_LANGUAGE!$B$4:$B$39=$B36)*RAW_LANGUAGE!$G$4:$G$39)</f>
        <v>0</v>
      </c>
      <c r="H36" s="12">
        <f>SUMPRODUCT((RAW_LANGUAGE!$B$4:$B$39=$B36)*RAW_LANGUAGE!$H$4:$H$39)</f>
        <v>0</v>
      </c>
      <c r="I36" s="12">
        <f>SUMPRODUCT((RAW_LANGUAGE!$B$4:$B$39=$B36)*RAW_LANGUAGE!$I$4:$I$39)</f>
        <v>0</v>
      </c>
      <c r="J36" s="16"/>
    </row>
    <row r="37" spans="1:10" ht="16.05" customHeight="1" x14ac:dyDescent="0.3">
      <c r="A37" s="18">
        <v>32</v>
      </c>
      <c r="B37" s="18" t="s">
        <v>550</v>
      </c>
      <c r="C37" s="9">
        <f>IFERROR(INDEX(RAW_LANGUAGE!$C$4:$C$39,MATCH($B37,RAW_LANGUAGE!$B$4:$B$39,0)),"")</f>
        <v>0</v>
      </c>
      <c r="D37" s="9">
        <f>SUMPRODUCT((RAW_LANGUAGE!$B$4:$B$39=$B37)*RAW_LANGUAGE!$D$4:$D$39)</f>
        <v>0</v>
      </c>
      <c r="E37" s="9">
        <f>SUMPRODUCT((RAW_LANGUAGE!$B$4:$B$39=$B37)*RAW_LANGUAGE!$E$4:$E$39)</f>
        <v>0</v>
      </c>
      <c r="F37" s="9">
        <f>SUMPRODUCT((RAW_LANGUAGE!$B$4:$B$39=$B37)*RAW_LANGUAGE!$F$4:$F$39)</f>
        <v>0</v>
      </c>
      <c r="G37" s="9">
        <f>SUMPRODUCT((RAW_LANGUAGE!$B$4:$B$39=$B37)*RAW_LANGUAGE!$G$4:$G$39)</f>
        <v>0</v>
      </c>
      <c r="H37" s="9">
        <f>SUMPRODUCT((RAW_LANGUAGE!$B$4:$B$39=$B37)*RAW_LANGUAGE!$H$4:$H$39)</f>
        <v>0</v>
      </c>
      <c r="I37" s="9">
        <f>SUMPRODUCT((RAW_LANGUAGE!$B$4:$B$39=$B37)*RAW_LANGUAGE!$I$4:$I$39)</f>
        <v>0</v>
      </c>
      <c r="J37" s="18"/>
    </row>
    <row r="38" spans="1:10" ht="16.05" customHeight="1" x14ac:dyDescent="0.3">
      <c r="A38" s="16">
        <v>33</v>
      </c>
      <c r="B38" s="16" t="s">
        <v>551</v>
      </c>
      <c r="C38" s="12">
        <f>IFERROR(INDEX(RAW_LANGUAGE!$C$4:$C$39,MATCH($B38,RAW_LANGUAGE!$B$4:$B$39,0)),"")</f>
        <v>0</v>
      </c>
      <c r="D38" s="12">
        <f>SUMPRODUCT((RAW_LANGUAGE!$B$4:$B$39=$B38)*RAW_LANGUAGE!$D$4:$D$39)</f>
        <v>0</v>
      </c>
      <c r="E38" s="12">
        <f>SUMPRODUCT((RAW_LANGUAGE!$B$4:$B$39=$B38)*RAW_LANGUAGE!$E$4:$E$39)</f>
        <v>0</v>
      </c>
      <c r="F38" s="12">
        <f>SUMPRODUCT((RAW_LANGUAGE!$B$4:$B$39=$B38)*RAW_LANGUAGE!$F$4:$F$39)</f>
        <v>0</v>
      </c>
      <c r="G38" s="12">
        <f>SUMPRODUCT((RAW_LANGUAGE!$B$4:$B$39=$B38)*RAW_LANGUAGE!$G$4:$G$39)</f>
        <v>0</v>
      </c>
      <c r="H38" s="12">
        <f>SUMPRODUCT((RAW_LANGUAGE!$B$4:$B$39=$B38)*RAW_LANGUAGE!$H$4:$H$39)</f>
        <v>0</v>
      </c>
      <c r="I38" s="12">
        <f>SUMPRODUCT((RAW_LANGUAGE!$B$4:$B$39=$B38)*RAW_LANGUAGE!$I$4:$I$39)</f>
        <v>0</v>
      </c>
      <c r="J38" s="16"/>
    </row>
    <row r="39" spans="1:10" ht="16.05" customHeight="1" x14ac:dyDescent="0.3">
      <c r="A39" s="18">
        <v>34</v>
      </c>
      <c r="B39" s="18" t="s">
        <v>552</v>
      </c>
      <c r="C39" s="9">
        <f>IFERROR(INDEX(RAW_LANGUAGE!$C$4:$C$39,MATCH($B39,RAW_LANGUAGE!$B$4:$B$39,0)),"")</f>
        <v>0</v>
      </c>
      <c r="D39" s="9">
        <f>SUMPRODUCT((RAW_LANGUAGE!$B$4:$B$39=$B39)*RAW_LANGUAGE!$D$4:$D$39)</f>
        <v>0</v>
      </c>
      <c r="E39" s="9">
        <f>SUMPRODUCT((RAW_LANGUAGE!$B$4:$B$39=$B39)*RAW_LANGUAGE!$E$4:$E$39)</f>
        <v>0</v>
      </c>
      <c r="F39" s="9">
        <f>SUMPRODUCT((RAW_LANGUAGE!$B$4:$B$39=$B39)*RAW_LANGUAGE!$F$4:$F$39)</f>
        <v>0</v>
      </c>
      <c r="G39" s="9">
        <f>SUMPRODUCT((RAW_LANGUAGE!$B$4:$B$39=$B39)*RAW_LANGUAGE!$G$4:$G$39)</f>
        <v>0</v>
      </c>
      <c r="H39" s="9">
        <f>SUMPRODUCT((RAW_LANGUAGE!$B$4:$B$39=$B39)*RAW_LANGUAGE!$H$4:$H$39)</f>
        <v>0</v>
      </c>
      <c r="I39" s="9">
        <f>SUMPRODUCT((RAW_LANGUAGE!$B$4:$B$39=$B39)*RAW_LANGUAGE!$I$4:$I$39)</f>
        <v>0</v>
      </c>
      <c r="J39" s="18"/>
    </row>
    <row r="40" spans="1:10" ht="16.05" customHeight="1" x14ac:dyDescent="0.3">
      <c r="A40" s="16">
        <v>35</v>
      </c>
      <c r="B40" s="16" t="s">
        <v>553</v>
      </c>
      <c r="C40" s="12">
        <f>IFERROR(INDEX(RAW_LANGUAGE!$C$4:$C$39,MATCH($B40,RAW_LANGUAGE!$B$4:$B$39,0)),"")</f>
        <v>0</v>
      </c>
      <c r="D40" s="12">
        <f>SUMPRODUCT((RAW_LANGUAGE!$B$4:$B$39=$B40)*RAW_LANGUAGE!$D$4:$D$39)</f>
        <v>0</v>
      </c>
      <c r="E40" s="12">
        <f>SUMPRODUCT((RAW_LANGUAGE!$B$4:$B$39=$B40)*RAW_LANGUAGE!$E$4:$E$39)</f>
        <v>0</v>
      </c>
      <c r="F40" s="12">
        <f>SUMPRODUCT((RAW_LANGUAGE!$B$4:$B$39=$B40)*RAW_LANGUAGE!$F$4:$F$39)</f>
        <v>0</v>
      </c>
      <c r="G40" s="12">
        <f>SUMPRODUCT((RAW_LANGUAGE!$B$4:$B$39=$B40)*RAW_LANGUAGE!$G$4:$G$39)</f>
        <v>0</v>
      </c>
      <c r="H40" s="12">
        <f>SUMPRODUCT((RAW_LANGUAGE!$B$4:$B$39=$B40)*RAW_LANGUAGE!$H$4:$H$39)</f>
        <v>0</v>
      </c>
      <c r="I40" s="12">
        <f>SUMPRODUCT((RAW_LANGUAGE!$B$4:$B$39=$B40)*RAW_LANGUAGE!$I$4:$I$39)</f>
        <v>0</v>
      </c>
      <c r="J40" s="16"/>
    </row>
    <row r="41" spans="1:10" ht="16.05" customHeight="1" x14ac:dyDescent="0.3">
      <c r="A41" s="18">
        <v>36</v>
      </c>
      <c r="B41" s="18" t="s">
        <v>554</v>
      </c>
      <c r="C41" s="9">
        <f>IFERROR(INDEX(RAW_LANGUAGE!$C$4:$C$39,MATCH($B41,RAW_LANGUAGE!$B$4:$B$39,0)),"")</f>
        <v>0</v>
      </c>
      <c r="D41" s="9">
        <f>SUMPRODUCT((RAW_LANGUAGE!$B$4:$B$39=$B41)*RAW_LANGUAGE!$D$4:$D$39)</f>
        <v>0</v>
      </c>
      <c r="E41" s="9">
        <f>SUMPRODUCT((RAW_LANGUAGE!$B$4:$B$39=$B41)*RAW_LANGUAGE!$E$4:$E$39)</f>
        <v>0</v>
      </c>
      <c r="F41" s="9">
        <f>SUMPRODUCT((RAW_LANGUAGE!$B$4:$B$39=$B41)*RAW_LANGUAGE!$F$4:$F$39)</f>
        <v>0</v>
      </c>
      <c r="G41" s="9">
        <f>SUMPRODUCT((RAW_LANGUAGE!$B$4:$B$39=$B41)*RAW_LANGUAGE!$G$4:$G$39)</f>
        <v>0</v>
      </c>
      <c r="H41" s="9">
        <f>SUMPRODUCT((RAW_LANGUAGE!$B$4:$B$39=$B41)*RAW_LANGUAGE!$H$4:$H$39)</f>
        <v>0</v>
      </c>
      <c r="I41" s="9">
        <f>SUMPRODUCT((RAW_LANGUAGE!$B$4:$B$39=$B41)*RAW_LANGUAGE!$I$4:$I$39)</f>
        <v>0</v>
      </c>
      <c r="J41" s="18"/>
    </row>
    <row r="43" spans="1:10" ht="19.95" customHeight="1" x14ac:dyDescent="0.3">
      <c r="A43" s="37" t="s">
        <v>661</v>
      </c>
      <c r="B43" s="33"/>
      <c r="C43" s="33"/>
      <c r="D43" s="33"/>
      <c r="E43" s="33"/>
      <c r="F43" s="33"/>
      <c r="G43" s="33"/>
      <c r="H43" s="33"/>
      <c r="I43" s="33"/>
      <c r="J43" s="33"/>
    </row>
    <row r="44" spans="1:10" ht="31.95" customHeight="1" x14ac:dyDescent="0.3">
      <c r="A44" s="15" t="s">
        <v>78</v>
      </c>
      <c r="B44" s="15" t="s">
        <v>349</v>
      </c>
      <c r="C44" s="15" t="s">
        <v>515</v>
      </c>
      <c r="D44" s="15" t="s">
        <v>406</v>
      </c>
      <c r="E44" s="15" t="s">
        <v>72</v>
      </c>
      <c r="F44" s="15" t="s">
        <v>140</v>
      </c>
      <c r="G44" s="15" t="s">
        <v>662</v>
      </c>
      <c r="H44" s="15" t="s">
        <v>663</v>
      </c>
      <c r="I44" s="15" t="s">
        <v>664</v>
      </c>
      <c r="J44" s="15" t="s">
        <v>86</v>
      </c>
    </row>
    <row r="45" spans="1:10" ht="16.05" customHeight="1" x14ac:dyDescent="0.3">
      <c r="A45" s="18">
        <v>1</v>
      </c>
      <c r="B45" s="18" t="s">
        <v>665</v>
      </c>
      <c r="C45" s="18"/>
      <c r="D45" s="18"/>
      <c r="E45" s="18"/>
      <c r="F45" s="18"/>
      <c r="G45" s="18"/>
      <c r="H45" s="18"/>
      <c r="I45" s="18"/>
      <c r="J45" s="18"/>
    </row>
    <row r="46" spans="1:10" ht="16.05" customHeight="1" x14ac:dyDescent="0.3">
      <c r="A46" s="16">
        <v>2</v>
      </c>
      <c r="B46" s="16" t="s">
        <v>666</v>
      </c>
      <c r="C46" s="16"/>
      <c r="D46" s="16"/>
      <c r="E46" s="16"/>
      <c r="F46" s="16"/>
      <c r="G46" s="16"/>
      <c r="H46" s="16"/>
      <c r="I46" s="16"/>
      <c r="J46" s="16"/>
    </row>
    <row r="47" spans="1:10" ht="16.05" customHeight="1" x14ac:dyDescent="0.3">
      <c r="A47" s="18">
        <v>3</v>
      </c>
      <c r="B47" s="18" t="s">
        <v>667</v>
      </c>
      <c r="C47" s="18"/>
      <c r="D47" s="18"/>
      <c r="E47" s="18"/>
      <c r="F47" s="18"/>
      <c r="G47" s="18"/>
      <c r="H47" s="18"/>
      <c r="I47" s="18"/>
      <c r="J47" s="18"/>
    </row>
    <row r="48" spans="1:10" ht="16.05" customHeight="1" x14ac:dyDescent="0.3">
      <c r="A48" s="16">
        <v>4</v>
      </c>
      <c r="B48" s="16" t="s">
        <v>668</v>
      </c>
      <c r="C48" s="16"/>
      <c r="D48" s="16"/>
      <c r="E48" s="16"/>
      <c r="F48" s="16"/>
      <c r="G48" s="16"/>
      <c r="H48" s="16"/>
      <c r="I48" s="16"/>
      <c r="J48" s="16"/>
    </row>
    <row r="49" spans="1:10" ht="16.05" customHeight="1" x14ac:dyDescent="0.3">
      <c r="A49" s="18">
        <v>5</v>
      </c>
      <c r="B49" s="18" t="s">
        <v>669</v>
      </c>
      <c r="C49" s="18"/>
      <c r="D49" s="18"/>
      <c r="E49" s="18"/>
      <c r="F49" s="18"/>
      <c r="G49" s="18"/>
      <c r="H49" s="18"/>
      <c r="I49" s="18"/>
      <c r="J49" s="18"/>
    </row>
    <row r="51" spans="1:10" ht="19.95" customHeight="1" x14ac:dyDescent="0.3">
      <c r="A51" s="37" t="s">
        <v>670</v>
      </c>
      <c r="B51" s="33"/>
      <c r="C51" s="33"/>
      <c r="D51" s="33"/>
      <c r="E51" s="33"/>
      <c r="F51" s="33"/>
      <c r="G51" s="33"/>
      <c r="H51" s="33"/>
      <c r="I51" s="33"/>
      <c r="J51" s="33"/>
    </row>
    <row r="52" spans="1:10" ht="31.95" customHeight="1" x14ac:dyDescent="0.3">
      <c r="A52" s="15" t="s">
        <v>78</v>
      </c>
      <c r="B52" s="15" t="s">
        <v>671</v>
      </c>
      <c r="C52" s="15" t="s">
        <v>672</v>
      </c>
      <c r="D52" s="15" t="s">
        <v>673</v>
      </c>
      <c r="E52" s="15" t="s">
        <v>674</v>
      </c>
      <c r="F52" s="15" t="s">
        <v>675</v>
      </c>
      <c r="G52" s="15" t="s">
        <v>676</v>
      </c>
      <c r="H52" s="15" t="s">
        <v>677</v>
      </c>
      <c r="I52" s="15" t="s">
        <v>678</v>
      </c>
      <c r="J52" s="15" t="s">
        <v>86</v>
      </c>
    </row>
    <row r="53" spans="1:10" ht="16.05" customHeight="1" x14ac:dyDescent="0.3">
      <c r="A53" s="18" t="s">
        <v>87</v>
      </c>
      <c r="B53" s="18" t="s">
        <v>679</v>
      </c>
      <c r="C53" s="9">
        <f>IFERROR(IFERROR((SUMPRODUCT((IF(SelectedScope="All India",1,RAW_LANGUAGE!$B$4:$B$39=SelectedScope))*RAW_LANGUAGE!$H$4:$H$39))/(SUMPRODUCT((IF(SelectedScope="All India",1,RAW_LANGUAGE!$B$4:$B$39=SelectedScope))*1)),""),"")</f>
        <v>0</v>
      </c>
      <c r="D53" s="18"/>
      <c r="E53" s="18"/>
      <c r="F53" s="18"/>
      <c r="G53" s="18"/>
      <c r="H53" s="18"/>
      <c r="I53" s="18"/>
      <c r="J53" s="18"/>
    </row>
    <row r="54" spans="1:10" ht="16.05" customHeight="1" x14ac:dyDescent="0.3">
      <c r="A54" s="16" t="s">
        <v>90</v>
      </c>
      <c r="B54" s="16" t="s">
        <v>680</v>
      </c>
      <c r="C54" s="12">
        <f>IFERROR(IFERROR((SUMPRODUCT((IF(SelectedScope="All India",1,RAW_LANGUAGE!$B$4:$B$39=SelectedScope))*RAW_LANGUAGE!$H$4:$H$39))/(SUMPRODUCT((IF(SelectedScope="All India",1,RAW_LANGUAGE!$B$4:$B$39=SelectedScope))*1)),""),"")</f>
        <v>0</v>
      </c>
      <c r="D54" s="16"/>
      <c r="E54" s="16"/>
      <c r="F54" s="16"/>
      <c r="G54" s="16"/>
      <c r="H54" s="16"/>
      <c r="I54" s="16"/>
      <c r="J54" s="16"/>
    </row>
    <row r="55" spans="1:10" ht="16.05" customHeight="1" x14ac:dyDescent="0.3">
      <c r="A55" s="18" t="s">
        <v>92</v>
      </c>
      <c r="B55" s="18" t="s">
        <v>681</v>
      </c>
      <c r="C55" s="9">
        <f>IFERROR(IFERROR((SUMPRODUCT((IF(SelectedScope="All India",1,RAW_LANGUAGE!$B$4:$B$39=SelectedScope))*RAW_LANGUAGE!$H$4:$H$39))/(SUMPRODUCT((IF(SelectedScope="All India",1,RAW_LANGUAGE!$B$4:$B$39=SelectedScope))*1)),""),"")</f>
        <v>0</v>
      </c>
      <c r="D55" s="18"/>
      <c r="E55" s="18"/>
      <c r="F55" s="18"/>
      <c r="G55" s="18"/>
      <c r="H55" s="18"/>
      <c r="I55" s="18"/>
      <c r="J55" s="18"/>
    </row>
    <row r="56" spans="1:10" ht="16.05" customHeight="1" x14ac:dyDescent="0.3">
      <c r="A56" s="16" t="s">
        <v>94</v>
      </c>
      <c r="B56" s="16" t="s">
        <v>682</v>
      </c>
      <c r="C56" s="12">
        <f>IFERROR(IFERROR((SUMPRODUCT((IF(SelectedScope="All India",1,RAW_LANGUAGE!$B$4:$B$39=SelectedScope))*RAW_LANGUAGE!$I$4:$I$39))/(SUMPRODUCT((IF(SelectedScope="All India",1,RAW_LANGUAGE!$B$4:$B$39=SelectedScope))*1)),""),"")</f>
        <v>0</v>
      </c>
      <c r="D56" s="16"/>
      <c r="E56" s="16"/>
      <c r="F56" s="16"/>
      <c r="G56" s="16"/>
      <c r="H56" s="16"/>
      <c r="I56" s="16"/>
      <c r="J56" s="16"/>
    </row>
    <row r="57" spans="1:10" ht="16.05" customHeight="1" x14ac:dyDescent="0.3">
      <c r="A57" s="18" t="s">
        <v>96</v>
      </c>
      <c r="B57" s="18" t="s">
        <v>683</v>
      </c>
      <c r="C57" s="9">
        <f>IFERROR(IFERROR((SUMPRODUCT((IF(SelectedScope="All India",1,RAW_LANGUAGE!$B$4:$B$39=SelectedScope))*RAW_LANGUAGE!$J$4:$J$39))/(SUMPRODUCT((IF(SelectedScope="All India",1,RAW_LANGUAGE!$B$4:$B$39=SelectedScope))*1)),""),"")</f>
        <v>0</v>
      </c>
      <c r="D57" s="18"/>
      <c r="E57" s="18"/>
      <c r="F57" s="18"/>
      <c r="G57" s="18"/>
      <c r="H57" s="18"/>
      <c r="I57" s="18"/>
      <c r="J57" s="18"/>
    </row>
    <row r="58" spans="1:10" ht="16.05" customHeight="1" x14ac:dyDescent="0.3">
      <c r="A58" s="16" t="s">
        <v>99</v>
      </c>
      <c r="B58" s="16" t="s">
        <v>684</v>
      </c>
      <c r="C58" s="12">
        <f>IFERROR(IFERROR((SUMPRODUCT((IF(SelectedScope="All India",1,RAW_LANGUAGE!$B$4:$B$39=SelectedScope))*RAW_LANGUAGE!$K$4:$K$39))/(SUMPRODUCT((IF(SelectedScope="All India",1,RAW_LANGUAGE!$B$4:$B$39=SelectedScope))*1)),""),"")</f>
        <v>0</v>
      </c>
      <c r="D58" s="16"/>
      <c r="E58" s="16"/>
      <c r="F58" s="16"/>
      <c r="G58" s="16"/>
      <c r="H58" s="16"/>
      <c r="I58" s="16"/>
      <c r="J58" s="16"/>
    </row>
    <row r="59" spans="1:10" ht="16.05" customHeight="1" x14ac:dyDescent="0.3">
      <c r="A59" s="18" t="s">
        <v>101</v>
      </c>
      <c r="B59" s="18" t="s">
        <v>685</v>
      </c>
      <c r="C59" s="9">
        <f>IFERROR(IFERROR((SUMPRODUCT((IF(SelectedScope="All India",1,RAW_LANGUAGE!$B$4:$B$39=SelectedScope))*RAW_LANGUAGE!$L$4:$L$39))/(SUMPRODUCT((IF(SelectedScope="All India",1,RAW_LANGUAGE!$B$4:$B$39=SelectedScope))*1)),""),"")</f>
        <v>0</v>
      </c>
      <c r="D59" s="18"/>
      <c r="E59" s="18"/>
      <c r="F59" s="18"/>
      <c r="G59" s="18"/>
      <c r="H59" s="18"/>
      <c r="I59" s="18"/>
      <c r="J59" s="18"/>
    </row>
    <row r="60" spans="1:10" ht="16.05" customHeight="1" x14ac:dyDescent="0.3">
      <c r="A60" s="16" t="s">
        <v>104</v>
      </c>
      <c r="B60" s="16" t="s">
        <v>686</v>
      </c>
      <c r="C60" s="16"/>
      <c r="D60" s="16"/>
      <c r="E60" s="16"/>
      <c r="F60" s="16"/>
      <c r="G60" s="16"/>
      <c r="H60" s="16"/>
      <c r="I60" s="16"/>
      <c r="J60" s="16"/>
    </row>
    <row r="61" spans="1:10" ht="16.05" customHeight="1" x14ac:dyDescent="0.3">
      <c r="A61" s="18" t="s">
        <v>106</v>
      </c>
      <c r="B61" s="18" t="s">
        <v>687</v>
      </c>
      <c r="C61" s="9">
        <f>IFERROR(IFERROR((SUMPRODUCT((IF(SelectedScope="All India",1,RAW_LANGUAGE!$B$4:$B$39=SelectedScope))*RAW_LANGUAGE!$M$4:$M$39))/(SUMPRODUCT((IF(SelectedScope="All India",1,RAW_LANGUAGE!$B$4:$B$39=SelectedScope))*1)),""),"")</f>
        <v>0</v>
      </c>
      <c r="D61" s="18"/>
      <c r="E61" s="18"/>
      <c r="F61" s="18"/>
      <c r="G61" s="18"/>
      <c r="H61" s="18"/>
      <c r="I61" s="18"/>
      <c r="J61" s="18"/>
    </row>
    <row r="62" spans="1:10" ht="16.05" customHeight="1" x14ac:dyDescent="0.3">
      <c r="A62" s="16" t="s">
        <v>108</v>
      </c>
      <c r="B62" s="16" t="s">
        <v>688</v>
      </c>
      <c r="C62" s="12">
        <f>IFERROR(IFERROR((SUMPRODUCT((IF(SelectedScope="All India",1,RAW_LANGUAGE!$B$4:$B$39=SelectedScope))*RAW_LANGUAGE!$N$4:$N$39))/(SUMPRODUCT((IF(SelectedScope="All India",1,RAW_LANGUAGE!$B$4:$B$39=SelectedScope))*1)),""),"")</f>
        <v>0</v>
      </c>
      <c r="D62" s="16"/>
      <c r="E62" s="16"/>
      <c r="F62" s="16"/>
      <c r="G62" s="16"/>
      <c r="H62" s="16"/>
      <c r="I62" s="16"/>
      <c r="J62" s="16"/>
    </row>
    <row r="63" spans="1:10" ht="16.05" customHeight="1" x14ac:dyDescent="0.3">
      <c r="A63" s="18" t="s">
        <v>111</v>
      </c>
      <c r="B63" s="18" t="s">
        <v>689</v>
      </c>
      <c r="C63" s="9">
        <f>IFERROR(IFERROR((SUMPRODUCT((IF(SelectedScope="All India",1,RAW_LANGUAGE!$B$4:$B$39=SelectedScope))*RAW_LANGUAGE!$O$4:$O$39))/(SUMPRODUCT((IF(SelectedScope="All India",1,RAW_LANGUAGE!$B$4:$B$39=SelectedScope))*1)),""),"")</f>
        <v>0</v>
      </c>
      <c r="D63" s="18"/>
      <c r="E63" s="18"/>
      <c r="F63" s="18"/>
      <c r="G63" s="18"/>
      <c r="H63" s="18"/>
      <c r="I63" s="18"/>
      <c r="J63" s="18"/>
    </row>
  </sheetData>
  <mergeCells count="6">
    <mergeCell ref="A51:J51"/>
    <mergeCell ref="A1:J1"/>
    <mergeCell ref="A3:J3"/>
    <mergeCell ref="A4:J4"/>
    <mergeCell ref="A43:J43"/>
    <mergeCell ref="A2:J2"/>
  </mergeCells>
  <pageMargins left="0.75" right="0.75" top="1" bottom="1" header="0.5" footer="0.5"/>
  <extLst>
    <ext xmlns:x14="http://schemas.microsoft.com/office/spreadsheetml/2009/9/main" uri="{CCE6A557-97BC-4b89-ADB6-D9C93CAAB3DF}">
      <x14:dataValidations xmlns:xm="http://schemas.microsoft.com/office/excel/2006/main" count="4">
        <x14:dataValidation type="list" allowBlank="1" xr:uid="{00000000-0002-0000-0F00-000000000000}">
          <x14:formula1>
            <xm:f>REF!$A$2:$A$37</xm:f>
          </x14:formula1>
          <xm:sqref>E53:E63 H45:H49</xm:sqref>
        </x14:dataValidation>
        <x14:dataValidation type="list" allowBlank="1" xr:uid="{00000000-0002-0000-0F00-000001000000}">
          <x14:formula1>
            <xm:f>REF!$D$2:$D$14</xm:f>
          </x14:formula1>
          <xm:sqref>I45:I49</xm:sqref>
        </x14:dataValidation>
        <x14:dataValidation type="list" allowBlank="1" xr:uid="{00000000-0002-0000-0F00-00000B000000}">
          <x14:formula1>
            <xm:f>REF!$E$2:$E$13</xm:f>
          </x14:formula1>
          <xm:sqref>F53:F63</xm:sqref>
        </x14:dataValidation>
        <x14:dataValidation type="list" allowBlank="1" xr:uid="{00000000-0002-0000-0F00-00000C000000}">
          <x14:formula1>
            <xm:f>REF!$K$2:$K$5</xm:f>
          </x14:formula1>
          <xm:sqref>I53:I63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62"/>
  <sheetViews>
    <sheetView showGridLines="0" workbookViewId="0">
      <selection sqref="A1:K1"/>
    </sheetView>
  </sheetViews>
  <sheetFormatPr defaultRowHeight="14.4" x14ac:dyDescent="0.3"/>
  <cols>
    <col min="1" max="1" width="4" customWidth="1"/>
    <col min="2" max="2" width="28" customWidth="1"/>
    <col min="3" max="3" width="20" customWidth="1"/>
    <col min="4" max="5" width="14" customWidth="1"/>
    <col min="6" max="10" width="12" customWidth="1"/>
    <col min="11" max="11" width="22" customWidth="1"/>
  </cols>
  <sheetData>
    <row r="1" spans="1:11" ht="28.05" customHeight="1" x14ac:dyDescent="0.3">
      <c r="A1" s="32" t="s">
        <v>690</v>
      </c>
      <c r="B1" s="33"/>
      <c r="C1" s="33"/>
      <c r="D1" s="33"/>
      <c r="E1" s="33"/>
      <c r="F1" s="33"/>
      <c r="G1" s="33"/>
      <c r="H1" s="33"/>
      <c r="I1" s="33"/>
      <c r="J1" s="33"/>
      <c r="K1" s="33"/>
    </row>
    <row r="2" spans="1:11" ht="18" customHeight="1" x14ac:dyDescent="0.3">
      <c r="A2" s="38" t="str">
        <f>IF(SelectedScope="All India","NATIONAL VIEW — ALL INDIA","STATE VIEW — "&amp;SelectedScope)</f>
        <v>NATIONAL VIEW — ALL INDIA</v>
      </c>
      <c r="B2" s="33"/>
      <c r="C2" s="33"/>
      <c r="D2" s="33"/>
      <c r="E2" s="33"/>
      <c r="F2" s="33"/>
      <c r="G2" s="33"/>
      <c r="H2" s="33"/>
      <c r="I2" s="33"/>
      <c r="J2" s="33"/>
      <c r="K2" s="33"/>
    </row>
    <row r="3" spans="1:11" ht="16.05" customHeight="1" x14ac:dyDescent="0.3">
      <c r="A3" s="39" t="s">
        <v>691</v>
      </c>
      <c r="B3" s="33"/>
      <c r="C3" s="33"/>
      <c r="D3" s="33"/>
      <c r="E3" s="33"/>
      <c r="F3" s="33"/>
      <c r="G3" s="33"/>
      <c r="H3" s="33"/>
      <c r="I3" s="33"/>
      <c r="J3" s="33"/>
      <c r="K3" s="33"/>
    </row>
    <row r="4" spans="1:11" ht="19.95" customHeight="1" x14ac:dyDescent="0.3">
      <c r="A4" s="37" t="s">
        <v>692</v>
      </c>
      <c r="B4" s="33"/>
      <c r="C4" s="33"/>
      <c r="D4" s="33"/>
      <c r="E4" s="33"/>
      <c r="F4" s="33"/>
      <c r="G4" s="33"/>
      <c r="H4" s="33"/>
      <c r="I4" s="33"/>
      <c r="J4" s="33"/>
      <c r="K4" s="33"/>
    </row>
    <row r="5" spans="1:11" ht="31.95" customHeight="1" x14ac:dyDescent="0.3">
      <c r="A5" s="15" t="s">
        <v>78</v>
      </c>
      <c r="B5" s="15" t="s">
        <v>693</v>
      </c>
      <c r="C5" s="15" t="s">
        <v>694</v>
      </c>
      <c r="D5" s="15" t="s">
        <v>695</v>
      </c>
      <c r="E5" s="15" t="s">
        <v>696</v>
      </c>
      <c r="F5" s="15" t="s">
        <v>697</v>
      </c>
      <c r="G5" s="15" t="s">
        <v>698</v>
      </c>
      <c r="H5" s="15" t="s">
        <v>699</v>
      </c>
      <c r="I5" s="15" t="s">
        <v>700</v>
      </c>
      <c r="J5" s="15" t="s">
        <v>701</v>
      </c>
      <c r="K5" s="15" t="s">
        <v>86</v>
      </c>
    </row>
    <row r="6" spans="1:11" ht="16.05" customHeight="1" x14ac:dyDescent="0.3">
      <c r="A6" s="16">
        <v>1</v>
      </c>
      <c r="B6" s="16" t="s">
        <v>702</v>
      </c>
      <c r="C6" s="12">
        <f>SUMPRODUCT((IF(SelectedScope="All India",1,RAW_NOTIFICATION!$B$4:$B$363=SelectedScope))*(RAW_NOTIFICATION!$C$4:$C$363=$B6)*RAW_NOTIFICATION!$D$4:$D$363)</f>
        <v>0</v>
      </c>
      <c r="D6" s="12">
        <f>SUMPRODUCT((IF(SelectedScope="All India",1,RAW_NOTIFICATION!$B$4:$B$363=SelectedScope))*(RAW_NOTIFICATION!$C$4:$C$363=$B6)*RAW_NOTIFICATION!$E$4:$E$363)</f>
        <v>0</v>
      </c>
      <c r="E6" s="20" t="str">
        <f t="shared" ref="E6:E15" ca="1" si="0">IFERROR(E6/D6,"")</f>
        <v/>
      </c>
      <c r="F6" s="20" t="str">
        <f>IFERROR(SUMPRODUCT((IF(SelectedScope="All India",1,RAW_NOTIFICATION!$B$4:$B$363=SelectedScope))*(RAW_NOTIFICATION!$C$4:$C$363=$B6)*RAW_NOTIFICATION!$G$4:$G$363)/(SUMPRODUCT((IF(SelectedScope="All India",1,RAW_NOTIFICATION!$B$4:$B$363=SelectedScope))*(RAW_NOTIFICATION!$C$4:$C$363=$B6)*RAW_NOTIFICATION!$E$4:$E$363)),"")</f>
        <v/>
      </c>
      <c r="G6" s="20" t="str">
        <f>IFERROR(SUMPRODUCT((IF(SelectedScope="All India",1,RAW_NOTIFICATION!$B$4:$B$363=SelectedScope))*(RAW_NOTIFICATION!$C$4:$C$363=$B6)*RAW_NOTIFICATION!$H$4:$H$363)/(SUMPRODUCT((IF(SelectedScope="All India",1,RAW_NOTIFICATION!$B$4:$B$363=SelectedScope))*(RAW_NOTIFICATION!$C$4:$C$363=$B6)*RAW_NOTIFICATION!$E$4:$E$363)),"")</f>
        <v/>
      </c>
      <c r="H6" s="20" t="str">
        <f>IFERROR(SUMPRODUCT((IF(SelectedScope="All India",1,RAW_NOTIFICATION!$B$4:$B$363=SelectedScope))*(RAW_NOTIFICATION!$C$4:$C$363=$B6)*RAW_NOTIFICATION!$I$4:$I$363)/(SUMPRODUCT((IF(SelectedScope="All India",1,RAW_NOTIFICATION!$B$4:$B$363=SelectedScope))*(RAW_NOTIFICATION!$C$4:$C$363=$B6)*RAW_NOTIFICATION!$E$4:$E$363)),"")</f>
        <v/>
      </c>
      <c r="I6" s="12">
        <f>SUMPRODUCT((IF(SelectedScope="All India",1,RAW_NOTIFICATION!$B$4:$B$363=SelectedScope))*(RAW_NOTIFICATION!$C$4:$C$363=$B6)*RAW_NOTIFICATION!$K$4:$K$363)</f>
        <v>0</v>
      </c>
      <c r="J6" s="20" t="str">
        <f t="shared" ref="J6:J15" si="1">IFERROR(I6/D6,"")</f>
        <v/>
      </c>
      <c r="K6" s="16"/>
    </row>
    <row r="7" spans="1:11" ht="16.05" customHeight="1" x14ac:dyDescent="0.3">
      <c r="A7" s="18">
        <v>2</v>
      </c>
      <c r="B7" s="18" t="s">
        <v>703</v>
      </c>
      <c r="C7" s="9">
        <f>SUMPRODUCT((IF(SelectedScope="All India",1,RAW_NOTIFICATION!$B$4:$B$363=SelectedScope))*(RAW_NOTIFICATION!$C$4:$C$363=$B7)*RAW_NOTIFICATION!$D$4:$D$363)</f>
        <v>0</v>
      </c>
      <c r="D7" s="9">
        <f>SUMPRODUCT((IF(SelectedScope="All India",1,RAW_NOTIFICATION!$B$4:$B$363=SelectedScope))*(RAW_NOTIFICATION!$C$4:$C$363=$B7)*RAW_NOTIFICATION!$E$4:$E$363)</f>
        <v>0</v>
      </c>
      <c r="E7" s="21" t="str">
        <f t="shared" ca="1" si="0"/>
        <v/>
      </c>
      <c r="F7" s="21" t="str">
        <f>IFERROR(SUMPRODUCT((IF(SelectedScope="All India",1,RAW_NOTIFICATION!$B$4:$B$363=SelectedScope))*(RAW_NOTIFICATION!$C$4:$C$363=$B7)*RAW_NOTIFICATION!$G$4:$G$363)/(SUMPRODUCT((IF(SelectedScope="All India",1,RAW_NOTIFICATION!$B$4:$B$363=SelectedScope))*(RAW_NOTIFICATION!$C$4:$C$363=$B7)*RAW_NOTIFICATION!$E$4:$E$363)),"")</f>
        <v/>
      </c>
      <c r="G7" s="21" t="str">
        <f>IFERROR(SUMPRODUCT((IF(SelectedScope="All India",1,RAW_NOTIFICATION!$B$4:$B$363=SelectedScope))*(RAW_NOTIFICATION!$C$4:$C$363=$B7)*RAW_NOTIFICATION!$H$4:$H$363)/(SUMPRODUCT((IF(SelectedScope="All India",1,RAW_NOTIFICATION!$B$4:$B$363=SelectedScope))*(RAW_NOTIFICATION!$C$4:$C$363=$B7)*RAW_NOTIFICATION!$E$4:$E$363)),"")</f>
        <v/>
      </c>
      <c r="H7" s="21" t="str">
        <f>IFERROR(SUMPRODUCT((IF(SelectedScope="All India",1,RAW_NOTIFICATION!$B$4:$B$363=SelectedScope))*(RAW_NOTIFICATION!$C$4:$C$363=$B7)*RAW_NOTIFICATION!$I$4:$I$363)/(SUMPRODUCT((IF(SelectedScope="All India",1,RAW_NOTIFICATION!$B$4:$B$363=SelectedScope))*(RAW_NOTIFICATION!$C$4:$C$363=$B7)*RAW_NOTIFICATION!$E$4:$E$363)),"")</f>
        <v/>
      </c>
      <c r="I7" s="9">
        <f>SUMPRODUCT((IF(SelectedScope="All India",1,RAW_NOTIFICATION!$B$4:$B$363=SelectedScope))*(RAW_NOTIFICATION!$C$4:$C$363=$B7)*RAW_NOTIFICATION!$K$4:$K$363)</f>
        <v>0</v>
      </c>
      <c r="J7" s="21" t="str">
        <f t="shared" si="1"/>
        <v/>
      </c>
      <c r="K7" s="18"/>
    </row>
    <row r="8" spans="1:11" ht="16.05" customHeight="1" x14ac:dyDescent="0.3">
      <c r="A8" s="16">
        <v>3</v>
      </c>
      <c r="B8" s="16" t="s">
        <v>704</v>
      </c>
      <c r="C8" s="12">
        <f>SUMPRODUCT((IF(SelectedScope="All India",1,RAW_NOTIFICATION!$B$4:$B$363=SelectedScope))*(RAW_NOTIFICATION!$C$4:$C$363=$B8)*RAW_NOTIFICATION!$D$4:$D$363)</f>
        <v>0</v>
      </c>
      <c r="D8" s="12">
        <f>SUMPRODUCT((IF(SelectedScope="All India",1,RAW_NOTIFICATION!$B$4:$B$363=SelectedScope))*(RAW_NOTIFICATION!$C$4:$C$363=$B8)*RAW_NOTIFICATION!$E$4:$E$363)</f>
        <v>0</v>
      </c>
      <c r="E8" s="20" t="str">
        <f t="shared" ca="1" si="0"/>
        <v/>
      </c>
      <c r="F8" s="20" t="str">
        <f>IFERROR(SUMPRODUCT((IF(SelectedScope="All India",1,RAW_NOTIFICATION!$B$4:$B$363=SelectedScope))*(RAW_NOTIFICATION!$C$4:$C$363=$B8)*RAW_NOTIFICATION!$G$4:$G$363)/(SUMPRODUCT((IF(SelectedScope="All India",1,RAW_NOTIFICATION!$B$4:$B$363=SelectedScope))*(RAW_NOTIFICATION!$C$4:$C$363=$B8)*RAW_NOTIFICATION!$E$4:$E$363)),"")</f>
        <v/>
      </c>
      <c r="G8" s="20" t="str">
        <f>IFERROR(SUMPRODUCT((IF(SelectedScope="All India",1,RAW_NOTIFICATION!$B$4:$B$363=SelectedScope))*(RAW_NOTIFICATION!$C$4:$C$363=$B8)*RAW_NOTIFICATION!$H$4:$H$363)/(SUMPRODUCT((IF(SelectedScope="All India",1,RAW_NOTIFICATION!$B$4:$B$363=SelectedScope))*(RAW_NOTIFICATION!$C$4:$C$363=$B8)*RAW_NOTIFICATION!$E$4:$E$363)),"")</f>
        <v/>
      </c>
      <c r="H8" s="20" t="str">
        <f>IFERROR(SUMPRODUCT((IF(SelectedScope="All India",1,RAW_NOTIFICATION!$B$4:$B$363=SelectedScope))*(RAW_NOTIFICATION!$C$4:$C$363=$B8)*RAW_NOTIFICATION!$I$4:$I$363)/(SUMPRODUCT((IF(SelectedScope="All India",1,RAW_NOTIFICATION!$B$4:$B$363=SelectedScope))*(RAW_NOTIFICATION!$C$4:$C$363=$B8)*RAW_NOTIFICATION!$E$4:$E$363)),"")</f>
        <v/>
      </c>
      <c r="I8" s="12">
        <f>SUMPRODUCT((IF(SelectedScope="All India",1,RAW_NOTIFICATION!$B$4:$B$363=SelectedScope))*(RAW_NOTIFICATION!$C$4:$C$363=$B8)*RAW_NOTIFICATION!$K$4:$K$363)</f>
        <v>0</v>
      </c>
      <c r="J8" s="20" t="str">
        <f t="shared" si="1"/>
        <v/>
      </c>
      <c r="K8" s="16"/>
    </row>
    <row r="9" spans="1:11" ht="16.05" customHeight="1" x14ac:dyDescent="0.3">
      <c r="A9" s="18">
        <v>4</v>
      </c>
      <c r="B9" s="18" t="s">
        <v>705</v>
      </c>
      <c r="C9" s="9">
        <f>SUMPRODUCT((IF(SelectedScope="All India",1,RAW_NOTIFICATION!$B$4:$B$363=SelectedScope))*(RAW_NOTIFICATION!$C$4:$C$363=$B9)*RAW_NOTIFICATION!$D$4:$D$363)</f>
        <v>0</v>
      </c>
      <c r="D9" s="9">
        <f>SUMPRODUCT((IF(SelectedScope="All India",1,RAW_NOTIFICATION!$B$4:$B$363=SelectedScope))*(RAW_NOTIFICATION!$C$4:$C$363=$B9)*RAW_NOTIFICATION!$E$4:$E$363)</f>
        <v>0</v>
      </c>
      <c r="E9" s="21" t="str">
        <f t="shared" ca="1" si="0"/>
        <v/>
      </c>
      <c r="F9" s="21" t="str">
        <f>IFERROR(SUMPRODUCT((IF(SelectedScope="All India",1,RAW_NOTIFICATION!$B$4:$B$363=SelectedScope))*(RAW_NOTIFICATION!$C$4:$C$363=$B9)*RAW_NOTIFICATION!$G$4:$G$363)/(SUMPRODUCT((IF(SelectedScope="All India",1,RAW_NOTIFICATION!$B$4:$B$363=SelectedScope))*(RAW_NOTIFICATION!$C$4:$C$363=$B9)*RAW_NOTIFICATION!$E$4:$E$363)),"")</f>
        <v/>
      </c>
      <c r="G9" s="21" t="str">
        <f>IFERROR(SUMPRODUCT((IF(SelectedScope="All India",1,RAW_NOTIFICATION!$B$4:$B$363=SelectedScope))*(RAW_NOTIFICATION!$C$4:$C$363=$B9)*RAW_NOTIFICATION!$H$4:$H$363)/(SUMPRODUCT((IF(SelectedScope="All India",1,RAW_NOTIFICATION!$B$4:$B$363=SelectedScope))*(RAW_NOTIFICATION!$C$4:$C$363=$B9)*RAW_NOTIFICATION!$E$4:$E$363)),"")</f>
        <v/>
      </c>
      <c r="H9" s="21" t="str">
        <f>IFERROR(SUMPRODUCT((IF(SelectedScope="All India",1,RAW_NOTIFICATION!$B$4:$B$363=SelectedScope))*(RAW_NOTIFICATION!$C$4:$C$363=$B9)*RAW_NOTIFICATION!$I$4:$I$363)/(SUMPRODUCT((IF(SelectedScope="All India",1,RAW_NOTIFICATION!$B$4:$B$363=SelectedScope))*(RAW_NOTIFICATION!$C$4:$C$363=$B9)*RAW_NOTIFICATION!$E$4:$E$363)),"")</f>
        <v/>
      </c>
      <c r="I9" s="9">
        <f>SUMPRODUCT((IF(SelectedScope="All India",1,RAW_NOTIFICATION!$B$4:$B$363=SelectedScope))*(RAW_NOTIFICATION!$C$4:$C$363=$B9)*RAW_NOTIFICATION!$K$4:$K$363)</f>
        <v>0</v>
      </c>
      <c r="J9" s="21" t="str">
        <f t="shared" si="1"/>
        <v/>
      </c>
      <c r="K9" s="18"/>
    </row>
    <row r="10" spans="1:11" ht="16.05" customHeight="1" x14ac:dyDescent="0.3">
      <c r="A10" s="16">
        <v>5</v>
      </c>
      <c r="B10" s="16" t="s">
        <v>706</v>
      </c>
      <c r="C10" s="12">
        <f>SUMPRODUCT((IF(SelectedScope="All India",1,RAW_NOTIFICATION!$B$4:$B$363=SelectedScope))*(RAW_NOTIFICATION!$C$4:$C$363=$B10)*RAW_NOTIFICATION!$D$4:$D$363)</f>
        <v>0</v>
      </c>
      <c r="D10" s="12">
        <f>SUMPRODUCT((IF(SelectedScope="All India",1,RAW_NOTIFICATION!$B$4:$B$363=SelectedScope))*(RAW_NOTIFICATION!$C$4:$C$363=$B10)*RAW_NOTIFICATION!$E$4:$E$363)</f>
        <v>0</v>
      </c>
      <c r="E10" s="20" t="str">
        <f t="shared" ca="1" si="0"/>
        <v/>
      </c>
      <c r="F10" s="20" t="str">
        <f>IFERROR(SUMPRODUCT((IF(SelectedScope="All India",1,RAW_NOTIFICATION!$B$4:$B$363=SelectedScope))*(RAW_NOTIFICATION!$C$4:$C$363=$B10)*RAW_NOTIFICATION!$G$4:$G$363)/(SUMPRODUCT((IF(SelectedScope="All India",1,RAW_NOTIFICATION!$B$4:$B$363=SelectedScope))*(RAW_NOTIFICATION!$C$4:$C$363=$B10)*RAW_NOTIFICATION!$E$4:$E$363)),"")</f>
        <v/>
      </c>
      <c r="G10" s="20" t="str">
        <f>IFERROR(SUMPRODUCT((IF(SelectedScope="All India",1,RAW_NOTIFICATION!$B$4:$B$363=SelectedScope))*(RAW_NOTIFICATION!$C$4:$C$363=$B10)*RAW_NOTIFICATION!$H$4:$H$363)/(SUMPRODUCT((IF(SelectedScope="All India",1,RAW_NOTIFICATION!$B$4:$B$363=SelectedScope))*(RAW_NOTIFICATION!$C$4:$C$363=$B10)*RAW_NOTIFICATION!$E$4:$E$363)),"")</f>
        <v/>
      </c>
      <c r="H10" s="20" t="str">
        <f>IFERROR(SUMPRODUCT((IF(SelectedScope="All India",1,RAW_NOTIFICATION!$B$4:$B$363=SelectedScope))*(RAW_NOTIFICATION!$C$4:$C$363=$B10)*RAW_NOTIFICATION!$I$4:$I$363)/(SUMPRODUCT((IF(SelectedScope="All India",1,RAW_NOTIFICATION!$B$4:$B$363=SelectedScope))*(RAW_NOTIFICATION!$C$4:$C$363=$B10)*RAW_NOTIFICATION!$E$4:$E$363)),"")</f>
        <v/>
      </c>
      <c r="I10" s="12">
        <f>SUMPRODUCT((IF(SelectedScope="All India",1,RAW_NOTIFICATION!$B$4:$B$363=SelectedScope))*(RAW_NOTIFICATION!$C$4:$C$363=$B10)*RAW_NOTIFICATION!$K$4:$K$363)</f>
        <v>0</v>
      </c>
      <c r="J10" s="20" t="str">
        <f t="shared" si="1"/>
        <v/>
      </c>
      <c r="K10" s="16"/>
    </row>
    <row r="11" spans="1:11" ht="16.05" customHeight="1" x14ac:dyDescent="0.3">
      <c r="A11" s="18">
        <v>6</v>
      </c>
      <c r="B11" s="18" t="s">
        <v>707</v>
      </c>
      <c r="C11" s="9">
        <f>SUMPRODUCT((IF(SelectedScope="All India",1,RAW_NOTIFICATION!$B$4:$B$363=SelectedScope))*(RAW_NOTIFICATION!$C$4:$C$363=$B11)*RAW_NOTIFICATION!$D$4:$D$363)</f>
        <v>0</v>
      </c>
      <c r="D11" s="9">
        <f>SUMPRODUCT((IF(SelectedScope="All India",1,RAW_NOTIFICATION!$B$4:$B$363=SelectedScope))*(RAW_NOTIFICATION!$C$4:$C$363=$B11)*RAW_NOTIFICATION!$E$4:$E$363)</f>
        <v>0</v>
      </c>
      <c r="E11" s="21" t="str">
        <f t="shared" ca="1" si="0"/>
        <v/>
      </c>
      <c r="F11" s="21" t="str">
        <f>IFERROR(SUMPRODUCT((IF(SelectedScope="All India",1,RAW_NOTIFICATION!$B$4:$B$363=SelectedScope))*(RAW_NOTIFICATION!$C$4:$C$363=$B11)*RAW_NOTIFICATION!$G$4:$G$363)/(SUMPRODUCT((IF(SelectedScope="All India",1,RAW_NOTIFICATION!$B$4:$B$363=SelectedScope))*(RAW_NOTIFICATION!$C$4:$C$363=$B11)*RAW_NOTIFICATION!$E$4:$E$363)),"")</f>
        <v/>
      </c>
      <c r="G11" s="21" t="str">
        <f>IFERROR(SUMPRODUCT((IF(SelectedScope="All India",1,RAW_NOTIFICATION!$B$4:$B$363=SelectedScope))*(RAW_NOTIFICATION!$C$4:$C$363=$B11)*RAW_NOTIFICATION!$H$4:$H$363)/(SUMPRODUCT((IF(SelectedScope="All India",1,RAW_NOTIFICATION!$B$4:$B$363=SelectedScope))*(RAW_NOTIFICATION!$C$4:$C$363=$B11)*RAW_NOTIFICATION!$E$4:$E$363)),"")</f>
        <v/>
      </c>
      <c r="H11" s="21" t="str">
        <f>IFERROR(SUMPRODUCT((IF(SelectedScope="All India",1,RAW_NOTIFICATION!$B$4:$B$363=SelectedScope))*(RAW_NOTIFICATION!$C$4:$C$363=$B11)*RAW_NOTIFICATION!$I$4:$I$363)/(SUMPRODUCT((IF(SelectedScope="All India",1,RAW_NOTIFICATION!$B$4:$B$363=SelectedScope))*(RAW_NOTIFICATION!$C$4:$C$363=$B11)*RAW_NOTIFICATION!$E$4:$E$363)),"")</f>
        <v/>
      </c>
      <c r="I11" s="9">
        <f>SUMPRODUCT((IF(SelectedScope="All India",1,RAW_NOTIFICATION!$B$4:$B$363=SelectedScope))*(RAW_NOTIFICATION!$C$4:$C$363=$B11)*RAW_NOTIFICATION!$K$4:$K$363)</f>
        <v>0</v>
      </c>
      <c r="J11" s="21" t="str">
        <f t="shared" si="1"/>
        <v/>
      </c>
      <c r="K11" s="18"/>
    </row>
    <row r="12" spans="1:11" ht="16.05" customHeight="1" x14ac:dyDescent="0.3">
      <c r="A12" s="16">
        <v>7</v>
      </c>
      <c r="B12" s="16" t="s">
        <v>708</v>
      </c>
      <c r="C12" s="12">
        <f>SUMPRODUCT((IF(SelectedScope="All India",1,RAW_NOTIFICATION!$B$4:$B$363=SelectedScope))*(RAW_NOTIFICATION!$C$4:$C$363=$B12)*RAW_NOTIFICATION!$D$4:$D$363)</f>
        <v>0</v>
      </c>
      <c r="D12" s="12">
        <f>SUMPRODUCT((IF(SelectedScope="All India",1,RAW_NOTIFICATION!$B$4:$B$363=SelectedScope))*(RAW_NOTIFICATION!$C$4:$C$363=$B12)*RAW_NOTIFICATION!$E$4:$E$363)</f>
        <v>0</v>
      </c>
      <c r="E12" s="20" t="str">
        <f t="shared" ca="1" si="0"/>
        <v/>
      </c>
      <c r="F12" s="20" t="str">
        <f>IFERROR(SUMPRODUCT((IF(SelectedScope="All India",1,RAW_NOTIFICATION!$B$4:$B$363=SelectedScope))*(RAW_NOTIFICATION!$C$4:$C$363=$B12)*RAW_NOTIFICATION!$G$4:$G$363)/(SUMPRODUCT((IF(SelectedScope="All India",1,RAW_NOTIFICATION!$B$4:$B$363=SelectedScope))*(RAW_NOTIFICATION!$C$4:$C$363=$B12)*RAW_NOTIFICATION!$E$4:$E$363)),"")</f>
        <v/>
      </c>
      <c r="G12" s="20" t="str">
        <f>IFERROR(SUMPRODUCT((IF(SelectedScope="All India",1,RAW_NOTIFICATION!$B$4:$B$363=SelectedScope))*(RAW_NOTIFICATION!$C$4:$C$363=$B12)*RAW_NOTIFICATION!$H$4:$H$363)/(SUMPRODUCT((IF(SelectedScope="All India",1,RAW_NOTIFICATION!$B$4:$B$363=SelectedScope))*(RAW_NOTIFICATION!$C$4:$C$363=$B12)*RAW_NOTIFICATION!$E$4:$E$363)),"")</f>
        <v/>
      </c>
      <c r="H12" s="20" t="str">
        <f>IFERROR(SUMPRODUCT((IF(SelectedScope="All India",1,RAW_NOTIFICATION!$B$4:$B$363=SelectedScope))*(RAW_NOTIFICATION!$C$4:$C$363=$B12)*RAW_NOTIFICATION!$I$4:$I$363)/(SUMPRODUCT((IF(SelectedScope="All India",1,RAW_NOTIFICATION!$B$4:$B$363=SelectedScope))*(RAW_NOTIFICATION!$C$4:$C$363=$B12)*RAW_NOTIFICATION!$E$4:$E$363)),"")</f>
        <v/>
      </c>
      <c r="I12" s="12">
        <f>SUMPRODUCT((IF(SelectedScope="All India",1,RAW_NOTIFICATION!$B$4:$B$363=SelectedScope))*(RAW_NOTIFICATION!$C$4:$C$363=$B12)*RAW_NOTIFICATION!$K$4:$K$363)</f>
        <v>0</v>
      </c>
      <c r="J12" s="20" t="str">
        <f t="shared" si="1"/>
        <v/>
      </c>
      <c r="K12" s="16"/>
    </row>
    <row r="13" spans="1:11" ht="16.05" customHeight="1" x14ac:dyDescent="0.3">
      <c r="A13" s="18">
        <v>8</v>
      </c>
      <c r="B13" s="18" t="s">
        <v>709</v>
      </c>
      <c r="C13" s="9">
        <f>SUMPRODUCT((IF(SelectedScope="All India",1,RAW_NOTIFICATION!$B$4:$B$363=SelectedScope))*(RAW_NOTIFICATION!$C$4:$C$363=$B13)*RAW_NOTIFICATION!$D$4:$D$363)</f>
        <v>0</v>
      </c>
      <c r="D13" s="9">
        <f>SUMPRODUCT((IF(SelectedScope="All India",1,RAW_NOTIFICATION!$B$4:$B$363=SelectedScope))*(RAW_NOTIFICATION!$C$4:$C$363=$B13)*RAW_NOTIFICATION!$E$4:$E$363)</f>
        <v>0</v>
      </c>
      <c r="E13" s="21" t="str">
        <f t="shared" ca="1" si="0"/>
        <v/>
      </c>
      <c r="F13" s="21" t="str">
        <f>IFERROR(SUMPRODUCT((IF(SelectedScope="All India",1,RAW_NOTIFICATION!$B$4:$B$363=SelectedScope))*(RAW_NOTIFICATION!$C$4:$C$363=$B13)*RAW_NOTIFICATION!$G$4:$G$363)/(SUMPRODUCT((IF(SelectedScope="All India",1,RAW_NOTIFICATION!$B$4:$B$363=SelectedScope))*(RAW_NOTIFICATION!$C$4:$C$363=$B13)*RAW_NOTIFICATION!$E$4:$E$363)),"")</f>
        <v/>
      </c>
      <c r="G13" s="21" t="str">
        <f>IFERROR(SUMPRODUCT((IF(SelectedScope="All India",1,RAW_NOTIFICATION!$B$4:$B$363=SelectedScope))*(RAW_NOTIFICATION!$C$4:$C$363=$B13)*RAW_NOTIFICATION!$H$4:$H$363)/(SUMPRODUCT((IF(SelectedScope="All India",1,RAW_NOTIFICATION!$B$4:$B$363=SelectedScope))*(RAW_NOTIFICATION!$C$4:$C$363=$B13)*RAW_NOTIFICATION!$E$4:$E$363)),"")</f>
        <v/>
      </c>
      <c r="H13" s="21" t="str">
        <f>IFERROR(SUMPRODUCT((IF(SelectedScope="All India",1,RAW_NOTIFICATION!$B$4:$B$363=SelectedScope))*(RAW_NOTIFICATION!$C$4:$C$363=$B13)*RAW_NOTIFICATION!$I$4:$I$363)/(SUMPRODUCT((IF(SelectedScope="All India",1,RAW_NOTIFICATION!$B$4:$B$363=SelectedScope))*(RAW_NOTIFICATION!$C$4:$C$363=$B13)*RAW_NOTIFICATION!$E$4:$E$363)),"")</f>
        <v/>
      </c>
      <c r="I13" s="9">
        <f>SUMPRODUCT((IF(SelectedScope="All India",1,RAW_NOTIFICATION!$B$4:$B$363=SelectedScope))*(RAW_NOTIFICATION!$C$4:$C$363=$B13)*RAW_NOTIFICATION!$K$4:$K$363)</f>
        <v>0</v>
      </c>
      <c r="J13" s="21" t="str">
        <f t="shared" si="1"/>
        <v/>
      </c>
      <c r="K13" s="18"/>
    </row>
    <row r="14" spans="1:11" ht="16.05" customHeight="1" x14ac:dyDescent="0.3">
      <c r="A14" s="16">
        <v>9</v>
      </c>
      <c r="B14" s="16" t="s">
        <v>710</v>
      </c>
      <c r="C14" s="12">
        <f>SUMPRODUCT((IF(SelectedScope="All India",1,RAW_NOTIFICATION!$B$4:$B$363=SelectedScope))*(RAW_NOTIFICATION!$C$4:$C$363=$B14)*RAW_NOTIFICATION!$D$4:$D$363)</f>
        <v>0</v>
      </c>
      <c r="D14" s="12">
        <f>SUMPRODUCT((IF(SelectedScope="All India",1,RAW_NOTIFICATION!$B$4:$B$363=SelectedScope))*(RAW_NOTIFICATION!$C$4:$C$363=$B14)*RAW_NOTIFICATION!$E$4:$E$363)</f>
        <v>0</v>
      </c>
      <c r="E14" s="20" t="str">
        <f t="shared" ca="1" si="0"/>
        <v/>
      </c>
      <c r="F14" s="20" t="str">
        <f>IFERROR(SUMPRODUCT((IF(SelectedScope="All India",1,RAW_NOTIFICATION!$B$4:$B$363=SelectedScope))*(RAW_NOTIFICATION!$C$4:$C$363=$B14)*RAW_NOTIFICATION!$G$4:$G$363)/(SUMPRODUCT((IF(SelectedScope="All India",1,RAW_NOTIFICATION!$B$4:$B$363=SelectedScope))*(RAW_NOTIFICATION!$C$4:$C$363=$B14)*RAW_NOTIFICATION!$E$4:$E$363)),"")</f>
        <v/>
      </c>
      <c r="G14" s="20" t="str">
        <f>IFERROR(SUMPRODUCT((IF(SelectedScope="All India",1,RAW_NOTIFICATION!$B$4:$B$363=SelectedScope))*(RAW_NOTIFICATION!$C$4:$C$363=$B14)*RAW_NOTIFICATION!$H$4:$H$363)/(SUMPRODUCT((IF(SelectedScope="All India",1,RAW_NOTIFICATION!$B$4:$B$363=SelectedScope))*(RAW_NOTIFICATION!$C$4:$C$363=$B14)*RAW_NOTIFICATION!$E$4:$E$363)),"")</f>
        <v/>
      </c>
      <c r="H14" s="20" t="str">
        <f>IFERROR(SUMPRODUCT((IF(SelectedScope="All India",1,RAW_NOTIFICATION!$B$4:$B$363=SelectedScope))*(RAW_NOTIFICATION!$C$4:$C$363=$B14)*RAW_NOTIFICATION!$I$4:$I$363)/(SUMPRODUCT((IF(SelectedScope="All India",1,RAW_NOTIFICATION!$B$4:$B$363=SelectedScope))*(RAW_NOTIFICATION!$C$4:$C$363=$B14)*RAW_NOTIFICATION!$E$4:$E$363)),"")</f>
        <v/>
      </c>
      <c r="I14" s="12">
        <f>SUMPRODUCT((IF(SelectedScope="All India",1,RAW_NOTIFICATION!$B$4:$B$363=SelectedScope))*(RAW_NOTIFICATION!$C$4:$C$363=$B14)*RAW_NOTIFICATION!$K$4:$K$363)</f>
        <v>0</v>
      </c>
      <c r="J14" s="20" t="str">
        <f t="shared" si="1"/>
        <v/>
      </c>
      <c r="K14" s="16"/>
    </row>
    <row r="15" spans="1:11" ht="16.05" customHeight="1" x14ac:dyDescent="0.3">
      <c r="A15" s="18">
        <v>10</v>
      </c>
      <c r="B15" s="18" t="s">
        <v>711</v>
      </c>
      <c r="C15" s="9">
        <f>SUMPRODUCT((IF(SelectedScope="All India",1,RAW_NOTIFICATION!$B$4:$B$363=SelectedScope))*(RAW_NOTIFICATION!$C$4:$C$363=$B15)*RAW_NOTIFICATION!$D$4:$D$363)</f>
        <v>0</v>
      </c>
      <c r="D15" s="9">
        <f>SUMPRODUCT((IF(SelectedScope="All India",1,RAW_NOTIFICATION!$B$4:$B$363=SelectedScope))*(RAW_NOTIFICATION!$C$4:$C$363=$B15)*RAW_NOTIFICATION!$E$4:$E$363)</f>
        <v>0</v>
      </c>
      <c r="E15" s="21" t="str">
        <f t="shared" ca="1" si="0"/>
        <v/>
      </c>
      <c r="F15" s="21" t="str">
        <f>IFERROR(SUMPRODUCT((IF(SelectedScope="All India",1,RAW_NOTIFICATION!$B$4:$B$363=SelectedScope))*(RAW_NOTIFICATION!$C$4:$C$363=$B15)*RAW_NOTIFICATION!$G$4:$G$363)/(SUMPRODUCT((IF(SelectedScope="All India",1,RAW_NOTIFICATION!$B$4:$B$363=SelectedScope))*(RAW_NOTIFICATION!$C$4:$C$363=$B15)*RAW_NOTIFICATION!$E$4:$E$363)),"")</f>
        <v/>
      </c>
      <c r="G15" s="21" t="str">
        <f>IFERROR(SUMPRODUCT((IF(SelectedScope="All India",1,RAW_NOTIFICATION!$B$4:$B$363=SelectedScope))*(RAW_NOTIFICATION!$C$4:$C$363=$B15)*RAW_NOTIFICATION!$H$4:$H$363)/(SUMPRODUCT((IF(SelectedScope="All India",1,RAW_NOTIFICATION!$B$4:$B$363=SelectedScope))*(RAW_NOTIFICATION!$C$4:$C$363=$B15)*RAW_NOTIFICATION!$E$4:$E$363)),"")</f>
        <v/>
      </c>
      <c r="H15" s="21" t="str">
        <f>IFERROR(SUMPRODUCT((IF(SelectedScope="All India",1,RAW_NOTIFICATION!$B$4:$B$363=SelectedScope))*(RAW_NOTIFICATION!$C$4:$C$363=$B15)*RAW_NOTIFICATION!$I$4:$I$363)/(SUMPRODUCT((IF(SelectedScope="All India",1,RAW_NOTIFICATION!$B$4:$B$363=SelectedScope))*(RAW_NOTIFICATION!$C$4:$C$363=$B15)*RAW_NOTIFICATION!$E$4:$E$363)),"")</f>
        <v/>
      </c>
      <c r="I15" s="9">
        <f>SUMPRODUCT((IF(SelectedScope="All India",1,RAW_NOTIFICATION!$B$4:$B$363=SelectedScope))*(RAW_NOTIFICATION!$C$4:$C$363=$B15)*RAW_NOTIFICATION!$K$4:$K$363)</f>
        <v>0</v>
      </c>
      <c r="J15" s="21" t="str">
        <f t="shared" si="1"/>
        <v/>
      </c>
      <c r="K15" s="18"/>
    </row>
    <row r="17" spans="1:11" ht="19.95" customHeight="1" x14ac:dyDescent="0.3">
      <c r="A17" s="37" t="s">
        <v>712</v>
      </c>
      <c r="B17" s="33"/>
      <c r="C17" s="33"/>
      <c r="D17" s="33"/>
      <c r="E17" s="33"/>
      <c r="F17" s="33"/>
      <c r="G17" s="33"/>
      <c r="H17" s="33"/>
      <c r="I17" s="33"/>
      <c r="J17" s="33"/>
      <c r="K17" s="33"/>
    </row>
    <row r="18" spans="1:11" ht="31.95" customHeight="1" x14ac:dyDescent="0.3">
      <c r="A18" s="15" t="s">
        <v>78</v>
      </c>
      <c r="B18" s="15" t="s">
        <v>713</v>
      </c>
      <c r="C18" s="15" t="s">
        <v>714</v>
      </c>
      <c r="D18" s="15" t="s">
        <v>715</v>
      </c>
      <c r="E18" s="15" t="s">
        <v>716</v>
      </c>
      <c r="F18" s="15" t="s">
        <v>717</v>
      </c>
      <c r="G18" s="15" t="s">
        <v>718</v>
      </c>
      <c r="H18" s="15" t="s">
        <v>719</v>
      </c>
      <c r="I18" s="15" t="s">
        <v>720</v>
      </c>
      <c r="J18" s="15" t="s">
        <v>721</v>
      </c>
      <c r="K18" s="15" t="s">
        <v>86</v>
      </c>
    </row>
    <row r="19" spans="1:11" ht="16.05" customHeight="1" x14ac:dyDescent="0.3">
      <c r="A19" s="18">
        <v>1</v>
      </c>
      <c r="B19" s="18" t="s">
        <v>722</v>
      </c>
      <c r="C19" s="18"/>
      <c r="D19" s="18"/>
      <c r="E19" s="21" t="str">
        <f>IFERROR(D19/C19,"")</f>
        <v/>
      </c>
      <c r="F19" s="18"/>
      <c r="G19" s="18"/>
      <c r="H19" s="18"/>
      <c r="I19" s="18"/>
      <c r="J19" s="18"/>
      <c r="K19" s="18"/>
    </row>
    <row r="20" spans="1:11" ht="16.05" customHeight="1" x14ac:dyDescent="0.3">
      <c r="A20" s="16">
        <v>2</v>
      </c>
      <c r="B20" s="16" t="s">
        <v>723</v>
      </c>
      <c r="C20" s="16"/>
      <c r="D20" s="16"/>
      <c r="E20" s="20" t="str">
        <f>IFERROR(D20/C20,"")</f>
        <v/>
      </c>
      <c r="F20" s="16"/>
      <c r="G20" s="16"/>
      <c r="H20" s="16"/>
      <c r="I20" s="16"/>
      <c r="J20" s="16"/>
      <c r="K20" s="16"/>
    </row>
    <row r="21" spans="1:11" ht="16.05" customHeight="1" x14ac:dyDescent="0.3">
      <c r="A21" s="18">
        <v>3</v>
      </c>
      <c r="B21" s="18" t="s">
        <v>724</v>
      </c>
      <c r="C21" s="18"/>
      <c r="D21" s="18"/>
      <c r="E21" s="21" t="str">
        <f>IFERROR(D21/C21,"")</f>
        <v/>
      </c>
      <c r="F21" s="18"/>
      <c r="G21" s="18"/>
      <c r="H21" s="18"/>
      <c r="I21" s="18"/>
      <c r="J21" s="18"/>
      <c r="K21" s="18"/>
    </row>
    <row r="22" spans="1:11" ht="16.05" customHeight="1" x14ac:dyDescent="0.3">
      <c r="A22" s="16">
        <v>4</v>
      </c>
      <c r="B22" s="16" t="s">
        <v>725</v>
      </c>
      <c r="C22" s="16"/>
      <c r="D22" s="16"/>
      <c r="E22" s="20" t="str">
        <f>IFERROR(D22/C22,"")</f>
        <v/>
      </c>
      <c r="F22" s="16"/>
      <c r="G22" s="16"/>
      <c r="H22" s="16"/>
      <c r="I22" s="16"/>
      <c r="J22" s="16"/>
      <c r="K22" s="16"/>
    </row>
    <row r="23" spans="1:11" ht="16.05" customHeight="1" x14ac:dyDescent="0.3">
      <c r="A23" s="18">
        <v>5</v>
      </c>
      <c r="B23" s="18" t="s">
        <v>726</v>
      </c>
      <c r="C23" s="18"/>
      <c r="D23" s="18"/>
      <c r="E23" s="21" t="str">
        <f>IFERROR(D23/C23,"")</f>
        <v/>
      </c>
      <c r="F23" s="18"/>
      <c r="G23" s="18"/>
      <c r="H23" s="18"/>
      <c r="I23" s="18"/>
      <c r="J23" s="18"/>
      <c r="K23" s="18"/>
    </row>
    <row r="25" spans="1:11" ht="19.95" customHeight="1" x14ac:dyDescent="0.3">
      <c r="A25" s="37" t="s">
        <v>727</v>
      </c>
      <c r="B25" s="33"/>
      <c r="C25" s="33"/>
      <c r="D25" s="33"/>
      <c r="E25" s="33"/>
      <c r="F25" s="33"/>
      <c r="G25" s="33"/>
      <c r="H25" s="33"/>
      <c r="I25" s="33"/>
      <c r="J25" s="33"/>
      <c r="K25" s="33"/>
    </row>
    <row r="26" spans="1:11" ht="31.95" customHeight="1" x14ac:dyDescent="0.3">
      <c r="A26" s="15" t="s">
        <v>78</v>
      </c>
      <c r="B26" s="15" t="s">
        <v>192</v>
      </c>
      <c r="C26" s="15" t="s">
        <v>728</v>
      </c>
      <c r="D26" s="15" t="s">
        <v>729</v>
      </c>
      <c r="E26" s="15" t="s">
        <v>701</v>
      </c>
      <c r="F26" s="15" t="s">
        <v>730</v>
      </c>
      <c r="G26" s="15" t="s">
        <v>731</v>
      </c>
      <c r="H26" s="15" t="s">
        <v>732</v>
      </c>
      <c r="I26" s="15" t="s">
        <v>733</v>
      </c>
      <c r="J26" s="15" t="s">
        <v>86</v>
      </c>
      <c r="K26" s="15" t="s">
        <v>89</v>
      </c>
    </row>
    <row r="27" spans="1:11" ht="16.05" customHeight="1" x14ac:dyDescent="0.3">
      <c r="A27" s="18">
        <v>1</v>
      </c>
      <c r="B27" s="18" t="s">
        <v>519</v>
      </c>
      <c r="C27" s="9">
        <f>SUMPRODUCT((RAW_NOTIFICATION!$B$4:$B$363=$B27)*RAW_NOTIFICATION!$D$4:$D$363)</f>
        <v>0</v>
      </c>
      <c r="D27" s="9">
        <f>SUMPRODUCT((RAW_NOTIFICATION!$B$4:$B$363=$B27)*RAW_NOTIFICATION!$K$4:$K$363)</f>
        <v>0</v>
      </c>
      <c r="E27" s="21" t="str">
        <f t="shared" ref="E27:E62" si="2">IFERROR(D27/C27,"")</f>
        <v/>
      </c>
      <c r="F27" s="18"/>
      <c r="G27" s="18"/>
      <c r="H27" s="18"/>
      <c r="I27" s="18"/>
      <c r="J27" s="18"/>
      <c r="K27" s="18"/>
    </row>
    <row r="28" spans="1:11" ht="16.05" customHeight="1" x14ac:dyDescent="0.3">
      <c r="A28" s="16">
        <v>2</v>
      </c>
      <c r="B28" s="16" t="s">
        <v>520</v>
      </c>
      <c r="C28" s="12">
        <f>SUMPRODUCT((RAW_NOTIFICATION!$B$4:$B$363=$B28)*RAW_NOTIFICATION!$D$4:$D$363)</f>
        <v>0</v>
      </c>
      <c r="D28" s="12">
        <f>SUMPRODUCT((RAW_NOTIFICATION!$B$4:$B$363=$B28)*RAW_NOTIFICATION!$K$4:$K$363)</f>
        <v>0</v>
      </c>
      <c r="E28" s="20" t="str">
        <f t="shared" si="2"/>
        <v/>
      </c>
      <c r="F28" s="16"/>
      <c r="G28" s="16"/>
      <c r="H28" s="16"/>
      <c r="I28" s="16"/>
      <c r="J28" s="16"/>
      <c r="K28" s="16"/>
    </row>
    <row r="29" spans="1:11" ht="16.05" customHeight="1" x14ac:dyDescent="0.3">
      <c r="A29" s="18">
        <v>3</v>
      </c>
      <c r="B29" s="18" t="s">
        <v>521</v>
      </c>
      <c r="C29" s="9">
        <f>SUMPRODUCT((RAW_NOTIFICATION!$B$4:$B$363=$B29)*RAW_NOTIFICATION!$D$4:$D$363)</f>
        <v>0</v>
      </c>
      <c r="D29" s="9">
        <f>SUMPRODUCT((RAW_NOTIFICATION!$B$4:$B$363=$B29)*RAW_NOTIFICATION!$K$4:$K$363)</f>
        <v>0</v>
      </c>
      <c r="E29" s="21" t="str">
        <f t="shared" si="2"/>
        <v/>
      </c>
      <c r="F29" s="18"/>
      <c r="G29" s="18"/>
      <c r="H29" s="18"/>
      <c r="I29" s="18"/>
      <c r="J29" s="18"/>
      <c r="K29" s="18"/>
    </row>
    <row r="30" spans="1:11" ht="16.05" customHeight="1" x14ac:dyDescent="0.3">
      <c r="A30" s="16">
        <v>4</v>
      </c>
      <c r="B30" s="16" t="s">
        <v>522</v>
      </c>
      <c r="C30" s="12">
        <f>SUMPRODUCT((RAW_NOTIFICATION!$B$4:$B$363=$B30)*RAW_NOTIFICATION!$D$4:$D$363)</f>
        <v>0</v>
      </c>
      <c r="D30" s="12">
        <f>SUMPRODUCT((RAW_NOTIFICATION!$B$4:$B$363=$B30)*RAW_NOTIFICATION!$K$4:$K$363)</f>
        <v>0</v>
      </c>
      <c r="E30" s="20" t="str">
        <f t="shared" si="2"/>
        <v/>
      </c>
      <c r="F30" s="16"/>
      <c r="G30" s="16"/>
      <c r="H30" s="16"/>
      <c r="I30" s="16"/>
      <c r="J30" s="16"/>
      <c r="K30" s="16"/>
    </row>
    <row r="31" spans="1:11" ht="16.05" customHeight="1" x14ac:dyDescent="0.3">
      <c r="A31" s="18">
        <v>5</v>
      </c>
      <c r="B31" s="18" t="s">
        <v>523</v>
      </c>
      <c r="C31" s="9">
        <f>SUMPRODUCT((RAW_NOTIFICATION!$B$4:$B$363=$B31)*RAW_NOTIFICATION!$D$4:$D$363)</f>
        <v>0</v>
      </c>
      <c r="D31" s="9">
        <f>SUMPRODUCT((RAW_NOTIFICATION!$B$4:$B$363=$B31)*RAW_NOTIFICATION!$K$4:$K$363)</f>
        <v>0</v>
      </c>
      <c r="E31" s="21" t="str">
        <f t="shared" si="2"/>
        <v/>
      </c>
      <c r="F31" s="18"/>
      <c r="G31" s="18"/>
      <c r="H31" s="18"/>
      <c r="I31" s="18"/>
      <c r="J31" s="18"/>
      <c r="K31" s="18"/>
    </row>
    <row r="32" spans="1:11" ht="16.05" customHeight="1" x14ac:dyDescent="0.3">
      <c r="A32" s="16">
        <v>6</v>
      </c>
      <c r="B32" s="16" t="s">
        <v>524</v>
      </c>
      <c r="C32" s="12">
        <f>SUMPRODUCT((RAW_NOTIFICATION!$B$4:$B$363=$B32)*RAW_NOTIFICATION!$D$4:$D$363)</f>
        <v>0</v>
      </c>
      <c r="D32" s="12">
        <f>SUMPRODUCT((RAW_NOTIFICATION!$B$4:$B$363=$B32)*RAW_NOTIFICATION!$K$4:$K$363)</f>
        <v>0</v>
      </c>
      <c r="E32" s="20" t="str">
        <f t="shared" si="2"/>
        <v/>
      </c>
      <c r="F32" s="16"/>
      <c r="G32" s="16"/>
      <c r="H32" s="16"/>
      <c r="I32" s="16"/>
      <c r="J32" s="16"/>
      <c r="K32" s="16"/>
    </row>
    <row r="33" spans="1:11" ht="16.05" customHeight="1" x14ac:dyDescent="0.3">
      <c r="A33" s="18">
        <v>7</v>
      </c>
      <c r="B33" s="18" t="s">
        <v>525</v>
      </c>
      <c r="C33" s="9">
        <f>SUMPRODUCT((RAW_NOTIFICATION!$B$4:$B$363=$B33)*RAW_NOTIFICATION!$D$4:$D$363)</f>
        <v>0</v>
      </c>
      <c r="D33" s="9">
        <f>SUMPRODUCT((RAW_NOTIFICATION!$B$4:$B$363=$B33)*RAW_NOTIFICATION!$K$4:$K$363)</f>
        <v>0</v>
      </c>
      <c r="E33" s="21" t="str">
        <f t="shared" si="2"/>
        <v/>
      </c>
      <c r="F33" s="18"/>
      <c r="G33" s="18"/>
      <c r="H33" s="18"/>
      <c r="I33" s="18"/>
      <c r="J33" s="18"/>
      <c r="K33" s="18"/>
    </row>
    <row r="34" spans="1:11" ht="16.05" customHeight="1" x14ac:dyDescent="0.3">
      <c r="A34" s="16">
        <v>8</v>
      </c>
      <c r="B34" s="16" t="s">
        <v>526</v>
      </c>
      <c r="C34" s="12">
        <f>SUMPRODUCT((RAW_NOTIFICATION!$B$4:$B$363=$B34)*RAW_NOTIFICATION!$D$4:$D$363)</f>
        <v>0</v>
      </c>
      <c r="D34" s="12">
        <f>SUMPRODUCT((RAW_NOTIFICATION!$B$4:$B$363=$B34)*RAW_NOTIFICATION!$K$4:$K$363)</f>
        <v>0</v>
      </c>
      <c r="E34" s="20" t="str">
        <f t="shared" si="2"/>
        <v/>
      </c>
      <c r="F34" s="16"/>
      <c r="G34" s="16"/>
      <c r="H34" s="16"/>
      <c r="I34" s="16"/>
      <c r="J34" s="16"/>
      <c r="K34" s="16"/>
    </row>
    <row r="35" spans="1:11" ht="16.05" customHeight="1" x14ac:dyDescent="0.3">
      <c r="A35" s="18">
        <v>9</v>
      </c>
      <c r="B35" s="18" t="s">
        <v>527</v>
      </c>
      <c r="C35" s="9">
        <f>SUMPRODUCT((RAW_NOTIFICATION!$B$4:$B$363=$B35)*RAW_NOTIFICATION!$D$4:$D$363)</f>
        <v>0</v>
      </c>
      <c r="D35" s="9">
        <f>SUMPRODUCT((RAW_NOTIFICATION!$B$4:$B$363=$B35)*RAW_NOTIFICATION!$K$4:$K$363)</f>
        <v>0</v>
      </c>
      <c r="E35" s="21" t="str">
        <f t="shared" si="2"/>
        <v/>
      </c>
      <c r="F35" s="18"/>
      <c r="G35" s="18"/>
      <c r="H35" s="18"/>
      <c r="I35" s="18"/>
      <c r="J35" s="18"/>
      <c r="K35" s="18"/>
    </row>
    <row r="36" spans="1:11" ht="16.05" customHeight="1" x14ac:dyDescent="0.3">
      <c r="A36" s="16">
        <v>10</v>
      </c>
      <c r="B36" s="16" t="s">
        <v>528</v>
      </c>
      <c r="C36" s="12">
        <f>SUMPRODUCT((RAW_NOTIFICATION!$B$4:$B$363=$B36)*RAW_NOTIFICATION!$D$4:$D$363)</f>
        <v>0</v>
      </c>
      <c r="D36" s="12">
        <f>SUMPRODUCT((RAW_NOTIFICATION!$B$4:$B$363=$B36)*RAW_NOTIFICATION!$K$4:$K$363)</f>
        <v>0</v>
      </c>
      <c r="E36" s="20" t="str">
        <f t="shared" si="2"/>
        <v/>
      </c>
      <c r="F36" s="16"/>
      <c r="G36" s="16"/>
      <c r="H36" s="16"/>
      <c r="I36" s="16"/>
      <c r="J36" s="16"/>
      <c r="K36" s="16"/>
    </row>
    <row r="37" spans="1:11" ht="16.05" customHeight="1" x14ac:dyDescent="0.3">
      <c r="A37" s="18">
        <v>11</v>
      </c>
      <c r="B37" s="18" t="s">
        <v>529</v>
      </c>
      <c r="C37" s="9">
        <f>SUMPRODUCT((RAW_NOTIFICATION!$B$4:$B$363=$B37)*RAW_NOTIFICATION!$D$4:$D$363)</f>
        <v>0</v>
      </c>
      <c r="D37" s="9">
        <f>SUMPRODUCT((RAW_NOTIFICATION!$B$4:$B$363=$B37)*RAW_NOTIFICATION!$K$4:$K$363)</f>
        <v>0</v>
      </c>
      <c r="E37" s="21" t="str">
        <f t="shared" si="2"/>
        <v/>
      </c>
      <c r="F37" s="18"/>
      <c r="G37" s="18"/>
      <c r="H37" s="18"/>
      <c r="I37" s="18"/>
      <c r="J37" s="18"/>
      <c r="K37" s="18"/>
    </row>
    <row r="38" spans="1:11" ht="16.05" customHeight="1" x14ac:dyDescent="0.3">
      <c r="A38" s="16">
        <v>12</v>
      </c>
      <c r="B38" s="16" t="s">
        <v>530</v>
      </c>
      <c r="C38" s="12">
        <f>SUMPRODUCT((RAW_NOTIFICATION!$B$4:$B$363=$B38)*RAW_NOTIFICATION!$D$4:$D$363)</f>
        <v>0</v>
      </c>
      <c r="D38" s="12">
        <f>SUMPRODUCT((RAW_NOTIFICATION!$B$4:$B$363=$B38)*RAW_NOTIFICATION!$K$4:$K$363)</f>
        <v>0</v>
      </c>
      <c r="E38" s="20" t="str">
        <f t="shared" si="2"/>
        <v/>
      </c>
      <c r="F38" s="16"/>
      <c r="G38" s="16"/>
      <c r="H38" s="16"/>
      <c r="I38" s="16"/>
      <c r="J38" s="16"/>
      <c r="K38" s="16"/>
    </row>
    <row r="39" spans="1:11" ht="16.05" customHeight="1" x14ac:dyDescent="0.3">
      <c r="A39" s="18">
        <v>13</v>
      </c>
      <c r="B39" s="18" t="s">
        <v>531</v>
      </c>
      <c r="C39" s="9">
        <f>SUMPRODUCT((RAW_NOTIFICATION!$B$4:$B$363=$B39)*RAW_NOTIFICATION!$D$4:$D$363)</f>
        <v>0</v>
      </c>
      <c r="D39" s="9">
        <f>SUMPRODUCT((RAW_NOTIFICATION!$B$4:$B$363=$B39)*RAW_NOTIFICATION!$K$4:$K$363)</f>
        <v>0</v>
      </c>
      <c r="E39" s="21" t="str">
        <f t="shared" si="2"/>
        <v/>
      </c>
      <c r="F39" s="18"/>
      <c r="G39" s="18"/>
      <c r="H39" s="18"/>
      <c r="I39" s="18"/>
      <c r="J39" s="18"/>
      <c r="K39" s="18"/>
    </row>
    <row r="40" spans="1:11" ht="16.05" customHeight="1" x14ac:dyDescent="0.3">
      <c r="A40" s="16">
        <v>14</v>
      </c>
      <c r="B40" s="16" t="s">
        <v>532</v>
      </c>
      <c r="C40" s="12">
        <f>SUMPRODUCT((RAW_NOTIFICATION!$B$4:$B$363=$B40)*RAW_NOTIFICATION!$D$4:$D$363)</f>
        <v>0</v>
      </c>
      <c r="D40" s="12">
        <f>SUMPRODUCT((RAW_NOTIFICATION!$B$4:$B$363=$B40)*RAW_NOTIFICATION!$K$4:$K$363)</f>
        <v>0</v>
      </c>
      <c r="E40" s="20" t="str">
        <f t="shared" si="2"/>
        <v/>
      </c>
      <c r="F40" s="16"/>
      <c r="G40" s="16"/>
      <c r="H40" s="16"/>
      <c r="I40" s="16"/>
      <c r="J40" s="16"/>
      <c r="K40" s="16"/>
    </row>
    <row r="41" spans="1:11" ht="16.05" customHeight="1" x14ac:dyDescent="0.3">
      <c r="A41" s="18">
        <v>15</v>
      </c>
      <c r="B41" s="18" t="s">
        <v>533</v>
      </c>
      <c r="C41" s="9">
        <f>SUMPRODUCT((RAW_NOTIFICATION!$B$4:$B$363=$B41)*RAW_NOTIFICATION!$D$4:$D$363)</f>
        <v>0</v>
      </c>
      <c r="D41" s="9">
        <f>SUMPRODUCT((RAW_NOTIFICATION!$B$4:$B$363=$B41)*RAW_NOTIFICATION!$K$4:$K$363)</f>
        <v>0</v>
      </c>
      <c r="E41" s="21" t="str">
        <f t="shared" si="2"/>
        <v/>
      </c>
      <c r="F41" s="18"/>
      <c r="G41" s="18"/>
      <c r="H41" s="18"/>
      <c r="I41" s="18"/>
      <c r="J41" s="18"/>
      <c r="K41" s="18"/>
    </row>
    <row r="42" spans="1:11" ht="16.05" customHeight="1" x14ac:dyDescent="0.3">
      <c r="A42" s="16">
        <v>16</v>
      </c>
      <c r="B42" s="16" t="s">
        <v>534</v>
      </c>
      <c r="C42" s="12">
        <f>SUMPRODUCT((RAW_NOTIFICATION!$B$4:$B$363=$B42)*RAW_NOTIFICATION!$D$4:$D$363)</f>
        <v>0</v>
      </c>
      <c r="D42" s="12">
        <f>SUMPRODUCT((RAW_NOTIFICATION!$B$4:$B$363=$B42)*RAW_NOTIFICATION!$K$4:$K$363)</f>
        <v>0</v>
      </c>
      <c r="E42" s="20" t="str">
        <f t="shared" si="2"/>
        <v/>
      </c>
      <c r="F42" s="16"/>
      <c r="G42" s="16"/>
      <c r="H42" s="16"/>
      <c r="I42" s="16"/>
      <c r="J42" s="16"/>
      <c r="K42" s="16"/>
    </row>
    <row r="43" spans="1:11" ht="16.05" customHeight="1" x14ac:dyDescent="0.3">
      <c r="A43" s="18">
        <v>17</v>
      </c>
      <c r="B43" s="18" t="s">
        <v>535</v>
      </c>
      <c r="C43" s="9">
        <f>SUMPRODUCT((RAW_NOTIFICATION!$B$4:$B$363=$B43)*RAW_NOTIFICATION!$D$4:$D$363)</f>
        <v>0</v>
      </c>
      <c r="D43" s="9">
        <f>SUMPRODUCT((RAW_NOTIFICATION!$B$4:$B$363=$B43)*RAW_NOTIFICATION!$K$4:$K$363)</f>
        <v>0</v>
      </c>
      <c r="E43" s="21" t="str">
        <f t="shared" si="2"/>
        <v/>
      </c>
      <c r="F43" s="18"/>
      <c r="G43" s="18"/>
      <c r="H43" s="18"/>
      <c r="I43" s="18"/>
      <c r="J43" s="18"/>
      <c r="K43" s="18"/>
    </row>
    <row r="44" spans="1:11" ht="16.05" customHeight="1" x14ac:dyDescent="0.3">
      <c r="A44" s="16">
        <v>18</v>
      </c>
      <c r="B44" s="16" t="s">
        <v>536</v>
      </c>
      <c r="C44" s="12">
        <f>SUMPRODUCT((RAW_NOTIFICATION!$B$4:$B$363=$B44)*RAW_NOTIFICATION!$D$4:$D$363)</f>
        <v>0</v>
      </c>
      <c r="D44" s="12">
        <f>SUMPRODUCT((RAW_NOTIFICATION!$B$4:$B$363=$B44)*RAW_NOTIFICATION!$K$4:$K$363)</f>
        <v>0</v>
      </c>
      <c r="E44" s="20" t="str">
        <f t="shared" si="2"/>
        <v/>
      </c>
      <c r="F44" s="16"/>
      <c r="G44" s="16"/>
      <c r="H44" s="16"/>
      <c r="I44" s="16"/>
      <c r="J44" s="16"/>
      <c r="K44" s="16"/>
    </row>
    <row r="45" spans="1:11" ht="16.05" customHeight="1" x14ac:dyDescent="0.3">
      <c r="A45" s="18">
        <v>19</v>
      </c>
      <c r="B45" s="18" t="s">
        <v>537</v>
      </c>
      <c r="C45" s="9">
        <f>SUMPRODUCT((RAW_NOTIFICATION!$B$4:$B$363=$B45)*RAW_NOTIFICATION!$D$4:$D$363)</f>
        <v>0</v>
      </c>
      <c r="D45" s="9">
        <f>SUMPRODUCT((RAW_NOTIFICATION!$B$4:$B$363=$B45)*RAW_NOTIFICATION!$K$4:$K$363)</f>
        <v>0</v>
      </c>
      <c r="E45" s="21" t="str">
        <f t="shared" si="2"/>
        <v/>
      </c>
      <c r="F45" s="18"/>
      <c r="G45" s="18"/>
      <c r="H45" s="18"/>
      <c r="I45" s="18"/>
      <c r="J45" s="18"/>
      <c r="K45" s="18"/>
    </row>
    <row r="46" spans="1:11" ht="16.05" customHeight="1" x14ac:dyDescent="0.3">
      <c r="A46" s="16">
        <v>20</v>
      </c>
      <c r="B46" s="16" t="s">
        <v>538</v>
      </c>
      <c r="C46" s="12">
        <f>SUMPRODUCT((RAW_NOTIFICATION!$B$4:$B$363=$B46)*RAW_NOTIFICATION!$D$4:$D$363)</f>
        <v>0</v>
      </c>
      <c r="D46" s="12">
        <f>SUMPRODUCT((RAW_NOTIFICATION!$B$4:$B$363=$B46)*RAW_NOTIFICATION!$K$4:$K$363)</f>
        <v>0</v>
      </c>
      <c r="E46" s="20" t="str">
        <f t="shared" si="2"/>
        <v/>
      </c>
      <c r="F46" s="16"/>
      <c r="G46" s="16"/>
      <c r="H46" s="16"/>
      <c r="I46" s="16"/>
      <c r="J46" s="16"/>
      <c r="K46" s="16"/>
    </row>
    <row r="47" spans="1:11" ht="16.05" customHeight="1" x14ac:dyDescent="0.3">
      <c r="A47" s="18">
        <v>21</v>
      </c>
      <c r="B47" s="18" t="s">
        <v>539</v>
      </c>
      <c r="C47" s="9">
        <f>SUMPRODUCT((RAW_NOTIFICATION!$B$4:$B$363=$B47)*RAW_NOTIFICATION!$D$4:$D$363)</f>
        <v>0</v>
      </c>
      <c r="D47" s="9">
        <f>SUMPRODUCT((RAW_NOTIFICATION!$B$4:$B$363=$B47)*RAW_NOTIFICATION!$K$4:$K$363)</f>
        <v>0</v>
      </c>
      <c r="E47" s="21" t="str">
        <f t="shared" si="2"/>
        <v/>
      </c>
      <c r="F47" s="18"/>
      <c r="G47" s="18"/>
      <c r="H47" s="18"/>
      <c r="I47" s="18"/>
      <c r="J47" s="18"/>
      <c r="K47" s="18"/>
    </row>
    <row r="48" spans="1:11" ht="16.05" customHeight="1" x14ac:dyDescent="0.3">
      <c r="A48" s="16">
        <v>22</v>
      </c>
      <c r="B48" s="16" t="s">
        <v>540</v>
      </c>
      <c r="C48" s="12">
        <f>SUMPRODUCT((RAW_NOTIFICATION!$B$4:$B$363=$B48)*RAW_NOTIFICATION!$D$4:$D$363)</f>
        <v>0</v>
      </c>
      <c r="D48" s="12">
        <f>SUMPRODUCT((RAW_NOTIFICATION!$B$4:$B$363=$B48)*RAW_NOTIFICATION!$K$4:$K$363)</f>
        <v>0</v>
      </c>
      <c r="E48" s="20" t="str">
        <f t="shared" si="2"/>
        <v/>
      </c>
      <c r="F48" s="16"/>
      <c r="G48" s="16"/>
      <c r="H48" s="16"/>
      <c r="I48" s="16"/>
      <c r="J48" s="16"/>
      <c r="K48" s="16"/>
    </row>
    <row r="49" spans="1:11" ht="16.05" customHeight="1" x14ac:dyDescent="0.3">
      <c r="A49" s="18">
        <v>23</v>
      </c>
      <c r="B49" s="18" t="s">
        <v>541</v>
      </c>
      <c r="C49" s="9">
        <f>SUMPRODUCT((RAW_NOTIFICATION!$B$4:$B$363=$B49)*RAW_NOTIFICATION!$D$4:$D$363)</f>
        <v>0</v>
      </c>
      <c r="D49" s="9">
        <f>SUMPRODUCT((RAW_NOTIFICATION!$B$4:$B$363=$B49)*RAW_NOTIFICATION!$K$4:$K$363)</f>
        <v>0</v>
      </c>
      <c r="E49" s="21" t="str">
        <f t="shared" si="2"/>
        <v/>
      </c>
      <c r="F49" s="18"/>
      <c r="G49" s="18"/>
      <c r="H49" s="18"/>
      <c r="I49" s="18"/>
      <c r="J49" s="18"/>
      <c r="K49" s="18"/>
    </row>
    <row r="50" spans="1:11" ht="16.05" customHeight="1" x14ac:dyDescent="0.3">
      <c r="A50" s="16">
        <v>24</v>
      </c>
      <c r="B50" s="16" t="s">
        <v>542</v>
      </c>
      <c r="C50" s="12">
        <f>SUMPRODUCT((RAW_NOTIFICATION!$B$4:$B$363=$B50)*RAW_NOTIFICATION!$D$4:$D$363)</f>
        <v>0</v>
      </c>
      <c r="D50" s="12">
        <f>SUMPRODUCT((RAW_NOTIFICATION!$B$4:$B$363=$B50)*RAW_NOTIFICATION!$K$4:$K$363)</f>
        <v>0</v>
      </c>
      <c r="E50" s="20" t="str">
        <f t="shared" si="2"/>
        <v/>
      </c>
      <c r="F50" s="16"/>
      <c r="G50" s="16"/>
      <c r="H50" s="16"/>
      <c r="I50" s="16"/>
      <c r="J50" s="16"/>
      <c r="K50" s="16"/>
    </row>
    <row r="51" spans="1:11" ht="16.05" customHeight="1" x14ac:dyDescent="0.3">
      <c r="A51" s="18">
        <v>25</v>
      </c>
      <c r="B51" s="18" t="s">
        <v>543</v>
      </c>
      <c r="C51" s="9">
        <f>SUMPRODUCT((RAW_NOTIFICATION!$B$4:$B$363=$B51)*RAW_NOTIFICATION!$D$4:$D$363)</f>
        <v>0</v>
      </c>
      <c r="D51" s="9">
        <f>SUMPRODUCT((RAW_NOTIFICATION!$B$4:$B$363=$B51)*RAW_NOTIFICATION!$K$4:$K$363)</f>
        <v>0</v>
      </c>
      <c r="E51" s="21" t="str">
        <f t="shared" si="2"/>
        <v/>
      </c>
      <c r="F51" s="18"/>
      <c r="G51" s="18"/>
      <c r="H51" s="18"/>
      <c r="I51" s="18"/>
      <c r="J51" s="18"/>
      <c r="K51" s="18"/>
    </row>
    <row r="52" spans="1:11" ht="16.05" customHeight="1" x14ac:dyDescent="0.3">
      <c r="A52" s="16">
        <v>26</v>
      </c>
      <c r="B52" s="16" t="s">
        <v>544</v>
      </c>
      <c r="C52" s="12">
        <f>SUMPRODUCT((RAW_NOTIFICATION!$B$4:$B$363=$B52)*RAW_NOTIFICATION!$D$4:$D$363)</f>
        <v>0</v>
      </c>
      <c r="D52" s="12">
        <f>SUMPRODUCT((RAW_NOTIFICATION!$B$4:$B$363=$B52)*RAW_NOTIFICATION!$K$4:$K$363)</f>
        <v>0</v>
      </c>
      <c r="E52" s="20" t="str">
        <f t="shared" si="2"/>
        <v/>
      </c>
      <c r="F52" s="16"/>
      <c r="G52" s="16"/>
      <c r="H52" s="16"/>
      <c r="I52" s="16"/>
      <c r="J52" s="16"/>
      <c r="K52" s="16"/>
    </row>
    <row r="53" spans="1:11" ht="16.05" customHeight="1" x14ac:dyDescent="0.3">
      <c r="A53" s="18">
        <v>27</v>
      </c>
      <c r="B53" s="18" t="s">
        <v>545</v>
      </c>
      <c r="C53" s="9">
        <f>SUMPRODUCT((RAW_NOTIFICATION!$B$4:$B$363=$B53)*RAW_NOTIFICATION!$D$4:$D$363)</f>
        <v>0</v>
      </c>
      <c r="D53" s="9">
        <f>SUMPRODUCT((RAW_NOTIFICATION!$B$4:$B$363=$B53)*RAW_NOTIFICATION!$K$4:$K$363)</f>
        <v>0</v>
      </c>
      <c r="E53" s="21" t="str">
        <f t="shared" si="2"/>
        <v/>
      </c>
      <c r="F53" s="18"/>
      <c r="G53" s="18"/>
      <c r="H53" s="18"/>
      <c r="I53" s="18"/>
      <c r="J53" s="18"/>
      <c r="K53" s="18"/>
    </row>
    <row r="54" spans="1:11" ht="16.05" customHeight="1" x14ac:dyDescent="0.3">
      <c r="A54" s="16">
        <v>28</v>
      </c>
      <c r="B54" s="16" t="s">
        <v>546</v>
      </c>
      <c r="C54" s="12">
        <f>SUMPRODUCT((RAW_NOTIFICATION!$B$4:$B$363=$B54)*RAW_NOTIFICATION!$D$4:$D$363)</f>
        <v>0</v>
      </c>
      <c r="D54" s="12">
        <f>SUMPRODUCT((RAW_NOTIFICATION!$B$4:$B$363=$B54)*RAW_NOTIFICATION!$K$4:$K$363)</f>
        <v>0</v>
      </c>
      <c r="E54" s="20" t="str">
        <f t="shared" si="2"/>
        <v/>
      </c>
      <c r="F54" s="16"/>
      <c r="G54" s="16"/>
      <c r="H54" s="16"/>
      <c r="I54" s="16"/>
      <c r="J54" s="16"/>
      <c r="K54" s="16"/>
    </row>
    <row r="55" spans="1:11" ht="16.05" customHeight="1" x14ac:dyDescent="0.3">
      <c r="A55" s="18">
        <v>29</v>
      </c>
      <c r="B55" s="18" t="s">
        <v>547</v>
      </c>
      <c r="C55" s="9">
        <f>SUMPRODUCT((RAW_NOTIFICATION!$B$4:$B$363=$B55)*RAW_NOTIFICATION!$D$4:$D$363)</f>
        <v>0</v>
      </c>
      <c r="D55" s="9">
        <f>SUMPRODUCT((RAW_NOTIFICATION!$B$4:$B$363=$B55)*RAW_NOTIFICATION!$K$4:$K$363)</f>
        <v>0</v>
      </c>
      <c r="E55" s="21" t="str">
        <f t="shared" si="2"/>
        <v/>
      </c>
      <c r="F55" s="18"/>
      <c r="G55" s="18"/>
      <c r="H55" s="18"/>
      <c r="I55" s="18"/>
      <c r="J55" s="18"/>
      <c r="K55" s="18"/>
    </row>
    <row r="56" spans="1:11" ht="16.05" customHeight="1" x14ac:dyDescent="0.3">
      <c r="A56" s="16">
        <v>30</v>
      </c>
      <c r="B56" s="16" t="s">
        <v>548</v>
      </c>
      <c r="C56" s="12">
        <f>SUMPRODUCT((RAW_NOTIFICATION!$B$4:$B$363=$B56)*RAW_NOTIFICATION!$D$4:$D$363)</f>
        <v>0</v>
      </c>
      <c r="D56" s="12">
        <f>SUMPRODUCT((RAW_NOTIFICATION!$B$4:$B$363=$B56)*RAW_NOTIFICATION!$K$4:$K$363)</f>
        <v>0</v>
      </c>
      <c r="E56" s="20" t="str">
        <f t="shared" si="2"/>
        <v/>
      </c>
      <c r="F56" s="16"/>
      <c r="G56" s="16"/>
      <c r="H56" s="16"/>
      <c r="I56" s="16"/>
      <c r="J56" s="16"/>
      <c r="K56" s="16"/>
    </row>
    <row r="57" spans="1:11" ht="16.05" customHeight="1" x14ac:dyDescent="0.3">
      <c r="A57" s="18">
        <v>31</v>
      </c>
      <c r="B57" s="18" t="s">
        <v>549</v>
      </c>
      <c r="C57" s="9">
        <f>SUMPRODUCT((RAW_NOTIFICATION!$B$4:$B$363=$B57)*RAW_NOTIFICATION!$D$4:$D$363)</f>
        <v>0</v>
      </c>
      <c r="D57" s="9">
        <f>SUMPRODUCT((RAW_NOTIFICATION!$B$4:$B$363=$B57)*RAW_NOTIFICATION!$K$4:$K$363)</f>
        <v>0</v>
      </c>
      <c r="E57" s="21" t="str">
        <f t="shared" si="2"/>
        <v/>
      </c>
      <c r="F57" s="18"/>
      <c r="G57" s="18"/>
      <c r="H57" s="18"/>
      <c r="I57" s="18"/>
      <c r="J57" s="18"/>
      <c r="K57" s="18"/>
    </row>
    <row r="58" spans="1:11" ht="16.05" customHeight="1" x14ac:dyDescent="0.3">
      <c r="A58" s="16">
        <v>32</v>
      </c>
      <c r="B58" s="16" t="s">
        <v>550</v>
      </c>
      <c r="C58" s="12">
        <f>SUMPRODUCT((RAW_NOTIFICATION!$B$4:$B$363=$B58)*RAW_NOTIFICATION!$D$4:$D$363)</f>
        <v>0</v>
      </c>
      <c r="D58" s="12">
        <f>SUMPRODUCT((RAW_NOTIFICATION!$B$4:$B$363=$B58)*RAW_NOTIFICATION!$K$4:$K$363)</f>
        <v>0</v>
      </c>
      <c r="E58" s="20" t="str">
        <f t="shared" si="2"/>
        <v/>
      </c>
      <c r="F58" s="16"/>
      <c r="G58" s="16"/>
      <c r="H58" s="16"/>
      <c r="I58" s="16"/>
      <c r="J58" s="16"/>
      <c r="K58" s="16"/>
    </row>
    <row r="59" spans="1:11" ht="16.05" customHeight="1" x14ac:dyDescent="0.3">
      <c r="A59" s="18">
        <v>33</v>
      </c>
      <c r="B59" s="18" t="s">
        <v>551</v>
      </c>
      <c r="C59" s="9">
        <f>SUMPRODUCT((RAW_NOTIFICATION!$B$4:$B$363=$B59)*RAW_NOTIFICATION!$D$4:$D$363)</f>
        <v>0</v>
      </c>
      <c r="D59" s="9">
        <f>SUMPRODUCT((RAW_NOTIFICATION!$B$4:$B$363=$B59)*RAW_NOTIFICATION!$K$4:$K$363)</f>
        <v>0</v>
      </c>
      <c r="E59" s="21" t="str">
        <f t="shared" si="2"/>
        <v/>
      </c>
      <c r="F59" s="18"/>
      <c r="G59" s="18"/>
      <c r="H59" s="18"/>
      <c r="I59" s="18"/>
      <c r="J59" s="18"/>
      <c r="K59" s="18"/>
    </row>
    <row r="60" spans="1:11" ht="16.05" customHeight="1" x14ac:dyDescent="0.3">
      <c r="A60" s="16">
        <v>34</v>
      </c>
      <c r="B60" s="16" t="s">
        <v>552</v>
      </c>
      <c r="C60" s="12">
        <f>SUMPRODUCT((RAW_NOTIFICATION!$B$4:$B$363=$B60)*RAW_NOTIFICATION!$D$4:$D$363)</f>
        <v>0</v>
      </c>
      <c r="D60" s="12">
        <f>SUMPRODUCT((RAW_NOTIFICATION!$B$4:$B$363=$B60)*RAW_NOTIFICATION!$K$4:$K$363)</f>
        <v>0</v>
      </c>
      <c r="E60" s="20" t="str">
        <f t="shared" si="2"/>
        <v/>
      </c>
      <c r="F60" s="16"/>
      <c r="G60" s="16"/>
      <c r="H60" s="16"/>
      <c r="I60" s="16"/>
      <c r="J60" s="16"/>
      <c r="K60" s="16"/>
    </row>
    <row r="61" spans="1:11" ht="16.05" customHeight="1" x14ac:dyDescent="0.3">
      <c r="A61" s="18">
        <v>35</v>
      </c>
      <c r="B61" s="18" t="s">
        <v>553</v>
      </c>
      <c r="C61" s="9">
        <f>SUMPRODUCT((RAW_NOTIFICATION!$B$4:$B$363=$B61)*RAW_NOTIFICATION!$D$4:$D$363)</f>
        <v>0</v>
      </c>
      <c r="D61" s="9">
        <f>SUMPRODUCT((RAW_NOTIFICATION!$B$4:$B$363=$B61)*RAW_NOTIFICATION!$K$4:$K$363)</f>
        <v>0</v>
      </c>
      <c r="E61" s="21" t="str">
        <f t="shared" si="2"/>
        <v/>
      </c>
      <c r="F61" s="18"/>
      <c r="G61" s="18"/>
      <c r="H61" s="18"/>
      <c r="I61" s="18"/>
      <c r="J61" s="18"/>
      <c r="K61" s="18"/>
    </row>
    <row r="62" spans="1:11" ht="16.05" customHeight="1" x14ac:dyDescent="0.3">
      <c r="A62" s="16">
        <v>36</v>
      </c>
      <c r="B62" s="16" t="s">
        <v>554</v>
      </c>
      <c r="C62" s="12">
        <f>SUMPRODUCT((RAW_NOTIFICATION!$B$4:$B$363=$B62)*RAW_NOTIFICATION!$D$4:$D$363)</f>
        <v>0</v>
      </c>
      <c r="D62" s="12">
        <f>SUMPRODUCT((RAW_NOTIFICATION!$B$4:$B$363=$B62)*RAW_NOTIFICATION!$K$4:$K$363)</f>
        <v>0</v>
      </c>
      <c r="E62" s="20" t="str">
        <f t="shared" si="2"/>
        <v/>
      </c>
      <c r="F62" s="16"/>
      <c r="G62" s="16"/>
      <c r="H62" s="16"/>
      <c r="I62" s="16"/>
      <c r="J62" s="16"/>
      <c r="K62" s="16"/>
    </row>
  </sheetData>
  <mergeCells count="6">
    <mergeCell ref="A4:K4"/>
    <mergeCell ref="A3:K3"/>
    <mergeCell ref="A25:K25"/>
    <mergeCell ref="A2:K2"/>
    <mergeCell ref="A1:K1"/>
    <mergeCell ref="A17:K17"/>
  </mergeCell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0000000-0002-0000-1000-000000000000}">
          <x14:formula1>
            <xm:f>REF!$A$2:$A$37</xm:f>
          </x14:formula1>
          <xm:sqref>G19:H23</xm:sqref>
        </x14:dataValidation>
        <x14:dataValidation type="list" allowBlank="1" xr:uid="{00000000-0002-0000-1000-00000A000000}">
          <x14:formula1>
            <xm:f>REF!$K$2:$K$5</xm:f>
          </x14:formula1>
          <xm:sqref>I27:I62</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53"/>
  <sheetViews>
    <sheetView showGridLines="0" workbookViewId="0">
      <selection sqref="A1:J1"/>
    </sheetView>
  </sheetViews>
  <sheetFormatPr defaultRowHeight="14.4" x14ac:dyDescent="0.3"/>
  <cols>
    <col min="1" max="1" width="4" customWidth="1"/>
    <col min="2" max="2" width="34" customWidth="1"/>
    <col min="3" max="4" width="16" customWidth="1"/>
    <col min="5" max="9" width="14" customWidth="1"/>
    <col min="10" max="10" width="22" customWidth="1"/>
  </cols>
  <sheetData>
    <row r="1" spans="1:10" ht="28.05" customHeight="1" x14ac:dyDescent="0.3">
      <c r="A1" s="32" t="s">
        <v>734</v>
      </c>
      <c r="B1" s="33"/>
      <c r="C1" s="33"/>
      <c r="D1" s="33"/>
      <c r="E1" s="33"/>
      <c r="F1" s="33"/>
      <c r="G1" s="33"/>
      <c r="H1" s="33"/>
      <c r="I1" s="33"/>
      <c r="J1" s="33"/>
    </row>
    <row r="2" spans="1:10" ht="18" customHeight="1" x14ac:dyDescent="0.3">
      <c r="A2" s="38" t="str">
        <f>IF(SelectedScope="All India","NATIONAL VIEW — ALL INDIA","STATE VIEW — "&amp;SelectedScope)</f>
        <v>NATIONAL VIEW — ALL INDIA</v>
      </c>
      <c r="B2" s="33"/>
      <c r="C2" s="33"/>
      <c r="D2" s="33"/>
      <c r="E2" s="33"/>
      <c r="F2" s="33"/>
      <c r="G2" s="33"/>
      <c r="H2" s="33"/>
      <c r="I2" s="33"/>
      <c r="J2" s="33"/>
    </row>
    <row r="3" spans="1:10" ht="16.05" customHeight="1" x14ac:dyDescent="0.3">
      <c r="A3" s="39" t="s">
        <v>735</v>
      </c>
      <c r="B3" s="33"/>
      <c r="C3" s="33"/>
      <c r="D3" s="33"/>
      <c r="E3" s="33"/>
      <c r="F3" s="33"/>
      <c r="G3" s="33"/>
      <c r="H3" s="33"/>
      <c r="I3" s="33"/>
      <c r="J3" s="33"/>
    </row>
    <row r="4" spans="1:10" ht="19.95" customHeight="1" x14ac:dyDescent="0.3">
      <c r="A4" s="37" t="s">
        <v>736</v>
      </c>
      <c r="B4" s="33"/>
      <c r="C4" s="33"/>
      <c r="D4" s="33"/>
      <c r="E4" s="33"/>
      <c r="F4" s="33"/>
      <c r="G4" s="33"/>
      <c r="H4" s="33"/>
      <c r="I4" s="33"/>
      <c r="J4" s="33"/>
    </row>
    <row r="5" spans="1:10" ht="31.95" customHeight="1" x14ac:dyDescent="0.3">
      <c r="A5" s="15" t="s">
        <v>78</v>
      </c>
      <c r="B5" s="15" t="s">
        <v>79</v>
      </c>
      <c r="C5" s="15" t="s">
        <v>379</v>
      </c>
      <c r="D5" s="15" t="s">
        <v>737</v>
      </c>
      <c r="E5" s="15" t="s">
        <v>738</v>
      </c>
      <c r="F5" s="15" t="s">
        <v>739</v>
      </c>
      <c r="G5" s="15" t="s">
        <v>740</v>
      </c>
      <c r="H5" s="15" t="s">
        <v>741</v>
      </c>
      <c r="I5" s="15" t="s">
        <v>742</v>
      </c>
      <c r="J5" s="15" t="s">
        <v>86</v>
      </c>
    </row>
    <row r="6" spans="1:10" ht="16.05" customHeight="1" x14ac:dyDescent="0.3">
      <c r="A6" s="16" t="s">
        <v>87</v>
      </c>
      <c r="B6" s="16" t="s">
        <v>743</v>
      </c>
      <c r="C6" s="12">
        <f>IFERROR(IFERROR((SUMPRODUCT((IF(SelectedScope="All India",1,RAW_CDN!$B$4:$B$39=SelectedScope))*RAW_CDN!$G$4:$G$39))/(SUMPRODUCT((IF(SelectedScope="All India",1,RAW_CDN!$B$4:$B$39=SelectedScope))*1)),""),"")</f>
        <v>0</v>
      </c>
      <c r="D6" s="16" t="s">
        <v>744</v>
      </c>
      <c r="E6" s="16"/>
      <c r="F6" s="16"/>
      <c r="G6" s="16"/>
      <c r="H6" s="16"/>
      <c r="I6" s="16"/>
      <c r="J6" s="16"/>
    </row>
    <row r="7" spans="1:10" ht="16.05" customHeight="1" x14ac:dyDescent="0.3">
      <c r="A7" s="18" t="s">
        <v>90</v>
      </c>
      <c r="B7" s="18" t="s">
        <v>745</v>
      </c>
      <c r="C7" s="9">
        <f>IFERROR(IFERROR((SUMPRODUCT((IF(SelectedScope="All India",1,RAW_CDN!$B$4:$B$39=SelectedScope))*RAW_CDN!$G$4:$G$39))/(SUMPRODUCT((IF(SelectedScope="All India",1,RAW_CDN!$B$4:$B$39=SelectedScope))*1)),""),"")</f>
        <v>0</v>
      </c>
      <c r="D7" s="18" t="s">
        <v>746</v>
      </c>
      <c r="E7" s="18"/>
      <c r="F7" s="18"/>
      <c r="G7" s="18"/>
      <c r="H7" s="18"/>
      <c r="I7" s="18"/>
      <c r="J7" s="18"/>
    </row>
    <row r="8" spans="1:10" ht="16.05" customHeight="1" x14ac:dyDescent="0.3">
      <c r="A8" s="16" t="s">
        <v>92</v>
      </c>
      <c r="B8" s="16" t="s">
        <v>747</v>
      </c>
      <c r="C8" s="12">
        <f>IFERROR(IFERROR((SUMPRODUCT((IF(SelectedScope="All India",1,RAW_CDN!$B$4:$B$39=SelectedScope))*RAW_CDN!$H$4:$H$39))/(SUMPRODUCT((IF(SelectedScope="All India",1,RAW_CDN!$B$4:$B$39=SelectedScope))*1)),""),"")</f>
        <v>0</v>
      </c>
      <c r="D8" s="16" t="s">
        <v>748</v>
      </c>
      <c r="E8" s="16"/>
      <c r="F8" s="16"/>
      <c r="G8" s="16"/>
      <c r="H8" s="16"/>
      <c r="I8" s="16"/>
      <c r="J8" s="16"/>
    </row>
    <row r="9" spans="1:10" ht="16.05" customHeight="1" x14ac:dyDescent="0.3">
      <c r="A9" s="18" t="s">
        <v>94</v>
      </c>
      <c r="B9" s="18" t="s">
        <v>749</v>
      </c>
      <c r="C9" s="9">
        <f>IFERROR(IFERROR((SUMPRODUCT((IF(SelectedScope="All India",1,RAW_CDN!$B$4:$B$39=SelectedScope))*RAW_CDN!$E$4:$E$39))/(SUMPRODUCT((IF(SelectedScope="All India",1,RAW_CDN!$B$4:$B$39=SelectedScope))*1)),""),"")</f>
        <v>0</v>
      </c>
      <c r="D9" s="18" t="s">
        <v>750</v>
      </c>
      <c r="E9" s="18"/>
      <c r="F9" s="18"/>
      <c r="G9" s="18"/>
      <c r="H9" s="18"/>
      <c r="I9" s="18"/>
      <c r="J9" s="18"/>
    </row>
    <row r="10" spans="1:10" ht="16.05" customHeight="1" x14ac:dyDescent="0.3">
      <c r="A10" s="16" t="s">
        <v>96</v>
      </c>
      <c r="B10" s="16" t="s">
        <v>751</v>
      </c>
      <c r="C10" s="12">
        <f>IFERROR(SUMPRODUCT((IF(SelectedScope="All India",1,RAW_CDN!$B$4:$B$39=SelectedScope))*RAW_CDN!$F$4:$F$39),"")</f>
        <v>0</v>
      </c>
      <c r="D10" s="16" t="s">
        <v>315</v>
      </c>
      <c r="E10" s="16"/>
      <c r="F10" s="16"/>
      <c r="G10" s="16"/>
      <c r="H10" s="16"/>
      <c r="I10" s="16"/>
      <c r="J10" s="16"/>
    </row>
    <row r="11" spans="1:10" ht="16.05" customHeight="1" x14ac:dyDescent="0.3">
      <c r="A11" s="18" t="s">
        <v>99</v>
      </c>
      <c r="B11" s="18" t="s">
        <v>752</v>
      </c>
      <c r="C11" s="9" t="str">
        <f>IFERROR(IFERROR((SUMPRODUCT((IF(SelectedScope="All India",1,RAW_CDN!$B$4:$B$39=SelectedScope))*RAW_CDN!$C$4:$C$39))/(SUMPRODUCT((IF(SelectedScope="All India",1,RAW_CDN!$B$4:$B$39=SelectedScope))*1)),"")/IFERROR((SUMPRODUCT((IF(SelectedScope="All India",1,RAW_CDN!$B$4:$B$39=SelectedScope))*RAW_CDN!$D$4:$D$39))/(SUMPRODUCT((IF(SelectedScope="All India",1,RAW_CDN!$B$4:$B$39=SelectedScope))*1)),""),"")</f>
        <v/>
      </c>
      <c r="D11" s="18" t="s">
        <v>753</v>
      </c>
      <c r="E11" s="18"/>
      <c r="F11" s="18"/>
      <c r="G11" s="18"/>
      <c r="H11" s="18"/>
      <c r="I11" s="18"/>
      <c r="J11" s="18"/>
    </row>
    <row r="12" spans="1:10" ht="16.05" customHeight="1" x14ac:dyDescent="0.3">
      <c r="A12" s="16" t="s">
        <v>101</v>
      </c>
      <c r="B12" s="16" t="s">
        <v>754</v>
      </c>
      <c r="C12" s="12">
        <f>IFERROR(IFERROR((SUMPRODUCT((IF(SelectedScope="All India",1,RAW_CDN!$B$4:$B$39=SelectedScope))*RAW_CDN!$J$4:$J$39))/(SUMPRODUCT((IF(SelectedScope="All India",1,RAW_CDN!$B$4:$B$39=SelectedScope))*1)),""),"")</f>
        <v>0</v>
      </c>
      <c r="D12" s="16" t="s">
        <v>397</v>
      </c>
      <c r="E12" s="16"/>
      <c r="F12" s="16"/>
      <c r="G12" s="16"/>
      <c r="H12" s="16"/>
      <c r="I12" s="16"/>
      <c r="J12" s="16"/>
    </row>
    <row r="13" spans="1:10" ht="16.05" customHeight="1" x14ac:dyDescent="0.3">
      <c r="A13" s="18" t="s">
        <v>104</v>
      </c>
      <c r="B13" s="18" t="s">
        <v>755</v>
      </c>
      <c r="C13" s="9">
        <f>IFERROR(IFERROR((SUMPRODUCT((IF(SelectedScope="All India",1,RAW_CDN!$B$4:$B$39=SelectedScope))*RAW_CDN!$K$4:$K$39))/(SUMPRODUCT((IF(SelectedScope="All India",1,RAW_CDN!$B$4:$B$39=SelectedScope))*1)),""),"")</f>
        <v>0</v>
      </c>
      <c r="D13" s="18" t="s">
        <v>756</v>
      </c>
      <c r="E13" s="18"/>
      <c r="F13" s="18"/>
      <c r="G13" s="18"/>
      <c r="H13" s="18"/>
      <c r="I13" s="18"/>
      <c r="J13" s="18"/>
    </row>
    <row r="14" spans="1:10" ht="16.05" customHeight="1" x14ac:dyDescent="0.3">
      <c r="A14" s="16" t="s">
        <v>106</v>
      </c>
      <c r="B14" s="16" t="s">
        <v>757</v>
      </c>
      <c r="C14" s="12">
        <f>IFERROR(IFERROR((SUMPRODUCT((IF(SelectedScope="All India",1,RAW_CDN!$B$4:$B$39=SelectedScope))*RAW_CDN!$L$4:$L$39))/(SUMPRODUCT((IF(SelectedScope="All India",1,RAW_CDN!$B$4:$B$39=SelectedScope))*1)),""),"")</f>
        <v>0</v>
      </c>
      <c r="D14" s="16" t="s">
        <v>758</v>
      </c>
      <c r="E14" s="16"/>
      <c r="F14" s="16"/>
      <c r="G14" s="16"/>
      <c r="H14" s="16"/>
      <c r="I14" s="16"/>
      <c r="J14" s="16"/>
    </row>
    <row r="16" spans="1:10" ht="19.95" customHeight="1" x14ac:dyDescent="0.3">
      <c r="A16" s="37" t="s">
        <v>759</v>
      </c>
      <c r="B16" s="33"/>
      <c r="C16" s="33"/>
      <c r="D16" s="33"/>
      <c r="E16" s="33"/>
      <c r="F16" s="33"/>
      <c r="G16" s="33"/>
      <c r="H16" s="33"/>
      <c r="I16" s="33"/>
      <c r="J16" s="33"/>
    </row>
    <row r="17" spans="1:10" ht="31.95" customHeight="1" x14ac:dyDescent="0.3">
      <c r="A17" s="15" t="s">
        <v>78</v>
      </c>
      <c r="B17" s="15" t="s">
        <v>192</v>
      </c>
      <c r="C17" s="15" t="s">
        <v>760</v>
      </c>
      <c r="D17" s="15" t="s">
        <v>761</v>
      </c>
      <c r="E17" s="15" t="s">
        <v>762</v>
      </c>
      <c r="F17" s="15" t="s">
        <v>763</v>
      </c>
      <c r="G17" s="15" t="s">
        <v>255</v>
      </c>
      <c r="H17" s="15" t="s">
        <v>764</v>
      </c>
      <c r="I17" s="15" t="s">
        <v>765</v>
      </c>
      <c r="J17" s="15" t="s">
        <v>86</v>
      </c>
    </row>
    <row r="18" spans="1:10" ht="16.05" customHeight="1" x14ac:dyDescent="0.3">
      <c r="A18" s="16">
        <v>1</v>
      </c>
      <c r="B18" s="16" t="s">
        <v>519</v>
      </c>
      <c r="C18" s="12">
        <f>SUMPRODUCT((RAW_CDN!$B$4:$B$39=$B18)*RAW_CDN!$C$4:$C$39)</f>
        <v>0</v>
      </c>
      <c r="D18" s="12">
        <f>SUMPRODUCT((RAW_CDN!$B$4:$B$39=$B18)*RAW_CDN!$D$4:$D$39)</f>
        <v>0</v>
      </c>
      <c r="E18" s="20" t="str">
        <f t="shared" ref="E18:E53" si="0">IFERROR(C18/(C18+D18),"")</f>
        <v/>
      </c>
      <c r="F18" s="12">
        <f>SUMPRODUCT((RAW_CDN!$B$4:$B$39=$B18)*RAW_CDN!$E$4:$E$39)</f>
        <v>0</v>
      </c>
      <c r="G18" s="16"/>
      <c r="H18" s="16"/>
      <c r="I18" s="16"/>
      <c r="J18" s="16"/>
    </row>
    <row r="19" spans="1:10" ht="16.05" customHeight="1" x14ac:dyDescent="0.3">
      <c r="A19" s="18">
        <v>2</v>
      </c>
      <c r="B19" s="18" t="s">
        <v>520</v>
      </c>
      <c r="C19" s="9">
        <f>SUMPRODUCT((RAW_CDN!$B$4:$B$39=$B19)*RAW_CDN!$C$4:$C$39)</f>
        <v>0</v>
      </c>
      <c r="D19" s="9">
        <f>SUMPRODUCT((RAW_CDN!$B$4:$B$39=$B19)*RAW_CDN!$D$4:$D$39)</f>
        <v>0</v>
      </c>
      <c r="E19" s="21" t="str">
        <f t="shared" si="0"/>
        <v/>
      </c>
      <c r="F19" s="9">
        <f>SUMPRODUCT((RAW_CDN!$B$4:$B$39=$B19)*RAW_CDN!$E$4:$E$39)</f>
        <v>0</v>
      </c>
      <c r="G19" s="18"/>
      <c r="H19" s="18"/>
      <c r="I19" s="18"/>
      <c r="J19" s="18"/>
    </row>
    <row r="20" spans="1:10" ht="16.05" customHeight="1" x14ac:dyDescent="0.3">
      <c r="A20" s="16">
        <v>3</v>
      </c>
      <c r="B20" s="16" t="s">
        <v>521</v>
      </c>
      <c r="C20" s="12">
        <f>SUMPRODUCT((RAW_CDN!$B$4:$B$39=$B20)*RAW_CDN!$C$4:$C$39)</f>
        <v>0</v>
      </c>
      <c r="D20" s="12">
        <f>SUMPRODUCT((RAW_CDN!$B$4:$B$39=$B20)*RAW_CDN!$D$4:$D$39)</f>
        <v>0</v>
      </c>
      <c r="E20" s="20" t="str">
        <f t="shared" si="0"/>
        <v/>
      </c>
      <c r="F20" s="12">
        <f>SUMPRODUCT((RAW_CDN!$B$4:$B$39=$B20)*RAW_CDN!$E$4:$E$39)</f>
        <v>0</v>
      </c>
      <c r="G20" s="16"/>
      <c r="H20" s="16"/>
      <c r="I20" s="16"/>
      <c r="J20" s="16"/>
    </row>
    <row r="21" spans="1:10" ht="16.05" customHeight="1" x14ac:dyDescent="0.3">
      <c r="A21" s="18">
        <v>4</v>
      </c>
      <c r="B21" s="18" t="s">
        <v>522</v>
      </c>
      <c r="C21" s="9">
        <f>SUMPRODUCT((RAW_CDN!$B$4:$B$39=$B21)*RAW_CDN!$C$4:$C$39)</f>
        <v>0</v>
      </c>
      <c r="D21" s="9">
        <f>SUMPRODUCT((RAW_CDN!$B$4:$B$39=$B21)*RAW_CDN!$D$4:$D$39)</f>
        <v>0</v>
      </c>
      <c r="E21" s="21" t="str">
        <f t="shared" si="0"/>
        <v/>
      </c>
      <c r="F21" s="9">
        <f>SUMPRODUCT((RAW_CDN!$B$4:$B$39=$B21)*RAW_CDN!$E$4:$E$39)</f>
        <v>0</v>
      </c>
      <c r="G21" s="18"/>
      <c r="H21" s="18"/>
      <c r="I21" s="18"/>
      <c r="J21" s="18"/>
    </row>
    <row r="22" spans="1:10" ht="16.05" customHeight="1" x14ac:dyDescent="0.3">
      <c r="A22" s="16">
        <v>5</v>
      </c>
      <c r="B22" s="16" t="s">
        <v>523</v>
      </c>
      <c r="C22" s="12">
        <f>SUMPRODUCT((RAW_CDN!$B$4:$B$39=$B22)*RAW_CDN!$C$4:$C$39)</f>
        <v>0</v>
      </c>
      <c r="D22" s="12">
        <f>SUMPRODUCT((RAW_CDN!$B$4:$B$39=$B22)*RAW_CDN!$D$4:$D$39)</f>
        <v>0</v>
      </c>
      <c r="E22" s="20" t="str">
        <f t="shared" si="0"/>
        <v/>
      </c>
      <c r="F22" s="12">
        <f>SUMPRODUCT((RAW_CDN!$B$4:$B$39=$B22)*RAW_CDN!$E$4:$E$39)</f>
        <v>0</v>
      </c>
      <c r="G22" s="16"/>
      <c r="H22" s="16"/>
      <c r="I22" s="16"/>
      <c r="J22" s="16"/>
    </row>
    <row r="23" spans="1:10" ht="16.05" customHeight="1" x14ac:dyDescent="0.3">
      <c r="A23" s="18">
        <v>6</v>
      </c>
      <c r="B23" s="18" t="s">
        <v>524</v>
      </c>
      <c r="C23" s="9">
        <f>SUMPRODUCT((RAW_CDN!$B$4:$B$39=$B23)*RAW_CDN!$C$4:$C$39)</f>
        <v>0</v>
      </c>
      <c r="D23" s="9">
        <f>SUMPRODUCT((RAW_CDN!$B$4:$B$39=$B23)*RAW_CDN!$D$4:$D$39)</f>
        <v>0</v>
      </c>
      <c r="E23" s="21" t="str">
        <f t="shared" si="0"/>
        <v/>
      </c>
      <c r="F23" s="9">
        <f>SUMPRODUCT((RAW_CDN!$B$4:$B$39=$B23)*RAW_CDN!$E$4:$E$39)</f>
        <v>0</v>
      </c>
      <c r="G23" s="18"/>
      <c r="H23" s="18"/>
      <c r="I23" s="18"/>
      <c r="J23" s="18"/>
    </row>
    <row r="24" spans="1:10" ht="16.05" customHeight="1" x14ac:dyDescent="0.3">
      <c r="A24" s="16">
        <v>7</v>
      </c>
      <c r="B24" s="16" t="s">
        <v>525</v>
      </c>
      <c r="C24" s="12">
        <f>SUMPRODUCT((RAW_CDN!$B$4:$B$39=$B24)*RAW_CDN!$C$4:$C$39)</f>
        <v>0</v>
      </c>
      <c r="D24" s="12">
        <f>SUMPRODUCT((RAW_CDN!$B$4:$B$39=$B24)*RAW_CDN!$D$4:$D$39)</f>
        <v>0</v>
      </c>
      <c r="E24" s="20" t="str">
        <f t="shared" si="0"/>
        <v/>
      </c>
      <c r="F24" s="12">
        <f>SUMPRODUCT((RAW_CDN!$B$4:$B$39=$B24)*RAW_CDN!$E$4:$E$39)</f>
        <v>0</v>
      </c>
      <c r="G24" s="16"/>
      <c r="H24" s="16"/>
      <c r="I24" s="16"/>
      <c r="J24" s="16"/>
    </row>
    <row r="25" spans="1:10" ht="16.05" customHeight="1" x14ac:dyDescent="0.3">
      <c r="A25" s="18">
        <v>8</v>
      </c>
      <c r="B25" s="18" t="s">
        <v>526</v>
      </c>
      <c r="C25" s="9">
        <f>SUMPRODUCT((RAW_CDN!$B$4:$B$39=$B25)*RAW_CDN!$C$4:$C$39)</f>
        <v>0</v>
      </c>
      <c r="D25" s="9">
        <f>SUMPRODUCT((RAW_CDN!$B$4:$B$39=$B25)*RAW_CDN!$D$4:$D$39)</f>
        <v>0</v>
      </c>
      <c r="E25" s="21" t="str">
        <f t="shared" si="0"/>
        <v/>
      </c>
      <c r="F25" s="9">
        <f>SUMPRODUCT((RAW_CDN!$B$4:$B$39=$B25)*RAW_CDN!$E$4:$E$39)</f>
        <v>0</v>
      </c>
      <c r="G25" s="18"/>
      <c r="H25" s="18"/>
      <c r="I25" s="18"/>
      <c r="J25" s="18"/>
    </row>
    <row r="26" spans="1:10" ht="16.05" customHeight="1" x14ac:dyDescent="0.3">
      <c r="A26" s="16">
        <v>9</v>
      </c>
      <c r="B26" s="16" t="s">
        <v>527</v>
      </c>
      <c r="C26" s="12">
        <f>SUMPRODUCT((RAW_CDN!$B$4:$B$39=$B26)*RAW_CDN!$C$4:$C$39)</f>
        <v>0</v>
      </c>
      <c r="D26" s="12">
        <f>SUMPRODUCT((RAW_CDN!$B$4:$B$39=$B26)*RAW_CDN!$D$4:$D$39)</f>
        <v>0</v>
      </c>
      <c r="E26" s="20" t="str">
        <f t="shared" si="0"/>
        <v/>
      </c>
      <c r="F26" s="12">
        <f>SUMPRODUCT((RAW_CDN!$B$4:$B$39=$B26)*RAW_CDN!$E$4:$E$39)</f>
        <v>0</v>
      </c>
      <c r="G26" s="16"/>
      <c r="H26" s="16"/>
      <c r="I26" s="16"/>
      <c r="J26" s="16"/>
    </row>
    <row r="27" spans="1:10" ht="16.05" customHeight="1" x14ac:dyDescent="0.3">
      <c r="A27" s="18">
        <v>10</v>
      </c>
      <c r="B27" s="18" t="s">
        <v>528</v>
      </c>
      <c r="C27" s="9">
        <f>SUMPRODUCT((RAW_CDN!$B$4:$B$39=$B27)*RAW_CDN!$C$4:$C$39)</f>
        <v>0</v>
      </c>
      <c r="D27" s="9">
        <f>SUMPRODUCT((RAW_CDN!$B$4:$B$39=$B27)*RAW_CDN!$D$4:$D$39)</f>
        <v>0</v>
      </c>
      <c r="E27" s="21" t="str">
        <f t="shared" si="0"/>
        <v/>
      </c>
      <c r="F27" s="9">
        <f>SUMPRODUCT((RAW_CDN!$B$4:$B$39=$B27)*RAW_CDN!$E$4:$E$39)</f>
        <v>0</v>
      </c>
      <c r="G27" s="18"/>
      <c r="H27" s="18"/>
      <c r="I27" s="18"/>
      <c r="J27" s="18"/>
    </row>
    <row r="28" spans="1:10" ht="16.05" customHeight="1" x14ac:dyDescent="0.3">
      <c r="A28" s="16">
        <v>11</v>
      </c>
      <c r="B28" s="16" t="s">
        <v>529</v>
      </c>
      <c r="C28" s="12">
        <f>SUMPRODUCT((RAW_CDN!$B$4:$B$39=$B28)*RAW_CDN!$C$4:$C$39)</f>
        <v>0</v>
      </c>
      <c r="D28" s="12">
        <f>SUMPRODUCT((RAW_CDN!$B$4:$B$39=$B28)*RAW_CDN!$D$4:$D$39)</f>
        <v>0</v>
      </c>
      <c r="E28" s="20" t="str">
        <f t="shared" si="0"/>
        <v/>
      </c>
      <c r="F28" s="12">
        <f>SUMPRODUCT((RAW_CDN!$B$4:$B$39=$B28)*RAW_CDN!$E$4:$E$39)</f>
        <v>0</v>
      </c>
      <c r="G28" s="16"/>
      <c r="H28" s="16"/>
      <c r="I28" s="16"/>
      <c r="J28" s="16"/>
    </row>
    <row r="29" spans="1:10" ht="16.05" customHeight="1" x14ac:dyDescent="0.3">
      <c r="A29" s="18">
        <v>12</v>
      </c>
      <c r="B29" s="18" t="s">
        <v>530</v>
      </c>
      <c r="C29" s="9">
        <f>SUMPRODUCT((RAW_CDN!$B$4:$B$39=$B29)*RAW_CDN!$C$4:$C$39)</f>
        <v>0</v>
      </c>
      <c r="D29" s="9">
        <f>SUMPRODUCT((RAW_CDN!$B$4:$B$39=$B29)*RAW_CDN!$D$4:$D$39)</f>
        <v>0</v>
      </c>
      <c r="E29" s="21" t="str">
        <f t="shared" si="0"/>
        <v/>
      </c>
      <c r="F29" s="9">
        <f>SUMPRODUCT((RAW_CDN!$B$4:$B$39=$B29)*RAW_CDN!$E$4:$E$39)</f>
        <v>0</v>
      </c>
      <c r="G29" s="18"/>
      <c r="H29" s="18"/>
      <c r="I29" s="18"/>
      <c r="J29" s="18"/>
    </row>
    <row r="30" spans="1:10" ht="16.05" customHeight="1" x14ac:dyDescent="0.3">
      <c r="A30" s="16">
        <v>13</v>
      </c>
      <c r="B30" s="16" t="s">
        <v>531</v>
      </c>
      <c r="C30" s="12">
        <f>SUMPRODUCT((RAW_CDN!$B$4:$B$39=$B30)*RAW_CDN!$C$4:$C$39)</f>
        <v>0</v>
      </c>
      <c r="D30" s="12">
        <f>SUMPRODUCT((RAW_CDN!$B$4:$B$39=$B30)*RAW_CDN!$D$4:$D$39)</f>
        <v>0</v>
      </c>
      <c r="E30" s="20" t="str">
        <f t="shared" si="0"/>
        <v/>
      </c>
      <c r="F30" s="12">
        <f>SUMPRODUCT((RAW_CDN!$B$4:$B$39=$B30)*RAW_CDN!$E$4:$E$39)</f>
        <v>0</v>
      </c>
      <c r="G30" s="16"/>
      <c r="H30" s="16"/>
      <c r="I30" s="16"/>
      <c r="J30" s="16"/>
    </row>
    <row r="31" spans="1:10" ht="16.05" customHeight="1" x14ac:dyDescent="0.3">
      <c r="A31" s="18">
        <v>14</v>
      </c>
      <c r="B31" s="18" t="s">
        <v>532</v>
      </c>
      <c r="C31" s="9">
        <f>SUMPRODUCT((RAW_CDN!$B$4:$B$39=$B31)*RAW_CDN!$C$4:$C$39)</f>
        <v>0</v>
      </c>
      <c r="D31" s="9">
        <f>SUMPRODUCT((RAW_CDN!$B$4:$B$39=$B31)*RAW_CDN!$D$4:$D$39)</f>
        <v>0</v>
      </c>
      <c r="E31" s="21" t="str">
        <f t="shared" si="0"/>
        <v/>
      </c>
      <c r="F31" s="9">
        <f>SUMPRODUCT((RAW_CDN!$B$4:$B$39=$B31)*RAW_CDN!$E$4:$E$39)</f>
        <v>0</v>
      </c>
      <c r="G31" s="18"/>
      <c r="H31" s="18"/>
      <c r="I31" s="18"/>
      <c r="J31" s="18"/>
    </row>
    <row r="32" spans="1:10" ht="16.05" customHeight="1" x14ac:dyDescent="0.3">
      <c r="A32" s="16">
        <v>15</v>
      </c>
      <c r="B32" s="16" t="s">
        <v>533</v>
      </c>
      <c r="C32" s="12">
        <f>SUMPRODUCT((RAW_CDN!$B$4:$B$39=$B32)*RAW_CDN!$C$4:$C$39)</f>
        <v>0</v>
      </c>
      <c r="D32" s="12">
        <f>SUMPRODUCT((RAW_CDN!$B$4:$B$39=$B32)*RAW_CDN!$D$4:$D$39)</f>
        <v>0</v>
      </c>
      <c r="E32" s="20" t="str">
        <f t="shared" si="0"/>
        <v/>
      </c>
      <c r="F32" s="12">
        <f>SUMPRODUCT((RAW_CDN!$B$4:$B$39=$B32)*RAW_CDN!$E$4:$E$39)</f>
        <v>0</v>
      </c>
      <c r="G32" s="16"/>
      <c r="H32" s="16"/>
      <c r="I32" s="16"/>
      <c r="J32" s="16"/>
    </row>
    <row r="33" spans="1:10" ht="16.05" customHeight="1" x14ac:dyDescent="0.3">
      <c r="A33" s="18">
        <v>16</v>
      </c>
      <c r="B33" s="18" t="s">
        <v>534</v>
      </c>
      <c r="C33" s="9">
        <f>SUMPRODUCT((RAW_CDN!$B$4:$B$39=$B33)*RAW_CDN!$C$4:$C$39)</f>
        <v>0</v>
      </c>
      <c r="D33" s="9">
        <f>SUMPRODUCT((RAW_CDN!$B$4:$B$39=$B33)*RAW_CDN!$D$4:$D$39)</f>
        <v>0</v>
      </c>
      <c r="E33" s="21" t="str">
        <f t="shared" si="0"/>
        <v/>
      </c>
      <c r="F33" s="9">
        <f>SUMPRODUCT((RAW_CDN!$B$4:$B$39=$B33)*RAW_CDN!$E$4:$E$39)</f>
        <v>0</v>
      </c>
      <c r="G33" s="18"/>
      <c r="H33" s="18"/>
      <c r="I33" s="18"/>
      <c r="J33" s="18"/>
    </row>
    <row r="34" spans="1:10" ht="16.05" customHeight="1" x14ac:dyDescent="0.3">
      <c r="A34" s="16">
        <v>17</v>
      </c>
      <c r="B34" s="16" t="s">
        <v>535</v>
      </c>
      <c r="C34" s="12">
        <f>SUMPRODUCT((RAW_CDN!$B$4:$B$39=$B34)*RAW_CDN!$C$4:$C$39)</f>
        <v>0</v>
      </c>
      <c r="D34" s="12">
        <f>SUMPRODUCT((RAW_CDN!$B$4:$B$39=$B34)*RAW_CDN!$D$4:$D$39)</f>
        <v>0</v>
      </c>
      <c r="E34" s="20" t="str">
        <f t="shared" si="0"/>
        <v/>
      </c>
      <c r="F34" s="12">
        <f>SUMPRODUCT((RAW_CDN!$B$4:$B$39=$B34)*RAW_CDN!$E$4:$E$39)</f>
        <v>0</v>
      </c>
      <c r="G34" s="16"/>
      <c r="H34" s="16"/>
      <c r="I34" s="16"/>
      <c r="J34" s="16"/>
    </row>
    <row r="35" spans="1:10" ht="16.05" customHeight="1" x14ac:dyDescent="0.3">
      <c r="A35" s="18">
        <v>18</v>
      </c>
      <c r="B35" s="18" t="s">
        <v>536</v>
      </c>
      <c r="C35" s="9">
        <f>SUMPRODUCT((RAW_CDN!$B$4:$B$39=$B35)*RAW_CDN!$C$4:$C$39)</f>
        <v>0</v>
      </c>
      <c r="D35" s="9">
        <f>SUMPRODUCT((RAW_CDN!$B$4:$B$39=$B35)*RAW_CDN!$D$4:$D$39)</f>
        <v>0</v>
      </c>
      <c r="E35" s="21" t="str">
        <f t="shared" si="0"/>
        <v/>
      </c>
      <c r="F35" s="9">
        <f>SUMPRODUCT((RAW_CDN!$B$4:$B$39=$B35)*RAW_CDN!$E$4:$E$39)</f>
        <v>0</v>
      </c>
      <c r="G35" s="18"/>
      <c r="H35" s="18"/>
      <c r="I35" s="18"/>
      <c r="J35" s="18"/>
    </row>
    <row r="36" spans="1:10" ht="16.05" customHeight="1" x14ac:dyDescent="0.3">
      <c r="A36" s="16">
        <v>19</v>
      </c>
      <c r="B36" s="16" t="s">
        <v>537</v>
      </c>
      <c r="C36" s="12">
        <f>SUMPRODUCT((RAW_CDN!$B$4:$B$39=$B36)*RAW_CDN!$C$4:$C$39)</f>
        <v>0</v>
      </c>
      <c r="D36" s="12">
        <f>SUMPRODUCT((RAW_CDN!$B$4:$B$39=$B36)*RAW_CDN!$D$4:$D$39)</f>
        <v>0</v>
      </c>
      <c r="E36" s="20" t="str">
        <f t="shared" si="0"/>
        <v/>
      </c>
      <c r="F36" s="12">
        <f>SUMPRODUCT((RAW_CDN!$B$4:$B$39=$B36)*RAW_CDN!$E$4:$E$39)</f>
        <v>0</v>
      </c>
      <c r="G36" s="16"/>
      <c r="H36" s="16"/>
      <c r="I36" s="16"/>
      <c r="J36" s="16"/>
    </row>
    <row r="37" spans="1:10" ht="16.05" customHeight="1" x14ac:dyDescent="0.3">
      <c r="A37" s="18">
        <v>20</v>
      </c>
      <c r="B37" s="18" t="s">
        <v>538</v>
      </c>
      <c r="C37" s="9">
        <f>SUMPRODUCT((RAW_CDN!$B$4:$B$39=$B37)*RAW_CDN!$C$4:$C$39)</f>
        <v>0</v>
      </c>
      <c r="D37" s="9">
        <f>SUMPRODUCT((RAW_CDN!$B$4:$B$39=$B37)*RAW_CDN!$D$4:$D$39)</f>
        <v>0</v>
      </c>
      <c r="E37" s="21" t="str">
        <f t="shared" si="0"/>
        <v/>
      </c>
      <c r="F37" s="9">
        <f>SUMPRODUCT((RAW_CDN!$B$4:$B$39=$B37)*RAW_CDN!$E$4:$E$39)</f>
        <v>0</v>
      </c>
      <c r="G37" s="18"/>
      <c r="H37" s="18"/>
      <c r="I37" s="18"/>
      <c r="J37" s="18"/>
    </row>
    <row r="38" spans="1:10" ht="16.05" customHeight="1" x14ac:dyDescent="0.3">
      <c r="A38" s="16">
        <v>21</v>
      </c>
      <c r="B38" s="16" t="s">
        <v>539</v>
      </c>
      <c r="C38" s="12">
        <f>SUMPRODUCT((RAW_CDN!$B$4:$B$39=$B38)*RAW_CDN!$C$4:$C$39)</f>
        <v>0</v>
      </c>
      <c r="D38" s="12">
        <f>SUMPRODUCT((RAW_CDN!$B$4:$B$39=$B38)*RAW_CDN!$D$4:$D$39)</f>
        <v>0</v>
      </c>
      <c r="E38" s="20" t="str">
        <f t="shared" si="0"/>
        <v/>
      </c>
      <c r="F38" s="12">
        <f>SUMPRODUCT((RAW_CDN!$B$4:$B$39=$B38)*RAW_CDN!$E$4:$E$39)</f>
        <v>0</v>
      </c>
      <c r="G38" s="16"/>
      <c r="H38" s="16"/>
      <c r="I38" s="16"/>
      <c r="J38" s="16"/>
    </row>
    <row r="39" spans="1:10" ht="16.05" customHeight="1" x14ac:dyDescent="0.3">
      <c r="A39" s="18">
        <v>22</v>
      </c>
      <c r="B39" s="18" t="s">
        <v>540</v>
      </c>
      <c r="C39" s="9">
        <f>SUMPRODUCT((RAW_CDN!$B$4:$B$39=$B39)*RAW_CDN!$C$4:$C$39)</f>
        <v>0</v>
      </c>
      <c r="D39" s="9">
        <f>SUMPRODUCT((RAW_CDN!$B$4:$B$39=$B39)*RAW_CDN!$D$4:$D$39)</f>
        <v>0</v>
      </c>
      <c r="E39" s="21" t="str">
        <f t="shared" si="0"/>
        <v/>
      </c>
      <c r="F39" s="9">
        <f>SUMPRODUCT((RAW_CDN!$B$4:$B$39=$B39)*RAW_CDN!$E$4:$E$39)</f>
        <v>0</v>
      </c>
      <c r="G39" s="18"/>
      <c r="H39" s="18"/>
      <c r="I39" s="18"/>
      <c r="J39" s="18"/>
    </row>
    <row r="40" spans="1:10" ht="16.05" customHeight="1" x14ac:dyDescent="0.3">
      <c r="A40" s="16">
        <v>23</v>
      </c>
      <c r="B40" s="16" t="s">
        <v>541</v>
      </c>
      <c r="C40" s="12">
        <f>SUMPRODUCT((RAW_CDN!$B$4:$B$39=$B40)*RAW_CDN!$C$4:$C$39)</f>
        <v>0</v>
      </c>
      <c r="D40" s="12">
        <f>SUMPRODUCT((RAW_CDN!$B$4:$B$39=$B40)*RAW_CDN!$D$4:$D$39)</f>
        <v>0</v>
      </c>
      <c r="E40" s="20" t="str">
        <f t="shared" si="0"/>
        <v/>
      </c>
      <c r="F40" s="12">
        <f>SUMPRODUCT((RAW_CDN!$B$4:$B$39=$B40)*RAW_CDN!$E$4:$E$39)</f>
        <v>0</v>
      </c>
      <c r="G40" s="16"/>
      <c r="H40" s="16"/>
      <c r="I40" s="16"/>
      <c r="J40" s="16"/>
    </row>
    <row r="41" spans="1:10" ht="16.05" customHeight="1" x14ac:dyDescent="0.3">
      <c r="A41" s="18">
        <v>24</v>
      </c>
      <c r="B41" s="18" t="s">
        <v>542</v>
      </c>
      <c r="C41" s="9">
        <f>SUMPRODUCT((RAW_CDN!$B$4:$B$39=$B41)*RAW_CDN!$C$4:$C$39)</f>
        <v>0</v>
      </c>
      <c r="D41" s="9">
        <f>SUMPRODUCT((RAW_CDN!$B$4:$B$39=$B41)*RAW_CDN!$D$4:$D$39)</f>
        <v>0</v>
      </c>
      <c r="E41" s="21" t="str">
        <f t="shared" si="0"/>
        <v/>
      </c>
      <c r="F41" s="9">
        <f>SUMPRODUCT((RAW_CDN!$B$4:$B$39=$B41)*RAW_CDN!$E$4:$E$39)</f>
        <v>0</v>
      </c>
      <c r="G41" s="18"/>
      <c r="H41" s="18"/>
      <c r="I41" s="18"/>
      <c r="J41" s="18"/>
    </row>
    <row r="42" spans="1:10" ht="16.05" customHeight="1" x14ac:dyDescent="0.3">
      <c r="A42" s="16">
        <v>25</v>
      </c>
      <c r="B42" s="16" t="s">
        <v>543</v>
      </c>
      <c r="C42" s="12">
        <f>SUMPRODUCT((RAW_CDN!$B$4:$B$39=$B42)*RAW_CDN!$C$4:$C$39)</f>
        <v>0</v>
      </c>
      <c r="D42" s="12">
        <f>SUMPRODUCT((RAW_CDN!$B$4:$B$39=$B42)*RAW_CDN!$D$4:$D$39)</f>
        <v>0</v>
      </c>
      <c r="E42" s="20" t="str">
        <f t="shared" si="0"/>
        <v/>
      </c>
      <c r="F42" s="12">
        <f>SUMPRODUCT((RAW_CDN!$B$4:$B$39=$B42)*RAW_CDN!$E$4:$E$39)</f>
        <v>0</v>
      </c>
      <c r="G42" s="16"/>
      <c r="H42" s="16"/>
      <c r="I42" s="16"/>
      <c r="J42" s="16"/>
    </row>
    <row r="43" spans="1:10" ht="16.05" customHeight="1" x14ac:dyDescent="0.3">
      <c r="A43" s="18">
        <v>26</v>
      </c>
      <c r="B43" s="18" t="s">
        <v>544</v>
      </c>
      <c r="C43" s="9">
        <f>SUMPRODUCT((RAW_CDN!$B$4:$B$39=$B43)*RAW_CDN!$C$4:$C$39)</f>
        <v>0</v>
      </c>
      <c r="D43" s="9">
        <f>SUMPRODUCT((RAW_CDN!$B$4:$B$39=$B43)*RAW_CDN!$D$4:$D$39)</f>
        <v>0</v>
      </c>
      <c r="E43" s="21" t="str">
        <f t="shared" si="0"/>
        <v/>
      </c>
      <c r="F43" s="9">
        <f>SUMPRODUCT((RAW_CDN!$B$4:$B$39=$B43)*RAW_CDN!$E$4:$E$39)</f>
        <v>0</v>
      </c>
      <c r="G43" s="18"/>
      <c r="H43" s="18"/>
      <c r="I43" s="18"/>
      <c r="J43" s="18"/>
    </row>
    <row r="44" spans="1:10" ht="16.05" customHeight="1" x14ac:dyDescent="0.3">
      <c r="A44" s="16">
        <v>27</v>
      </c>
      <c r="B44" s="16" t="s">
        <v>545</v>
      </c>
      <c r="C44" s="12">
        <f>SUMPRODUCT((RAW_CDN!$B$4:$B$39=$B44)*RAW_CDN!$C$4:$C$39)</f>
        <v>0</v>
      </c>
      <c r="D44" s="12">
        <f>SUMPRODUCT((RAW_CDN!$B$4:$B$39=$B44)*RAW_CDN!$D$4:$D$39)</f>
        <v>0</v>
      </c>
      <c r="E44" s="20" t="str">
        <f t="shared" si="0"/>
        <v/>
      </c>
      <c r="F44" s="12">
        <f>SUMPRODUCT((RAW_CDN!$B$4:$B$39=$B44)*RAW_CDN!$E$4:$E$39)</f>
        <v>0</v>
      </c>
      <c r="G44" s="16"/>
      <c r="H44" s="16"/>
      <c r="I44" s="16"/>
      <c r="J44" s="16"/>
    </row>
    <row r="45" spans="1:10" ht="16.05" customHeight="1" x14ac:dyDescent="0.3">
      <c r="A45" s="18">
        <v>28</v>
      </c>
      <c r="B45" s="18" t="s">
        <v>546</v>
      </c>
      <c r="C45" s="9">
        <f>SUMPRODUCT((RAW_CDN!$B$4:$B$39=$B45)*RAW_CDN!$C$4:$C$39)</f>
        <v>0</v>
      </c>
      <c r="D45" s="9">
        <f>SUMPRODUCT((RAW_CDN!$B$4:$B$39=$B45)*RAW_CDN!$D$4:$D$39)</f>
        <v>0</v>
      </c>
      <c r="E45" s="21" t="str">
        <f t="shared" si="0"/>
        <v/>
      </c>
      <c r="F45" s="9">
        <f>SUMPRODUCT((RAW_CDN!$B$4:$B$39=$B45)*RAW_CDN!$E$4:$E$39)</f>
        <v>0</v>
      </c>
      <c r="G45" s="18"/>
      <c r="H45" s="18"/>
      <c r="I45" s="18"/>
      <c r="J45" s="18"/>
    </row>
    <row r="46" spans="1:10" ht="16.05" customHeight="1" x14ac:dyDescent="0.3">
      <c r="A46" s="16">
        <v>29</v>
      </c>
      <c r="B46" s="16" t="s">
        <v>547</v>
      </c>
      <c r="C46" s="12">
        <f>SUMPRODUCT((RAW_CDN!$B$4:$B$39=$B46)*RAW_CDN!$C$4:$C$39)</f>
        <v>0</v>
      </c>
      <c r="D46" s="12">
        <f>SUMPRODUCT((RAW_CDN!$B$4:$B$39=$B46)*RAW_CDN!$D$4:$D$39)</f>
        <v>0</v>
      </c>
      <c r="E46" s="20" t="str">
        <f t="shared" si="0"/>
        <v/>
      </c>
      <c r="F46" s="12">
        <f>SUMPRODUCT((RAW_CDN!$B$4:$B$39=$B46)*RAW_CDN!$E$4:$E$39)</f>
        <v>0</v>
      </c>
      <c r="G46" s="16"/>
      <c r="H46" s="16"/>
      <c r="I46" s="16"/>
      <c r="J46" s="16"/>
    </row>
    <row r="47" spans="1:10" ht="16.05" customHeight="1" x14ac:dyDescent="0.3">
      <c r="A47" s="18">
        <v>30</v>
      </c>
      <c r="B47" s="18" t="s">
        <v>548</v>
      </c>
      <c r="C47" s="9">
        <f>SUMPRODUCT((RAW_CDN!$B$4:$B$39=$B47)*RAW_CDN!$C$4:$C$39)</f>
        <v>0</v>
      </c>
      <c r="D47" s="9">
        <f>SUMPRODUCT((RAW_CDN!$B$4:$B$39=$B47)*RAW_CDN!$D$4:$D$39)</f>
        <v>0</v>
      </c>
      <c r="E47" s="21" t="str">
        <f t="shared" si="0"/>
        <v/>
      </c>
      <c r="F47" s="9">
        <f>SUMPRODUCT((RAW_CDN!$B$4:$B$39=$B47)*RAW_CDN!$E$4:$E$39)</f>
        <v>0</v>
      </c>
      <c r="G47" s="18"/>
      <c r="H47" s="18"/>
      <c r="I47" s="18"/>
      <c r="J47" s="18"/>
    </row>
    <row r="48" spans="1:10" ht="16.05" customHeight="1" x14ac:dyDescent="0.3">
      <c r="A48" s="16">
        <v>31</v>
      </c>
      <c r="B48" s="16" t="s">
        <v>549</v>
      </c>
      <c r="C48" s="12">
        <f>SUMPRODUCT((RAW_CDN!$B$4:$B$39=$B48)*RAW_CDN!$C$4:$C$39)</f>
        <v>0</v>
      </c>
      <c r="D48" s="12">
        <f>SUMPRODUCT((RAW_CDN!$B$4:$B$39=$B48)*RAW_CDN!$D$4:$D$39)</f>
        <v>0</v>
      </c>
      <c r="E48" s="20" t="str">
        <f t="shared" si="0"/>
        <v/>
      </c>
      <c r="F48" s="12">
        <f>SUMPRODUCT((RAW_CDN!$B$4:$B$39=$B48)*RAW_CDN!$E$4:$E$39)</f>
        <v>0</v>
      </c>
      <c r="G48" s="16"/>
      <c r="H48" s="16"/>
      <c r="I48" s="16"/>
      <c r="J48" s="16"/>
    </row>
    <row r="49" spans="1:10" ht="16.05" customHeight="1" x14ac:dyDescent="0.3">
      <c r="A49" s="18">
        <v>32</v>
      </c>
      <c r="B49" s="18" t="s">
        <v>550</v>
      </c>
      <c r="C49" s="9">
        <f>SUMPRODUCT((RAW_CDN!$B$4:$B$39=$B49)*RAW_CDN!$C$4:$C$39)</f>
        <v>0</v>
      </c>
      <c r="D49" s="9">
        <f>SUMPRODUCT((RAW_CDN!$B$4:$B$39=$B49)*RAW_CDN!$D$4:$D$39)</f>
        <v>0</v>
      </c>
      <c r="E49" s="21" t="str">
        <f t="shared" si="0"/>
        <v/>
      </c>
      <c r="F49" s="9">
        <f>SUMPRODUCT((RAW_CDN!$B$4:$B$39=$B49)*RAW_CDN!$E$4:$E$39)</f>
        <v>0</v>
      </c>
      <c r="G49" s="18"/>
      <c r="H49" s="18"/>
      <c r="I49" s="18"/>
      <c r="J49" s="18"/>
    </row>
    <row r="50" spans="1:10" ht="16.05" customHeight="1" x14ac:dyDescent="0.3">
      <c r="A50" s="16">
        <v>33</v>
      </c>
      <c r="B50" s="16" t="s">
        <v>551</v>
      </c>
      <c r="C50" s="12">
        <f>SUMPRODUCT((RAW_CDN!$B$4:$B$39=$B50)*RAW_CDN!$C$4:$C$39)</f>
        <v>0</v>
      </c>
      <c r="D50" s="12">
        <f>SUMPRODUCT((RAW_CDN!$B$4:$B$39=$B50)*RAW_CDN!$D$4:$D$39)</f>
        <v>0</v>
      </c>
      <c r="E50" s="20" t="str">
        <f t="shared" si="0"/>
        <v/>
      </c>
      <c r="F50" s="12">
        <f>SUMPRODUCT((RAW_CDN!$B$4:$B$39=$B50)*RAW_CDN!$E$4:$E$39)</f>
        <v>0</v>
      </c>
      <c r="G50" s="16"/>
      <c r="H50" s="16"/>
      <c r="I50" s="16"/>
      <c r="J50" s="16"/>
    </row>
    <row r="51" spans="1:10" ht="16.05" customHeight="1" x14ac:dyDescent="0.3">
      <c r="A51" s="18">
        <v>34</v>
      </c>
      <c r="B51" s="18" t="s">
        <v>552</v>
      </c>
      <c r="C51" s="9">
        <f>SUMPRODUCT((RAW_CDN!$B$4:$B$39=$B51)*RAW_CDN!$C$4:$C$39)</f>
        <v>0</v>
      </c>
      <c r="D51" s="9">
        <f>SUMPRODUCT((RAW_CDN!$B$4:$B$39=$B51)*RAW_CDN!$D$4:$D$39)</f>
        <v>0</v>
      </c>
      <c r="E51" s="21" t="str">
        <f t="shared" si="0"/>
        <v/>
      </c>
      <c r="F51" s="9">
        <f>SUMPRODUCT((RAW_CDN!$B$4:$B$39=$B51)*RAW_CDN!$E$4:$E$39)</f>
        <v>0</v>
      </c>
      <c r="G51" s="18"/>
      <c r="H51" s="18"/>
      <c r="I51" s="18"/>
      <c r="J51" s="18"/>
    </row>
    <row r="52" spans="1:10" ht="16.05" customHeight="1" x14ac:dyDescent="0.3">
      <c r="A52" s="16">
        <v>35</v>
      </c>
      <c r="B52" s="16" t="s">
        <v>553</v>
      </c>
      <c r="C52" s="12">
        <f>SUMPRODUCT((RAW_CDN!$B$4:$B$39=$B52)*RAW_CDN!$C$4:$C$39)</f>
        <v>0</v>
      </c>
      <c r="D52" s="12">
        <f>SUMPRODUCT((RAW_CDN!$B$4:$B$39=$B52)*RAW_CDN!$D$4:$D$39)</f>
        <v>0</v>
      </c>
      <c r="E52" s="20" t="str">
        <f t="shared" si="0"/>
        <v/>
      </c>
      <c r="F52" s="12">
        <f>SUMPRODUCT((RAW_CDN!$B$4:$B$39=$B52)*RAW_CDN!$E$4:$E$39)</f>
        <v>0</v>
      </c>
      <c r="G52" s="16"/>
      <c r="H52" s="16"/>
      <c r="I52" s="16"/>
      <c r="J52" s="16"/>
    </row>
    <row r="53" spans="1:10" ht="16.05" customHeight="1" x14ac:dyDescent="0.3">
      <c r="A53" s="18">
        <v>36</v>
      </c>
      <c r="B53" s="18" t="s">
        <v>554</v>
      </c>
      <c r="C53" s="9">
        <f>SUMPRODUCT((RAW_CDN!$B$4:$B$39=$B53)*RAW_CDN!$C$4:$C$39)</f>
        <v>0</v>
      </c>
      <c r="D53" s="9">
        <f>SUMPRODUCT((RAW_CDN!$B$4:$B$39=$B53)*RAW_CDN!$D$4:$D$39)</f>
        <v>0</v>
      </c>
      <c r="E53" s="21" t="str">
        <f t="shared" si="0"/>
        <v/>
      </c>
      <c r="F53" s="9">
        <f>SUMPRODUCT((RAW_CDN!$B$4:$B$39=$B53)*RAW_CDN!$E$4:$E$39)</f>
        <v>0</v>
      </c>
      <c r="G53" s="18"/>
      <c r="H53" s="18"/>
      <c r="I53" s="18"/>
      <c r="J53" s="18"/>
    </row>
  </sheetData>
  <mergeCells count="5">
    <mergeCell ref="A1:J1"/>
    <mergeCell ref="A2:J2"/>
    <mergeCell ref="A3:J3"/>
    <mergeCell ref="A4:J4"/>
    <mergeCell ref="A16:J16"/>
  </mergeCell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0000000-0002-0000-1100-000000000000}">
          <x14:formula1>
            <xm:f>REF!$K$2:$K$5</xm:f>
          </x14:formula1>
          <xm:sqref>E6:E14</xm:sqref>
        </x14:dataValidation>
        <x14:dataValidation type="list" allowBlank="1" xr:uid="{00000000-0002-0000-1100-000001000000}">
          <x14:formula1>
            <xm:f>REF!$A$2:$A$37</xm:f>
          </x14:formula1>
          <xm:sqref>H6:H14</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63"/>
  <sheetViews>
    <sheetView showGridLines="0" workbookViewId="0">
      <selection activeCell="B6" sqref="B6"/>
    </sheetView>
  </sheetViews>
  <sheetFormatPr defaultRowHeight="14.4" x14ac:dyDescent="0.3"/>
  <cols>
    <col min="1" max="1" width="4" customWidth="1"/>
    <col min="2" max="2" width="26" customWidth="1"/>
    <col min="3" max="3" width="20" customWidth="1"/>
    <col min="4" max="4" width="16" customWidth="1"/>
    <col min="5" max="10" width="14" customWidth="1"/>
    <col min="11" max="11" width="22" customWidth="1"/>
  </cols>
  <sheetData>
    <row r="1" spans="1:11" ht="28.05" customHeight="1" x14ac:dyDescent="0.3">
      <c r="A1" s="32" t="s">
        <v>766</v>
      </c>
      <c r="B1" s="33"/>
      <c r="C1" s="33"/>
      <c r="D1" s="33"/>
      <c r="E1" s="33"/>
      <c r="F1" s="33"/>
      <c r="G1" s="33"/>
      <c r="H1" s="33"/>
      <c r="I1" s="33"/>
      <c r="J1" s="33"/>
      <c r="K1" s="33"/>
    </row>
    <row r="2" spans="1:11" ht="18" customHeight="1" x14ac:dyDescent="0.3">
      <c r="A2" s="38" t="str">
        <f>IF(SelectedScope="All India","NATIONAL VIEW — ALL INDIA","STATE VIEW — "&amp;SelectedScope)</f>
        <v>NATIONAL VIEW — ALL INDIA</v>
      </c>
      <c r="B2" s="33"/>
      <c r="C2" s="33"/>
      <c r="D2" s="33"/>
      <c r="E2" s="33"/>
      <c r="F2" s="33"/>
      <c r="G2" s="33"/>
      <c r="H2" s="33"/>
      <c r="I2" s="33"/>
      <c r="J2" s="33"/>
      <c r="K2" s="33"/>
    </row>
    <row r="3" spans="1:11" ht="16.05" customHeight="1" x14ac:dyDescent="0.3">
      <c r="A3" s="39" t="s">
        <v>767</v>
      </c>
      <c r="B3" s="33"/>
      <c r="C3" s="33"/>
      <c r="D3" s="33"/>
      <c r="E3" s="33"/>
      <c r="F3" s="33"/>
      <c r="G3" s="33"/>
      <c r="H3" s="33"/>
      <c r="I3" s="33"/>
      <c r="J3" s="33"/>
      <c r="K3" s="33"/>
    </row>
    <row r="4" spans="1:11" ht="19.95" customHeight="1" x14ac:dyDescent="0.3">
      <c r="A4" s="37" t="s">
        <v>768</v>
      </c>
      <c r="B4" s="33"/>
      <c r="C4" s="33"/>
      <c r="D4" s="33"/>
      <c r="E4" s="33"/>
      <c r="F4" s="33"/>
      <c r="G4" s="33"/>
      <c r="H4" s="33"/>
      <c r="I4" s="33"/>
      <c r="J4" s="33"/>
      <c r="K4" s="33"/>
    </row>
    <row r="5" spans="1:11" ht="31.95" customHeight="1" x14ac:dyDescent="0.3">
      <c r="A5" s="15" t="s">
        <v>78</v>
      </c>
      <c r="B5" s="15" t="s">
        <v>192</v>
      </c>
      <c r="C5" s="15" t="s">
        <v>191</v>
      </c>
      <c r="D5" s="15" t="s">
        <v>769</v>
      </c>
      <c r="E5" s="15" t="s">
        <v>770</v>
      </c>
      <c r="F5" s="15" t="s">
        <v>771</v>
      </c>
      <c r="G5" s="15" t="s">
        <v>195</v>
      </c>
      <c r="H5" s="15" t="s">
        <v>772</v>
      </c>
      <c r="I5" s="15" t="s">
        <v>773</v>
      </c>
      <c r="J5" s="15" t="s">
        <v>774</v>
      </c>
      <c r="K5" s="15" t="s">
        <v>775</v>
      </c>
    </row>
    <row r="6" spans="1:11" ht="16.05" customHeight="1" x14ac:dyDescent="0.3">
      <c r="A6" s="16">
        <v>1</v>
      </c>
      <c r="B6" s="12" t="str">
        <f>IFERROR(INDEX('RAW_DISTRICT'!$B$4:$B$745,MATCH(1,IF('RAW_DISTRICT'!$S$4:$S$745="At Risk",'RAW_DISTRICT'!$V$4:$V$745),0)),"")</f>
        <v/>
      </c>
      <c r="C6" s="12" t="str">
        <f>IFERROR(INDEX('RAW_DISTRICT'!$C$4:$C$745,MATCH(1,IF('RAW_DISTRICT'!$S$4:$S$745="At Risk",'RAW_DISTRICT'!$V$4:$V$745),0)),"")</f>
        <v/>
      </c>
      <c r="D6" s="16"/>
      <c r="E6" s="16"/>
      <c r="F6" s="20" t="str">
        <f t="shared" ref="F6:F35" si="0">IFERROR((D6-E6)/E6,"")</f>
        <v/>
      </c>
      <c r="G6" s="16"/>
      <c r="H6" s="16"/>
      <c r="I6" s="16"/>
      <c r="J6" s="16" t="s">
        <v>776</v>
      </c>
      <c r="K6" s="16"/>
    </row>
    <row r="7" spans="1:11" ht="16.05" customHeight="1" x14ac:dyDescent="0.3">
      <c r="A7" s="18">
        <v>2</v>
      </c>
      <c r="B7" s="9" t="str">
        <f>IFERROR(INDEX('RAW_DISTRICT'!$B$4:$B$745,MATCH(2,IF('RAW_DISTRICT'!$S$4:$S$745="At Risk",'RAW_DISTRICT'!$V$4:$V$745),0)),"")</f>
        <v/>
      </c>
      <c r="C7" s="9" t="str">
        <f>IFERROR(INDEX('RAW_DISTRICT'!$C$4:$C$745,MATCH(2,IF('RAW_DISTRICT'!$S$4:$S$745="At Risk",'RAW_DISTRICT'!$V$4:$V$745),0)),"")</f>
        <v/>
      </c>
      <c r="D7" s="18"/>
      <c r="E7" s="18"/>
      <c r="F7" s="21" t="str">
        <f t="shared" si="0"/>
        <v/>
      </c>
      <c r="G7" s="18"/>
      <c r="H7" s="18"/>
      <c r="I7" s="18"/>
      <c r="J7" s="18" t="s">
        <v>776</v>
      </c>
      <c r="K7" s="18"/>
    </row>
    <row r="8" spans="1:11" ht="16.05" customHeight="1" x14ac:dyDescent="0.3">
      <c r="A8" s="16">
        <v>3</v>
      </c>
      <c r="B8" s="12" t="str">
        <f>IFERROR(INDEX('RAW_DISTRICT'!$B$4:$B$745,MATCH(3,IF('RAW_DISTRICT'!$S$4:$S$745="At Risk",'RAW_DISTRICT'!$V$4:$V$745),0)),"")</f>
        <v/>
      </c>
      <c r="C8" s="12" t="str">
        <f>IFERROR(INDEX('RAW_DISTRICT'!$C$4:$C$745,MATCH(3,IF('RAW_DISTRICT'!$S$4:$S$745="At Risk",'RAW_DISTRICT'!$V$4:$V$745),0)),"")</f>
        <v/>
      </c>
      <c r="D8" s="16"/>
      <c r="E8" s="16"/>
      <c r="F8" s="20" t="str">
        <f t="shared" si="0"/>
        <v/>
      </c>
      <c r="G8" s="16"/>
      <c r="H8" s="16"/>
      <c r="I8" s="16"/>
      <c r="J8" s="16" t="s">
        <v>776</v>
      </c>
      <c r="K8" s="16"/>
    </row>
    <row r="9" spans="1:11" ht="16.05" customHeight="1" x14ac:dyDescent="0.3">
      <c r="A9" s="18">
        <v>4</v>
      </c>
      <c r="B9" s="9" t="str">
        <f>IFERROR(INDEX('RAW_DISTRICT'!$B$4:$B$745,MATCH(4,IF('RAW_DISTRICT'!$S$4:$S$745="At Risk",'RAW_DISTRICT'!$V$4:$V$745),0)),"")</f>
        <v/>
      </c>
      <c r="C9" s="9" t="str">
        <f>IFERROR(INDEX('RAW_DISTRICT'!$C$4:$C$745,MATCH(4,IF('RAW_DISTRICT'!$S$4:$S$745="At Risk",'RAW_DISTRICT'!$V$4:$V$745),0)),"")</f>
        <v/>
      </c>
      <c r="D9" s="18"/>
      <c r="E9" s="18"/>
      <c r="F9" s="21" t="str">
        <f t="shared" si="0"/>
        <v/>
      </c>
      <c r="G9" s="18"/>
      <c r="H9" s="18"/>
      <c r="I9" s="18"/>
      <c r="J9" s="18" t="s">
        <v>776</v>
      </c>
      <c r="K9" s="18"/>
    </row>
    <row r="10" spans="1:11" ht="16.05" customHeight="1" x14ac:dyDescent="0.3">
      <c r="A10" s="16">
        <v>5</v>
      </c>
      <c r="B10" s="12" t="str">
        <f>IFERROR(INDEX('RAW_DISTRICT'!$B$4:$B$745,MATCH(5,IF('RAW_DISTRICT'!$S$4:$S$745="At Risk",'RAW_DISTRICT'!$V$4:$V$745),0)),"")</f>
        <v/>
      </c>
      <c r="C10" s="12" t="str">
        <f>IFERROR(INDEX('RAW_DISTRICT'!$C$4:$C$745,MATCH(5,IF('RAW_DISTRICT'!$S$4:$S$745="At Risk",'RAW_DISTRICT'!$V$4:$V$745),0)),"")</f>
        <v/>
      </c>
      <c r="D10" s="16"/>
      <c r="E10" s="16"/>
      <c r="F10" s="20" t="str">
        <f t="shared" si="0"/>
        <v/>
      </c>
      <c r="G10" s="16"/>
      <c r="H10" s="16"/>
      <c r="I10" s="16"/>
      <c r="J10" s="16" t="s">
        <v>776</v>
      </c>
      <c r="K10" s="16"/>
    </row>
    <row r="11" spans="1:11" ht="16.05" customHeight="1" x14ac:dyDescent="0.3">
      <c r="A11" s="18">
        <v>6</v>
      </c>
      <c r="B11" s="9" t="str">
        <f>IFERROR(INDEX('RAW_DISTRICT'!$B$4:$B$745,MATCH(6,IF('RAW_DISTRICT'!$S$4:$S$745="At Risk",'RAW_DISTRICT'!$V$4:$V$745),0)),"")</f>
        <v/>
      </c>
      <c r="C11" s="9" t="str">
        <f>IFERROR(INDEX('RAW_DISTRICT'!$C$4:$C$745,MATCH(6,IF('RAW_DISTRICT'!$S$4:$S$745="At Risk",'RAW_DISTRICT'!$V$4:$V$745),0)),"")</f>
        <v/>
      </c>
      <c r="D11" s="18"/>
      <c r="E11" s="18"/>
      <c r="F11" s="21" t="str">
        <f t="shared" si="0"/>
        <v/>
      </c>
      <c r="G11" s="18"/>
      <c r="H11" s="18"/>
      <c r="I11" s="18"/>
      <c r="J11" s="18" t="s">
        <v>776</v>
      </c>
      <c r="K11" s="18"/>
    </row>
    <row r="12" spans="1:11" ht="16.05" customHeight="1" x14ac:dyDescent="0.3">
      <c r="A12" s="16">
        <v>7</v>
      </c>
      <c r="B12" s="12" t="str">
        <f>IFERROR(INDEX('RAW_DISTRICT'!$B$4:$B$745,MATCH(7,IF('RAW_DISTRICT'!$S$4:$S$745="At Risk",'RAW_DISTRICT'!$V$4:$V$745),0)),"")</f>
        <v/>
      </c>
      <c r="C12" s="12" t="str">
        <f>IFERROR(INDEX('RAW_DISTRICT'!$C$4:$C$745,MATCH(7,IF('RAW_DISTRICT'!$S$4:$S$745="At Risk",'RAW_DISTRICT'!$V$4:$V$745),0)),"")</f>
        <v/>
      </c>
      <c r="D12" s="16"/>
      <c r="E12" s="16"/>
      <c r="F12" s="20" t="str">
        <f t="shared" si="0"/>
        <v/>
      </c>
      <c r="G12" s="16"/>
      <c r="H12" s="16"/>
      <c r="I12" s="16"/>
      <c r="J12" s="16" t="s">
        <v>776</v>
      </c>
      <c r="K12" s="16"/>
    </row>
    <row r="13" spans="1:11" ht="16.05" customHeight="1" x14ac:dyDescent="0.3">
      <c r="A13" s="18">
        <v>8</v>
      </c>
      <c r="B13" s="9" t="str">
        <f>IFERROR(INDEX('RAW_DISTRICT'!$B$4:$B$745,MATCH(8,IF('RAW_DISTRICT'!$S$4:$S$745="At Risk",'RAW_DISTRICT'!$V$4:$V$745),0)),"")</f>
        <v/>
      </c>
      <c r="C13" s="9" t="str">
        <f>IFERROR(INDEX('RAW_DISTRICT'!$C$4:$C$745,MATCH(8,IF('RAW_DISTRICT'!$S$4:$S$745="At Risk",'RAW_DISTRICT'!$V$4:$V$745),0)),"")</f>
        <v/>
      </c>
      <c r="D13" s="18"/>
      <c r="E13" s="18"/>
      <c r="F13" s="21" t="str">
        <f t="shared" si="0"/>
        <v/>
      </c>
      <c r="G13" s="18"/>
      <c r="H13" s="18"/>
      <c r="I13" s="18"/>
      <c r="J13" s="18" t="s">
        <v>776</v>
      </c>
      <c r="K13" s="18"/>
    </row>
    <row r="14" spans="1:11" ht="16.05" customHeight="1" x14ac:dyDescent="0.3">
      <c r="A14" s="16">
        <v>9</v>
      </c>
      <c r="B14" s="12" t="str">
        <f>IFERROR(INDEX('RAW_DISTRICT'!$B$4:$B$745,MATCH(9,IF('RAW_DISTRICT'!$S$4:$S$745="At Risk",'RAW_DISTRICT'!$V$4:$V$745),0)),"")</f>
        <v/>
      </c>
      <c r="C14" s="12" t="str">
        <f>IFERROR(INDEX('RAW_DISTRICT'!$C$4:$C$745,MATCH(9,IF('RAW_DISTRICT'!$S$4:$S$745="At Risk",'RAW_DISTRICT'!$V$4:$V$745),0)),"")</f>
        <v/>
      </c>
      <c r="D14" s="16"/>
      <c r="E14" s="16"/>
      <c r="F14" s="20" t="str">
        <f t="shared" si="0"/>
        <v/>
      </c>
      <c r="G14" s="16"/>
      <c r="H14" s="16"/>
      <c r="I14" s="16"/>
      <c r="J14" s="16" t="s">
        <v>776</v>
      </c>
      <c r="K14" s="16"/>
    </row>
    <row r="15" spans="1:11" ht="16.05" customHeight="1" x14ac:dyDescent="0.3">
      <c r="A15" s="18">
        <v>10</v>
      </c>
      <c r="B15" s="9" t="str">
        <f>IFERROR(INDEX('RAW_DISTRICT'!$B$4:$B$745,MATCH(10,IF('RAW_DISTRICT'!$S$4:$S$745="At Risk",'RAW_DISTRICT'!$V$4:$V$745),0)),"")</f>
        <v/>
      </c>
      <c r="C15" s="9" t="str">
        <f>IFERROR(INDEX('RAW_DISTRICT'!$C$4:$C$745,MATCH(10,IF('RAW_DISTRICT'!$S$4:$S$745="At Risk",'RAW_DISTRICT'!$V$4:$V$745),0)),"")</f>
        <v/>
      </c>
      <c r="D15" s="18"/>
      <c r="E15" s="18"/>
      <c r="F15" s="21" t="str">
        <f t="shared" si="0"/>
        <v/>
      </c>
      <c r="G15" s="18"/>
      <c r="H15" s="18"/>
      <c r="I15" s="18"/>
      <c r="J15" s="18" t="s">
        <v>776</v>
      </c>
      <c r="K15" s="18"/>
    </row>
    <row r="16" spans="1:11" ht="16.05" customHeight="1" x14ac:dyDescent="0.3">
      <c r="A16" s="16">
        <v>11</v>
      </c>
      <c r="B16" s="12" t="str">
        <f>IFERROR(INDEX('RAW_DISTRICT'!$B$4:$B$745,MATCH(11,IF('RAW_DISTRICT'!$S$4:$S$745="At Risk",'RAW_DISTRICT'!$V$4:$V$745),0)),"")</f>
        <v/>
      </c>
      <c r="C16" s="12" t="str">
        <f>IFERROR(INDEX('RAW_DISTRICT'!$C$4:$C$745,MATCH(11,IF('RAW_DISTRICT'!$S$4:$S$745="At Risk",'RAW_DISTRICT'!$V$4:$V$745),0)),"")</f>
        <v/>
      </c>
      <c r="D16" s="16"/>
      <c r="E16" s="16"/>
      <c r="F16" s="20" t="str">
        <f t="shared" si="0"/>
        <v/>
      </c>
      <c r="G16" s="16"/>
      <c r="H16" s="16"/>
      <c r="I16" s="16"/>
      <c r="J16" s="16" t="s">
        <v>776</v>
      </c>
      <c r="K16" s="16"/>
    </row>
    <row r="17" spans="1:11" ht="16.05" customHeight="1" x14ac:dyDescent="0.3">
      <c r="A17" s="18">
        <v>12</v>
      </c>
      <c r="B17" s="9" t="str">
        <f>IFERROR(INDEX('RAW_DISTRICT'!$B$4:$B$745,MATCH(12,IF('RAW_DISTRICT'!$S$4:$S$745="At Risk",'RAW_DISTRICT'!$V$4:$V$745),0)),"")</f>
        <v/>
      </c>
      <c r="C17" s="9" t="str">
        <f>IFERROR(INDEX('RAW_DISTRICT'!$C$4:$C$745,MATCH(12,IF('RAW_DISTRICT'!$S$4:$S$745="At Risk",'RAW_DISTRICT'!$V$4:$V$745),0)),"")</f>
        <v/>
      </c>
      <c r="D17" s="18"/>
      <c r="E17" s="18"/>
      <c r="F17" s="21" t="str">
        <f t="shared" si="0"/>
        <v/>
      </c>
      <c r="G17" s="18"/>
      <c r="H17" s="18"/>
      <c r="I17" s="18"/>
      <c r="J17" s="18" t="s">
        <v>776</v>
      </c>
      <c r="K17" s="18"/>
    </row>
    <row r="18" spans="1:11" ht="16.05" customHeight="1" x14ac:dyDescent="0.3">
      <c r="A18" s="16">
        <v>13</v>
      </c>
      <c r="B18" s="12" t="str">
        <f>IFERROR(INDEX('RAW_DISTRICT'!$B$4:$B$745,MATCH(13,IF('RAW_DISTRICT'!$S$4:$S$745="At Risk",'RAW_DISTRICT'!$V$4:$V$745),0)),"")</f>
        <v/>
      </c>
      <c r="C18" s="12" t="str">
        <f>IFERROR(INDEX('RAW_DISTRICT'!$C$4:$C$745,MATCH(13,IF('RAW_DISTRICT'!$S$4:$S$745="At Risk",'RAW_DISTRICT'!$V$4:$V$745),0)),"")</f>
        <v/>
      </c>
      <c r="D18" s="16"/>
      <c r="E18" s="16"/>
      <c r="F18" s="20" t="str">
        <f t="shared" si="0"/>
        <v/>
      </c>
      <c r="G18" s="16"/>
      <c r="H18" s="16"/>
      <c r="I18" s="16"/>
      <c r="J18" s="16" t="s">
        <v>776</v>
      </c>
      <c r="K18" s="16"/>
    </row>
    <row r="19" spans="1:11" ht="16.05" customHeight="1" x14ac:dyDescent="0.3">
      <c r="A19" s="18">
        <v>14</v>
      </c>
      <c r="B19" s="9" t="str">
        <f>IFERROR(INDEX('RAW_DISTRICT'!$B$4:$B$745,MATCH(14,IF('RAW_DISTRICT'!$S$4:$S$745="At Risk",'RAW_DISTRICT'!$V$4:$V$745),0)),"")</f>
        <v/>
      </c>
      <c r="C19" s="9" t="str">
        <f>IFERROR(INDEX('RAW_DISTRICT'!$C$4:$C$745,MATCH(14,IF('RAW_DISTRICT'!$S$4:$S$745="At Risk",'RAW_DISTRICT'!$V$4:$V$745),0)),"")</f>
        <v/>
      </c>
      <c r="D19" s="18"/>
      <c r="E19" s="18"/>
      <c r="F19" s="21" t="str">
        <f t="shared" si="0"/>
        <v/>
      </c>
      <c r="G19" s="18"/>
      <c r="H19" s="18"/>
      <c r="I19" s="18"/>
      <c r="J19" s="18" t="s">
        <v>776</v>
      </c>
      <c r="K19" s="18"/>
    </row>
    <row r="20" spans="1:11" ht="16.05" customHeight="1" x14ac:dyDescent="0.3">
      <c r="A20" s="16">
        <v>15</v>
      </c>
      <c r="B20" s="12" t="str">
        <f>IFERROR(INDEX('RAW_DISTRICT'!$B$4:$B$745,MATCH(15,IF('RAW_DISTRICT'!$S$4:$S$745="At Risk",'RAW_DISTRICT'!$V$4:$V$745),0)),"")</f>
        <v/>
      </c>
      <c r="C20" s="12" t="str">
        <f>IFERROR(INDEX('RAW_DISTRICT'!$C$4:$C$745,MATCH(15,IF('RAW_DISTRICT'!$S$4:$S$745="At Risk",'RAW_DISTRICT'!$V$4:$V$745),0)),"")</f>
        <v/>
      </c>
      <c r="D20" s="16"/>
      <c r="E20" s="16"/>
      <c r="F20" s="20" t="str">
        <f t="shared" si="0"/>
        <v/>
      </c>
      <c r="G20" s="16"/>
      <c r="H20" s="16"/>
      <c r="I20" s="16"/>
      <c r="J20" s="16" t="s">
        <v>776</v>
      </c>
      <c r="K20" s="16"/>
    </row>
    <row r="21" spans="1:11" ht="16.05" customHeight="1" x14ac:dyDescent="0.3">
      <c r="A21" s="18">
        <v>16</v>
      </c>
      <c r="B21" s="9" t="str">
        <f>IFERROR(INDEX('RAW_DISTRICT'!$B$4:$B$745,MATCH(16,IF('RAW_DISTRICT'!$S$4:$S$745="At Risk",'RAW_DISTRICT'!$V$4:$V$745),0)),"")</f>
        <v/>
      </c>
      <c r="C21" s="9" t="str">
        <f>IFERROR(INDEX('RAW_DISTRICT'!$C$4:$C$745,MATCH(16,IF('RAW_DISTRICT'!$S$4:$S$745="At Risk",'RAW_DISTRICT'!$V$4:$V$745),0)),"")</f>
        <v/>
      </c>
      <c r="D21" s="18"/>
      <c r="E21" s="18"/>
      <c r="F21" s="21" t="str">
        <f t="shared" si="0"/>
        <v/>
      </c>
      <c r="G21" s="18"/>
      <c r="H21" s="18"/>
      <c r="I21" s="18"/>
      <c r="J21" s="18" t="s">
        <v>776</v>
      </c>
      <c r="K21" s="18"/>
    </row>
    <row r="22" spans="1:11" ht="16.05" customHeight="1" x14ac:dyDescent="0.3">
      <c r="A22" s="16">
        <v>17</v>
      </c>
      <c r="B22" s="12" t="str">
        <f>IFERROR(INDEX('RAW_DISTRICT'!$B$4:$B$745,MATCH(17,IF('RAW_DISTRICT'!$S$4:$S$745="At Risk",'RAW_DISTRICT'!$V$4:$V$745),0)),"")</f>
        <v/>
      </c>
      <c r="C22" s="12" t="str">
        <f>IFERROR(INDEX('RAW_DISTRICT'!$C$4:$C$745,MATCH(17,IF('RAW_DISTRICT'!$S$4:$S$745="At Risk",'RAW_DISTRICT'!$V$4:$V$745),0)),"")</f>
        <v/>
      </c>
      <c r="D22" s="16"/>
      <c r="E22" s="16"/>
      <c r="F22" s="20" t="str">
        <f t="shared" si="0"/>
        <v/>
      </c>
      <c r="G22" s="16"/>
      <c r="H22" s="16"/>
      <c r="I22" s="16"/>
      <c r="J22" s="16" t="s">
        <v>776</v>
      </c>
      <c r="K22" s="16"/>
    </row>
    <row r="23" spans="1:11" ht="16.05" customHeight="1" x14ac:dyDescent="0.3">
      <c r="A23" s="18">
        <v>18</v>
      </c>
      <c r="B23" s="9" t="str">
        <f>IFERROR(INDEX('RAW_DISTRICT'!$B$4:$B$745,MATCH(18,IF('RAW_DISTRICT'!$S$4:$S$745="At Risk",'RAW_DISTRICT'!$V$4:$V$745),0)),"")</f>
        <v/>
      </c>
      <c r="C23" s="9" t="str">
        <f>IFERROR(INDEX('RAW_DISTRICT'!$C$4:$C$745,MATCH(18,IF('RAW_DISTRICT'!$S$4:$S$745="At Risk",'RAW_DISTRICT'!$V$4:$V$745),0)),"")</f>
        <v/>
      </c>
      <c r="D23" s="18"/>
      <c r="E23" s="18"/>
      <c r="F23" s="21" t="str">
        <f t="shared" si="0"/>
        <v/>
      </c>
      <c r="G23" s="18"/>
      <c r="H23" s="18"/>
      <c r="I23" s="18"/>
      <c r="J23" s="18" t="s">
        <v>776</v>
      </c>
      <c r="K23" s="18"/>
    </row>
    <row r="24" spans="1:11" ht="16.05" customHeight="1" x14ac:dyDescent="0.3">
      <c r="A24" s="16">
        <v>19</v>
      </c>
      <c r="B24" s="12" t="str">
        <f>IFERROR(INDEX('RAW_DISTRICT'!$B$4:$B$745,MATCH(19,IF('RAW_DISTRICT'!$S$4:$S$745="At Risk",'RAW_DISTRICT'!$V$4:$V$745),0)),"")</f>
        <v/>
      </c>
      <c r="C24" s="12" t="str">
        <f>IFERROR(INDEX('RAW_DISTRICT'!$C$4:$C$745,MATCH(19,IF('RAW_DISTRICT'!$S$4:$S$745="At Risk",'RAW_DISTRICT'!$V$4:$V$745),0)),"")</f>
        <v/>
      </c>
      <c r="D24" s="16"/>
      <c r="E24" s="16"/>
      <c r="F24" s="20" t="str">
        <f t="shared" si="0"/>
        <v/>
      </c>
      <c r="G24" s="16"/>
      <c r="H24" s="16"/>
      <c r="I24" s="16"/>
      <c r="J24" s="16" t="s">
        <v>776</v>
      </c>
      <c r="K24" s="16"/>
    </row>
    <row r="25" spans="1:11" ht="16.05" customHeight="1" x14ac:dyDescent="0.3">
      <c r="A25" s="18">
        <v>20</v>
      </c>
      <c r="B25" s="9" t="str">
        <f>IFERROR(INDEX('RAW_DISTRICT'!$B$4:$B$745,MATCH(20,IF('RAW_DISTRICT'!$S$4:$S$745="At Risk",'RAW_DISTRICT'!$V$4:$V$745),0)),"")</f>
        <v/>
      </c>
      <c r="C25" s="9" t="str">
        <f>IFERROR(INDEX('RAW_DISTRICT'!$C$4:$C$745,MATCH(20,IF('RAW_DISTRICT'!$S$4:$S$745="At Risk",'RAW_DISTRICT'!$V$4:$V$745),0)),"")</f>
        <v/>
      </c>
      <c r="D25" s="18"/>
      <c r="E25" s="18"/>
      <c r="F25" s="21" t="str">
        <f t="shared" si="0"/>
        <v/>
      </c>
      <c r="G25" s="18"/>
      <c r="H25" s="18"/>
      <c r="I25" s="18"/>
      <c r="J25" s="18" t="s">
        <v>776</v>
      </c>
      <c r="K25" s="18"/>
    </row>
    <row r="26" spans="1:11" ht="16.05" customHeight="1" x14ac:dyDescent="0.3">
      <c r="A26" s="16">
        <v>21</v>
      </c>
      <c r="B26" s="12" t="str">
        <f>IFERROR(INDEX('RAW_DISTRICT'!$B$4:$B$745,MATCH(21,IF('RAW_DISTRICT'!$S$4:$S$745="At Risk",'RAW_DISTRICT'!$V$4:$V$745),0)),"")</f>
        <v/>
      </c>
      <c r="C26" s="12" t="str">
        <f>IFERROR(INDEX('RAW_DISTRICT'!$C$4:$C$745,MATCH(21,IF('RAW_DISTRICT'!$S$4:$S$745="At Risk",'RAW_DISTRICT'!$V$4:$V$745),0)),"")</f>
        <v/>
      </c>
      <c r="D26" s="16"/>
      <c r="E26" s="16"/>
      <c r="F26" s="20" t="str">
        <f t="shared" si="0"/>
        <v/>
      </c>
      <c r="G26" s="16"/>
      <c r="H26" s="16"/>
      <c r="I26" s="16"/>
      <c r="J26" s="16" t="s">
        <v>776</v>
      </c>
      <c r="K26" s="16"/>
    </row>
    <row r="27" spans="1:11" ht="16.05" customHeight="1" x14ac:dyDescent="0.3">
      <c r="A27" s="18">
        <v>22</v>
      </c>
      <c r="B27" s="9" t="str">
        <f>IFERROR(INDEX('RAW_DISTRICT'!$B$4:$B$745,MATCH(22,IF('RAW_DISTRICT'!$S$4:$S$745="At Risk",'RAW_DISTRICT'!$V$4:$V$745),0)),"")</f>
        <v/>
      </c>
      <c r="C27" s="9" t="str">
        <f>IFERROR(INDEX('RAW_DISTRICT'!$C$4:$C$745,MATCH(22,IF('RAW_DISTRICT'!$S$4:$S$745="At Risk",'RAW_DISTRICT'!$V$4:$V$745),0)),"")</f>
        <v/>
      </c>
      <c r="D27" s="18"/>
      <c r="E27" s="18"/>
      <c r="F27" s="21" t="str">
        <f t="shared" si="0"/>
        <v/>
      </c>
      <c r="G27" s="18"/>
      <c r="H27" s="18"/>
      <c r="I27" s="18"/>
      <c r="J27" s="18" t="s">
        <v>776</v>
      </c>
      <c r="K27" s="18"/>
    </row>
    <row r="28" spans="1:11" ht="16.05" customHeight="1" x14ac:dyDescent="0.3">
      <c r="A28" s="16">
        <v>23</v>
      </c>
      <c r="B28" s="12" t="str">
        <f>IFERROR(INDEX('RAW_DISTRICT'!$B$4:$B$745,MATCH(23,IF('RAW_DISTRICT'!$S$4:$S$745="At Risk",'RAW_DISTRICT'!$V$4:$V$745),0)),"")</f>
        <v/>
      </c>
      <c r="C28" s="12" t="str">
        <f>IFERROR(INDEX('RAW_DISTRICT'!$C$4:$C$745,MATCH(23,IF('RAW_DISTRICT'!$S$4:$S$745="At Risk",'RAW_DISTRICT'!$V$4:$V$745),0)),"")</f>
        <v/>
      </c>
      <c r="D28" s="16"/>
      <c r="E28" s="16"/>
      <c r="F28" s="20" t="str">
        <f t="shared" si="0"/>
        <v/>
      </c>
      <c r="G28" s="16"/>
      <c r="H28" s="16"/>
      <c r="I28" s="16"/>
      <c r="J28" s="16" t="s">
        <v>776</v>
      </c>
      <c r="K28" s="16"/>
    </row>
    <row r="29" spans="1:11" ht="16.05" customHeight="1" x14ac:dyDescent="0.3">
      <c r="A29" s="18">
        <v>24</v>
      </c>
      <c r="B29" s="9" t="str">
        <f>IFERROR(INDEX('RAW_DISTRICT'!$B$4:$B$745,MATCH(24,IF('RAW_DISTRICT'!$S$4:$S$745="At Risk",'RAW_DISTRICT'!$V$4:$V$745),0)),"")</f>
        <v/>
      </c>
      <c r="C29" s="9" t="str">
        <f>IFERROR(INDEX('RAW_DISTRICT'!$C$4:$C$745,MATCH(24,IF('RAW_DISTRICT'!$S$4:$S$745="At Risk",'RAW_DISTRICT'!$V$4:$V$745),0)),"")</f>
        <v/>
      </c>
      <c r="D29" s="18"/>
      <c r="E29" s="18"/>
      <c r="F29" s="21" t="str">
        <f t="shared" si="0"/>
        <v/>
      </c>
      <c r="G29" s="18"/>
      <c r="H29" s="18"/>
      <c r="I29" s="18"/>
      <c r="J29" s="18" t="s">
        <v>776</v>
      </c>
      <c r="K29" s="18"/>
    </row>
    <row r="30" spans="1:11" ht="16.05" customHeight="1" x14ac:dyDescent="0.3">
      <c r="A30" s="16">
        <v>25</v>
      </c>
      <c r="B30" s="12" t="str">
        <f>IFERROR(INDEX('RAW_DISTRICT'!$B$4:$B$745,MATCH(25,IF('RAW_DISTRICT'!$S$4:$S$745="At Risk",'RAW_DISTRICT'!$V$4:$V$745),0)),"")</f>
        <v/>
      </c>
      <c r="C30" s="12" t="str">
        <f>IFERROR(INDEX('RAW_DISTRICT'!$C$4:$C$745,MATCH(25,IF('RAW_DISTRICT'!$S$4:$S$745="At Risk",'RAW_DISTRICT'!$V$4:$V$745),0)),"")</f>
        <v/>
      </c>
      <c r="D30" s="16"/>
      <c r="E30" s="16"/>
      <c r="F30" s="20" t="str">
        <f t="shared" si="0"/>
        <v/>
      </c>
      <c r="G30" s="16"/>
      <c r="H30" s="16"/>
      <c r="I30" s="16"/>
      <c r="J30" s="16" t="s">
        <v>776</v>
      </c>
      <c r="K30" s="16"/>
    </row>
    <row r="31" spans="1:11" ht="16.05" customHeight="1" x14ac:dyDescent="0.3">
      <c r="A31" s="18">
        <v>26</v>
      </c>
      <c r="B31" s="9" t="str">
        <f>IFERROR(INDEX('RAW_DISTRICT'!$B$4:$B$745,MATCH(26,IF('RAW_DISTRICT'!$S$4:$S$745="At Risk",'RAW_DISTRICT'!$V$4:$V$745),0)),"")</f>
        <v/>
      </c>
      <c r="C31" s="9" t="str">
        <f>IFERROR(INDEX('RAW_DISTRICT'!$C$4:$C$745,MATCH(26,IF('RAW_DISTRICT'!$S$4:$S$745="At Risk",'RAW_DISTRICT'!$V$4:$V$745),0)),"")</f>
        <v/>
      </c>
      <c r="D31" s="18"/>
      <c r="E31" s="18"/>
      <c r="F31" s="21" t="str">
        <f t="shared" si="0"/>
        <v/>
      </c>
      <c r="G31" s="18"/>
      <c r="H31" s="18"/>
      <c r="I31" s="18"/>
      <c r="J31" s="18" t="s">
        <v>776</v>
      </c>
      <c r="K31" s="18"/>
    </row>
    <row r="32" spans="1:11" ht="16.05" customHeight="1" x14ac:dyDescent="0.3">
      <c r="A32" s="16">
        <v>27</v>
      </c>
      <c r="B32" s="12" t="str">
        <f>IFERROR(INDEX('RAW_DISTRICT'!$B$4:$B$745,MATCH(27,IF('RAW_DISTRICT'!$S$4:$S$745="At Risk",'RAW_DISTRICT'!$V$4:$V$745),0)),"")</f>
        <v/>
      </c>
      <c r="C32" s="12" t="str">
        <f>IFERROR(INDEX('RAW_DISTRICT'!$C$4:$C$745,MATCH(27,IF('RAW_DISTRICT'!$S$4:$S$745="At Risk",'RAW_DISTRICT'!$V$4:$V$745),0)),"")</f>
        <v/>
      </c>
      <c r="D32" s="16"/>
      <c r="E32" s="16"/>
      <c r="F32" s="20" t="str">
        <f t="shared" si="0"/>
        <v/>
      </c>
      <c r="G32" s="16"/>
      <c r="H32" s="16"/>
      <c r="I32" s="16"/>
      <c r="J32" s="16" t="s">
        <v>776</v>
      </c>
      <c r="K32" s="16"/>
    </row>
    <row r="33" spans="1:11" ht="16.05" customHeight="1" x14ac:dyDescent="0.3">
      <c r="A33" s="18">
        <v>28</v>
      </c>
      <c r="B33" s="9" t="str">
        <f>IFERROR(INDEX('RAW_DISTRICT'!$B$4:$B$745,MATCH(28,IF('RAW_DISTRICT'!$S$4:$S$745="At Risk",'RAW_DISTRICT'!$V$4:$V$745),0)),"")</f>
        <v/>
      </c>
      <c r="C33" s="9" t="str">
        <f>IFERROR(INDEX('RAW_DISTRICT'!$C$4:$C$745,MATCH(28,IF('RAW_DISTRICT'!$S$4:$S$745="At Risk",'RAW_DISTRICT'!$V$4:$V$745),0)),"")</f>
        <v/>
      </c>
      <c r="D33" s="18"/>
      <c r="E33" s="18"/>
      <c r="F33" s="21" t="str">
        <f t="shared" si="0"/>
        <v/>
      </c>
      <c r="G33" s="18"/>
      <c r="H33" s="18"/>
      <c r="I33" s="18"/>
      <c r="J33" s="18" t="s">
        <v>776</v>
      </c>
      <c r="K33" s="18"/>
    </row>
    <row r="34" spans="1:11" ht="16.05" customHeight="1" x14ac:dyDescent="0.3">
      <c r="A34" s="16">
        <v>29</v>
      </c>
      <c r="B34" s="12" t="str">
        <f>IFERROR(INDEX('RAW_DISTRICT'!$B$4:$B$745,MATCH(29,IF('RAW_DISTRICT'!$S$4:$S$745="At Risk",'RAW_DISTRICT'!$V$4:$V$745),0)),"")</f>
        <v/>
      </c>
      <c r="C34" s="12" t="str">
        <f>IFERROR(INDEX('RAW_DISTRICT'!$C$4:$C$745,MATCH(29,IF('RAW_DISTRICT'!$S$4:$S$745="At Risk",'RAW_DISTRICT'!$V$4:$V$745),0)),"")</f>
        <v/>
      </c>
      <c r="D34" s="16"/>
      <c r="E34" s="16"/>
      <c r="F34" s="20" t="str">
        <f t="shared" si="0"/>
        <v/>
      </c>
      <c r="G34" s="16"/>
      <c r="H34" s="16"/>
      <c r="I34" s="16"/>
      <c r="J34" s="16" t="s">
        <v>776</v>
      </c>
      <c r="K34" s="16"/>
    </row>
    <row r="35" spans="1:11" ht="16.05" customHeight="1" x14ac:dyDescent="0.3">
      <c r="A35" s="18">
        <v>30</v>
      </c>
      <c r="B35" s="9" t="str">
        <f>IFERROR(INDEX('RAW_DISTRICT'!$B$4:$B$745,MATCH(30,IF('RAW_DISTRICT'!$S$4:$S$745="At Risk",'RAW_DISTRICT'!$V$4:$V$745),0)),"")</f>
        <v/>
      </c>
      <c r="C35" s="9" t="str">
        <f>IFERROR(INDEX('RAW_DISTRICT'!$C$4:$C$745,MATCH(30,IF('RAW_DISTRICT'!$S$4:$S$745="At Risk",'RAW_DISTRICT'!$V$4:$V$745),0)),"")</f>
        <v/>
      </c>
      <c r="D35" s="18"/>
      <c r="E35" s="18"/>
      <c r="F35" s="21" t="str">
        <f t="shared" si="0"/>
        <v/>
      </c>
      <c r="G35" s="18"/>
      <c r="H35" s="18"/>
      <c r="I35" s="18"/>
      <c r="J35" s="18" t="s">
        <v>776</v>
      </c>
      <c r="K35" s="18"/>
    </row>
    <row r="37" spans="1:11" ht="19.95" customHeight="1" x14ac:dyDescent="0.3">
      <c r="A37" s="37" t="s">
        <v>777</v>
      </c>
      <c r="B37" s="33"/>
      <c r="C37" s="33"/>
      <c r="D37" s="33"/>
      <c r="E37" s="33"/>
      <c r="F37" s="33"/>
      <c r="G37" s="33"/>
      <c r="H37" s="33"/>
      <c r="I37" s="33"/>
      <c r="J37" s="33"/>
      <c r="K37" s="33"/>
    </row>
    <row r="38" spans="1:11" ht="31.95" customHeight="1" x14ac:dyDescent="0.3">
      <c r="A38" s="15" t="s">
        <v>78</v>
      </c>
      <c r="B38" s="15" t="s">
        <v>778</v>
      </c>
      <c r="C38" s="15" t="s">
        <v>779</v>
      </c>
      <c r="D38" s="15" t="s">
        <v>780</v>
      </c>
      <c r="E38" s="15" t="s">
        <v>781</v>
      </c>
      <c r="F38" s="15" t="s">
        <v>782</v>
      </c>
      <c r="G38" s="15" t="s">
        <v>783</v>
      </c>
      <c r="H38" s="15" t="s">
        <v>784</v>
      </c>
      <c r="I38" s="15" t="s">
        <v>785</v>
      </c>
      <c r="J38" s="15" t="s">
        <v>786</v>
      </c>
      <c r="K38" s="15" t="s">
        <v>787</v>
      </c>
    </row>
    <row r="39" spans="1:11" ht="16.05" customHeight="1" x14ac:dyDescent="0.3">
      <c r="A39" s="18">
        <v>1</v>
      </c>
      <c r="B39" s="18" t="s">
        <v>788</v>
      </c>
      <c r="C39" s="18"/>
      <c r="D39" s="18"/>
      <c r="E39" s="18"/>
      <c r="F39" s="18"/>
      <c r="G39" s="18"/>
      <c r="H39" s="21" t="str">
        <f t="shared" ref="H39:H50" si="1">IFERROR(D39/C39,"")</f>
        <v/>
      </c>
      <c r="I39" s="21" t="str">
        <f t="shared" ref="I39:I50" si="2">IFERROR(E39/C39,"")</f>
        <v/>
      </c>
      <c r="J39" s="21" t="str">
        <f t="shared" ref="J39:J50" si="3">IFERROR(F39/C39,"")</f>
        <v/>
      </c>
      <c r="K39" s="21" t="str">
        <f t="shared" ref="K39:K50" si="4">IFERROR(G39/C39,"")</f>
        <v/>
      </c>
    </row>
    <row r="40" spans="1:11" ht="16.05" customHeight="1" x14ac:dyDescent="0.3">
      <c r="A40" s="16">
        <v>2</v>
      </c>
      <c r="B40" s="16" t="s">
        <v>789</v>
      </c>
      <c r="C40" s="16"/>
      <c r="D40" s="16"/>
      <c r="E40" s="16"/>
      <c r="F40" s="16"/>
      <c r="G40" s="16"/>
      <c r="H40" s="20" t="str">
        <f t="shared" si="1"/>
        <v/>
      </c>
      <c r="I40" s="20" t="str">
        <f t="shared" si="2"/>
        <v/>
      </c>
      <c r="J40" s="20" t="str">
        <f t="shared" si="3"/>
        <v/>
      </c>
      <c r="K40" s="20" t="str">
        <f t="shared" si="4"/>
        <v/>
      </c>
    </row>
    <row r="41" spans="1:11" ht="16.05" customHeight="1" x14ac:dyDescent="0.3">
      <c r="A41" s="18">
        <v>3</v>
      </c>
      <c r="B41" s="18" t="s">
        <v>790</v>
      </c>
      <c r="C41" s="18"/>
      <c r="D41" s="18"/>
      <c r="E41" s="18"/>
      <c r="F41" s="18"/>
      <c r="G41" s="18"/>
      <c r="H41" s="21" t="str">
        <f t="shared" si="1"/>
        <v/>
      </c>
      <c r="I41" s="21" t="str">
        <f t="shared" si="2"/>
        <v/>
      </c>
      <c r="J41" s="21" t="str">
        <f t="shared" si="3"/>
        <v/>
      </c>
      <c r="K41" s="21" t="str">
        <f t="shared" si="4"/>
        <v/>
      </c>
    </row>
    <row r="42" spans="1:11" ht="16.05" customHeight="1" x14ac:dyDescent="0.3">
      <c r="A42" s="16">
        <v>4</v>
      </c>
      <c r="B42" s="16" t="s">
        <v>791</v>
      </c>
      <c r="C42" s="16"/>
      <c r="D42" s="16"/>
      <c r="E42" s="16"/>
      <c r="F42" s="16"/>
      <c r="G42" s="16"/>
      <c r="H42" s="20" t="str">
        <f t="shared" si="1"/>
        <v/>
      </c>
      <c r="I42" s="20" t="str">
        <f t="shared" si="2"/>
        <v/>
      </c>
      <c r="J42" s="20" t="str">
        <f t="shared" si="3"/>
        <v/>
      </c>
      <c r="K42" s="20" t="str">
        <f t="shared" si="4"/>
        <v/>
      </c>
    </row>
    <row r="43" spans="1:11" ht="16.05" customHeight="1" x14ac:dyDescent="0.3">
      <c r="A43" s="18">
        <v>5</v>
      </c>
      <c r="B43" s="18" t="s">
        <v>792</v>
      </c>
      <c r="C43" s="18"/>
      <c r="D43" s="18"/>
      <c r="E43" s="18"/>
      <c r="F43" s="18"/>
      <c r="G43" s="18"/>
      <c r="H43" s="21" t="str">
        <f t="shared" si="1"/>
        <v/>
      </c>
      <c r="I43" s="21" t="str">
        <f t="shared" si="2"/>
        <v/>
      </c>
      <c r="J43" s="21" t="str">
        <f t="shared" si="3"/>
        <v/>
      </c>
      <c r="K43" s="21" t="str">
        <f t="shared" si="4"/>
        <v/>
      </c>
    </row>
    <row r="44" spans="1:11" ht="16.05" customHeight="1" x14ac:dyDescent="0.3">
      <c r="A44" s="16">
        <v>6</v>
      </c>
      <c r="B44" s="16" t="s">
        <v>793</v>
      </c>
      <c r="C44" s="16"/>
      <c r="D44" s="16"/>
      <c r="E44" s="16"/>
      <c r="F44" s="16"/>
      <c r="G44" s="16"/>
      <c r="H44" s="20" t="str">
        <f t="shared" si="1"/>
        <v/>
      </c>
      <c r="I44" s="20" t="str">
        <f t="shared" si="2"/>
        <v/>
      </c>
      <c r="J44" s="20" t="str">
        <f t="shared" si="3"/>
        <v/>
      </c>
      <c r="K44" s="20" t="str">
        <f t="shared" si="4"/>
        <v/>
      </c>
    </row>
    <row r="45" spans="1:11" ht="16.05" customHeight="1" x14ac:dyDescent="0.3">
      <c r="A45" s="18">
        <v>7</v>
      </c>
      <c r="B45" s="18" t="s">
        <v>794</v>
      </c>
      <c r="C45" s="18"/>
      <c r="D45" s="18"/>
      <c r="E45" s="18"/>
      <c r="F45" s="18"/>
      <c r="G45" s="18"/>
      <c r="H45" s="21" t="str">
        <f t="shared" si="1"/>
        <v/>
      </c>
      <c r="I45" s="21" t="str">
        <f t="shared" si="2"/>
        <v/>
      </c>
      <c r="J45" s="21" t="str">
        <f t="shared" si="3"/>
        <v/>
      </c>
      <c r="K45" s="21" t="str">
        <f t="shared" si="4"/>
        <v/>
      </c>
    </row>
    <row r="46" spans="1:11" ht="16.05" customHeight="1" x14ac:dyDescent="0.3">
      <c r="A46" s="16">
        <v>8</v>
      </c>
      <c r="B46" s="16" t="s">
        <v>795</v>
      </c>
      <c r="C46" s="16"/>
      <c r="D46" s="16"/>
      <c r="E46" s="16"/>
      <c r="F46" s="16"/>
      <c r="G46" s="16"/>
      <c r="H46" s="20" t="str">
        <f t="shared" si="1"/>
        <v/>
      </c>
      <c r="I46" s="20" t="str">
        <f t="shared" si="2"/>
        <v/>
      </c>
      <c r="J46" s="20" t="str">
        <f t="shared" si="3"/>
        <v/>
      </c>
      <c r="K46" s="20" t="str">
        <f t="shared" si="4"/>
        <v/>
      </c>
    </row>
    <row r="47" spans="1:11" ht="16.05" customHeight="1" x14ac:dyDescent="0.3">
      <c r="A47" s="18">
        <v>9</v>
      </c>
      <c r="B47" s="18" t="s">
        <v>796</v>
      </c>
      <c r="C47" s="18"/>
      <c r="D47" s="18"/>
      <c r="E47" s="18"/>
      <c r="F47" s="18"/>
      <c r="G47" s="18"/>
      <c r="H47" s="21" t="str">
        <f t="shared" si="1"/>
        <v/>
      </c>
      <c r="I47" s="21" t="str">
        <f t="shared" si="2"/>
        <v/>
      </c>
      <c r="J47" s="21" t="str">
        <f t="shared" si="3"/>
        <v/>
      </c>
      <c r="K47" s="21" t="str">
        <f t="shared" si="4"/>
        <v/>
      </c>
    </row>
    <row r="48" spans="1:11" ht="16.05" customHeight="1" x14ac:dyDescent="0.3">
      <c r="A48" s="16">
        <v>10</v>
      </c>
      <c r="B48" s="16" t="s">
        <v>797</v>
      </c>
      <c r="C48" s="16"/>
      <c r="D48" s="16"/>
      <c r="E48" s="16"/>
      <c r="F48" s="16"/>
      <c r="G48" s="16"/>
      <c r="H48" s="20" t="str">
        <f t="shared" si="1"/>
        <v/>
      </c>
      <c r="I48" s="20" t="str">
        <f t="shared" si="2"/>
        <v/>
      </c>
      <c r="J48" s="20" t="str">
        <f t="shared" si="3"/>
        <v/>
      </c>
      <c r="K48" s="20" t="str">
        <f t="shared" si="4"/>
        <v/>
      </c>
    </row>
    <row r="49" spans="1:11" ht="16.05" customHeight="1" x14ac:dyDescent="0.3">
      <c r="A49" s="18">
        <v>11</v>
      </c>
      <c r="B49" s="18" t="s">
        <v>798</v>
      </c>
      <c r="C49" s="18"/>
      <c r="D49" s="18"/>
      <c r="E49" s="18"/>
      <c r="F49" s="18"/>
      <c r="G49" s="18"/>
      <c r="H49" s="21" t="str">
        <f t="shared" si="1"/>
        <v/>
      </c>
      <c r="I49" s="21" t="str">
        <f t="shared" si="2"/>
        <v/>
      </c>
      <c r="J49" s="21" t="str">
        <f t="shared" si="3"/>
        <v/>
      </c>
      <c r="K49" s="21" t="str">
        <f t="shared" si="4"/>
        <v/>
      </c>
    </row>
    <row r="50" spans="1:11" ht="16.05" customHeight="1" x14ac:dyDescent="0.3">
      <c r="A50" s="16">
        <v>12</v>
      </c>
      <c r="B50" s="16" t="s">
        <v>799</v>
      </c>
      <c r="C50" s="16"/>
      <c r="D50" s="16"/>
      <c r="E50" s="16"/>
      <c r="F50" s="16"/>
      <c r="G50" s="16"/>
      <c r="H50" s="20" t="str">
        <f t="shared" si="1"/>
        <v/>
      </c>
      <c r="I50" s="20" t="str">
        <f t="shared" si="2"/>
        <v/>
      </c>
      <c r="J50" s="20" t="str">
        <f t="shared" si="3"/>
        <v/>
      </c>
      <c r="K50" s="20" t="str">
        <f t="shared" si="4"/>
        <v/>
      </c>
    </row>
    <row r="52" spans="1:11" ht="19.95" customHeight="1" x14ac:dyDescent="0.3">
      <c r="A52" s="37" t="s">
        <v>800</v>
      </c>
      <c r="B52" s="33"/>
      <c r="C52" s="33"/>
      <c r="D52" s="33"/>
      <c r="E52" s="33"/>
      <c r="F52" s="33"/>
      <c r="G52" s="33"/>
      <c r="H52" s="33"/>
      <c r="I52" s="33"/>
      <c r="J52" s="33"/>
      <c r="K52" s="33"/>
    </row>
    <row r="53" spans="1:11" ht="31.95" customHeight="1" x14ac:dyDescent="0.3">
      <c r="A53" s="15" t="s">
        <v>78</v>
      </c>
      <c r="B53" s="15" t="s">
        <v>192</v>
      </c>
      <c r="C53" s="15" t="s">
        <v>801</v>
      </c>
      <c r="D53" s="15" t="s">
        <v>802</v>
      </c>
      <c r="E53" s="15" t="s">
        <v>803</v>
      </c>
      <c r="F53" s="15" t="s">
        <v>804</v>
      </c>
      <c r="G53" s="15" t="s">
        <v>805</v>
      </c>
      <c r="H53" s="15" t="s">
        <v>806</v>
      </c>
      <c r="I53" s="15" t="s">
        <v>807</v>
      </c>
      <c r="J53" s="15" t="s">
        <v>808</v>
      </c>
      <c r="K53" s="15" t="s">
        <v>86</v>
      </c>
    </row>
    <row r="54" spans="1:11" ht="16.05" customHeight="1" x14ac:dyDescent="0.3">
      <c r="A54" s="16">
        <v>1</v>
      </c>
      <c r="B54" s="16" t="s">
        <v>552</v>
      </c>
      <c r="C54" s="16" t="s">
        <v>809</v>
      </c>
      <c r="D54" s="16"/>
      <c r="E54" s="16"/>
      <c r="F54" s="12">
        <f t="shared" ref="F54:F63" si="5">IFERROR(E54-D54,"")</f>
        <v>0</v>
      </c>
      <c r="G54" s="16" t="s">
        <v>810</v>
      </c>
      <c r="H54" s="16"/>
      <c r="I54" s="16"/>
      <c r="J54" s="16"/>
      <c r="K54" s="16"/>
    </row>
    <row r="55" spans="1:11" ht="16.05" customHeight="1" x14ac:dyDescent="0.3">
      <c r="A55" s="18">
        <v>2</v>
      </c>
      <c r="B55" s="18" t="s">
        <v>523</v>
      </c>
      <c r="C55" s="18" t="s">
        <v>811</v>
      </c>
      <c r="D55" s="18"/>
      <c r="E55" s="18"/>
      <c r="F55" s="9">
        <f t="shared" si="5"/>
        <v>0</v>
      </c>
      <c r="G55" s="18" t="s">
        <v>812</v>
      </c>
      <c r="H55" s="18"/>
      <c r="I55" s="18"/>
      <c r="J55" s="18"/>
      <c r="K55" s="18"/>
    </row>
    <row r="56" spans="1:11" ht="16.05" customHeight="1" x14ac:dyDescent="0.3">
      <c r="A56" s="16">
        <v>3</v>
      </c>
      <c r="B56" s="16" t="s">
        <v>547</v>
      </c>
      <c r="C56" s="16" t="s">
        <v>809</v>
      </c>
      <c r="D56" s="16"/>
      <c r="E56" s="16"/>
      <c r="F56" s="12">
        <f t="shared" si="5"/>
        <v>0</v>
      </c>
      <c r="G56" s="16" t="s">
        <v>813</v>
      </c>
      <c r="H56" s="16"/>
      <c r="I56" s="16"/>
      <c r="J56" s="16"/>
      <c r="K56" s="16"/>
    </row>
    <row r="57" spans="1:11" ht="16.05" customHeight="1" x14ac:dyDescent="0.3">
      <c r="A57" s="18">
        <v>4</v>
      </c>
      <c r="B57" s="18" t="s">
        <v>539</v>
      </c>
      <c r="C57" s="18" t="s">
        <v>814</v>
      </c>
      <c r="D57" s="18"/>
      <c r="E57" s="18"/>
      <c r="F57" s="9">
        <f t="shared" si="5"/>
        <v>0</v>
      </c>
      <c r="G57" s="18" t="s">
        <v>815</v>
      </c>
      <c r="H57" s="18"/>
      <c r="I57" s="18"/>
      <c r="J57" s="18"/>
      <c r="K57" s="18"/>
    </row>
    <row r="58" spans="1:11" ht="16.05" customHeight="1" x14ac:dyDescent="0.3">
      <c r="A58" s="16">
        <v>5</v>
      </c>
      <c r="B58" s="16" t="s">
        <v>535</v>
      </c>
      <c r="C58" s="16" t="s">
        <v>816</v>
      </c>
      <c r="D58" s="16"/>
      <c r="E58" s="16"/>
      <c r="F58" s="12">
        <f t="shared" si="5"/>
        <v>0</v>
      </c>
      <c r="G58" s="16" t="s">
        <v>817</v>
      </c>
      <c r="H58" s="16"/>
      <c r="I58" s="16"/>
      <c r="J58" s="16"/>
      <c r="K58" s="16"/>
    </row>
    <row r="59" spans="1:11" ht="16.05" customHeight="1" x14ac:dyDescent="0.3">
      <c r="A59" s="18">
        <v>6</v>
      </c>
      <c r="B59" s="18" t="s">
        <v>546</v>
      </c>
      <c r="C59" s="18" t="s">
        <v>809</v>
      </c>
      <c r="D59" s="18"/>
      <c r="E59" s="18"/>
      <c r="F59" s="9">
        <f t="shared" si="5"/>
        <v>0</v>
      </c>
      <c r="G59" s="18" t="s">
        <v>818</v>
      </c>
      <c r="H59" s="18"/>
      <c r="I59" s="18"/>
      <c r="J59" s="18"/>
      <c r="K59" s="18"/>
    </row>
    <row r="60" spans="1:11" ht="16.05" customHeight="1" x14ac:dyDescent="0.3">
      <c r="A60" s="16">
        <v>7</v>
      </c>
      <c r="B60" s="16" t="s">
        <v>554</v>
      </c>
      <c r="C60" s="16" t="s">
        <v>809</v>
      </c>
      <c r="D60" s="16"/>
      <c r="E60" s="16"/>
      <c r="F60" s="12">
        <f t="shared" si="5"/>
        <v>0</v>
      </c>
      <c r="G60" s="16" t="s">
        <v>819</v>
      </c>
      <c r="H60" s="16"/>
      <c r="I60" s="16"/>
      <c r="J60" s="16"/>
      <c r="K60" s="16"/>
    </row>
    <row r="61" spans="1:11" ht="16.05" customHeight="1" x14ac:dyDescent="0.3">
      <c r="A61" s="18">
        <v>8</v>
      </c>
      <c r="B61" s="18" t="s">
        <v>549</v>
      </c>
      <c r="C61" s="18" t="s">
        <v>820</v>
      </c>
      <c r="D61" s="18"/>
      <c r="E61" s="18"/>
      <c r="F61" s="9">
        <f t="shared" si="5"/>
        <v>0</v>
      </c>
      <c r="G61" s="18" t="s">
        <v>821</v>
      </c>
      <c r="H61" s="18"/>
      <c r="I61" s="18"/>
      <c r="J61" s="18"/>
      <c r="K61" s="18"/>
    </row>
    <row r="62" spans="1:11" ht="16.05" customHeight="1" x14ac:dyDescent="0.3">
      <c r="A62" s="16">
        <v>9</v>
      </c>
      <c r="B62" s="16" t="s">
        <v>529</v>
      </c>
      <c r="C62" s="16" t="s">
        <v>809</v>
      </c>
      <c r="D62" s="16"/>
      <c r="E62" s="16"/>
      <c r="F62" s="12">
        <f t="shared" si="5"/>
        <v>0</v>
      </c>
      <c r="G62" s="16" t="s">
        <v>822</v>
      </c>
      <c r="H62" s="16"/>
      <c r="I62" s="16"/>
      <c r="J62" s="16"/>
      <c r="K62" s="16"/>
    </row>
    <row r="63" spans="1:11" ht="16.05" customHeight="1" x14ac:dyDescent="0.3">
      <c r="A63" s="18">
        <v>10</v>
      </c>
      <c r="B63" s="18" t="s">
        <v>522</v>
      </c>
      <c r="C63" s="18" t="s">
        <v>823</v>
      </c>
      <c r="D63" s="18"/>
      <c r="E63" s="18"/>
      <c r="F63" s="9">
        <f t="shared" si="5"/>
        <v>0</v>
      </c>
      <c r="G63" s="18" t="s">
        <v>824</v>
      </c>
      <c r="H63" s="18"/>
      <c r="I63" s="18"/>
      <c r="J63" s="18"/>
      <c r="K63" s="18"/>
    </row>
  </sheetData>
  <mergeCells count="6">
    <mergeCell ref="A4:K4"/>
    <mergeCell ref="A3:K3"/>
    <mergeCell ref="A2:K2"/>
    <mergeCell ref="A52:K52"/>
    <mergeCell ref="A1:K1"/>
    <mergeCell ref="A37:K37"/>
  </mergeCells>
  <pageMargins left="0.75" right="0.75" top="1" bottom="1" header="0.5" footer="0.5"/>
  <extLst>
    <ext xmlns:x14="http://schemas.microsoft.com/office/spreadsheetml/2009/9/main" uri="{CCE6A557-97BC-4b89-ADB6-D9C93CAAB3DF}">
      <x14:dataValidations xmlns:xm="http://schemas.microsoft.com/office/excel/2006/main" count="4">
        <x14:dataValidation type="list" allowBlank="1" xr:uid="{00000000-0002-0000-1200-000000000000}">
          <x14:formula1>
            <xm:f>REF!$O$2:$O$5</xm:f>
          </x14:formula1>
          <xm:sqref>G6:G35</xm:sqref>
        </x14:dataValidation>
        <x14:dataValidation type="list" allowBlank="1" xr:uid="{00000000-0002-0000-1200-000001000000}">
          <x14:formula1>
            <xm:f>REF!$K$2:$K$5</xm:f>
          </x14:formula1>
          <xm:sqref>H54:H63 I6:I35</xm:sqref>
        </x14:dataValidation>
        <x14:dataValidation type="list" allowBlank="1" xr:uid="{00000000-0002-0000-1200-00003C000000}">
          <x14:formula1>
            <xm:f>REF!$A$2:$A$37</xm:f>
          </x14:formula1>
          <xm:sqref>B54:B63</xm:sqref>
        </x14:dataValidation>
        <x14:dataValidation type="list" allowBlank="1" xr:uid="{00000000-0002-0000-1200-00003D000000}">
          <x14:formula1>
            <xm:f>REF!$N$2:$N$13</xm:f>
          </x14:formula1>
          <xm:sqref>C54:C63</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81"/>
  <sheetViews>
    <sheetView showGridLines="0" workbookViewId="0">
      <selection sqref="A1:K1"/>
    </sheetView>
  </sheetViews>
  <sheetFormatPr defaultRowHeight="14.4" x14ac:dyDescent="0.3"/>
  <cols>
    <col min="1" max="1" width="4" customWidth="1"/>
    <col min="2" max="2" width="28" customWidth="1"/>
    <col min="3" max="3" width="16" customWidth="1"/>
    <col min="4" max="5" width="14" customWidth="1"/>
    <col min="6" max="10" width="12" customWidth="1"/>
    <col min="11" max="11" width="22" customWidth="1"/>
  </cols>
  <sheetData>
    <row r="1" spans="1:11" ht="28.05" customHeight="1" x14ac:dyDescent="0.3">
      <c r="A1" s="32" t="s">
        <v>825</v>
      </c>
      <c r="B1" s="33"/>
      <c r="C1" s="33"/>
      <c r="D1" s="33"/>
      <c r="E1" s="33"/>
      <c r="F1" s="33"/>
      <c r="G1" s="33"/>
      <c r="H1" s="33"/>
      <c r="I1" s="33"/>
      <c r="J1" s="33"/>
      <c r="K1" s="33"/>
    </row>
    <row r="2" spans="1:11" ht="18" customHeight="1" x14ac:dyDescent="0.3">
      <c r="A2" s="38" t="str">
        <f>IF(SelectedScope="All India","NATIONAL VIEW — ALL INDIA","STATE VIEW — "&amp;SelectedScope)</f>
        <v>NATIONAL VIEW — ALL INDIA</v>
      </c>
      <c r="B2" s="33"/>
      <c r="C2" s="33"/>
      <c r="D2" s="33"/>
      <c r="E2" s="33"/>
      <c r="F2" s="33"/>
      <c r="G2" s="33"/>
      <c r="H2" s="33"/>
      <c r="I2" s="33"/>
      <c r="J2" s="33"/>
      <c r="K2" s="33"/>
    </row>
    <row r="3" spans="1:11" ht="16.05" customHeight="1" x14ac:dyDescent="0.3">
      <c r="A3" s="39" t="s">
        <v>826</v>
      </c>
      <c r="B3" s="33"/>
      <c r="C3" s="33"/>
      <c r="D3" s="33"/>
      <c r="E3" s="33"/>
      <c r="F3" s="33"/>
      <c r="G3" s="33"/>
      <c r="H3" s="33"/>
      <c r="I3" s="33"/>
      <c r="J3" s="33"/>
      <c r="K3" s="33"/>
    </row>
    <row r="4" spans="1:11" ht="19.95" customHeight="1" x14ac:dyDescent="0.3">
      <c r="A4" s="37" t="s">
        <v>827</v>
      </c>
      <c r="B4" s="33"/>
      <c r="C4" s="33"/>
      <c r="D4" s="33"/>
      <c r="E4" s="33"/>
      <c r="F4" s="33"/>
      <c r="G4" s="33"/>
      <c r="H4" s="33"/>
      <c r="I4" s="33"/>
      <c r="J4" s="33"/>
      <c r="K4" s="33"/>
    </row>
    <row r="5" spans="1:11" ht="31.95" customHeight="1" x14ac:dyDescent="0.3">
      <c r="A5" s="15" t="s">
        <v>78</v>
      </c>
      <c r="B5" s="15" t="s">
        <v>828</v>
      </c>
      <c r="C5" s="15" t="s">
        <v>135</v>
      </c>
      <c r="D5" s="15" t="s">
        <v>829</v>
      </c>
      <c r="E5" s="15" t="s">
        <v>830</v>
      </c>
      <c r="F5" s="15" t="s">
        <v>831</v>
      </c>
      <c r="G5" s="15" t="s">
        <v>832</v>
      </c>
      <c r="H5" s="15" t="s">
        <v>833</v>
      </c>
      <c r="I5" s="15" t="s">
        <v>834</v>
      </c>
      <c r="J5" s="15" t="s">
        <v>835</v>
      </c>
      <c r="K5" s="15" t="s">
        <v>629</v>
      </c>
    </row>
    <row r="6" spans="1:11" ht="16.05" customHeight="1" x14ac:dyDescent="0.3">
      <c r="A6" s="16">
        <v>1</v>
      </c>
      <c r="B6" s="16" t="s">
        <v>163</v>
      </c>
      <c r="C6" s="16" t="s">
        <v>164</v>
      </c>
      <c r="D6" s="12">
        <f>IFERROR(SUMPRODUCT((IF(SelectedScope="All India",1,RAW_FEEDBACK!$A$4:$A$54&gt;0))*(RAW_FEEDBACK!$B$4:$B$54="Solar System 3D")*RAW_FEEDBACK!$E$4:$E$54),"")</f>
        <v>0</v>
      </c>
      <c r="E6" s="12">
        <f>IFERROR(SUMPRODUCT((IF(SelectedScope="All India",1,RAW_FEEDBACK!$A$4:$A$54&gt;0))*(RAW_FEEDBACK!$B$4:$B$54="Solar System 3D")*RAW_FEEDBACK!$D$4:$D$54),"")</f>
        <v>0</v>
      </c>
      <c r="F6" s="12">
        <f>IFERROR(SUMPRODUCT((IF(SelectedScope="All India",1,RAW_FEEDBACK!$A$4:$A$54&gt;0))*(RAW_FEEDBACK!$B$4:$B$54="Solar System 3D")*RAW_FEEDBACK!$F$4:$F$54),"")</f>
        <v>0</v>
      </c>
      <c r="G6" s="12">
        <f>IFERROR(SUMPRODUCT((IF(SelectedScope="All India",1,RAW_FEEDBACK!$A$4:$A$54&gt;0))*(RAW_FEEDBACK!$B$4:$B$54="Solar System 3D")*RAW_FEEDBACK!$G$4:$G$54),"")</f>
        <v>0</v>
      </c>
      <c r="H6" s="12">
        <f>IFERROR(SUMPRODUCT((IF(SelectedScope="All India",1,RAW_FEEDBACK!$A$4:$A$54&gt;0))*(RAW_FEEDBACK!$B$4:$B$54="Solar System 3D")*RAW_FEEDBACK!$H$4:$H$54),"")</f>
        <v>0</v>
      </c>
      <c r="I6" s="12">
        <f>IFERROR(SUMPRODUCT((IF(SelectedScope="All India",1,RAW_FEEDBACK!$A$4:$A$54&gt;0))*(RAW_FEEDBACK!$B$4:$B$54="Solar System 3D")*RAW_FEEDBACK!$I$4:$I$54),"")</f>
        <v>0</v>
      </c>
      <c r="J6" s="12">
        <f>IFERROR(SUMPRODUCT((IF(SelectedScope="All India",1,RAW_FEEDBACK!$A$4:$A$54&gt;0))*(RAW_FEEDBACK!$B$4:$B$54="Solar System 3D")*RAW_FEEDBACK!$J$4:$J$54),"")</f>
        <v>0</v>
      </c>
      <c r="K6" s="16" t="s">
        <v>836</v>
      </c>
    </row>
    <row r="7" spans="1:11" ht="16.05" customHeight="1" x14ac:dyDescent="0.3">
      <c r="A7" s="18">
        <v>2</v>
      </c>
      <c r="B7" s="18" t="s">
        <v>167</v>
      </c>
      <c r="C7" s="18" t="s">
        <v>168</v>
      </c>
      <c r="D7" s="9">
        <f>IFERROR(SUMPRODUCT((IF(SelectedScope="All India",1,RAW_FEEDBACK!$A$4:$A$54&gt;0))*(RAW_FEEDBACK!$B$4:$B$54="Cell Division")*RAW_FEEDBACK!$E$4:$E$54),"")</f>
        <v>0</v>
      </c>
      <c r="E7" s="9">
        <f>IFERROR(SUMPRODUCT((IF(SelectedScope="All India",1,RAW_FEEDBACK!$A$4:$A$54&gt;0))*(RAW_FEEDBACK!$B$4:$B$54="Cell Division")*RAW_FEEDBACK!$D$4:$D$54),"")</f>
        <v>0</v>
      </c>
      <c r="F7" s="9">
        <f>IFERROR(SUMPRODUCT((IF(SelectedScope="All India",1,RAW_FEEDBACK!$A$4:$A$54&gt;0))*(RAW_FEEDBACK!$B$4:$B$54="Cell Division")*RAW_FEEDBACK!$F$4:$F$54),"")</f>
        <v>0</v>
      </c>
      <c r="G7" s="9">
        <f>IFERROR(SUMPRODUCT((IF(SelectedScope="All India",1,RAW_FEEDBACK!$A$4:$A$54&gt;0))*(RAW_FEEDBACK!$B$4:$B$54="Cell Division")*RAW_FEEDBACK!$G$4:$G$54),"")</f>
        <v>0</v>
      </c>
      <c r="H7" s="9">
        <f>IFERROR(SUMPRODUCT((IF(SelectedScope="All India",1,RAW_FEEDBACK!$A$4:$A$54&gt;0))*(RAW_FEEDBACK!$B$4:$B$54="Cell Division")*RAW_FEEDBACK!$H$4:$H$54),"")</f>
        <v>0</v>
      </c>
      <c r="I7" s="9">
        <f>IFERROR(SUMPRODUCT((IF(SelectedScope="All India",1,RAW_FEEDBACK!$A$4:$A$54&gt;0))*(RAW_FEEDBACK!$B$4:$B$54="Cell Division")*RAW_FEEDBACK!$I$4:$I$54),"")</f>
        <v>0</v>
      </c>
      <c r="J7" s="9">
        <f>IFERROR(SUMPRODUCT((IF(SelectedScope="All India",1,RAW_FEEDBACK!$A$4:$A$54&gt;0))*(RAW_FEEDBACK!$B$4:$B$54="Cell Division")*RAW_FEEDBACK!$J$4:$J$54),"")</f>
        <v>0</v>
      </c>
      <c r="K7" s="18" t="s">
        <v>836</v>
      </c>
    </row>
    <row r="8" spans="1:11" ht="16.05" customHeight="1" x14ac:dyDescent="0.3">
      <c r="A8" s="16">
        <v>3</v>
      </c>
      <c r="B8" s="16" t="s">
        <v>170</v>
      </c>
      <c r="C8" s="16" t="s">
        <v>168</v>
      </c>
      <c r="D8" s="12">
        <f>IFERROR(SUMPRODUCT((IF(SelectedScope="All India",1,RAW_FEEDBACK!$A$4:$A$54&gt;0))*(RAW_FEEDBACK!$B$4:$B$54="Atoms and Molecules")*RAW_FEEDBACK!$E$4:$E$54),"")</f>
        <v>0</v>
      </c>
      <c r="E8" s="12">
        <f>IFERROR(SUMPRODUCT((IF(SelectedScope="All India",1,RAW_FEEDBACK!$A$4:$A$54&gt;0))*(RAW_FEEDBACK!$B$4:$B$54="Atoms and Molecules")*RAW_FEEDBACK!$D$4:$D$54),"")</f>
        <v>0</v>
      </c>
      <c r="F8" s="12">
        <f>IFERROR(SUMPRODUCT((IF(SelectedScope="All India",1,RAW_FEEDBACK!$A$4:$A$54&gt;0))*(RAW_FEEDBACK!$B$4:$B$54="Atoms and Molecules")*RAW_FEEDBACK!$F$4:$F$54),"")</f>
        <v>0</v>
      </c>
      <c r="G8" s="12">
        <f>IFERROR(SUMPRODUCT((IF(SelectedScope="All India",1,RAW_FEEDBACK!$A$4:$A$54&gt;0))*(RAW_FEEDBACK!$B$4:$B$54="Atoms and Molecules")*RAW_FEEDBACK!$G$4:$G$54),"")</f>
        <v>0</v>
      </c>
      <c r="H8" s="12">
        <f>IFERROR(SUMPRODUCT((IF(SelectedScope="All India",1,RAW_FEEDBACK!$A$4:$A$54&gt;0))*(RAW_FEEDBACK!$B$4:$B$54="Atoms and Molecules")*RAW_FEEDBACK!$H$4:$H$54),"")</f>
        <v>0</v>
      </c>
      <c r="I8" s="12">
        <f>IFERROR(SUMPRODUCT((IF(SelectedScope="All India",1,RAW_FEEDBACK!$A$4:$A$54&gt;0))*(RAW_FEEDBACK!$B$4:$B$54="Atoms and Molecules")*RAW_FEEDBACK!$I$4:$I$54),"")</f>
        <v>0</v>
      </c>
      <c r="J8" s="12">
        <f>IFERROR(SUMPRODUCT((IF(SelectedScope="All India",1,RAW_FEEDBACK!$A$4:$A$54&gt;0))*(RAW_FEEDBACK!$B$4:$B$54="Atoms and Molecules")*RAW_FEEDBACK!$J$4:$J$54),"")</f>
        <v>0</v>
      </c>
      <c r="K8" s="16" t="s">
        <v>836</v>
      </c>
    </row>
    <row r="9" spans="1:11" ht="16.05" customHeight="1" x14ac:dyDescent="0.3">
      <c r="A9" s="18">
        <v>4</v>
      </c>
      <c r="B9" s="18" t="s">
        <v>171</v>
      </c>
      <c r="C9" s="18" t="s">
        <v>172</v>
      </c>
      <c r="D9" s="9">
        <f>IFERROR(SUMPRODUCT((IF(SelectedScope="All India",1,RAW_FEEDBACK!$A$4:$A$54&gt;0))*(RAW_FEEDBACK!$B$4:$B$54="Photosynthesis")*RAW_FEEDBACK!$E$4:$E$54),"")</f>
        <v>0</v>
      </c>
      <c r="E9" s="9">
        <f>IFERROR(SUMPRODUCT((IF(SelectedScope="All India",1,RAW_FEEDBACK!$A$4:$A$54&gt;0))*(RAW_FEEDBACK!$B$4:$B$54="Photosynthesis")*RAW_FEEDBACK!$D$4:$D$54),"")</f>
        <v>0</v>
      </c>
      <c r="F9" s="9">
        <f>IFERROR(SUMPRODUCT((IF(SelectedScope="All India",1,RAW_FEEDBACK!$A$4:$A$54&gt;0))*(RAW_FEEDBACK!$B$4:$B$54="Photosynthesis")*RAW_FEEDBACK!$F$4:$F$54),"")</f>
        <v>0</v>
      </c>
      <c r="G9" s="9">
        <f>IFERROR(SUMPRODUCT((IF(SelectedScope="All India",1,RAW_FEEDBACK!$A$4:$A$54&gt;0))*(RAW_FEEDBACK!$B$4:$B$54="Photosynthesis")*RAW_FEEDBACK!$G$4:$G$54),"")</f>
        <v>0</v>
      </c>
      <c r="H9" s="9">
        <f>IFERROR(SUMPRODUCT((IF(SelectedScope="All India",1,RAW_FEEDBACK!$A$4:$A$54&gt;0))*(RAW_FEEDBACK!$B$4:$B$54="Photosynthesis")*RAW_FEEDBACK!$H$4:$H$54),"")</f>
        <v>0</v>
      </c>
      <c r="I9" s="9">
        <f>IFERROR(SUMPRODUCT((IF(SelectedScope="All India",1,RAW_FEEDBACK!$A$4:$A$54&gt;0))*(RAW_FEEDBACK!$B$4:$B$54="Photosynthesis")*RAW_FEEDBACK!$I$4:$I$54),"")</f>
        <v>0</v>
      </c>
      <c r="J9" s="9">
        <f>IFERROR(SUMPRODUCT((IF(SelectedScope="All India",1,RAW_FEEDBACK!$A$4:$A$54&gt;0))*(RAW_FEEDBACK!$B$4:$B$54="Photosynthesis")*RAW_FEEDBACK!$J$4:$J$54),"")</f>
        <v>0</v>
      </c>
      <c r="K9" s="18" t="s">
        <v>836</v>
      </c>
    </row>
    <row r="10" spans="1:11" ht="16.05" customHeight="1" x14ac:dyDescent="0.3">
      <c r="A10" s="16">
        <v>5</v>
      </c>
      <c r="B10" s="16" t="s">
        <v>174</v>
      </c>
      <c r="C10" s="16" t="s">
        <v>172</v>
      </c>
      <c r="D10" s="12">
        <f>IFERROR(SUMPRODUCT((IF(SelectedScope="All India",1,RAW_FEEDBACK!$A$4:$A$54&gt;0))*(RAW_FEEDBACK!$B$4:$B$54="Fractions 3D Model")*RAW_FEEDBACK!$E$4:$E$54),"")</f>
        <v>0</v>
      </c>
      <c r="E10" s="12">
        <f>IFERROR(SUMPRODUCT((IF(SelectedScope="All India",1,RAW_FEEDBACK!$A$4:$A$54&gt;0))*(RAW_FEEDBACK!$B$4:$B$54="Fractions 3D Model")*RAW_FEEDBACK!$D$4:$D$54),"")</f>
        <v>0</v>
      </c>
      <c r="F10" s="12">
        <f>IFERROR(SUMPRODUCT((IF(SelectedScope="All India",1,RAW_FEEDBACK!$A$4:$A$54&gt;0))*(RAW_FEEDBACK!$B$4:$B$54="Fractions 3D Model")*RAW_FEEDBACK!$F$4:$F$54),"")</f>
        <v>0</v>
      </c>
      <c r="G10" s="12">
        <f>IFERROR(SUMPRODUCT((IF(SelectedScope="All India",1,RAW_FEEDBACK!$A$4:$A$54&gt;0))*(RAW_FEEDBACK!$B$4:$B$54="Fractions 3D Model")*RAW_FEEDBACK!$G$4:$G$54),"")</f>
        <v>0</v>
      </c>
      <c r="H10" s="12">
        <f>IFERROR(SUMPRODUCT((IF(SelectedScope="All India",1,RAW_FEEDBACK!$A$4:$A$54&gt;0))*(RAW_FEEDBACK!$B$4:$B$54="Fractions 3D Model")*RAW_FEEDBACK!$H$4:$H$54),"")</f>
        <v>0</v>
      </c>
      <c r="I10" s="12">
        <f>IFERROR(SUMPRODUCT((IF(SelectedScope="All India",1,RAW_FEEDBACK!$A$4:$A$54&gt;0))*(RAW_FEEDBACK!$B$4:$B$54="Fractions 3D Model")*RAW_FEEDBACK!$I$4:$I$54),"")</f>
        <v>0</v>
      </c>
      <c r="J10" s="12">
        <f>IFERROR(SUMPRODUCT((IF(SelectedScope="All India",1,RAW_FEEDBACK!$A$4:$A$54&gt;0))*(RAW_FEEDBACK!$B$4:$B$54="Fractions 3D Model")*RAW_FEEDBACK!$J$4:$J$54),"")</f>
        <v>0</v>
      </c>
      <c r="K10" s="16" t="s">
        <v>836</v>
      </c>
    </row>
    <row r="11" spans="1:11" ht="16.05" customHeight="1" x14ac:dyDescent="0.3">
      <c r="A11" s="18">
        <v>6</v>
      </c>
      <c r="B11" s="18" t="s">
        <v>175</v>
      </c>
      <c r="C11" s="18" t="s">
        <v>176</v>
      </c>
      <c r="D11" s="9">
        <f>IFERROR(SUMPRODUCT((IF(SelectedScope="All India",1,RAW_FEEDBACK!$A$4:$A$54&gt;0))*(RAW_FEEDBACK!$B$4:$B$54="Trigonometry 3D")*RAW_FEEDBACK!$E$4:$E$54),"")</f>
        <v>0</v>
      </c>
      <c r="E11" s="9">
        <f>IFERROR(SUMPRODUCT((IF(SelectedScope="All India",1,RAW_FEEDBACK!$A$4:$A$54&gt;0))*(RAW_FEEDBACK!$B$4:$B$54="Trigonometry 3D")*RAW_FEEDBACK!$D$4:$D$54),"")</f>
        <v>0</v>
      </c>
      <c r="F11" s="9">
        <f>IFERROR(SUMPRODUCT((IF(SelectedScope="All India",1,RAW_FEEDBACK!$A$4:$A$54&gt;0))*(RAW_FEEDBACK!$B$4:$B$54="Trigonometry 3D")*RAW_FEEDBACK!$F$4:$F$54),"")</f>
        <v>0</v>
      </c>
      <c r="G11" s="9">
        <f>IFERROR(SUMPRODUCT((IF(SelectedScope="All India",1,RAW_FEEDBACK!$A$4:$A$54&gt;0))*(RAW_FEEDBACK!$B$4:$B$54="Trigonometry 3D")*RAW_FEEDBACK!$G$4:$G$54),"")</f>
        <v>0</v>
      </c>
      <c r="H11" s="9">
        <f>IFERROR(SUMPRODUCT((IF(SelectedScope="All India",1,RAW_FEEDBACK!$A$4:$A$54&gt;0))*(RAW_FEEDBACK!$B$4:$B$54="Trigonometry 3D")*RAW_FEEDBACK!$H$4:$H$54),"")</f>
        <v>0</v>
      </c>
      <c r="I11" s="9">
        <f>IFERROR(SUMPRODUCT((IF(SelectedScope="All India",1,RAW_FEEDBACK!$A$4:$A$54&gt;0))*(RAW_FEEDBACK!$B$4:$B$54="Trigonometry 3D")*RAW_FEEDBACK!$I$4:$I$54),"")</f>
        <v>0</v>
      </c>
      <c r="J11" s="9">
        <f>IFERROR(SUMPRODUCT((IF(SelectedScope="All India",1,RAW_FEEDBACK!$A$4:$A$54&gt;0))*(RAW_FEEDBACK!$B$4:$B$54="Trigonometry 3D")*RAW_FEEDBACK!$J$4:$J$54),"")</f>
        <v>0</v>
      </c>
      <c r="K11" s="18" t="s">
        <v>836</v>
      </c>
    </row>
    <row r="12" spans="1:11" ht="16.05" customHeight="1" x14ac:dyDescent="0.3">
      <c r="A12" s="16">
        <v>7</v>
      </c>
      <c r="B12" s="16" t="s">
        <v>177</v>
      </c>
      <c r="C12" s="16" t="s">
        <v>176</v>
      </c>
      <c r="D12" s="12">
        <f>IFERROR(SUMPRODUCT((IF(SelectedScope="All India",1,RAW_FEEDBACK!$A$4:$A$54&gt;0))*(RAW_FEEDBACK!$B$4:$B$54="Mughal Empire AR")*RAW_FEEDBACK!$E$4:$E$54),"")</f>
        <v>0</v>
      </c>
      <c r="E12" s="12">
        <f>IFERROR(SUMPRODUCT((IF(SelectedScope="All India",1,RAW_FEEDBACK!$A$4:$A$54&gt;0))*(RAW_FEEDBACK!$B$4:$B$54="Mughal Empire AR")*RAW_FEEDBACK!$D$4:$D$54),"")</f>
        <v>0</v>
      </c>
      <c r="F12" s="12">
        <f>IFERROR(SUMPRODUCT((IF(SelectedScope="All India",1,RAW_FEEDBACK!$A$4:$A$54&gt;0))*(RAW_FEEDBACK!$B$4:$B$54="Mughal Empire AR")*RAW_FEEDBACK!$F$4:$F$54),"")</f>
        <v>0</v>
      </c>
      <c r="G12" s="12">
        <f>IFERROR(SUMPRODUCT((IF(SelectedScope="All India",1,RAW_FEEDBACK!$A$4:$A$54&gt;0))*(RAW_FEEDBACK!$B$4:$B$54="Mughal Empire AR")*RAW_FEEDBACK!$G$4:$G$54),"")</f>
        <v>0</v>
      </c>
      <c r="H12" s="12">
        <f>IFERROR(SUMPRODUCT((IF(SelectedScope="All India",1,RAW_FEEDBACK!$A$4:$A$54&gt;0))*(RAW_FEEDBACK!$B$4:$B$54="Mughal Empire AR")*RAW_FEEDBACK!$H$4:$H$54),"")</f>
        <v>0</v>
      </c>
      <c r="I12" s="12">
        <f>IFERROR(SUMPRODUCT((IF(SelectedScope="All India",1,RAW_FEEDBACK!$A$4:$A$54&gt;0))*(RAW_FEEDBACK!$B$4:$B$54="Mughal Empire AR")*RAW_FEEDBACK!$I$4:$I$54),"")</f>
        <v>0</v>
      </c>
      <c r="J12" s="12">
        <f>IFERROR(SUMPRODUCT((IF(SelectedScope="All India",1,RAW_FEEDBACK!$A$4:$A$54&gt;0))*(RAW_FEEDBACK!$B$4:$B$54="Mughal Empire AR")*RAW_FEEDBACK!$J$4:$J$54),"")</f>
        <v>0</v>
      </c>
      <c r="K12" s="16" t="s">
        <v>836</v>
      </c>
    </row>
    <row r="13" spans="1:11" ht="16.05" customHeight="1" x14ac:dyDescent="0.3">
      <c r="A13" s="18">
        <v>8</v>
      </c>
      <c r="B13" s="18" t="s">
        <v>178</v>
      </c>
      <c r="C13" s="18" t="s">
        <v>179</v>
      </c>
      <c r="D13" s="9">
        <f>IFERROR(SUMPRODUCT((IF(SelectedScope="All India",1,RAW_FEEDBACK!$A$4:$A$54&gt;0))*(RAW_FEEDBACK!$B$4:$B$54="Water Cycle Simulation")*RAW_FEEDBACK!$E$4:$E$54),"")</f>
        <v>0</v>
      </c>
      <c r="E13" s="9">
        <f>IFERROR(SUMPRODUCT((IF(SelectedScope="All India",1,RAW_FEEDBACK!$A$4:$A$54&gt;0))*(RAW_FEEDBACK!$B$4:$B$54="Water Cycle Simulation")*RAW_FEEDBACK!$D$4:$D$54),"")</f>
        <v>0</v>
      </c>
      <c r="F13" s="9">
        <f>IFERROR(SUMPRODUCT((IF(SelectedScope="All India",1,RAW_FEEDBACK!$A$4:$A$54&gt;0))*(RAW_FEEDBACK!$B$4:$B$54="Water Cycle Simulation")*RAW_FEEDBACK!$F$4:$F$54),"")</f>
        <v>0</v>
      </c>
      <c r="G13" s="9">
        <f>IFERROR(SUMPRODUCT((IF(SelectedScope="All India",1,RAW_FEEDBACK!$A$4:$A$54&gt;0))*(RAW_FEEDBACK!$B$4:$B$54="Water Cycle Simulation")*RAW_FEEDBACK!$G$4:$G$54),"")</f>
        <v>0</v>
      </c>
      <c r="H13" s="9">
        <f>IFERROR(SUMPRODUCT((IF(SelectedScope="All India",1,RAW_FEEDBACK!$A$4:$A$54&gt;0))*(RAW_FEEDBACK!$B$4:$B$54="Water Cycle Simulation")*RAW_FEEDBACK!$H$4:$H$54),"")</f>
        <v>0</v>
      </c>
      <c r="I13" s="9">
        <f>IFERROR(SUMPRODUCT((IF(SelectedScope="All India",1,RAW_FEEDBACK!$A$4:$A$54&gt;0))*(RAW_FEEDBACK!$B$4:$B$54="Water Cycle Simulation")*RAW_FEEDBACK!$I$4:$I$54),"")</f>
        <v>0</v>
      </c>
      <c r="J13" s="9">
        <f>IFERROR(SUMPRODUCT((IF(SelectedScope="All India",1,RAW_FEEDBACK!$A$4:$A$54&gt;0))*(RAW_FEEDBACK!$B$4:$B$54="Water Cycle Simulation")*RAW_FEEDBACK!$J$4:$J$54),"")</f>
        <v>0</v>
      </c>
      <c r="K13" s="18" t="s">
        <v>836</v>
      </c>
    </row>
    <row r="14" spans="1:11" ht="16.05" customHeight="1" x14ac:dyDescent="0.3">
      <c r="A14" s="16">
        <v>9</v>
      </c>
      <c r="B14" s="16" t="s">
        <v>180</v>
      </c>
      <c r="C14" s="16" t="s">
        <v>181</v>
      </c>
      <c r="D14" s="12">
        <f>IFERROR(SUMPRODUCT((IF(SelectedScope="All India",1,RAW_FEEDBACK!$A$4:$A$54&gt;0))*(RAW_FEEDBACK!$B$4:$B$54="Human Anatomy AR")*RAW_FEEDBACK!$E$4:$E$54),"")</f>
        <v>0</v>
      </c>
      <c r="E14" s="12">
        <f>IFERROR(SUMPRODUCT((IF(SelectedScope="All India",1,RAW_FEEDBACK!$A$4:$A$54&gt;0))*(RAW_FEEDBACK!$B$4:$B$54="Human Anatomy AR")*RAW_FEEDBACK!$D$4:$D$54),"")</f>
        <v>0</v>
      </c>
      <c r="F14" s="12">
        <f>IFERROR(SUMPRODUCT((IF(SelectedScope="All India",1,RAW_FEEDBACK!$A$4:$A$54&gt;0))*(RAW_FEEDBACK!$B$4:$B$54="Human Anatomy AR")*RAW_FEEDBACK!$F$4:$F$54),"")</f>
        <v>0</v>
      </c>
      <c r="G14" s="12">
        <f>IFERROR(SUMPRODUCT((IF(SelectedScope="All India",1,RAW_FEEDBACK!$A$4:$A$54&gt;0))*(RAW_FEEDBACK!$B$4:$B$54="Human Anatomy AR")*RAW_FEEDBACK!$G$4:$G$54),"")</f>
        <v>0</v>
      </c>
      <c r="H14" s="12">
        <f>IFERROR(SUMPRODUCT((IF(SelectedScope="All India",1,RAW_FEEDBACK!$A$4:$A$54&gt;0))*(RAW_FEEDBACK!$B$4:$B$54="Human Anatomy AR")*RAW_FEEDBACK!$H$4:$H$54),"")</f>
        <v>0</v>
      </c>
      <c r="I14" s="12">
        <f>IFERROR(SUMPRODUCT((IF(SelectedScope="All India",1,RAW_FEEDBACK!$A$4:$A$54&gt;0))*(RAW_FEEDBACK!$B$4:$B$54="Human Anatomy AR")*RAW_FEEDBACK!$I$4:$I$54),"")</f>
        <v>0</v>
      </c>
      <c r="J14" s="12">
        <f>IFERROR(SUMPRODUCT((IF(SelectedScope="All India",1,RAW_FEEDBACK!$A$4:$A$54&gt;0))*(RAW_FEEDBACK!$B$4:$B$54="Human Anatomy AR")*RAW_FEEDBACK!$J$4:$J$54),"")</f>
        <v>0</v>
      </c>
      <c r="K14" s="16" t="s">
        <v>836</v>
      </c>
    </row>
    <row r="15" spans="1:11" ht="16.05" customHeight="1" x14ac:dyDescent="0.3">
      <c r="A15" s="18">
        <v>10</v>
      </c>
      <c r="B15" s="18" t="s">
        <v>183</v>
      </c>
      <c r="C15" s="18" t="s">
        <v>168</v>
      </c>
      <c r="D15" s="9">
        <f>IFERROR(SUMPRODUCT((IF(SelectedScope="All India",1,RAW_FEEDBACK!$A$4:$A$54&gt;0))*(RAW_FEEDBACK!$B$4:$B$54="Laws of Motion")*RAW_FEEDBACK!$E$4:$E$54),"")</f>
        <v>0</v>
      </c>
      <c r="E15" s="9">
        <f>IFERROR(SUMPRODUCT((IF(SelectedScope="All India",1,RAW_FEEDBACK!$A$4:$A$54&gt;0))*(RAW_FEEDBACK!$B$4:$B$54="Laws of Motion")*RAW_FEEDBACK!$D$4:$D$54),"")</f>
        <v>0</v>
      </c>
      <c r="F15" s="9">
        <f>IFERROR(SUMPRODUCT((IF(SelectedScope="All India",1,RAW_FEEDBACK!$A$4:$A$54&gt;0))*(RAW_FEEDBACK!$B$4:$B$54="Laws of Motion")*RAW_FEEDBACK!$F$4:$F$54),"")</f>
        <v>0</v>
      </c>
      <c r="G15" s="9">
        <f>IFERROR(SUMPRODUCT((IF(SelectedScope="All India",1,RAW_FEEDBACK!$A$4:$A$54&gt;0))*(RAW_FEEDBACK!$B$4:$B$54="Laws of Motion")*RAW_FEEDBACK!$G$4:$G$54),"")</f>
        <v>0</v>
      </c>
      <c r="H15" s="9">
        <f>IFERROR(SUMPRODUCT((IF(SelectedScope="All India",1,RAW_FEEDBACK!$A$4:$A$54&gt;0))*(RAW_FEEDBACK!$B$4:$B$54="Laws of Motion")*RAW_FEEDBACK!$H$4:$H$54),"")</f>
        <v>0</v>
      </c>
      <c r="I15" s="9">
        <f>IFERROR(SUMPRODUCT((IF(SelectedScope="All India",1,RAW_FEEDBACK!$A$4:$A$54&gt;0))*(RAW_FEEDBACK!$B$4:$B$54="Laws of Motion")*RAW_FEEDBACK!$I$4:$I$54),"")</f>
        <v>0</v>
      </c>
      <c r="J15" s="9">
        <f>IFERROR(SUMPRODUCT((IF(SelectedScope="All India",1,RAW_FEEDBACK!$A$4:$A$54&gt;0))*(RAW_FEEDBACK!$B$4:$B$54="Laws of Motion")*RAW_FEEDBACK!$J$4:$J$54),"")</f>
        <v>0</v>
      </c>
      <c r="K15" s="18" t="s">
        <v>836</v>
      </c>
    </row>
    <row r="16" spans="1:11" ht="16.05" customHeight="1" x14ac:dyDescent="0.3">
      <c r="A16" s="16">
        <v>11</v>
      </c>
      <c r="B16" s="16" t="s">
        <v>184</v>
      </c>
      <c r="C16" s="16" t="s">
        <v>181</v>
      </c>
      <c r="D16" s="12">
        <f>IFERROR(SUMPRODUCT((IF(SelectedScope="All India",1,RAW_FEEDBACK!$A$4:$A$54&gt;0))*(RAW_FEEDBACK!$B$4:$B$54="Periodic Table 3D")*RAW_FEEDBACK!$E$4:$E$54),"")</f>
        <v>0</v>
      </c>
      <c r="E16" s="12">
        <f>IFERROR(SUMPRODUCT((IF(SelectedScope="All India",1,RAW_FEEDBACK!$A$4:$A$54&gt;0))*(RAW_FEEDBACK!$B$4:$B$54="Periodic Table 3D")*RAW_FEEDBACK!$D$4:$D$54),"")</f>
        <v>0</v>
      </c>
      <c r="F16" s="12">
        <f>IFERROR(SUMPRODUCT((IF(SelectedScope="All India",1,RAW_FEEDBACK!$A$4:$A$54&gt;0))*(RAW_FEEDBACK!$B$4:$B$54="Periodic Table 3D")*RAW_FEEDBACK!$F$4:$F$54),"")</f>
        <v>0</v>
      </c>
      <c r="G16" s="12">
        <f>IFERROR(SUMPRODUCT((IF(SelectedScope="All India",1,RAW_FEEDBACK!$A$4:$A$54&gt;0))*(RAW_FEEDBACK!$B$4:$B$54="Periodic Table 3D")*RAW_FEEDBACK!$G$4:$G$54),"")</f>
        <v>0</v>
      </c>
      <c r="H16" s="12">
        <f>IFERROR(SUMPRODUCT((IF(SelectedScope="All India",1,RAW_FEEDBACK!$A$4:$A$54&gt;0))*(RAW_FEEDBACK!$B$4:$B$54="Periodic Table 3D")*RAW_FEEDBACK!$H$4:$H$54),"")</f>
        <v>0</v>
      </c>
      <c r="I16" s="12">
        <f>IFERROR(SUMPRODUCT((IF(SelectedScope="All India",1,RAW_FEEDBACK!$A$4:$A$54&gt;0))*(RAW_FEEDBACK!$B$4:$B$54="Periodic Table 3D")*RAW_FEEDBACK!$I$4:$I$54),"")</f>
        <v>0</v>
      </c>
      <c r="J16" s="12">
        <f>IFERROR(SUMPRODUCT((IF(SelectedScope="All India",1,RAW_FEEDBACK!$A$4:$A$54&gt;0))*(RAW_FEEDBACK!$B$4:$B$54="Periodic Table 3D")*RAW_FEEDBACK!$J$4:$J$54),"")</f>
        <v>0</v>
      </c>
      <c r="K16" s="16" t="s">
        <v>836</v>
      </c>
    </row>
    <row r="17" spans="1:11" ht="16.05" customHeight="1" x14ac:dyDescent="0.3">
      <c r="A17" s="18">
        <v>12</v>
      </c>
      <c r="B17" s="18" t="s">
        <v>185</v>
      </c>
      <c r="C17" s="18" t="s">
        <v>176</v>
      </c>
      <c r="D17" s="9">
        <f>IFERROR(SUMPRODUCT((IF(SelectedScope="All India",1,RAW_FEEDBACK!$A$4:$A$54&gt;0))*(RAW_FEEDBACK!$B$4:$B$54="Electricity Circuits")*RAW_FEEDBACK!$E$4:$E$54),"")</f>
        <v>0</v>
      </c>
      <c r="E17" s="9">
        <f>IFERROR(SUMPRODUCT((IF(SelectedScope="All India",1,RAW_FEEDBACK!$A$4:$A$54&gt;0))*(RAW_FEEDBACK!$B$4:$B$54="Electricity Circuits")*RAW_FEEDBACK!$D$4:$D$54),"")</f>
        <v>0</v>
      </c>
      <c r="F17" s="9">
        <f>IFERROR(SUMPRODUCT((IF(SelectedScope="All India",1,RAW_FEEDBACK!$A$4:$A$54&gt;0))*(RAW_FEEDBACK!$B$4:$B$54="Electricity Circuits")*RAW_FEEDBACK!$F$4:$F$54),"")</f>
        <v>0</v>
      </c>
      <c r="G17" s="9">
        <f>IFERROR(SUMPRODUCT((IF(SelectedScope="All India",1,RAW_FEEDBACK!$A$4:$A$54&gt;0))*(RAW_FEEDBACK!$B$4:$B$54="Electricity Circuits")*RAW_FEEDBACK!$G$4:$G$54),"")</f>
        <v>0</v>
      </c>
      <c r="H17" s="9">
        <f>IFERROR(SUMPRODUCT((IF(SelectedScope="All India",1,RAW_FEEDBACK!$A$4:$A$54&gt;0))*(RAW_FEEDBACK!$B$4:$B$54="Electricity Circuits")*RAW_FEEDBACK!$H$4:$H$54),"")</f>
        <v>0</v>
      </c>
      <c r="I17" s="9">
        <f>IFERROR(SUMPRODUCT((IF(SelectedScope="All India",1,RAW_FEEDBACK!$A$4:$A$54&gt;0))*(RAW_FEEDBACK!$B$4:$B$54="Electricity Circuits")*RAW_FEEDBACK!$I$4:$I$54),"")</f>
        <v>0</v>
      </c>
      <c r="J17" s="9">
        <f>IFERROR(SUMPRODUCT((IF(SelectedScope="All India",1,RAW_FEEDBACK!$A$4:$A$54&gt;0))*(RAW_FEEDBACK!$B$4:$B$54="Electricity Circuits")*RAW_FEEDBACK!$J$4:$J$54),"")</f>
        <v>0</v>
      </c>
      <c r="K17" s="18" t="s">
        <v>836</v>
      </c>
    </row>
    <row r="18" spans="1:11" ht="16.05" customHeight="1" x14ac:dyDescent="0.3">
      <c r="A18" s="16">
        <v>13</v>
      </c>
      <c r="B18" s="16" t="s">
        <v>186</v>
      </c>
      <c r="C18" s="16" t="s">
        <v>168</v>
      </c>
      <c r="D18" s="12">
        <f>IFERROR(SUMPRODUCT((IF(SelectedScope="All India",1,RAW_FEEDBACK!$A$4:$A$54&gt;0))*(RAW_FEEDBACK!$B$4:$B$54="Indian Constitution")*RAW_FEEDBACK!$E$4:$E$54),"")</f>
        <v>0</v>
      </c>
      <c r="E18" s="12">
        <f>IFERROR(SUMPRODUCT((IF(SelectedScope="All India",1,RAW_FEEDBACK!$A$4:$A$54&gt;0))*(RAW_FEEDBACK!$B$4:$B$54="Indian Constitution")*RAW_FEEDBACK!$D$4:$D$54),"")</f>
        <v>0</v>
      </c>
      <c r="F18" s="12">
        <f>IFERROR(SUMPRODUCT((IF(SelectedScope="All India",1,RAW_FEEDBACK!$A$4:$A$54&gt;0))*(RAW_FEEDBACK!$B$4:$B$54="Indian Constitution")*RAW_FEEDBACK!$F$4:$F$54),"")</f>
        <v>0</v>
      </c>
      <c r="G18" s="12">
        <f>IFERROR(SUMPRODUCT((IF(SelectedScope="All India",1,RAW_FEEDBACK!$A$4:$A$54&gt;0))*(RAW_FEEDBACK!$B$4:$B$54="Indian Constitution")*RAW_FEEDBACK!$G$4:$G$54),"")</f>
        <v>0</v>
      </c>
      <c r="H18" s="12">
        <f>IFERROR(SUMPRODUCT((IF(SelectedScope="All India",1,RAW_FEEDBACK!$A$4:$A$54&gt;0))*(RAW_FEEDBACK!$B$4:$B$54="Indian Constitution")*RAW_FEEDBACK!$H$4:$H$54),"")</f>
        <v>0</v>
      </c>
      <c r="I18" s="12">
        <f>IFERROR(SUMPRODUCT((IF(SelectedScope="All India",1,RAW_FEEDBACK!$A$4:$A$54&gt;0))*(RAW_FEEDBACK!$B$4:$B$54="Indian Constitution")*RAW_FEEDBACK!$I$4:$I$54),"")</f>
        <v>0</v>
      </c>
      <c r="J18" s="12">
        <f>IFERROR(SUMPRODUCT((IF(SelectedScope="All India",1,RAW_FEEDBACK!$A$4:$A$54&gt;0))*(RAW_FEEDBACK!$B$4:$B$54="Indian Constitution")*RAW_FEEDBACK!$J$4:$J$54),"")</f>
        <v>0</v>
      </c>
      <c r="K18" s="16" t="s">
        <v>836</v>
      </c>
    </row>
    <row r="19" spans="1:11" ht="16.05" customHeight="1" x14ac:dyDescent="0.3">
      <c r="A19" s="18">
        <v>14</v>
      </c>
      <c r="B19" s="18" t="s">
        <v>187</v>
      </c>
      <c r="C19" s="18" t="s">
        <v>179</v>
      </c>
      <c r="D19" s="9">
        <f>IFERROR(SUMPRODUCT((IF(SelectedScope="All India",1,RAW_FEEDBACK!$A$4:$A$54&gt;0))*(RAW_FEEDBACK!$B$4:$B$54="Food Chain")*RAW_FEEDBACK!$E$4:$E$54),"")</f>
        <v>0</v>
      </c>
      <c r="E19" s="9">
        <f>IFERROR(SUMPRODUCT((IF(SelectedScope="All India",1,RAW_FEEDBACK!$A$4:$A$54&gt;0))*(RAW_FEEDBACK!$B$4:$B$54="Food Chain")*RAW_FEEDBACK!$D$4:$D$54),"")</f>
        <v>0</v>
      </c>
      <c r="F19" s="9">
        <f>IFERROR(SUMPRODUCT((IF(SelectedScope="All India",1,RAW_FEEDBACK!$A$4:$A$54&gt;0))*(RAW_FEEDBACK!$B$4:$B$54="Food Chain")*RAW_FEEDBACK!$F$4:$F$54),"")</f>
        <v>0</v>
      </c>
      <c r="G19" s="9">
        <f>IFERROR(SUMPRODUCT((IF(SelectedScope="All India",1,RAW_FEEDBACK!$A$4:$A$54&gt;0))*(RAW_FEEDBACK!$B$4:$B$54="Food Chain")*RAW_FEEDBACK!$G$4:$G$54),"")</f>
        <v>0</v>
      </c>
      <c r="H19" s="9">
        <f>IFERROR(SUMPRODUCT((IF(SelectedScope="All India",1,RAW_FEEDBACK!$A$4:$A$54&gt;0))*(RAW_FEEDBACK!$B$4:$B$54="Food Chain")*RAW_FEEDBACK!$H$4:$H$54),"")</f>
        <v>0</v>
      </c>
      <c r="I19" s="9">
        <f>IFERROR(SUMPRODUCT((IF(SelectedScope="All India",1,RAW_FEEDBACK!$A$4:$A$54&gt;0))*(RAW_FEEDBACK!$B$4:$B$54="Food Chain")*RAW_FEEDBACK!$I$4:$I$54),"")</f>
        <v>0</v>
      </c>
      <c r="J19" s="9">
        <f>IFERROR(SUMPRODUCT((IF(SelectedScope="All India",1,RAW_FEEDBACK!$A$4:$A$54&gt;0))*(RAW_FEEDBACK!$B$4:$B$54="Food Chain")*RAW_FEEDBACK!$J$4:$J$54),"")</f>
        <v>0</v>
      </c>
      <c r="K19" s="18" t="s">
        <v>836</v>
      </c>
    </row>
    <row r="20" spans="1:11" ht="16.05" customHeight="1" x14ac:dyDescent="0.3">
      <c r="A20" s="16">
        <v>15</v>
      </c>
      <c r="B20" s="16" t="s">
        <v>188</v>
      </c>
      <c r="C20" s="16" t="s">
        <v>176</v>
      </c>
      <c r="D20" s="12">
        <f>IFERROR(SUMPRODUCT((IF(SelectedScope="All India",1,RAW_FEEDBACK!$A$4:$A$54&gt;0))*(RAW_FEEDBACK!$B$4:$B$54="Quadratic Equations")*RAW_FEEDBACK!$E$4:$E$54),"")</f>
        <v>0</v>
      </c>
      <c r="E20" s="12">
        <f>IFERROR(SUMPRODUCT((IF(SelectedScope="All India",1,RAW_FEEDBACK!$A$4:$A$54&gt;0))*(RAW_FEEDBACK!$B$4:$B$54="Quadratic Equations")*RAW_FEEDBACK!$D$4:$D$54),"")</f>
        <v>0</v>
      </c>
      <c r="F20" s="12">
        <f>IFERROR(SUMPRODUCT((IF(SelectedScope="All India",1,RAW_FEEDBACK!$A$4:$A$54&gt;0))*(RAW_FEEDBACK!$B$4:$B$54="Quadratic Equations")*RAW_FEEDBACK!$F$4:$F$54),"")</f>
        <v>0</v>
      </c>
      <c r="G20" s="12">
        <f>IFERROR(SUMPRODUCT((IF(SelectedScope="All India",1,RAW_FEEDBACK!$A$4:$A$54&gt;0))*(RAW_FEEDBACK!$B$4:$B$54="Quadratic Equations")*RAW_FEEDBACK!$G$4:$G$54),"")</f>
        <v>0</v>
      </c>
      <c r="H20" s="12">
        <f>IFERROR(SUMPRODUCT((IF(SelectedScope="All India",1,RAW_FEEDBACK!$A$4:$A$54&gt;0))*(RAW_FEEDBACK!$B$4:$B$54="Quadratic Equations")*RAW_FEEDBACK!$H$4:$H$54),"")</f>
        <v>0</v>
      </c>
      <c r="I20" s="12">
        <f>IFERROR(SUMPRODUCT((IF(SelectedScope="All India",1,RAW_FEEDBACK!$A$4:$A$54&gt;0))*(RAW_FEEDBACK!$B$4:$B$54="Quadratic Equations")*RAW_FEEDBACK!$I$4:$I$54),"")</f>
        <v>0</v>
      </c>
      <c r="J20" s="12">
        <f>IFERROR(SUMPRODUCT((IF(SelectedScope="All India",1,RAW_FEEDBACK!$A$4:$A$54&gt;0))*(RAW_FEEDBACK!$B$4:$B$54="Quadratic Equations")*RAW_FEEDBACK!$J$4:$J$54),"")</f>
        <v>0</v>
      </c>
      <c r="K20" s="16" t="s">
        <v>836</v>
      </c>
    </row>
    <row r="22" spans="1:11" ht="19.95" customHeight="1" x14ac:dyDescent="0.3">
      <c r="A22" s="37" t="s">
        <v>837</v>
      </c>
      <c r="B22" s="33"/>
      <c r="C22" s="33"/>
      <c r="D22" s="33"/>
      <c r="E22" s="33"/>
      <c r="F22" s="33"/>
      <c r="G22" s="33"/>
      <c r="H22" s="33"/>
      <c r="I22" s="33"/>
      <c r="J22" s="33"/>
      <c r="K22" s="33"/>
    </row>
    <row r="23" spans="1:11" ht="31.95" customHeight="1" x14ac:dyDescent="0.3">
      <c r="A23" s="15" t="s">
        <v>78</v>
      </c>
      <c r="B23" s="15" t="s">
        <v>192</v>
      </c>
      <c r="C23" s="15" t="s">
        <v>838</v>
      </c>
      <c r="D23" s="15" t="s">
        <v>839</v>
      </c>
      <c r="E23" s="15" t="s">
        <v>840</v>
      </c>
      <c r="F23" s="15" t="s">
        <v>841</v>
      </c>
      <c r="G23" s="15" t="s">
        <v>842</v>
      </c>
      <c r="H23" s="15" t="s">
        <v>843</v>
      </c>
      <c r="I23" s="15" t="s">
        <v>844</v>
      </c>
      <c r="J23" s="15" t="s">
        <v>845</v>
      </c>
      <c r="K23" s="15" t="s">
        <v>86</v>
      </c>
    </row>
    <row r="24" spans="1:11" ht="16.05" customHeight="1" x14ac:dyDescent="0.3">
      <c r="A24" s="16">
        <v>1</v>
      </c>
      <c r="B24" s="16" t="s">
        <v>519</v>
      </c>
      <c r="C24" s="12">
        <f>SUMPRODUCT((RAW_FEEDBACK!$B$4:$B$54=$B24)*(RAW_FEEDBACK!$C$4:$C$54="NPS")*RAW_FEEDBACK!$D$4:$D$54)</f>
        <v>0</v>
      </c>
      <c r="D24" s="12">
        <f>SUMPRODUCT((RAW_FEEDBACK!$B$4:$B$54=$B24)*(RAW_FEEDBACK!$C$4:$C$54="NPS")*RAW_FEEDBACK!$K$4:$K$54)</f>
        <v>0</v>
      </c>
      <c r="E24" s="12">
        <f>SUMPRODUCT((RAW_FEEDBACK!$B$4:$B$54=$B24)*(RAW_FEEDBACK!$C$4:$C$54="NPS")*RAW_FEEDBACK!$L$4:$L$54)</f>
        <v>0</v>
      </c>
      <c r="F24" s="12">
        <f>SUMPRODUCT((RAW_FEEDBACK!$B$4:$B$54=$B24)*(RAW_FEEDBACK!$C$4:$C$54="NPS")*RAW_FEEDBACK!$M$4:$M$54)</f>
        <v>0</v>
      </c>
      <c r="G24" s="12" t="str">
        <f>IFERROR((SUMPRODUCT((RAW_FEEDBACK!$B$4:$B$54=$B24)*(RAW_FEEDBACK!$C$4:$C$54="NPS")*RAW_FEEDBACK!$K$4:$K$54)-SUMPRODUCT((RAW_FEEDBACK!$B$4:$B$54=$B24)*(RAW_FEEDBACK!$C$4:$C$54="NPS")*RAW_FEEDBACK!$M$4:$M$54))/(SUMPRODUCT((RAW_FEEDBACK!$B$4:$B$54=$B24)*(RAW_FEEDBACK!$C$4:$C$54="NPS")*RAW_FEEDBACK!$D$4:$D$54))*100,"")</f>
        <v/>
      </c>
      <c r="H24" s="16"/>
      <c r="I24" s="12" t="str">
        <f t="shared" ref="I24:I59" si="0">IFERROR(G24-H24,"")</f>
        <v/>
      </c>
      <c r="J24" s="16"/>
      <c r="K24" s="16"/>
    </row>
    <row r="25" spans="1:11" ht="16.05" customHeight="1" x14ac:dyDescent="0.3">
      <c r="A25" s="18">
        <v>2</v>
      </c>
      <c r="B25" s="18" t="s">
        <v>520</v>
      </c>
      <c r="C25" s="9">
        <f>SUMPRODUCT((RAW_FEEDBACK!$B$4:$B$54=$B25)*(RAW_FEEDBACK!$C$4:$C$54="NPS")*RAW_FEEDBACK!$D$4:$D$54)</f>
        <v>0</v>
      </c>
      <c r="D25" s="9">
        <f>SUMPRODUCT((RAW_FEEDBACK!$B$4:$B$54=$B25)*(RAW_FEEDBACK!$C$4:$C$54="NPS")*RAW_FEEDBACK!$K$4:$K$54)</f>
        <v>0</v>
      </c>
      <c r="E25" s="9">
        <f>SUMPRODUCT((RAW_FEEDBACK!$B$4:$B$54=$B25)*(RAW_FEEDBACK!$C$4:$C$54="NPS")*RAW_FEEDBACK!$L$4:$L$54)</f>
        <v>0</v>
      </c>
      <c r="F25" s="9">
        <f>SUMPRODUCT((RAW_FEEDBACK!$B$4:$B$54=$B25)*(RAW_FEEDBACK!$C$4:$C$54="NPS")*RAW_FEEDBACK!$M$4:$M$54)</f>
        <v>0</v>
      </c>
      <c r="G25" s="9" t="str">
        <f>IFERROR((SUMPRODUCT((RAW_FEEDBACK!$B$4:$B$54=$B25)*(RAW_FEEDBACK!$C$4:$C$54="NPS")*RAW_FEEDBACK!$K$4:$K$54)-SUMPRODUCT((RAW_FEEDBACK!$B$4:$B$54=$B25)*(RAW_FEEDBACK!$C$4:$C$54="NPS")*RAW_FEEDBACK!$M$4:$M$54))/(SUMPRODUCT((RAW_FEEDBACK!$B$4:$B$54=$B25)*(RAW_FEEDBACK!$C$4:$C$54="NPS")*RAW_FEEDBACK!$D$4:$D$54))*100,"")</f>
        <v/>
      </c>
      <c r="H25" s="18"/>
      <c r="I25" s="9" t="str">
        <f t="shared" si="0"/>
        <v/>
      </c>
      <c r="J25" s="18"/>
      <c r="K25" s="18"/>
    </row>
    <row r="26" spans="1:11" ht="16.05" customHeight="1" x14ac:dyDescent="0.3">
      <c r="A26" s="16">
        <v>3</v>
      </c>
      <c r="B26" s="16" t="s">
        <v>521</v>
      </c>
      <c r="C26" s="12">
        <f>SUMPRODUCT((RAW_FEEDBACK!$B$4:$B$54=$B26)*(RAW_FEEDBACK!$C$4:$C$54="NPS")*RAW_FEEDBACK!$D$4:$D$54)</f>
        <v>0</v>
      </c>
      <c r="D26" s="12">
        <f>SUMPRODUCT((RAW_FEEDBACK!$B$4:$B$54=$B26)*(RAW_FEEDBACK!$C$4:$C$54="NPS")*RAW_FEEDBACK!$K$4:$K$54)</f>
        <v>0</v>
      </c>
      <c r="E26" s="12">
        <f>SUMPRODUCT((RAW_FEEDBACK!$B$4:$B$54=$B26)*(RAW_FEEDBACK!$C$4:$C$54="NPS")*RAW_FEEDBACK!$L$4:$L$54)</f>
        <v>0</v>
      </c>
      <c r="F26" s="12">
        <f>SUMPRODUCT((RAW_FEEDBACK!$B$4:$B$54=$B26)*(RAW_FEEDBACK!$C$4:$C$54="NPS")*RAW_FEEDBACK!$M$4:$M$54)</f>
        <v>0</v>
      </c>
      <c r="G26" s="12" t="str">
        <f>IFERROR((SUMPRODUCT((RAW_FEEDBACK!$B$4:$B$54=$B26)*(RAW_FEEDBACK!$C$4:$C$54="NPS")*RAW_FEEDBACK!$K$4:$K$54)-SUMPRODUCT((RAW_FEEDBACK!$B$4:$B$54=$B26)*(RAW_FEEDBACK!$C$4:$C$54="NPS")*RAW_FEEDBACK!$M$4:$M$54))/(SUMPRODUCT((RAW_FEEDBACK!$B$4:$B$54=$B26)*(RAW_FEEDBACK!$C$4:$C$54="NPS")*RAW_FEEDBACK!$D$4:$D$54))*100,"")</f>
        <v/>
      </c>
      <c r="H26" s="16"/>
      <c r="I26" s="12" t="str">
        <f t="shared" si="0"/>
        <v/>
      </c>
      <c r="J26" s="16"/>
      <c r="K26" s="16"/>
    </row>
    <row r="27" spans="1:11" ht="16.05" customHeight="1" x14ac:dyDescent="0.3">
      <c r="A27" s="18">
        <v>4</v>
      </c>
      <c r="B27" s="18" t="s">
        <v>522</v>
      </c>
      <c r="C27" s="9">
        <f>SUMPRODUCT((RAW_FEEDBACK!$B$4:$B$54=$B27)*(RAW_FEEDBACK!$C$4:$C$54="NPS")*RAW_FEEDBACK!$D$4:$D$54)</f>
        <v>0</v>
      </c>
      <c r="D27" s="9">
        <f>SUMPRODUCT((RAW_FEEDBACK!$B$4:$B$54=$B27)*(RAW_FEEDBACK!$C$4:$C$54="NPS")*RAW_FEEDBACK!$K$4:$K$54)</f>
        <v>0</v>
      </c>
      <c r="E27" s="9">
        <f>SUMPRODUCT((RAW_FEEDBACK!$B$4:$B$54=$B27)*(RAW_FEEDBACK!$C$4:$C$54="NPS")*RAW_FEEDBACK!$L$4:$L$54)</f>
        <v>0</v>
      </c>
      <c r="F27" s="9">
        <f>SUMPRODUCT((RAW_FEEDBACK!$B$4:$B$54=$B27)*(RAW_FEEDBACK!$C$4:$C$54="NPS")*RAW_FEEDBACK!$M$4:$M$54)</f>
        <v>0</v>
      </c>
      <c r="G27" s="9" t="str">
        <f>IFERROR((SUMPRODUCT((RAW_FEEDBACK!$B$4:$B$54=$B27)*(RAW_FEEDBACK!$C$4:$C$54="NPS")*RAW_FEEDBACK!$K$4:$K$54)-SUMPRODUCT((RAW_FEEDBACK!$B$4:$B$54=$B27)*(RAW_FEEDBACK!$C$4:$C$54="NPS")*RAW_FEEDBACK!$M$4:$M$54))/(SUMPRODUCT((RAW_FEEDBACK!$B$4:$B$54=$B27)*(RAW_FEEDBACK!$C$4:$C$54="NPS")*RAW_FEEDBACK!$D$4:$D$54))*100,"")</f>
        <v/>
      </c>
      <c r="H27" s="18"/>
      <c r="I27" s="9" t="str">
        <f t="shared" si="0"/>
        <v/>
      </c>
      <c r="J27" s="18"/>
      <c r="K27" s="18"/>
    </row>
    <row r="28" spans="1:11" ht="16.05" customHeight="1" x14ac:dyDescent="0.3">
      <c r="A28" s="16">
        <v>5</v>
      </c>
      <c r="B28" s="16" t="s">
        <v>523</v>
      </c>
      <c r="C28" s="12">
        <f>SUMPRODUCT((RAW_FEEDBACK!$B$4:$B$54=$B28)*(RAW_FEEDBACK!$C$4:$C$54="NPS")*RAW_FEEDBACK!$D$4:$D$54)</f>
        <v>0</v>
      </c>
      <c r="D28" s="12">
        <f>SUMPRODUCT((RAW_FEEDBACK!$B$4:$B$54=$B28)*(RAW_FEEDBACK!$C$4:$C$54="NPS")*RAW_FEEDBACK!$K$4:$K$54)</f>
        <v>0</v>
      </c>
      <c r="E28" s="12">
        <f>SUMPRODUCT((RAW_FEEDBACK!$B$4:$B$54=$B28)*(RAW_FEEDBACK!$C$4:$C$54="NPS")*RAW_FEEDBACK!$L$4:$L$54)</f>
        <v>0</v>
      </c>
      <c r="F28" s="12">
        <f>SUMPRODUCT((RAW_FEEDBACK!$B$4:$B$54=$B28)*(RAW_FEEDBACK!$C$4:$C$54="NPS")*RAW_FEEDBACK!$M$4:$M$54)</f>
        <v>0</v>
      </c>
      <c r="G28" s="12" t="str">
        <f>IFERROR((SUMPRODUCT((RAW_FEEDBACK!$B$4:$B$54=$B28)*(RAW_FEEDBACK!$C$4:$C$54="NPS")*RAW_FEEDBACK!$K$4:$K$54)-SUMPRODUCT((RAW_FEEDBACK!$B$4:$B$54=$B28)*(RAW_FEEDBACK!$C$4:$C$54="NPS")*RAW_FEEDBACK!$M$4:$M$54))/(SUMPRODUCT((RAW_FEEDBACK!$B$4:$B$54=$B28)*(RAW_FEEDBACK!$C$4:$C$54="NPS")*RAW_FEEDBACK!$D$4:$D$54))*100,"")</f>
        <v/>
      </c>
      <c r="H28" s="16"/>
      <c r="I28" s="12" t="str">
        <f t="shared" si="0"/>
        <v/>
      </c>
      <c r="J28" s="16"/>
      <c r="K28" s="16"/>
    </row>
    <row r="29" spans="1:11" ht="16.05" customHeight="1" x14ac:dyDescent="0.3">
      <c r="A29" s="18">
        <v>6</v>
      </c>
      <c r="B29" s="18" t="s">
        <v>524</v>
      </c>
      <c r="C29" s="9">
        <f>SUMPRODUCT((RAW_FEEDBACK!$B$4:$B$54=$B29)*(RAW_FEEDBACK!$C$4:$C$54="NPS")*RAW_FEEDBACK!$D$4:$D$54)</f>
        <v>0</v>
      </c>
      <c r="D29" s="9">
        <f>SUMPRODUCT((RAW_FEEDBACK!$B$4:$B$54=$B29)*(RAW_FEEDBACK!$C$4:$C$54="NPS")*RAW_FEEDBACK!$K$4:$K$54)</f>
        <v>0</v>
      </c>
      <c r="E29" s="9">
        <f>SUMPRODUCT((RAW_FEEDBACK!$B$4:$B$54=$B29)*(RAW_FEEDBACK!$C$4:$C$54="NPS")*RAW_FEEDBACK!$L$4:$L$54)</f>
        <v>0</v>
      </c>
      <c r="F29" s="9">
        <f>SUMPRODUCT((RAW_FEEDBACK!$B$4:$B$54=$B29)*(RAW_FEEDBACK!$C$4:$C$54="NPS")*RAW_FEEDBACK!$M$4:$M$54)</f>
        <v>0</v>
      </c>
      <c r="G29" s="9" t="str">
        <f>IFERROR((SUMPRODUCT((RAW_FEEDBACK!$B$4:$B$54=$B29)*(RAW_FEEDBACK!$C$4:$C$54="NPS")*RAW_FEEDBACK!$K$4:$K$54)-SUMPRODUCT((RAW_FEEDBACK!$B$4:$B$54=$B29)*(RAW_FEEDBACK!$C$4:$C$54="NPS")*RAW_FEEDBACK!$M$4:$M$54))/(SUMPRODUCT((RAW_FEEDBACK!$B$4:$B$54=$B29)*(RAW_FEEDBACK!$C$4:$C$54="NPS")*RAW_FEEDBACK!$D$4:$D$54))*100,"")</f>
        <v/>
      </c>
      <c r="H29" s="18"/>
      <c r="I29" s="9" t="str">
        <f t="shared" si="0"/>
        <v/>
      </c>
      <c r="J29" s="18"/>
      <c r="K29" s="18"/>
    </row>
    <row r="30" spans="1:11" ht="16.05" customHeight="1" x14ac:dyDescent="0.3">
      <c r="A30" s="16">
        <v>7</v>
      </c>
      <c r="B30" s="16" t="s">
        <v>525</v>
      </c>
      <c r="C30" s="12">
        <f>SUMPRODUCT((RAW_FEEDBACK!$B$4:$B$54=$B30)*(RAW_FEEDBACK!$C$4:$C$54="NPS")*RAW_FEEDBACK!$D$4:$D$54)</f>
        <v>0</v>
      </c>
      <c r="D30" s="12">
        <f>SUMPRODUCT((RAW_FEEDBACK!$B$4:$B$54=$B30)*(RAW_FEEDBACK!$C$4:$C$54="NPS")*RAW_FEEDBACK!$K$4:$K$54)</f>
        <v>0</v>
      </c>
      <c r="E30" s="12">
        <f>SUMPRODUCT((RAW_FEEDBACK!$B$4:$B$54=$B30)*(RAW_FEEDBACK!$C$4:$C$54="NPS")*RAW_FEEDBACK!$L$4:$L$54)</f>
        <v>0</v>
      </c>
      <c r="F30" s="12">
        <f>SUMPRODUCT((RAW_FEEDBACK!$B$4:$B$54=$B30)*(RAW_FEEDBACK!$C$4:$C$54="NPS")*RAW_FEEDBACK!$M$4:$M$54)</f>
        <v>0</v>
      </c>
      <c r="G30" s="12" t="str">
        <f>IFERROR((SUMPRODUCT((RAW_FEEDBACK!$B$4:$B$54=$B30)*(RAW_FEEDBACK!$C$4:$C$54="NPS")*RAW_FEEDBACK!$K$4:$K$54)-SUMPRODUCT((RAW_FEEDBACK!$B$4:$B$54=$B30)*(RAW_FEEDBACK!$C$4:$C$54="NPS")*RAW_FEEDBACK!$M$4:$M$54))/(SUMPRODUCT((RAW_FEEDBACK!$B$4:$B$54=$B30)*(RAW_FEEDBACK!$C$4:$C$54="NPS")*RAW_FEEDBACK!$D$4:$D$54))*100,"")</f>
        <v/>
      </c>
      <c r="H30" s="16"/>
      <c r="I30" s="12" t="str">
        <f t="shared" si="0"/>
        <v/>
      </c>
      <c r="J30" s="16"/>
      <c r="K30" s="16"/>
    </row>
    <row r="31" spans="1:11" ht="16.05" customHeight="1" x14ac:dyDescent="0.3">
      <c r="A31" s="18">
        <v>8</v>
      </c>
      <c r="B31" s="18" t="s">
        <v>526</v>
      </c>
      <c r="C31" s="9">
        <f>SUMPRODUCT((RAW_FEEDBACK!$B$4:$B$54=$B31)*(RAW_FEEDBACK!$C$4:$C$54="NPS")*RAW_FEEDBACK!$D$4:$D$54)</f>
        <v>0</v>
      </c>
      <c r="D31" s="9">
        <f>SUMPRODUCT((RAW_FEEDBACK!$B$4:$B$54=$B31)*(RAW_FEEDBACK!$C$4:$C$54="NPS")*RAW_FEEDBACK!$K$4:$K$54)</f>
        <v>0</v>
      </c>
      <c r="E31" s="9">
        <f>SUMPRODUCT((RAW_FEEDBACK!$B$4:$B$54=$B31)*(RAW_FEEDBACK!$C$4:$C$54="NPS")*RAW_FEEDBACK!$L$4:$L$54)</f>
        <v>0</v>
      </c>
      <c r="F31" s="9">
        <f>SUMPRODUCT((RAW_FEEDBACK!$B$4:$B$54=$B31)*(RAW_FEEDBACK!$C$4:$C$54="NPS")*RAW_FEEDBACK!$M$4:$M$54)</f>
        <v>0</v>
      </c>
      <c r="G31" s="9" t="str">
        <f>IFERROR((SUMPRODUCT((RAW_FEEDBACK!$B$4:$B$54=$B31)*(RAW_FEEDBACK!$C$4:$C$54="NPS")*RAW_FEEDBACK!$K$4:$K$54)-SUMPRODUCT((RAW_FEEDBACK!$B$4:$B$54=$B31)*(RAW_FEEDBACK!$C$4:$C$54="NPS")*RAW_FEEDBACK!$M$4:$M$54))/(SUMPRODUCT((RAW_FEEDBACK!$B$4:$B$54=$B31)*(RAW_FEEDBACK!$C$4:$C$54="NPS")*RAW_FEEDBACK!$D$4:$D$54))*100,"")</f>
        <v/>
      </c>
      <c r="H31" s="18"/>
      <c r="I31" s="9" t="str">
        <f t="shared" si="0"/>
        <v/>
      </c>
      <c r="J31" s="18"/>
      <c r="K31" s="18"/>
    </row>
    <row r="32" spans="1:11" ht="16.05" customHeight="1" x14ac:dyDescent="0.3">
      <c r="A32" s="16">
        <v>9</v>
      </c>
      <c r="B32" s="16" t="s">
        <v>527</v>
      </c>
      <c r="C32" s="12">
        <f>SUMPRODUCT((RAW_FEEDBACK!$B$4:$B$54=$B32)*(RAW_FEEDBACK!$C$4:$C$54="NPS")*RAW_FEEDBACK!$D$4:$D$54)</f>
        <v>0</v>
      </c>
      <c r="D32" s="12">
        <f>SUMPRODUCT((RAW_FEEDBACK!$B$4:$B$54=$B32)*(RAW_FEEDBACK!$C$4:$C$54="NPS")*RAW_FEEDBACK!$K$4:$K$54)</f>
        <v>0</v>
      </c>
      <c r="E32" s="12">
        <f>SUMPRODUCT((RAW_FEEDBACK!$B$4:$B$54=$B32)*(RAW_FEEDBACK!$C$4:$C$54="NPS")*RAW_FEEDBACK!$L$4:$L$54)</f>
        <v>0</v>
      </c>
      <c r="F32" s="12">
        <f>SUMPRODUCT((RAW_FEEDBACK!$B$4:$B$54=$B32)*(RAW_FEEDBACK!$C$4:$C$54="NPS")*RAW_FEEDBACK!$M$4:$M$54)</f>
        <v>0</v>
      </c>
      <c r="G32" s="12" t="str">
        <f>IFERROR((SUMPRODUCT((RAW_FEEDBACK!$B$4:$B$54=$B32)*(RAW_FEEDBACK!$C$4:$C$54="NPS")*RAW_FEEDBACK!$K$4:$K$54)-SUMPRODUCT((RAW_FEEDBACK!$B$4:$B$54=$B32)*(RAW_FEEDBACK!$C$4:$C$54="NPS")*RAW_FEEDBACK!$M$4:$M$54))/(SUMPRODUCT((RAW_FEEDBACK!$B$4:$B$54=$B32)*(RAW_FEEDBACK!$C$4:$C$54="NPS")*RAW_FEEDBACK!$D$4:$D$54))*100,"")</f>
        <v/>
      </c>
      <c r="H32" s="16"/>
      <c r="I32" s="12" t="str">
        <f t="shared" si="0"/>
        <v/>
      </c>
      <c r="J32" s="16"/>
      <c r="K32" s="16"/>
    </row>
    <row r="33" spans="1:11" ht="16.05" customHeight="1" x14ac:dyDescent="0.3">
      <c r="A33" s="18">
        <v>10</v>
      </c>
      <c r="B33" s="18" t="s">
        <v>528</v>
      </c>
      <c r="C33" s="9">
        <f>SUMPRODUCT((RAW_FEEDBACK!$B$4:$B$54=$B33)*(RAW_FEEDBACK!$C$4:$C$54="NPS")*RAW_FEEDBACK!$D$4:$D$54)</f>
        <v>0</v>
      </c>
      <c r="D33" s="9">
        <f>SUMPRODUCT((RAW_FEEDBACK!$B$4:$B$54=$B33)*(RAW_FEEDBACK!$C$4:$C$54="NPS")*RAW_FEEDBACK!$K$4:$K$54)</f>
        <v>0</v>
      </c>
      <c r="E33" s="9">
        <f>SUMPRODUCT((RAW_FEEDBACK!$B$4:$B$54=$B33)*(RAW_FEEDBACK!$C$4:$C$54="NPS")*RAW_FEEDBACK!$L$4:$L$54)</f>
        <v>0</v>
      </c>
      <c r="F33" s="9">
        <f>SUMPRODUCT((RAW_FEEDBACK!$B$4:$B$54=$B33)*(RAW_FEEDBACK!$C$4:$C$54="NPS")*RAW_FEEDBACK!$M$4:$M$54)</f>
        <v>0</v>
      </c>
      <c r="G33" s="9" t="str">
        <f>IFERROR((SUMPRODUCT((RAW_FEEDBACK!$B$4:$B$54=$B33)*(RAW_FEEDBACK!$C$4:$C$54="NPS")*RAW_FEEDBACK!$K$4:$K$54)-SUMPRODUCT((RAW_FEEDBACK!$B$4:$B$54=$B33)*(RAW_FEEDBACK!$C$4:$C$54="NPS")*RAW_FEEDBACK!$M$4:$M$54))/(SUMPRODUCT((RAW_FEEDBACK!$B$4:$B$54=$B33)*(RAW_FEEDBACK!$C$4:$C$54="NPS")*RAW_FEEDBACK!$D$4:$D$54))*100,"")</f>
        <v/>
      </c>
      <c r="H33" s="18"/>
      <c r="I33" s="9" t="str">
        <f t="shared" si="0"/>
        <v/>
      </c>
      <c r="J33" s="18"/>
      <c r="K33" s="18"/>
    </row>
    <row r="34" spans="1:11" ht="16.05" customHeight="1" x14ac:dyDescent="0.3">
      <c r="A34" s="16">
        <v>11</v>
      </c>
      <c r="B34" s="16" t="s">
        <v>529</v>
      </c>
      <c r="C34" s="12">
        <f>SUMPRODUCT((RAW_FEEDBACK!$B$4:$B$54=$B34)*(RAW_FEEDBACK!$C$4:$C$54="NPS")*RAW_FEEDBACK!$D$4:$D$54)</f>
        <v>0</v>
      </c>
      <c r="D34" s="12">
        <f>SUMPRODUCT((RAW_FEEDBACK!$B$4:$B$54=$B34)*(RAW_FEEDBACK!$C$4:$C$54="NPS")*RAW_FEEDBACK!$K$4:$K$54)</f>
        <v>0</v>
      </c>
      <c r="E34" s="12">
        <f>SUMPRODUCT((RAW_FEEDBACK!$B$4:$B$54=$B34)*(RAW_FEEDBACK!$C$4:$C$54="NPS")*RAW_FEEDBACK!$L$4:$L$54)</f>
        <v>0</v>
      </c>
      <c r="F34" s="12">
        <f>SUMPRODUCT((RAW_FEEDBACK!$B$4:$B$54=$B34)*(RAW_FEEDBACK!$C$4:$C$54="NPS")*RAW_FEEDBACK!$M$4:$M$54)</f>
        <v>0</v>
      </c>
      <c r="G34" s="12" t="str">
        <f>IFERROR((SUMPRODUCT((RAW_FEEDBACK!$B$4:$B$54=$B34)*(RAW_FEEDBACK!$C$4:$C$54="NPS")*RAW_FEEDBACK!$K$4:$K$54)-SUMPRODUCT((RAW_FEEDBACK!$B$4:$B$54=$B34)*(RAW_FEEDBACK!$C$4:$C$54="NPS")*RAW_FEEDBACK!$M$4:$M$54))/(SUMPRODUCT((RAW_FEEDBACK!$B$4:$B$54=$B34)*(RAW_FEEDBACK!$C$4:$C$54="NPS")*RAW_FEEDBACK!$D$4:$D$54))*100,"")</f>
        <v/>
      </c>
      <c r="H34" s="16"/>
      <c r="I34" s="12" t="str">
        <f t="shared" si="0"/>
        <v/>
      </c>
      <c r="J34" s="16"/>
      <c r="K34" s="16"/>
    </row>
    <row r="35" spans="1:11" ht="16.05" customHeight="1" x14ac:dyDescent="0.3">
      <c r="A35" s="18">
        <v>12</v>
      </c>
      <c r="B35" s="18" t="s">
        <v>530</v>
      </c>
      <c r="C35" s="9">
        <f>SUMPRODUCT((RAW_FEEDBACK!$B$4:$B$54=$B35)*(RAW_FEEDBACK!$C$4:$C$54="NPS")*RAW_FEEDBACK!$D$4:$D$54)</f>
        <v>0</v>
      </c>
      <c r="D35" s="9">
        <f>SUMPRODUCT((RAW_FEEDBACK!$B$4:$B$54=$B35)*(RAW_FEEDBACK!$C$4:$C$54="NPS")*RAW_FEEDBACK!$K$4:$K$54)</f>
        <v>0</v>
      </c>
      <c r="E35" s="9">
        <f>SUMPRODUCT((RAW_FEEDBACK!$B$4:$B$54=$B35)*(RAW_FEEDBACK!$C$4:$C$54="NPS")*RAW_FEEDBACK!$L$4:$L$54)</f>
        <v>0</v>
      </c>
      <c r="F35" s="9">
        <f>SUMPRODUCT((RAW_FEEDBACK!$B$4:$B$54=$B35)*(RAW_FEEDBACK!$C$4:$C$54="NPS")*RAW_FEEDBACK!$M$4:$M$54)</f>
        <v>0</v>
      </c>
      <c r="G35" s="9" t="str">
        <f>IFERROR((SUMPRODUCT((RAW_FEEDBACK!$B$4:$B$54=$B35)*(RAW_FEEDBACK!$C$4:$C$54="NPS")*RAW_FEEDBACK!$K$4:$K$54)-SUMPRODUCT((RAW_FEEDBACK!$B$4:$B$54=$B35)*(RAW_FEEDBACK!$C$4:$C$54="NPS")*RAW_FEEDBACK!$M$4:$M$54))/(SUMPRODUCT((RAW_FEEDBACK!$B$4:$B$54=$B35)*(RAW_FEEDBACK!$C$4:$C$54="NPS")*RAW_FEEDBACK!$D$4:$D$54))*100,"")</f>
        <v/>
      </c>
      <c r="H35" s="18"/>
      <c r="I35" s="9" t="str">
        <f t="shared" si="0"/>
        <v/>
      </c>
      <c r="J35" s="18"/>
      <c r="K35" s="18"/>
    </row>
    <row r="36" spans="1:11" ht="16.05" customHeight="1" x14ac:dyDescent="0.3">
      <c r="A36" s="16">
        <v>13</v>
      </c>
      <c r="B36" s="16" t="s">
        <v>531</v>
      </c>
      <c r="C36" s="12">
        <f>SUMPRODUCT((RAW_FEEDBACK!$B$4:$B$54=$B36)*(RAW_FEEDBACK!$C$4:$C$54="NPS")*RAW_FEEDBACK!$D$4:$D$54)</f>
        <v>0</v>
      </c>
      <c r="D36" s="12">
        <f>SUMPRODUCT((RAW_FEEDBACK!$B$4:$B$54=$B36)*(RAW_FEEDBACK!$C$4:$C$54="NPS")*RAW_FEEDBACK!$K$4:$K$54)</f>
        <v>0</v>
      </c>
      <c r="E36" s="12">
        <f>SUMPRODUCT((RAW_FEEDBACK!$B$4:$B$54=$B36)*(RAW_FEEDBACK!$C$4:$C$54="NPS")*RAW_FEEDBACK!$L$4:$L$54)</f>
        <v>0</v>
      </c>
      <c r="F36" s="12">
        <f>SUMPRODUCT((RAW_FEEDBACK!$B$4:$B$54=$B36)*(RAW_FEEDBACK!$C$4:$C$54="NPS")*RAW_FEEDBACK!$M$4:$M$54)</f>
        <v>0</v>
      </c>
      <c r="G36" s="12" t="str">
        <f>IFERROR((SUMPRODUCT((RAW_FEEDBACK!$B$4:$B$54=$B36)*(RAW_FEEDBACK!$C$4:$C$54="NPS")*RAW_FEEDBACK!$K$4:$K$54)-SUMPRODUCT((RAW_FEEDBACK!$B$4:$B$54=$B36)*(RAW_FEEDBACK!$C$4:$C$54="NPS")*RAW_FEEDBACK!$M$4:$M$54))/(SUMPRODUCT((RAW_FEEDBACK!$B$4:$B$54=$B36)*(RAW_FEEDBACK!$C$4:$C$54="NPS")*RAW_FEEDBACK!$D$4:$D$54))*100,"")</f>
        <v/>
      </c>
      <c r="H36" s="16"/>
      <c r="I36" s="12" t="str">
        <f t="shared" si="0"/>
        <v/>
      </c>
      <c r="J36" s="16"/>
      <c r="K36" s="16"/>
    </row>
    <row r="37" spans="1:11" ht="16.05" customHeight="1" x14ac:dyDescent="0.3">
      <c r="A37" s="18">
        <v>14</v>
      </c>
      <c r="B37" s="18" t="s">
        <v>532</v>
      </c>
      <c r="C37" s="9">
        <f>SUMPRODUCT((RAW_FEEDBACK!$B$4:$B$54=$B37)*(RAW_FEEDBACK!$C$4:$C$54="NPS")*RAW_FEEDBACK!$D$4:$D$54)</f>
        <v>0</v>
      </c>
      <c r="D37" s="9">
        <f>SUMPRODUCT((RAW_FEEDBACK!$B$4:$B$54=$B37)*(RAW_FEEDBACK!$C$4:$C$54="NPS")*RAW_FEEDBACK!$K$4:$K$54)</f>
        <v>0</v>
      </c>
      <c r="E37" s="9">
        <f>SUMPRODUCT((RAW_FEEDBACK!$B$4:$B$54=$B37)*(RAW_FEEDBACK!$C$4:$C$54="NPS")*RAW_FEEDBACK!$L$4:$L$54)</f>
        <v>0</v>
      </c>
      <c r="F37" s="9">
        <f>SUMPRODUCT((RAW_FEEDBACK!$B$4:$B$54=$B37)*(RAW_FEEDBACK!$C$4:$C$54="NPS")*RAW_FEEDBACK!$M$4:$M$54)</f>
        <v>0</v>
      </c>
      <c r="G37" s="9" t="str">
        <f>IFERROR((SUMPRODUCT((RAW_FEEDBACK!$B$4:$B$54=$B37)*(RAW_FEEDBACK!$C$4:$C$54="NPS")*RAW_FEEDBACK!$K$4:$K$54)-SUMPRODUCT((RAW_FEEDBACK!$B$4:$B$54=$B37)*(RAW_FEEDBACK!$C$4:$C$54="NPS")*RAW_FEEDBACK!$M$4:$M$54))/(SUMPRODUCT((RAW_FEEDBACK!$B$4:$B$54=$B37)*(RAW_FEEDBACK!$C$4:$C$54="NPS")*RAW_FEEDBACK!$D$4:$D$54))*100,"")</f>
        <v/>
      </c>
      <c r="H37" s="18"/>
      <c r="I37" s="9" t="str">
        <f t="shared" si="0"/>
        <v/>
      </c>
      <c r="J37" s="18"/>
      <c r="K37" s="18"/>
    </row>
    <row r="38" spans="1:11" ht="16.05" customHeight="1" x14ac:dyDescent="0.3">
      <c r="A38" s="16">
        <v>15</v>
      </c>
      <c r="B38" s="16" t="s">
        <v>533</v>
      </c>
      <c r="C38" s="12">
        <f>SUMPRODUCT((RAW_FEEDBACK!$B$4:$B$54=$B38)*(RAW_FEEDBACK!$C$4:$C$54="NPS")*RAW_FEEDBACK!$D$4:$D$54)</f>
        <v>0</v>
      </c>
      <c r="D38" s="12">
        <f>SUMPRODUCT((RAW_FEEDBACK!$B$4:$B$54=$B38)*(RAW_FEEDBACK!$C$4:$C$54="NPS")*RAW_FEEDBACK!$K$4:$K$54)</f>
        <v>0</v>
      </c>
      <c r="E38" s="12">
        <f>SUMPRODUCT((RAW_FEEDBACK!$B$4:$B$54=$B38)*(RAW_FEEDBACK!$C$4:$C$54="NPS")*RAW_FEEDBACK!$L$4:$L$54)</f>
        <v>0</v>
      </c>
      <c r="F38" s="12">
        <f>SUMPRODUCT((RAW_FEEDBACK!$B$4:$B$54=$B38)*(RAW_FEEDBACK!$C$4:$C$54="NPS")*RAW_FEEDBACK!$M$4:$M$54)</f>
        <v>0</v>
      </c>
      <c r="G38" s="12" t="str">
        <f>IFERROR((SUMPRODUCT((RAW_FEEDBACK!$B$4:$B$54=$B38)*(RAW_FEEDBACK!$C$4:$C$54="NPS")*RAW_FEEDBACK!$K$4:$K$54)-SUMPRODUCT((RAW_FEEDBACK!$B$4:$B$54=$B38)*(RAW_FEEDBACK!$C$4:$C$54="NPS")*RAW_FEEDBACK!$M$4:$M$54))/(SUMPRODUCT((RAW_FEEDBACK!$B$4:$B$54=$B38)*(RAW_FEEDBACK!$C$4:$C$54="NPS")*RAW_FEEDBACK!$D$4:$D$54))*100,"")</f>
        <v/>
      </c>
      <c r="H38" s="16"/>
      <c r="I38" s="12" t="str">
        <f t="shared" si="0"/>
        <v/>
      </c>
      <c r="J38" s="16"/>
      <c r="K38" s="16"/>
    </row>
    <row r="39" spans="1:11" ht="16.05" customHeight="1" x14ac:dyDescent="0.3">
      <c r="A39" s="18">
        <v>16</v>
      </c>
      <c r="B39" s="18" t="s">
        <v>534</v>
      </c>
      <c r="C39" s="9">
        <f>SUMPRODUCT((RAW_FEEDBACK!$B$4:$B$54=$B39)*(RAW_FEEDBACK!$C$4:$C$54="NPS")*RAW_FEEDBACK!$D$4:$D$54)</f>
        <v>0</v>
      </c>
      <c r="D39" s="9">
        <f>SUMPRODUCT((RAW_FEEDBACK!$B$4:$B$54=$B39)*(RAW_FEEDBACK!$C$4:$C$54="NPS")*RAW_FEEDBACK!$K$4:$K$54)</f>
        <v>0</v>
      </c>
      <c r="E39" s="9">
        <f>SUMPRODUCT((RAW_FEEDBACK!$B$4:$B$54=$B39)*(RAW_FEEDBACK!$C$4:$C$54="NPS")*RAW_FEEDBACK!$L$4:$L$54)</f>
        <v>0</v>
      </c>
      <c r="F39" s="9">
        <f>SUMPRODUCT((RAW_FEEDBACK!$B$4:$B$54=$B39)*(RAW_FEEDBACK!$C$4:$C$54="NPS")*RAW_FEEDBACK!$M$4:$M$54)</f>
        <v>0</v>
      </c>
      <c r="G39" s="9" t="str">
        <f>IFERROR((SUMPRODUCT((RAW_FEEDBACK!$B$4:$B$54=$B39)*(RAW_FEEDBACK!$C$4:$C$54="NPS")*RAW_FEEDBACK!$K$4:$K$54)-SUMPRODUCT((RAW_FEEDBACK!$B$4:$B$54=$B39)*(RAW_FEEDBACK!$C$4:$C$54="NPS")*RAW_FEEDBACK!$M$4:$M$54))/(SUMPRODUCT((RAW_FEEDBACK!$B$4:$B$54=$B39)*(RAW_FEEDBACK!$C$4:$C$54="NPS")*RAW_FEEDBACK!$D$4:$D$54))*100,"")</f>
        <v/>
      </c>
      <c r="H39" s="18"/>
      <c r="I39" s="9" t="str">
        <f t="shared" si="0"/>
        <v/>
      </c>
      <c r="J39" s="18"/>
      <c r="K39" s="18"/>
    </row>
    <row r="40" spans="1:11" ht="16.05" customHeight="1" x14ac:dyDescent="0.3">
      <c r="A40" s="16">
        <v>17</v>
      </c>
      <c r="B40" s="16" t="s">
        <v>535</v>
      </c>
      <c r="C40" s="12">
        <f>SUMPRODUCT((RAW_FEEDBACK!$B$4:$B$54=$B40)*(RAW_FEEDBACK!$C$4:$C$54="NPS")*RAW_FEEDBACK!$D$4:$D$54)</f>
        <v>0</v>
      </c>
      <c r="D40" s="12">
        <f>SUMPRODUCT((RAW_FEEDBACK!$B$4:$B$54=$B40)*(RAW_FEEDBACK!$C$4:$C$54="NPS")*RAW_FEEDBACK!$K$4:$K$54)</f>
        <v>0</v>
      </c>
      <c r="E40" s="12">
        <f>SUMPRODUCT((RAW_FEEDBACK!$B$4:$B$54=$B40)*(RAW_FEEDBACK!$C$4:$C$54="NPS")*RAW_FEEDBACK!$L$4:$L$54)</f>
        <v>0</v>
      </c>
      <c r="F40" s="12">
        <f>SUMPRODUCT((RAW_FEEDBACK!$B$4:$B$54=$B40)*(RAW_FEEDBACK!$C$4:$C$54="NPS")*RAW_FEEDBACK!$M$4:$M$54)</f>
        <v>0</v>
      </c>
      <c r="G40" s="12" t="str">
        <f>IFERROR((SUMPRODUCT((RAW_FEEDBACK!$B$4:$B$54=$B40)*(RAW_FEEDBACK!$C$4:$C$54="NPS")*RAW_FEEDBACK!$K$4:$K$54)-SUMPRODUCT((RAW_FEEDBACK!$B$4:$B$54=$B40)*(RAW_FEEDBACK!$C$4:$C$54="NPS")*RAW_FEEDBACK!$M$4:$M$54))/(SUMPRODUCT((RAW_FEEDBACK!$B$4:$B$54=$B40)*(RAW_FEEDBACK!$C$4:$C$54="NPS")*RAW_FEEDBACK!$D$4:$D$54))*100,"")</f>
        <v/>
      </c>
      <c r="H40" s="16"/>
      <c r="I40" s="12" t="str">
        <f t="shared" si="0"/>
        <v/>
      </c>
      <c r="J40" s="16"/>
      <c r="K40" s="16"/>
    </row>
    <row r="41" spans="1:11" ht="16.05" customHeight="1" x14ac:dyDescent="0.3">
      <c r="A41" s="18">
        <v>18</v>
      </c>
      <c r="B41" s="18" t="s">
        <v>536</v>
      </c>
      <c r="C41" s="9">
        <f>SUMPRODUCT((RAW_FEEDBACK!$B$4:$B$54=$B41)*(RAW_FEEDBACK!$C$4:$C$54="NPS")*RAW_FEEDBACK!$D$4:$D$54)</f>
        <v>0</v>
      </c>
      <c r="D41" s="9">
        <f>SUMPRODUCT((RAW_FEEDBACK!$B$4:$B$54=$B41)*(RAW_FEEDBACK!$C$4:$C$54="NPS")*RAW_FEEDBACK!$K$4:$K$54)</f>
        <v>0</v>
      </c>
      <c r="E41" s="9">
        <f>SUMPRODUCT((RAW_FEEDBACK!$B$4:$B$54=$B41)*(RAW_FEEDBACK!$C$4:$C$54="NPS")*RAW_FEEDBACK!$L$4:$L$54)</f>
        <v>0</v>
      </c>
      <c r="F41" s="9">
        <f>SUMPRODUCT((RAW_FEEDBACK!$B$4:$B$54=$B41)*(RAW_FEEDBACK!$C$4:$C$54="NPS")*RAW_FEEDBACK!$M$4:$M$54)</f>
        <v>0</v>
      </c>
      <c r="G41" s="9" t="str">
        <f>IFERROR((SUMPRODUCT((RAW_FEEDBACK!$B$4:$B$54=$B41)*(RAW_FEEDBACK!$C$4:$C$54="NPS")*RAW_FEEDBACK!$K$4:$K$54)-SUMPRODUCT((RAW_FEEDBACK!$B$4:$B$54=$B41)*(RAW_FEEDBACK!$C$4:$C$54="NPS")*RAW_FEEDBACK!$M$4:$M$54))/(SUMPRODUCT((RAW_FEEDBACK!$B$4:$B$54=$B41)*(RAW_FEEDBACK!$C$4:$C$54="NPS")*RAW_FEEDBACK!$D$4:$D$54))*100,"")</f>
        <v/>
      </c>
      <c r="H41" s="18"/>
      <c r="I41" s="9" t="str">
        <f t="shared" si="0"/>
        <v/>
      </c>
      <c r="J41" s="18"/>
      <c r="K41" s="18"/>
    </row>
    <row r="42" spans="1:11" ht="16.05" customHeight="1" x14ac:dyDescent="0.3">
      <c r="A42" s="16">
        <v>19</v>
      </c>
      <c r="B42" s="16" t="s">
        <v>537</v>
      </c>
      <c r="C42" s="12">
        <f>SUMPRODUCT((RAW_FEEDBACK!$B$4:$B$54=$B42)*(RAW_FEEDBACK!$C$4:$C$54="NPS")*RAW_FEEDBACK!$D$4:$D$54)</f>
        <v>0</v>
      </c>
      <c r="D42" s="12">
        <f>SUMPRODUCT((RAW_FEEDBACK!$B$4:$B$54=$B42)*(RAW_FEEDBACK!$C$4:$C$54="NPS")*RAW_FEEDBACK!$K$4:$K$54)</f>
        <v>0</v>
      </c>
      <c r="E42" s="12">
        <f>SUMPRODUCT((RAW_FEEDBACK!$B$4:$B$54=$B42)*(RAW_FEEDBACK!$C$4:$C$54="NPS")*RAW_FEEDBACK!$L$4:$L$54)</f>
        <v>0</v>
      </c>
      <c r="F42" s="12">
        <f>SUMPRODUCT((RAW_FEEDBACK!$B$4:$B$54=$B42)*(RAW_FEEDBACK!$C$4:$C$54="NPS")*RAW_FEEDBACK!$M$4:$M$54)</f>
        <v>0</v>
      </c>
      <c r="G42" s="12" t="str">
        <f>IFERROR((SUMPRODUCT((RAW_FEEDBACK!$B$4:$B$54=$B42)*(RAW_FEEDBACK!$C$4:$C$54="NPS")*RAW_FEEDBACK!$K$4:$K$54)-SUMPRODUCT((RAW_FEEDBACK!$B$4:$B$54=$B42)*(RAW_FEEDBACK!$C$4:$C$54="NPS")*RAW_FEEDBACK!$M$4:$M$54))/(SUMPRODUCT((RAW_FEEDBACK!$B$4:$B$54=$B42)*(RAW_FEEDBACK!$C$4:$C$54="NPS")*RAW_FEEDBACK!$D$4:$D$54))*100,"")</f>
        <v/>
      </c>
      <c r="H42" s="16"/>
      <c r="I42" s="12" t="str">
        <f t="shared" si="0"/>
        <v/>
      </c>
      <c r="J42" s="16"/>
      <c r="K42" s="16"/>
    </row>
    <row r="43" spans="1:11" ht="16.05" customHeight="1" x14ac:dyDescent="0.3">
      <c r="A43" s="18">
        <v>20</v>
      </c>
      <c r="B43" s="18" t="s">
        <v>538</v>
      </c>
      <c r="C43" s="9">
        <f>SUMPRODUCT((RAW_FEEDBACK!$B$4:$B$54=$B43)*(RAW_FEEDBACK!$C$4:$C$54="NPS")*RAW_FEEDBACK!$D$4:$D$54)</f>
        <v>0</v>
      </c>
      <c r="D43" s="9">
        <f>SUMPRODUCT((RAW_FEEDBACK!$B$4:$B$54=$B43)*(RAW_FEEDBACK!$C$4:$C$54="NPS")*RAW_FEEDBACK!$K$4:$K$54)</f>
        <v>0</v>
      </c>
      <c r="E43" s="9">
        <f>SUMPRODUCT((RAW_FEEDBACK!$B$4:$B$54=$B43)*(RAW_FEEDBACK!$C$4:$C$54="NPS")*RAW_FEEDBACK!$L$4:$L$54)</f>
        <v>0</v>
      </c>
      <c r="F43" s="9">
        <f>SUMPRODUCT((RAW_FEEDBACK!$B$4:$B$54=$B43)*(RAW_FEEDBACK!$C$4:$C$54="NPS")*RAW_FEEDBACK!$M$4:$M$54)</f>
        <v>0</v>
      </c>
      <c r="G43" s="9" t="str">
        <f>IFERROR((SUMPRODUCT((RAW_FEEDBACK!$B$4:$B$54=$B43)*(RAW_FEEDBACK!$C$4:$C$54="NPS")*RAW_FEEDBACK!$K$4:$K$54)-SUMPRODUCT((RAW_FEEDBACK!$B$4:$B$54=$B43)*(RAW_FEEDBACK!$C$4:$C$54="NPS")*RAW_FEEDBACK!$M$4:$M$54))/(SUMPRODUCT((RAW_FEEDBACK!$B$4:$B$54=$B43)*(RAW_FEEDBACK!$C$4:$C$54="NPS")*RAW_FEEDBACK!$D$4:$D$54))*100,"")</f>
        <v/>
      </c>
      <c r="H43" s="18"/>
      <c r="I43" s="9" t="str">
        <f t="shared" si="0"/>
        <v/>
      </c>
      <c r="J43" s="18"/>
      <c r="K43" s="18"/>
    </row>
    <row r="44" spans="1:11" ht="16.05" customHeight="1" x14ac:dyDescent="0.3">
      <c r="A44" s="16">
        <v>21</v>
      </c>
      <c r="B44" s="16" t="s">
        <v>539</v>
      </c>
      <c r="C44" s="12">
        <f>SUMPRODUCT((RAW_FEEDBACK!$B$4:$B$54=$B44)*(RAW_FEEDBACK!$C$4:$C$54="NPS")*RAW_FEEDBACK!$D$4:$D$54)</f>
        <v>0</v>
      </c>
      <c r="D44" s="12">
        <f>SUMPRODUCT((RAW_FEEDBACK!$B$4:$B$54=$B44)*(RAW_FEEDBACK!$C$4:$C$54="NPS")*RAW_FEEDBACK!$K$4:$K$54)</f>
        <v>0</v>
      </c>
      <c r="E44" s="12">
        <f>SUMPRODUCT((RAW_FEEDBACK!$B$4:$B$54=$B44)*(RAW_FEEDBACK!$C$4:$C$54="NPS")*RAW_FEEDBACK!$L$4:$L$54)</f>
        <v>0</v>
      </c>
      <c r="F44" s="12">
        <f>SUMPRODUCT((RAW_FEEDBACK!$B$4:$B$54=$B44)*(RAW_FEEDBACK!$C$4:$C$54="NPS")*RAW_FEEDBACK!$M$4:$M$54)</f>
        <v>0</v>
      </c>
      <c r="G44" s="12" t="str">
        <f>IFERROR((SUMPRODUCT((RAW_FEEDBACK!$B$4:$B$54=$B44)*(RAW_FEEDBACK!$C$4:$C$54="NPS")*RAW_FEEDBACK!$K$4:$K$54)-SUMPRODUCT((RAW_FEEDBACK!$B$4:$B$54=$B44)*(RAW_FEEDBACK!$C$4:$C$54="NPS")*RAW_FEEDBACK!$M$4:$M$54))/(SUMPRODUCT((RAW_FEEDBACK!$B$4:$B$54=$B44)*(RAW_FEEDBACK!$C$4:$C$54="NPS")*RAW_FEEDBACK!$D$4:$D$54))*100,"")</f>
        <v/>
      </c>
      <c r="H44" s="16"/>
      <c r="I44" s="12" t="str">
        <f t="shared" si="0"/>
        <v/>
      </c>
      <c r="J44" s="16"/>
      <c r="K44" s="16"/>
    </row>
    <row r="45" spans="1:11" ht="16.05" customHeight="1" x14ac:dyDescent="0.3">
      <c r="A45" s="18">
        <v>22</v>
      </c>
      <c r="B45" s="18" t="s">
        <v>540</v>
      </c>
      <c r="C45" s="9">
        <f>SUMPRODUCT((RAW_FEEDBACK!$B$4:$B$54=$B45)*(RAW_FEEDBACK!$C$4:$C$54="NPS")*RAW_FEEDBACK!$D$4:$D$54)</f>
        <v>0</v>
      </c>
      <c r="D45" s="9">
        <f>SUMPRODUCT((RAW_FEEDBACK!$B$4:$B$54=$B45)*(RAW_FEEDBACK!$C$4:$C$54="NPS")*RAW_FEEDBACK!$K$4:$K$54)</f>
        <v>0</v>
      </c>
      <c r="E45" s="9">
        <f>SUMPRODUCT((RAW_FEEDBACK!$B$4:$B$54=$B45)*(RAW_FEEDBACK!$C$4:$C$54="NPS")*RAW_FEEDBACK!$L$4:$L$54)</f>
        <v>0</v>
      </c>
      <c r="F45" s="9">
        <f>SUMPRODUCT((RAW_FEEDBACK!$B$4:$B$54=$B45)*(RAW_FEEDBACK!$C$4:$C$54="NPS")*RAW_FEEDBACK!$M$4:$M$54)</f>
        <v>0</v>
      </c>
      <c r="G45" s="9" t="str">
        <f>IFERROR((SUMPRODUCT((RAW_FEEDBACK!$B$4:$B$54=$B45)*(RAW_FEEDBACK!$C$4:$C$54="NPS")*RAW_FEEDBACK!$K$4:$K$54)-SUMPRODUCT((RAW_FEEDBACK!$B$4:$B$54=$B45)*(RAW_FEEDBACK!$C$4:$C$54="NPS")*RAW_FEEDBACK!$M$4:$M$54))/(SUMPRODUCT((RAW_FEEDBACK!$B$4:$B$54=$B45)*(RAW_FEEDBACK!$C$4:$C$54="NPS")*RAW_FEEDBACK!$D$4:$D$54))*100,"")</f>
        <v/>
      </c>
      <c r="H45" s="18"/>
      <c r="I45" s="9" t="str">
        <f t="shared" si="0"/>
        <v/>
      </c>
      <c r="J45" s="18"/>
      <c r="K45" s="18"/>
    </row>
    <row r="46" spans="1:11" ht="16.05" customHeight="1" x14ac:dyDescent="0.3">
      <c r="A46" s="16">
        <v>23</v>
      </c>
      <c r="B46" s="16" t="s">
        <v>541</v>
      </c>
      <c r="C46" s="12">
        <f>SUMPRODUCT((RAW_FEEDBACK!$B$4:$B$54=$B46)*(RAW_FEEDBACK!$C$4:$C$54="NPS")*RAW_FEEDBACK!$D$4:$D$54)</f>
        <v>0</v>
      </c>
      <c r="D46" s="12">
        <f>SUMPRODUCT((RAW_FEEDBACK!$B$4:$B$54=$B46)*(RAW_FEEDBACK!$C$4:$C$54="NPS")*RAW_FEEDBACK!$K$4:$K$54)</f>
        <v>0</v>
      </c>
      <c r="E46" s="12">
        <f>SUMPRODUCT((RAW_FEEDBACK!$B$4:$B$54=$B46)*(RAW_FEEDBACK!$C$4:$C$54="NPS")*RAW_FEEDBACK!$L$4:$L$54)</f>
        <v>0</v>
      </c>
      <c r="F46" s="12">
        <f>SUMPRODUCT((RAW_FEEDBACK!$B$4:$B$54=$B46)*(RAW_FEEDBACK!$C$4:$C$54="NPS")*RAW_FEEDBACK!$M$4:$M$54)</f>
        <v>0</v>
      </c>
      <c r="G46" s="12" t="str">
        <f>IFERROR((SUMPRODUCT((RAW_FEEDBACK!$B$4:$B$54=$B46)*(RAW_FEEDBACK!$C$4:$C$54="NPS")*RAW_FEEDBACK!$K$4:$K$54)-SUMPRODUCT((RAW_FEEDBACK!$B$4:$B$54=$B46)*(RAW_FEEDBACK!$C$4:$C$54="NPS")*RAW_FEEDBACK!$M$4:$M$54))/(SUMPRODUCT((RAW_FEEDBACK!$B$4:$B$54=$B46)*(RAW_FEEDBACK!$C$4:$C$54="NPS")*RAW_FEEDBACK!$D$4:$D$54))*100,"")</f>
        <v/>
      </c>
      <c r="H46" s="16"/>
      <c r="I46" s="12" t="str">
        <f t="shared" si="0"/>
        <v/>
      </c>
      <c r="J46" s="16"/>
      <c r="K46" s="16"/>
    </row>
    <row r="47" spans="1:11" ht="16.05" customHeight="1" x14ac:dyDescent="0.3">
      <c r="A47" s="18">
        <v>24</v>
      </c>
      <c r="B47" s="18" t="s">
        <v>542</v>
      </c>
      <c r="C47" s="9">
        <f>SUMPRODUCT((RAW_FEEDBACK!$B$4:$B$54=$B47)*(RAW_FEEDBACK!$C$4:$C$54="NPS")*RAW_FEEDBACK!$D$4:$D$54)</f>
        <v>0</v>
      </c>
      <c r="D47" s="9">
        <f>SUMPRODUCT((RAW_FEEDBACK!$B$4:$B$54=$B47)*(RAW_FEEDBACK!$C$4:$C$54="NPS")*RAW_FEEDBACK!$K$4:$K$54)</f>
        <v>0</v>
      </c>
      <c r="E47" s="9">
        <f>SUMPRODUCT((RAW_FEEDBACK!$B$4:$B$54=$B47)*(RAW_FEEDBACK!$C$4:$C$54="NPS")*RAW_FEEDBACK!$L$4:$L$54)</f>
        <v>0</v>
      </c>
      <c r="F47" s="9">
        <f>SUMPRODUCT((RAW_FEEDBACK!$B$4:$B$54=$B47)*(RAW_FEEDBACK!$C$4:$C$54="NPS")*RAW_FEEDBACK!$M$4:$M$54)</f>
        <v>0</v>
      </c>
      <c r="G47" s="9" t="str">
        <f>IFERROR((SUMPRODUCT((RAW_FEEDBACK!$B$4:$B$54=$B47)*(RAW_FEEDBACK!$C$4:$C$54="NPS")*RAW_FEEDBACK!$K$4:$K$54)-SUMPRODUCT((RAW_FEEDBACK!$B$4:$B$54=$B47)*(RAW_FEEDBACK!$C$4:$C$54="NPS")*RAW_FEEDBACK!$M$4:$M$54))/(SUMPRODUCT((RAW_FEEDBACK!$B$4:$B$54=$B47)*(RAW_FEEDBACK!$C$4:$C$54="NPS")*RAW_FEEDBACK!$D$4:$D$54))*100,"")</f>
        <v/>
      </c>
      <c r="H47" s="18"/>
      <c r="I47" s="9" t="str">
        <f t="shared" si="0"/>
        <v/>
      </c>
      <c r="J47" s="18"/>
      <c r="K47" s="18"/>
    </row>
    <row r="48" spans="1:11" ht="16.05" customHeight="1" x14ac:dyDescent="0.3">
      <c r="A48" s="16">
        <v>25</v>
      </c>
      <c r="B48" s="16" t="s">
        <v>543</v>
      </c>
      <c r="C48" s="12">
        <f>SUMPRODUCT((RAW_FEEDBACK!$B$4:$B$54=$B48)*(RAW_FEEDBACK!$C$4:$C$54="NPS")*RAW_FEEDBACK!$D$4:$D$54)</f>
        <v>0</v>
      </c>
      <c r="D48" s="12">
        <f>SUMPRODUCT((RAW_FEEDBACK!$B$4:$B$54=$B48)*(RAW_FEEDBACK!$C$4:$C$54="NPS")*RAW_FEEDBACK!$K$4:$K$54)</f>
        <v>0</v>
      </c>
      <c r="E48" s="12">
        <f>SUMPRODUCT((RAW_FEEDBACK!$B$4:$B$54=$B48)*(RAW_FEEDBACK!$C$4:$C$54="NPS")*RAW_FEEDBACK!$L$4:$L$54)</f>
        <v>0</v>
      </c>
      <c r="F48" s="12">
        <f>SUMPRODUCT((RAW_FEEDBACK!$B$4:$B$54=$B48)*(RAW_FEEDBACK!$C$4:$C$54="NPS")*RAW_FEEDBACK!$M$4:$M$54)</f>
        <v>0</v>
      </c>
      <c r="G48" s="12" t="str">
        <f>IFERROR((SUMPRODUCT((RAW_FEEDBACK!$B$4:$B$54=$B48)*(RAW_FEEDBACK!$C$4:$C$54="NPS")*RAW_FEEDBACK!$K$4:$K$54)-SUMPRODUCT((RAW_FEEDBACK!$B$4:$B$54=$B48)*(RAW_FEEDBACK!$C$4:$C$54="NPS")*RAW_FEEDBACK!$M$4:$M$54))/(SUMPRODUCT((RAW_FEEDBACK!$B$4:$B$54=$B48)*(RAW_FEEDBACK!$C$4:$C$54="NPS")*RAW_FEEDBACK!$D$4:$D$54))*100,"")</f>
        <v/>
      </c>
      <c r="H48" s="16"/>
      <c r="I48" s="12" t="str">
        <f t="shared" si="0"/>
        <v/>
      </c>
      <c r="J48" s="16"/>
      <c r="K48" s="16"/>
    </row>
    <row r="49" spans="1:11" ht="16.05" customHeight="1" x14ac:dyDescent="0.3">
      <c r="A49" s="18">
        <v>26</v>
      </c>
      <c r="B49" s="18" t="s">
        <v>544</v>
      </c>
      <c r="C49" s="9">
        <f>SUMPRODUCT((RAW_FEEDBACK!$B$4:$B$54=$B49)*(RAW_FEEDBACK!$C$4:$C$54="NPS")*RAW_FEEDBACK!$D$4:$D$54)</f>
        <v>0</v>
      </c>
      <c r="D49" s="9">
        <f>SUMPRODUCT((RAW_FEEDBACK!$B$4:$B$54=$B49)*(RAW_FEEDBACK!$C$4:$C$54="NPS")*RAW_FEEDBACK!$K$4:$K$54)</f>
        <v>0</v>
      </c>
      <c r="E49" s="9">
        <f>SUMPRODUCT((RAW_FEEDBACK!$B$4:$B$54=$B49)*(RAW_FEEDBACK!$C$4:$C$54="NPS")*RAW_FEEDBACK!$L$4:$L$54)</f>
        <v>0</v>
      </c>
      <c r="F49" s="9">
        <f>SUMPRODUCT((RAW_FEEDBACK!$B$4:$B$54=$B49)*(RAW_FEEDBACK!$C$4:$C$54="NPS")*RAW_FEEDBACK!$M$4:$M$54)</f>
        <v>0</v>
      </c>
      <c r="G49" s="9" t="str">
        <f>IFERROR((SUMPRODUCT((RAW_FEEDBACK!$B$4:$B$54=$B49)*(RAW_FEEDBACK!$C$4:$C$54="NPS")*RAW_FEEDBACK!$K$4:$K$54)-SUMPRODUCT((RAW_FEEDBACK!$B$4:$B$54=$B49)*(RAW_FEEDBACK!$C$4:$C$54="NPS")*RAW_FEEDBACK!$M$4:$M$54))/(SUMPRODUCT((RAW_FEEDBACK!$B$4:$B$54=$B49)*(RAW_FEEDBACK!$C$4:$C$54="NPS")*RAW_FEEDBACK!$D$4:$D$54))*100,"")</f>
        <v/>
      </c>
      <c r="H49" s="18"/>
      <c r="I49" s="9" t="str">
        <f t="shared" si="0"/>
        <v/>
      </c>
      <c r="J49" s="18"/>
      <c r="K49" s="18"/>
    </row>
    <row r="50" spans="1:11" ht="16.05" customHeight="1" x14ac:dyDescent="0.3">
      <c r="A50" s="16">
        <v>27</v>
      </c>
      <c r="B50" s="16" t="s">
        <v>545</v>
      </c>
      <c r="C50" s="12">
        <f>SUMPRODUCT((RAW_FEEDBACK!$B$4:$B$54=$B50)*(RAW_FEEDBACK!$C$4:$C$54="NPS")*RAW_FEEDBACK!$D$4:$D$54)</f>
        <v>0</v>
      </c>
      <c r="D50" s="12">
        <f>SUMPRODUCT((RAW_FEEDBACK!$B$4:$B$54=$B50)*(RAW_FEEDBACK!$C$4:$C$54="NPS")*RAW_FEEDBACK!$K$4:$K$54)</f>
        <v>0</v>
      </c>
      <c r="E50" s="12">
        <f>SUMPRODUCT((RAW_FEEDBACK!$B$4:$B$54=$B50)*(RAW_FEEDBACK!$C$4:$C$54="NPS")*RAW_FEEDBACK!$L$4:$L$54)</f>
        <v>0</v>
      </c>
      <c r="F50" s="12">
        <f>SUMPRODUCT((RAW_FEEDBACK!$B$4:$B$54=$B50)*(RAW_FEEDBACK!$C$4:$C$54="NPS")*RAW_FEEDBACK!$M$4:$M$54)</f>
        <v>0</v>
      </c>
      <c r="G50" s="12" t="str">
        <f>IFERROR((SUMPRODUCT((RAW_FEEDBACK!$B$4:$B$54=$B50)*(RAW_FEEDBACK!$C$4:$C$54="NPS")*RAW_FEEDBACK!$K$4:$K$54)-SUMPRODUCT((RAW_FEEDBACK!$B$4:$B$54=$B50)*(RAW_FEEDBACK!$C$4:$C$54="NPS")*RAW_FEEDBACK!$M$4:$M$54))/(SUMPRODUCT((RAW_FEEDBACK!$B$4:$B$54=$B50)*(RAW_FEEDBACK!$C$4:$C$54="NPS")*RAW_FEEDBACK!$D$4:$D$54))*100,"")</f>
        <v/>
      </c>
      <c r="H50" s="16"/>
      <c r="I50" s="12" t="str">
        <f t="shared" si="0"/>
        <v/>
      </c>
      <c r="J50" s="16"/>
      <c r="K50" s="16"/>
    </row>
    <row r="51" spans="1:11" ht="16.05" customHeight="1" x14ac:dyDescent="0.3">
      <c r="A51" s="18">
        <v>28</v>
      </c>
      <c r="B51" s="18" t="s">
        <v>546</v>
      </c>
      <c r="C51" s="9">
        <f>SUMPRODUCT((RAW_FEEDBACK!$B$4:$B$54=$B51)*(RAW_FEEDBACK!$C$4:$C$54="NPS")*RAW_FEEDBACK!$D$4:$D$54)</f>
        <v>0</v>
      </c>
      <c r="D51" s="9">
        <f>SUMPRODUCT((RAW_FEEDBACK!$B$4:$B$54=$B51)*(RAW_FEEDBACK!$C$4:$C$54="NPS")*RAW_FEEDBACK!$K$4:$K$54)</f>
        <v>0</v>
      </c>
      <c r="E51" s="9">
        <f>SUMPRODUCT((RAW_FEEDBACK!$B$4:$B$54=$B51)*(RAW_FEEDBACK!$C$4:$C$54="NPS")*RAW_FEEDBACK!$L$4:$L$54)</f>
        <v>0</v>
      </c>
      <c r="F51" s="9">
        <f>SUMPRODUCT((RAW_FEEDBACK!$B$4:$B$54=$B51)*(RAW_FEEDBACK!$C$4:$C$54="NPS")*RAW_FEEDBACK!$M$4:$M$54)</f>
        <v>0</v>
      </c>
      <c r="G51" s="9" t="str">
        <f>IFERROR((SUMPRODUCT((RAW_FEEDBACK!$B$4:$B$54=$B51)*(RAW_FEEDBACK!$C$4:$C$54="NPS")*RAW_FEEDBACK!$K$4:$K$54)-SUMPRODUCT((RAW_FEEDBACK!$B$4:$B$54=$B51)*(RAW_FEEDBACK!$C$4:$C$54="NPS")*RAW_FEEDBACK!$M$4:$M$54))/(SUMPRODUCT((RAW_FEEDBACK!$B$4:$B$54=$B51)*(RAW_FEEDBACK!$C$4:$C$54="NPS")*RAW_FEEDBACK!$D$4:$D$54))*100,"")</f>
        <v/>
      </c>
      <c r="H51" s="18"/>
      <c r="I51" s="9" t="str">
        <f t="shared" si="0"/>
        <v/>
      </c>
      <c r="J51" s="18"/>
      <c r="K51" s="18"/>
    </row>
    <row r="52" spans="1:11" ht="16.05" customHeight="1" x14ac:dyDescent="0.3">
      <c r="A52" s="16">
        <v>29</v>
      </c>
      <c r="B52" s="16" t="s">
        <v>547</v>
      </c>
      <c r="C52" s="12">
        <f>SUMPRODUCT((RAW_FEEDBACK!$B$4:$B$54=$B52)*(RAW_FEEDBACK!$C$4:$C$54="NPS")*RAW_FEEDBACK!$D$4:$D$54)</f>
        <v>0</v>
      </c>
      <c r="D52" s="12">
        <f>SUMPRODUCT((RAW_FEEDBACK!$B$4:$B$54=$B52)*(RAW_FEEDBACK!$C$4:$C$54="NPS")*RAW_FEEDBACK!$K$4:$K$54)</f>
        <v>0</v>
      </c>
      <c r="E52" s="12">
        <f>SUMPRODUCT((RAW_FEEDBACK!$B$4:$B$54=$B52)*(RAW_FEEDBACK!$C$4:$C$54="NPS")*RAW_FEEDBACK!$L$4:$L$54)</f>
        <v>0</v>
      </c>
      <c r="F52" s="12">
        <f>SUMPRODUCT((RAW_FEEDBACK!$B$4:$B$54=$B52)*(RAW_FEEDBACK!$C$4:$C$54="NPS")*RAW_FEEDBACK!$M$4:$M$54)</f>
        <v>0</v>
      </c>
      <c r="G52" s="12" t="str">
        <f>IFERROR((SUMPRODUCT((RAW_FEEDBACK!$B$4:$B$54=$B52)*(RAW_FEEDBACK!$C$4:$C$54="NPS")*RAW_FEEDBACK!$K$4:$K$54)-SUMPRODUCT((RAW_FEEDBACK!$B$4:$B$54=$B52)*(RAW_FEEDBACK!$C$4:$C$54="NPS")*RAW_FEEDBACK!$M$4:$M$54))/(SUMPRODUCT((RAW_FEEDBACK!$B$4:$B$54=$B52)*(RAW_FEEDBACK!$C$4:$C$54="NPS")*RAW_FEEDBACK!$D$4:$D$54))*100,"")</f>
        <v/>
      </c>
      <c r="H52" s="16"/>
      <c r="I52" s="12" t="str">
        <f t="shared" si="0"/>
        <v/>
      </c>
      <c r="J52" s="16"/>
      <c r="K52" s="16"/>
    </row>
    <row r="53" spans="1:11" ht="16.05" customHeight="1" x14ac:dyDescent="0.3">
      <c r="A53" s="18">
        <v>30</v>
      </c>
      <c r="B53" s="18" t="s">
        <v>548</v>
      </c>
      <c r="C53" s="9">
        <f>SUMPRODUCT((RAW_FEEDBACK!$B$4:$B$54=$B53)*(RAW_FEEDBACK!$C$4:$C$54="NPS")*RAW_FEEDBACK!$D$4:$D$54)</f>
        <v>0</v>
      </c>
      <c r="D53" s="9">
        <f>SUMPRODUCT((RAW_FEEDBACK!$B$4:$B$54=$B53)*(RAW_FEEDBACK!$C$4:$C$54="NPS")*RAW_FEEDBACK!$K$4:$K$54)</f>
        <v>0</v>
      </c>
      <c r="E53" s="9">
        <f>SUMPRODUCT((RAW_FEEDBACK!$B$4:$B$54=$B53)*(RAW_FEEDBACK!$C$4:$C$54="NPS")*RAW_FEEDBACK!$L$4:$L$54)</f>
        <v>0</v>
      </c>
      <c r="F53" s="9">
        <f>SUMPRODUCT((RAW_FEEDBACK!$B$4:$B$54=$B53)*(RAW_FEEDBACK!$C$4:$C$54="NPS")*RAW_FEEDBACK!$M$4:$M$54)</f>
        <v>0</v>
      </c>
      <c r="G53" s="9" t="str">
        <f>IFERROR((SUMPRODUCT((RAW_FEEDBACK!$B$4:$B$54=$B53)*(RAW_FEEDBACK!$C$4:$C$54="NPS")*RAW_FEEDBACK!$K$4:$K$54)-SUMPRODUCT((RAW_FEEDBACK!$B$4:$B$54=$B53)*(RAW_FEEDBACK!$C$4:$C$54="NPS")*RAW_FEEDBACK!$M$4:$M$54))/(SUMPRODUCT((RAW_FEEDBACK!$B$4:$B$54=$B53)*(RAW_FEEDBACK!$C$4:$C$54="NPS")*RAW_FEEDBACK!$D$4:$D$54))*100,"")</f>
        <v/>
      </c>
      <c r="H53" s="18"/>
      <c r="I53" s="9" t="str">
        <f t="shared" si="0"/>
        <v/>
      </c>
      <c r="J53" s="18"/>
      <c r="K53" s="18"/>
    </row>
    <row r="54" spans="1:11" ht="16.05" customHeight="1" x14ac:dyDescent="0.3">
      <c r="A54" s="16">
        <v>31</v>
      </c>
      <c r="B54" s="16" t="s">
        <v>549</v>
      </c>
      <c r="C54" s="12">
        <f>SUMPRODUCT((RAW_FEEDBACK!$B$4:$B$54=$B54)*(RAW_FEEDBACK!$C$4:$C$54="NPS")*RAW_FEEDBACK!$D$4:$D$54)</f>
        <v>0</v>
      </c>
      <c r="D54" s="12">
        <f>SUMPRODUCT((RAW_FEEDBACK!$B$4:$B$54=$B54)*(RAW_FEEDBACK!$C$4:$C$54="NPS")*RAW_FEEDBACK!$K$4:$K$54)</f>
        <v>0</v>
      </c>
      <c r="E54" s="12">
        <f>SUMPRODUCT((RAW_FEEDBACK!$B$4:$B$54=$B54)*(RAW_FEEDBACK!$C$4:$C$54="NPS")*RAW_FEEDBACK!$L$4:$L$54)</f>
        <v>0</v>
      </c>
      <c r="F54" s="12">
        <f>SUMPRODUCT((RAW_FEEDBACK!$B$4:$B$54=$B54)*(RAW_FEEDBACK!$C$4:$C$54="NPS")*RAW_FEEDBACK!$M$4:$M$54)</f>
        <v>0</v>
      </c>
      <c r="G54" s="12" t="str">
        <f>IFERROR((SUMPRODUCT((RAW_FEEDBACK!$B$4:$B$54=$B54)*(RAW_FEEDBACK!$C$4:$C$54="NPS")*RAW_FEEDBACK!$K$4:$K$54)-SUMPRODUCT((RAW_FEEDBACK!$B$4:$B$54=$B54)*(RAW_FEEDBACK!$C$4:$C$54="NPS")*RAW_FEEDBACK!$M$4:$M$54))/(SUMPRODUCT((RAW_FEEDBACK!$B$4:$B$54=$B54)*(RAW_FEEDBACK!$C$4:$C$54="NPS")*RAW_FEEDBACK!$D$4:$D$54))*100,"")</f>
        <v/>
      </c>
      <c r="H54" s="16"/>
      <c r="I54" s="12" t="str">
        <f t="shared" si="0"/>
        <v/>
      </c>
      <c r="J54" s="16"/>
      <c r="K54" s="16"/>
    </row>
    <row r="55" spans="1:11" ht="16.05" customHeight="1" x14ac:dyDescent="0.3">
      <c r="A55" s="18">
        <v>32</v>
      </c>
      <c r="B55" s="18" t="s">
        <v>550</v>
      </c>
      <c r="C55" s="9">
        <f>SUMPRODUCT((RAW_FEEDBACK!$B$4:$B$54=$B55)*(RAW_FEEDBACK!$C$4:$C$54="NPS")*RAW_FEEDBACK!$D$4:$D$54)</f>
        <v>0</v>
      </c>
      <c r="D55" s="9">
        <f>SUMPRODUCT((RAW_FEEDBACK!$B$4:$B$54=$B55)*(RAW_FEEDBACK!$C$4:$C$54="NPS")*RAW_FEEDBACK!$K$4:$K$54)</f>
        <v>0</v>
      </c>
      <c r="E55" s="9">
        <f>SUMPRODUCT((RAW_FEEDBACK!$B$4:$B$54=$B55)*(RAW_FEEDBACK!$C$4:$C$54="NPS")*RAW_FEEDBACK!$L$4:$L$54)</f>
        <v>0</v>
      </c>
      <c r="F55" s="9">
        <f>SUMPRODUCT((RAW_FEEDBACK!$B$4:$B$54=$B55)*(RAW_FEEDBACK!$C$4:$C$54="NPS")*RAW_FEEDBACK!$M$4:$M$54)</f>
        <v>0</v>
      </c>
      <c r="G55" s="9" t="str">
        <f>IFERROR((SUMPRODUCT((RAW_FEEDBACK!$B$4:$B$54=$B55)*(RAW_FEEDBACK!$C$4:$C$54="NPS")*RAW_FEEDBACK!$K$4:$K$54)-SUMPRODUCT((RAW_FEEDBACK!$B$4:$B$54=$B55)*(RAW_FEEDBACK!$C$4:$C$54="NPS")*RAW_FEEDBACK!$M$4:$M$54))/(SUMPRODUCT((RAW_FEEDBACK!$B$4:$B$54=$B55)*(RAW_FEEDBACK!$C$4:$C$54="NPS")*RAW_FEEDBACK!$D$4:$D$54))*100,"")</f>
        <v/>
      </c>
      <c r="H55" s="18"/>
      <c r="I55" s="9" t="str">
        <f t="shared" si="0"/>
        <v/>
      </c>
      <c r="J55" s="18"/>
      <c r="K55" s="18"/>
    </row>
    <row r="56" spans="1:11" ht="16.05" customHeight="1" x14ac:dyDescent="0.3">
      <c r="A56" s="16">
        <v>33</v>
      </c>
      <c r="B56" s="16" t="s">
        <v>551</v>
      </c>
      <c r="C56" s="12">
        <f>SUMPRODUCT((RAW_FEEDBACK!$B$4:$B$54=$B56)*(RAW_FEEDBACK!$C$4:$C$54="NPS")*RAW_FEEDBACK!$D$4:$D$54)</f>
        <v>0</v>
      </c>
      <c r="D56" s="12">
        <f>SUMPRODUCT((RAW_FEEDBACK!$B$4:$B$54=$B56)*(RAW_FEEDBACK!$C$4:$C$54="NPS")*RAW_FEEDBACK!$K$4:$K$54)</f>
        <v>0</v>
      </c>
      <c r="E56" s="12">
        <f>SUMPRODUCT((RAW_FEEDBACK!$B$4:$B$54=$B56)*(RAW_FEEDBACK!$C$4:$C$54="NPS")*RAW_FEEDBACK!$L$4:$L$54)</f>
        <v>0</v>
      </c>
      <c r="F56" s="12">
        <f>SUMPRODUCT((RAW_FEEDBACK!$B$4:$B$54=$B56)*(RAW_FEEDBACK!$C$4:$C$54="NPS")*RAW_FEEDBACK!$M$4:$M$54)</f>
        <v>0</v>
      </c>
      <c r="G56" s="12" t="str">
        <f>IFERROR((SUMPRODUCT((RAW_FEEDBACK!$B$4:$B$54=$B56)*(RAW_FEEDBACK!$C$4:$C$54="NPS")*RAW_FEEDBACK!$K$4:$K$54)-SUMPRODUCT((RAW_FEEDBACK!$B$4:$B$54=$B56)*(RAW_FEEDBACK!$C$4:$C$54="NPS")*RAW_FEEDBACK!$M$4:$M$54))/(SUMPRODUCT((RAW_FEEDBACK!$B$4:$B$54=$B56)*(RAW_FEEDBACK!$C$4:$C$54="NPS")*RAW_FEEDBACK!$D$4:$D$54))*100,"")</f>
        <v/>
      </c>
      <c r="H56" s="16"/>
      <c r="I56" s="12" t="str">
        <f t="shared" si="0"/>
        <v/>
      </c>
      <c r="J56" s="16"/>
      <c r="K56" s="16"/>
    </row>
    <row r="57" spans="1:11" ht="16.05" customHeight="1" x14ac:dyDescent="0.3">
      <c r="A57" s="18">
        <v>34</v>
      </c>
      <c r="B57" s="18" t="s">
        <v>552</v>
      </c>
      <c r="C57" s="9">
        <f>SUMPRODUCT((RAW_FEEDBACK!$B$4:$B$54=$B57)*(RAW_FEEDBACK!$C$4:$C$54="NPS")*RAW_FEEDBACK!$D$4:$D$54)</f>
        <v>0</v>
      </c>
      <c r="D57" s="9">
        <f>SUMPRODUCT((RAW_FEEDBACK!$B$4:$B$54=$B57)*(RAW_FEEDBACK!$C$4:$C$54="NPS")*RAW_FEEDBACK!$K$4:$K$54)</f>
        <v>0</v>
      </c>
      <c r="E57" s="9">
        <f>SUMPRODUCT((RAW_FEEDBACK!$B$4:$B$54=$B57)*(RAW_FEEDBACK!$C$4:$C$54="NPS")*RAW_FEEDBACK!$L$4:$L$54)</f>
        <v>0</v>
      </c>
      <c r="F57" s="9">
        <f>SUMPRODUCT((RAW_FEEDBACK!$B$4:$B$54=$B57)*(RAW_FEEDBACK!$C$4:$C$54="NPS")*RAW_FEEDBACK!$M$4:$M$54)</f>
        <v>0</v>
      </c>
      <c r="G57" s="9" t="str">
        <f>IFERROR((SUMPRODUCT((RAW_FEEDBACK!$B$4:$B$54=$B57)*(RAW_FEEDBACK!$C$4:$C$54="NPS")*RAW_FEEDBACK!$K$4:$K$54)-SUMPRODUCT((RAW_FEEDBACK!$B$4:$B$54=$B57)*(RAW_FEEDBACK!$C$4:$C$54="NPS")*RAW_FEEDBACK!$M$4:$M$54))/(SUMPRODUCT((RAW_FEEDBACK!$B$4:$B$54=$B57)*(RAW_FEEDBACK!$C$4:$C$54="NPS")*RAW_FEEDBACK!$D$4:$D$54))*100,"")</f>
        <v/>
      </c>
      <c r="H57" s="18"/>
      <c r="I57" s="9" t="str">
        <f t="shared" si="0"/>
        <v/>
      </c>
      <c r="J57" s="18"/>
      <c r="K57" s="18"/>
    </row>
    <row r="58" spans="1:11" ht="16.05" customHeight="1" x14ac:dyDescent="0.3">
      <c r="A58" s="16">
        <v>35</v>
      </c>
      <c r="B58" s="16" t="s">
        <v>553</v>
      </c>
      <c r="C58" s="12">
        <f>SUMPRODUCT((RAW_FEEDBACK!$B$4:$B$54=$B58)*(RAW_FEEDBACK!$C$4:$C$54="NPS")*RAW_FEEDBACK!$D$4:$D$54)</f>
        <v>0</v>
      </c>
      <c r="D58" s="12">
        <f>SUMPRODUCT((RAW_FEEDBACK!$B$4:$B$54=$B58)*(RAW_FEEDBACK!$C$4:$C$54="NPS")*RAW_FEEDBACK!$K$4:$K$54)</f>
        <v>0</v>
      </c>
      <c r="E58" s="12">
        <f>SUMPRODUCT((RAW_FEEDBACK!$B$4:$B$54=$B58)*(RAW_FEEDBACK!$C$4:$C$54="NPS")*RAW_FEEDBACK!$L$4:$L$54)</f>
        <v>0</v>
      </c>
      <c r="F58" s="12">
        <f>SUMPRODUCT((RAW_FEEDBACK!$B$4:$B$54=$B58)*(RAW_FEEDBACK!$C$4:$C$54="NPS")*RAW_FEEDBACK!$M$4:$M$54)</f>
        <v>0</v>
      </c>
      <c r="G58" s="12" t="str">
        <f>IFERROR((SUMPRODUCT((RAW_FEEDBACK!$B$4:$B$54=$B58)*(RAW_FEEDBACK!$C$4:$C$54="NPS")*RAW_FEEDBACK!$K$4:$K$54)-SUMPRODUCT((RAW_FEEDBACK!$B$4:$B$54=$B58)*(RAW_FEEDBACK!$C$4:$C$54="NPS")*RAW_FEEDBACK!$M$4:$M$54))/(SUMPRODUCT((RAW_FEEDBACK!$B$4:$B$54=$B58)*(RAW_FEEDBACK!$C$4:$C$54="NPS")*RAW_FEEDBACK!$D$4:$D$54))*100,"")</f>
        <v/>
      </c>
      <c r="H58" s="16"/>
      <c r="I58" s="12" t="str">
        <f t="shared" si="0"/>
        <v/>
      </c>
      <c r="J58" s="16"/>
      <c r="K58" s="16"/>
    </row>
    <row r="59" spans="1:11" ht="16.05" customHeight="1" x14ac:dyDescent="0.3">
      <c r="A59" s="18">
        <v>36</v>
      </c>
      <c r="B59" s="18" t="s">
        <v>554</v>
      </c>
      <c r="C59" s="9">
        <f>SUMPRODUCT((RAW_FEEDBACK!$B$4:$B$54=$B59)*(RAW_FEEDBACK!$C$4:$C$54="NPS")*RAW_FEEDBACK!$D$4:$D$54)</f>
        <v>0</v>
      </c>
      <c r="D59" s="9">
        <f>SUMPRODUCT((RAW_FEEDBACK!$B$4:$B$54=$B59)*(RAW_FEEDBACK!$C$4:$C$54="NPS")*RAW_FEEDBACK!$K$4:$K$54)</f>
        <v>0</v>
      </c>
      <c r="E59" s="9">
        <f>SUMPRODUCT((RAW_FEEDBACK!$B$4:$B$54=$B59)*(RAW_FEEDBACK!$C$4:$C$54="NPS")*RAW_FEEDBACK!$L$4:$L$54)</f>
        <v>0</v>
      </c>
      <c r="F59" s="9">
        <f>SUMPRODUCT((RAW_FEEDBACK!$B$4:$B$54=$B59)*(RAW_FEEDBACK!$C$4:$C$54="NPS")*RAW_FEEDBACK!$M$4:$M$54)</f>
        <v>0</v>
      </c>
      <c r="G59" s="9" t="str">
        <f>IFERROR((SUMPRODUCT((RAW_FEEDBACK!$B$4:$B$54=$B59)*(RAW_FEEDBACK!$C$4:$C$54="NPS")*RAW_FEEDBACK!$K$4:$K$54)-SUMPRODUCT((RAW_FEEDBACK!$B$4:$B$54=$B59)*(RAW_FEEDBACK!$C$4:$C$54="NPS")*RAW_FEEDBACK!$M$4:$M$54))/(SUMPRODUCT((RAW_FEEDBACK!$B$4:$B$54=$B59)*(RAW_FEEDBACK!$C$4:$C$54="NPS")*RAW_FEEDBACK!$D$4:$D$54))*100,"")</f>
        <v/>
      </c>
      <c r="H59" s="18"/>
      <c r="I59" s="9" t="str">
        <f t="shared" si="0"/>
        <v/>
      </c>
      <c r="J59" s="18"/>
      <c r="K59" s="18"/>
    </row>
    <row r="61" spans="1:11" ht="19.95" customHeight="1" x14ac:dyDescent="0.3">
      <c r="A61" s="37" t="s">
        <v>846</v>
      </c>
      <c r="B61" s="33"/>
      <c r="C61" s="33"/>
      <c r="D61" s="33"/>
      <c r="E61" s="33"/>
      <c r="F61" s="33"/>
      <c r="G61" s="33"/>
      <c r="H61" s="33"/>
      <c r="I61" s="33"/>
      <c r="J61" s="33"/>
      <c r="K61" s="33"/>
    </row>
    <row r="62" spans="1:11" ht="31.95" customHeight="1" x14ac:dyDescent="0.3">
      <c r="A62" s="15" t="s">
        <v>78</v>
      </c>
      <c r="B62" s="15" t="s">
        <v>847</v>
      </c>
      <c r="C62" s="15" t="s">
        <v>135</v>
      </c>
      <c r="D62" s="15" t="s">
        <v>157</v>
      </c>
      <c r="E62" s="15" t="s">
        <v>848</v>
      </c>
      <c r="F62" s="15" t="s">
        <v>849</v>
      </c>
      <c r="G62" s="15" t="s">
        <v>850</v>
      </c>
      <c r="H62" s="15" t="s">
        <v>851</v>
      </c>
      <c r="I62" s="15" t="s">
        <v>852</v>
      </c>
      <c r="J62" s="15" t="s">
        <v>853</v>
      </c>
      <c r="K62" s="15" t="s">
        <v>86</v>
      </c>
    </row>
    <row r="63" spans="1:11" ht="16.05" customHeight="1" x14ac:dyDescent="0.3">
      <c r="A63" s="18">
        <v>1</v>
      </c>
      <c r="B63" s="18" t="s">
        <v>854</v>
      </c>
      <c r="C63" s="18" t="s">
        <v>146</v>
      </c>
      <c r="D63" s="18" t="s">
        <v>176</v>
      </c>
      <c r="E63" s="18"/>
      <c r="F63" s="18"/>
      <c r="G63" s="18" t="s">
        <v>295</v>
      </c>
      <c r="H63" s="18" t="s">
        <v>855</v>
      </c>
      <c r="I63" s="18" t="s">
        <v>856</v>
      </c>
      <c r="J63" s="18"/>
      <c r="K63" s="18"/>
    </row>
    <row r="64" spans="1:11" ht="16.05" customHeight="1" x14ac:dyDescent="0.3">
      <c r="A64" s="16">
        <v>2</v>
      </c>
      <c r="B64" s="16" t="s">
        <v>857</v>
      </c>
      <c r="C64" s="16" t="s">
        <v>143</v>
      </c>
      <c r="D64" s="16" t="s">
        <v>168</v>
      </c>
      <c r="E64" s="16"/>
      <c r="F64" s="16"/>
      <c r="G64" s="16" t="s">
        <v>295</v>
      </c>
      <c r="H64" s="16" t="s">
        <v>855</v>
      </c>
      <c r="I64" s="16" t="s">
        <v>856</v>
      </c>
      <c r="J64" s="16"/>
      <c r="K64" s="16"/>
    </row>
    <row r="65" spans="1:11" ht="16.05" customHeight="1" x14ac:dyDescent="0.3">
      <c r="A65" s="18">
        <v>3</v>
      </c>
      <c r="B65" s="18" t="s">
        <v>858</v>
      </c>
      <c r="C65" s="18" t="s">
        <v>144</v>
      </c>
      <c r="D65" s="18" t="s">
        <v>181</v>
      </c>
      <c r="E65" s="18"/>
      <c r="F65" s="18"/>
      <c r="G65" s="18" t="s">
        <v>295</v>
      </c>
      <c r="H65" s="18" t="s">
        <v>855</v>
      </c>
      <c r="I65" s="18" t="s">
        <v>856</v>
      </c>
      <c r="J65" s="18"/>
      <c r="K65" s="18"/>
    </row>
    <row r="66" spans="1:11" ht="16.05" customHeight="1" x14ac:dyDescent="0.3">
      <c r="A66" s="16">
        <v>4</v>
      </c>
      <c r="B66" s="16" t="s">
        <v>859</v>
      </c>
      <c r="C66" s="16" t="s">
        <v>145</v>
      </c>
      <c r="D66" s="16" t="s">
        <v>176</v>
      </c>
      <c r="E66" s="16"/>
      <c r="F66" s="16"/>
      <c r="G66" s="16" t="s">
        <v>295</v>
      </c>
      <c r="H66" s="16" t="s">
        <v>855</v>
      </c>
      <c r="I66" s="16" t="s">
        <v>856</v>
      </c>
      <c r="J66" s="16"/>
      <c r="K66" s="16"/>
    </row>
    <row r="67" spans="1:11" ht="16.05" customHeight="1" x14ac:dyDescent="0.3">
      <c r="A67" s="18">
        <v>5</v>
      </c>
      <c r="B67" s="18" t="s">
        <v>860</v>
      </c>
      <c r="C67" s="18" t="s">
        <v>147</v>
      </c>
      <c r="D67" s="18" t="s">
        <v>181</v>
      </c>
      <c r="E67" s="18"/>
      <c r="F67" s="18"/>
      <c r="G67" s="18" t="s">
        <v>295</v>
      </c>
      <c r="H67" s="18" t="s">
        <v>855</v>
      </c>
      <c r="I67" s="18" t="s">
        <v>856</v>
      </c>
      <c r="J67" s="18"/>
      <c r="K67" s="18"/>
    </row>
    <row r="68" spans="1:11" ht="16.05" customHeight="1" x14ac:dyDescent="0.3">
      <c r="A68" s="16">
        <v>6</v>
      </c>
      <c r="B68" s="16" t="s">
        <v>861</v>
      </c>
      <c r="C68" s="16" t="s">
        <v>145</v>
      </c>
      <c r="D68" s="16" t="s">
        <v>179</v>
      </c>
      <c r="E68" s="16"/>
      <c r="F68" s="16"/>
      <c r="G68" s="16" t="s">
        <v>295</v>
      </c>
      <c r="H68" s="16" t="s">
        <v>855</v>
      </c>
      <c r="I68" s="16" t="s">
        <v>856</v>
      </c>
      <c r="J68" s="16"/>
      <c r="K68" s="16"/>
    </row>
    <row r="69" spans="1:11" ht="16.05" customHeight="1" x14ac:dyDescent="0.3">
      <c r="A69" s="18">
        <v>7</v>
      </c>
      <c r="B69" s="18" t="s">
        <v>862</v>
      </c>
      <c r="C69" s="18" t="s">
        <v>146</v>
      </c>
      <c r="D69" s="18" t="s">
        <v>164</v>
      </c>
      <c r="E69" s="18"/>
      <c r="F69" s="18"/>
      <c r="G69" s="18" t="s">
        <v>295</v>
      </c>
      <c r="H69" s="18" t="s">
        <v>855</v>
      </c>
      <c r="I69" s="18" t="s">
        <v>856</v>
      </c>
      <c r="J69" s="18"/>
      <c r="K69" s="18"/>
    </row>
    <row r="70" spans="1:11" ht="16.05" customHeight="1" x14ac:dyDescent="0.3">
      <c r="A70" s="16">
        <v>8</v>
      </c>
      <c r="B70" s="16" t="s">
        <v>863</v>
      </c>
      <c r="C70" s="16" t="s">
        <v>864</v>
      </c>
      <c r="D70" s="16" t="s">
        <v>164</v>
      </c>
      <c r="E70" s="16"/>
      <c r="F70" s="16"/>
      <c r="G70" s="16" t="s">
        <v>295</v>
      </c>
      <c r="H70" s="16" t="s">
        <v>855</v>
      </c>
      <c r="I70" s="16" t="s">
        <v>856</v>
      </c>
      <c r="J70" s="16"/>
      <c r="K70" s="16"/>
    </row>
    <row r="72" spans="1:11" ht="19.95" customHeight="1" x14ac:dyDescent="0.3">
      <c r="A72" s="37" t="s">
        <v>865</v>
      </c>
      <c r="B72" s="33"/>
      <c r="C72" s="33"/>
      <c r="D72" s="33"/>
      <c r="E72" s="33"/>
      <c r="F72" s="33"/>
      <c r="G72" s="33"/>
      <c r="H72" s="33"/>
      <c r="I72" s="33"/>
      <c r="J72" s="33"/>
      <c r="K72" s="33"/>
    </row>
    <row r="73" spans="1:11" ht="31.95" customHeight="1" x14ac:dyDescent="0.3">
      <c r="A73" s="15" t="s">
        <v>78</v>
      </c>
      <c r="B73" s="15" t="s">
        <v>866</v>
      </c>
      <c r="C73" s="15" t="s">
        <v>135</v>
      </c>
      <c r="D73" s="15" t="s">
        <v>192</v>
      </c>
      <c r="E73" s="15" t="s">
        <v>867</v>
      </c>
      <c r="F73" s="15" t="s">
        <v>868</v>
      </c>
      <c r="G73" s="15" t="s">
        <v>869</v>
      </c>
      <c r="H73" s="15" t="s">
        <v>870</v>
      </c>
      <c r="I73" s="15" t="s">
        <v>871</v>
      </c>
      <c r="J73" s="15" t="s">
        <v>872</v>
      </c>
      <c r="K73" s="15" t="s">
        <v>86</v>
      </c>
    </row>
    <row r="74" spans="1:11" ht="16.05" customHeight="1" x14ac:dyDescent="0.3">
      <c r="A74" s="16">
        <v>1</v>
      </c>
      <c r="B74" s="16" t="s">
        <v>163</v>
      </c>
      <c r="C74" s="16" t="s">
        <v>164</v>
      </c>
      <c r="D74" s="16"/>
      <c r="E74" s="16"/>
      <c r="F74" s="16"/>
      <c r="G74" s="16"/>
      <c r="H74" s="16"/>
      <c r="I74" s="12" t="str">
        <f t="shared" ref="I74:I81" si="1">IFERROR(AVERAGE(F74:H74),"")</f>
        <v/>
      </c>
      <c r="J74" s="16"/>
      <c r="K74" s="16"/>
    </row>
    <row r="75" spans="1:11" ht="16.05" customHeight="1" x14ac:dyDescent="0.3">
      <c r="A75" s="18">
        <v>2</v>
      </c>
      <c r="B75" s="18" t="s">
        <v>167</v>
      </c>
      <c r="C75" s="18" t="s">
        <v>168</v>
      </c>
      <c r="D75" s="18"/>
      <c r="E75" s="18"/>
      <c r="F75" s="18"/>
      <c r="G75" s="18"/>
      <c r="H75" s="18"/>
      <c r="I75" s="9" t="str">
        <f t="shared" si="1"/>
        <v/>
      </c>
      <c r="J75" s="18"/>
      <c r="K75" s="18"/>
    </row>
    <row r="76" spans="1:11" ht="16.05" customHeight="1" x14ac:dyDescent="0.3">
      <c r="A76" s="16">
        <v>3</v>
      </c>
      <c r="B76" s="16" t="s">
        <v>170</v>
      </c>
      <c r="C76" s="16" t="s">
        <v>168</v>
      </c>
      <c r="D76" s="16"/>
      <c r="E76" s="16"/>
      <c r="F76" s="16"/>
      <c r="G76" s="16"/>
      <c r="H76" s="16"/>
      <c r="I76" s="12" t="str">
        <f t="shared" si="1"/>
        <v/>
      </c>
      <c r="J76" s="16"/>
      <c r="K76" s="16"/>
    </row>
    <row r="77" spans="1:11" ht="16.05" customHeight="1" x14ac:dyDescent="0.3">
      <c r="A77" s="18">
        <v>4</v>
      </c>
      <c r="B77" s="18" t="s">
        <v>171</v>
      </c>
      <c r="C77" s="18" t="s">
        <v>172</v>
      </c>
      <c r="D77" s="18"/>
      <c r="E77" s="18"/>
      <c r="F77" s="18"/>
      <c r="G77" s="18"/>
      <c r="H77" s="18"/>
      <c r="I77" s="9" t="str">
        <f t="shared" si="1"/>
        <v/>
      </c>
      <c r="J77" s="18"/>
      <c r="K77" s="18"/>
    </row>
    <row r="78" spans="1:11" ht="16.05" customHeight="1" x14ac:dyDescent="0.3">
      <c r="A78" s="16">
        <v>5</v>
      </c>
      <c r="B78" s="16" t="s">
        <v>174</v>
      </c>
      <c r="C78" s="16" t="s">
        <v>172</v>
      </c>
      <c r="D78" s="16"/>
      <c r="E78" s="16"/>
      <c r="F78" s="16"/>
      <c r="G78" s="16"/>
      <c r="H78" s="16"/>
      <c r="I78" s="12" t="str">
        <f t="shared" si="1"/>
        <v/>
      </c>
      <c r="J78" s="16"/>
      <c r="K78" s="16"/>
    </row>
    <row r="79" spans="1:11" ht="16.05" customHeight="1" x14ac:dyDescent="0.3">
      <c r="A79" s="18">
        <v>6</v>
      </c>
      <c r="B79" s="18" t="s">
        <v>175</v>
      </c>
      <c r="C79" s="18" t="s">
        <v>176</v>
      </c>
      <c r="D79" s="18"/>
      <c r="E79" s="18"/>
      <c r="F79" s="18"/>
      <c r="G79" s="18"/>
      <c r="H79" s="18"/>
      <c r="I79" s="9" t="str">
        <f t="shared" si="1"/>
        <v/>
      </c>
      <c r="J79" s="18"/>
      <c r="K79" s="18"/>
    </row>
    <row r="80" spans="1:11" ht="16.05" customHeight="1" x14ac:dyDescent="0.3">
      <c r="A80" s="16">
        <v>7</v>
      </c>
      <c r="B80" s="16" t="s">
        <v>177</v>
      </c>
      <c r="C80" s="16" t="s">
        <v>176</v>
      </c>
      <c r="D80" s="16"/>
      <c r="E80" s="16"/>
      <c r="F80" s="16"/>
      <c r="G80" s="16"/>
      <c r="H80" s="16"/>
      <c r="I80" s="12" t="str">
        <f t="shared" si="1"/>
        <v/>
      </c>
      <c r="J80" s="16"/>
      <c r="K80" s="16"/>
    </row>
    <row r="81" spans="1:11" ht="16.05" customHeight="1" x14ac:dyDescent="0.3">
      <c r="A81" s="18">
        <v>8</v>
      </c>
      <c r="B81" s="18" t="s">
        <v>178</v>
      </c>
      <c r="C81" s="18" t="s">
        <v>179</v>
      </c>
      <c r="D81" s="18"/>
      <c r="E81" s="18"/>
      <c r="F81" s="18"/>
      <c r="G81" s="18"/>
      <c r="H81" s="18"/>
      <c r="I81" s="9" t="str">
        <f t="shared" si="1"/>
        <v/>
      </c>
      <c r="J81" s="18"/>
      <c r="K81" s="18"/>
    </row>
  </sheetData>
  <mergeCells count="7">
    <mergeCell ref="A2:K2"/>
    <mergeCell ref="A1:K1"/>
    <mergeCell ref="A61:K61"/>
    <mergeCell ref="A22:K22"/>
    <mergeCell ref="A4:K4"/>
    <mergeCell ref="A3:K3"/>
    <mergeCell ref="A72:K72"/>
  </mergeCells>
  <pageMargins left="0.75" right="0.75" top="1" bottom="1" header="0.5" footer="0.5"/>
  <extLst>
    <ext xmlns:x14="http://schemas.microsoft.com/office/spreadsheetml/2009/9/main" uri="{CCE6A557-97BC-4b89-ADB6-D9C93CAAB3DF}">
      <x14:dataValidations xmlns:xm="http://schemas.microsoft.com/office/excel/2006/main" count="5">
        <x14:dataValidation type="list" allowBlank="1" xr:uid="{00000000-0002-0000-1300-000000000000}">
          <x14:formula1>
            <xm:f>REF!$D$2:$D$14</xm:f>
          </x14:formula1>
          <xm:sqref>C74:C81 C63:C70 C6:C20</xm:sqref>
        </x14:dataValidation>
        <x14:dataValidation type="list" allowBlank="1" xr:uid="{00000000-0002-0000-1300-000010000000}">
          <x14:formula1>
            <xm:f>REF!$E$2:$E$13</xm:f>
          </x14:formula1>
          <xm:sqref>D63:D70</xm:sqref>
        </x14:dataValidation>
        <x14:dataValidation type="list" allowBlank="1" xr:uid="{00000000-0002-0000-1300-000011000000}">
          <x14:formula1>
            <xm:f>REF!$A$2:$A$37</xm:f>
          </x14:formula1>
          <xm:sqref>D74:D81 F63:F70</xm:sqref>
        </x14:dataValidation>
        <x14:dataValidation type="list" allowBlank="1" xr:uid="{00000000-0002-0000-1300-000012000000}">
          <x14:formula1>
            <xm:f>REF!$K$2:$K$5</xm:f>
          </x14:formula1>
          <xm:sqref>J74:J81 H63:H70</xm:sqref>
        </x14:dataValidation>
        <x14:dataValidation type="list" allowBlank="1" xr:uid="{00000000-0002-0000-1300-000013000000}">
          <x14:formula1>
            <xm:f>REF!$N$2:$N$13</xm:f>
          </x14:formula1>
          <xm:sqref>J63:J70</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35"/>
  <sheetViews>
    <sheetView showGridLines="0" topLeftCell="A14" workbookViewId="0">
      <selection sqref="A1:J1"/>
    </sheetView>
  </sheetViews>
  <sheetFormatPr defaultRowHeight="14.4" x14ac:dyDescent="0.3"/>
  <cols>
    <col min="1" max="1" width="4" customWidth="1"/>
    <col min="2" max="2" width="34" customWidth="1"/>
    <col min="3" max="3" width="16" customWidth="1"/>
    <col min="4" max="9" width="14" customWidth="1"/>
    <col min="10" max="10" width="22" customWidth="1"/>
  </cols>
  <sheetData>
    <row r="1" spans="1:10" ht="28.05" customHeight="1" x14ac:dyDescent="0.3">
      <c r="A1" s="32" t="s">
        <v>873</v>
      </c>
      <c r="B1" s="33"/>
      <c r="C1" s="33"/>
      <c r="D1" s="33"/>
      <c r="E1" s="33"/>
      <c r="F1" s="33"/>
      <c r="G1" s="33"/>
      <c r="H1" s="33"/>
      <c r="I1" s="33"/>
      <c r="J1" s="33"/>
    </row>
    <row r="2" spans="1:10" ht="18" customHeight="1" x14ac:dyDescent="0.3">
      <c r="A2" s="38" t="str">
        <f>IF(SelectedScope="All India","NATIONAL VIEW — ALL INDIA","STATE VIEW — "&amp;SelectedScope)</f>
        <v>NATIONAL VIEW — ALL INDIA</v>
      </c>
      <c r="B2" s="33"/>
      <c r="C2" s="33"/>
      <c r="D2" s="33"/>
      <c r="E2" s="33"/>
      <c r="F2" s="33"/>
      <c r="G2" s="33"/>
      <c r="H2" s="33"/>
      <c r="I2" s="33"/>
      <c r="J2" s="33"/>
    </row>
    <row r="3" spans="1:10" ht="16.05" customHeight="1" x14ac:dyDescent="0.3">
      <c r="A3" s="39" t="s">
        <v>874</v>
      </c>
      <c r="B3" s="33"/>
      <c r="C3" s="33"/>
      <c r="D3" s="33"/>
      <c r="E3" s="33"/>
      <c r="F3" s="33"/>
      <c r="G3" s="33"/>
      <c r="H3" s="33"/>
      <c r="I3" s="33"/>
      <c r="J3" s="33"/>
    </row>
    <row r="4" spans="1:10" ht="19.95" customHeight="1" x14ac:dyDescent="0.3">
      <c r="A4" s="37" t="s">
        <v>875</v>
      </c>
      <c r="B4" s="33"/>
      <c r="C4" s="33"/>
      <c r="D4" s="33"/>
      <c r="E4" s="33"/>
      <c r="F4" s="33"/>
      <c r="G4" s="33"/>
      <c r="H4" s="33"/>
      <c r="I4" s="33"/>
      <c r="J4" s="33"/>
    </row>
    <row r="5" spans="1:10" ht="31.95" customHeight="1" x14ac:dyDescent="0.3">
      <c r="A5" s="15" t="s">
        <v>78</v>
      </c>
      <c r="B5" s="15" t="s">
        <v>876</v>
      </c>
      <c r="C5" s="15" t="s">
        <v>877</v>
      </c>
      <c r="D5" s="15" t="s">
        <v>878</v>
      </c>
      <c r="E5" s="15" t="s">
        <v>879</v>
      </c>
      <c r="F5" s="15" t="s">
        <v>880</v>
      </c>
      <c r="G5" s="15" t="s">
        <v>881</v>
      </c>
      <c r="H5" s="15" t="s">
        <v>738</v>
      </c>
      <c r="I5" s="15" t="s">
        <v>882</v>
      </c>
      <c r="J5" s="15" t="s">
        <v>86</v>
      </c>
    </row>
    <row r="6" spans="1:10" ht="16.05" customHeight="1" x14ac:dyDescent="0.3">
      <c r="A6" s="16">
        <v>1</v>
      </c>
      <c r="B6" s="16" t="s">
        <v>883</v>
      </c>
      <c r="C6" s="16"/>
      <c r="D6" s="16"/>
      <c r="E6" s="16"/>
      <c r="F6" s="16"/>
      <c r="G6" s="16" t="s">
        <v>884</v>
      </c>
      <c r="H6" s="16"/>
      <c r="I6" s="16"/>
      <c r="J6" s="16" t="s">
        <v>885</v>
      </c>
    </row>
    <row r="7" spans="1:10" ht="16.05" customHeight="1" x14ac:dyDescent="0.3">
      <c r="A7" s="18">
        <v>2</v>
      </c>
      <c r="B7" s="18" t="s">
        <v>886</v>
      </c>
      <c r="C7" s="18"/>
      <c r="D7" s="18"/>
      <c r="E7" s="18"/>
      <c r="F7" s="18"/>
      <c r="G7" s="18" t="s">
        <v>746</v>
      </c>
      <c r="H7" s="18"/>
      <c r="I7" s="18"/>
      <c r="J7" s="18" t="s">
        <v>887</v>
      </c>
    </row>
    <row r="8" spans="1:10" ht="16.05" customHeight="1" x14ac:dyDescent="0.3">
      <c r="A8" s="16">
        <v>3</v>
      </c>
      <c r="B8" s="16" t="s">
        <v>888</v>
      </c>
      <c r="C8" s="16"/>
      <c r="D8" s="16"/>
      <c r="E8" s="16"/>
      <c r="F8" s="16"/>
      <c r="G8" s="16" t="s">
        <v>756</v>
      </c>
      <c r="H8" s="16"/>
      <c r="I8" s="16"/>
      <c r="J8" s="16" t="s">
        <v>889</v>
      </c>
    </row>
    <row r="9" spans="1:10" ht="16.05" customHeight="1" x14ac:dyDescent="0.3">
      <c r="A9" s="18">
        <v>4</v>
      </c>
      <c r="B9" s="18" t="s">
        <v>890</v>
      </c>
      <c r="C9" s="18"/>
      <c r="D9" s="18"/>
      <c r="E9" s="18"/>
      <c r="F9" s="18"/>
      <c r="G9" s="18" t="s">
        <v>891</v>
      </c>
      <c r="H9" s="18"/>
      <c r="I9" s="18"/>
      <c r="J9" s="18" t="s">
        <v>892</v>
      </c>
    </row>
    <row r="10" spans="1:10" ht="16.05" customHeight="1" x14ac:dyDescent="0.3">
      <c r="A10" s="16">
        <v>5</v>
      </c>
      <c r="B10" s="16" t="s">
        <v>893</v>
      </c>
      <c r="C10" s="16"/>
      <c r="D10" s="16"/>
      <c r="E10" s="16"/>
      <c r="F10" s="16"/>
      <c r="G10" s="16" t="s">
        <v>746</v>
      </c>
      <c r="H10" s="16"/>
      <c r="I10" s="16"/>
      <c r="J10" s="16" t="s">
        <v>894</v>
      </c>
    </row>
    <row r="11" spans="1:10" ht="16.05" customHeight="1" x14ac:dyDescent="0.3">
      <c r="A11" s="18">
        <v>6</v>
      </c>
      <c r="B11" s="18" t="s">
        <v>895</v>
      </c>
      <c r="C11" s="18"/>
      <c r="D11" s="18"/>
      <c r="E11" s="18"/>
      <c r="F11" s="18"/>
      <c r="G11" s="18" t="s">
        <v>758</v>
      </c>
      <c r="H11" s="18"/>
      <c r="I11" s="18"/>
      <c r="J11" s="18" t="s">
        <v>896</v>
      </c>
    </row>
    <row r="12" spans="1:10" ht="16.05" customHeight="1" x14ac:dyDescent="0.3">
      <c r="A12" s="16">
        <v>7</v>
      </c>
      <c r="B12" s="16" t="s">
        <v>897</v>
      </c>
      <c r="C12" s="16"/>
      <c r="D12" s="16"/>
      <c r="E12" s="16"/>
      <c r="F12" s="16"/>
      <c r="G12" s="16" t="s">
        <v>884</v>
      </c>
      <c r="H12" s="16"/>
      <c r="I12" s="16"/>
      <c r="J12" s="16" t="s">
        <v>898</v>
      </c>
    </row>
    <row r="13" spans="1:10" ht="16.05" customHeight="1" x14ac:dyDescent="0.3">
      <c r="A13" s="18">
        <v>8</v>
      </c>
      <c r="B13" s="18" t="s">
        <v>899</v>
      </c>
      <c r="C13" s="18"/>
      <c r="D13" s="18"/>
      <c r="E13" s="18"/>
      <c r="F13" s="18"/>
      <c r="G13" s="18" t="s">
        <v>746</v>
      </c>
      <c r="H13" s="18"/>
      <c r="I13" s="18"/>
      <c r="J13" s="18" t="s">
        <v>900</v>
      </c>
    </row>
    <row r="14" spans="1:10" ht="16.05" customHeight="1" x14ac:dyDescent="0.3">
      <c r="A14" s="16">
        <v>9</v>
      </c>
      <c r="B14" s="16" t="s">
        <v>901</v>
      </c>
      <c r="C14" s="16"/>
      <c r="D14" s="16"/>
      <c r="E14" s="16"/>
      <c r="F14" s="16"/>
      <c r="G14" s="16" t="s">
        <v>884</v>
      </c>
      <c r="H14" s="16"/>
      <c r="I14" s="16"/>
      <c r="J14" s="16" t="s">
        <v>902</v>
      </c>
    </row>
    <row r="15" spans="1:10" ht="16.05" customHeight="1" x14ac:dyDescent="0.3">
      <c r="A15" s="18">
        <v>10</v>
      </c>
      <c r="B15" s="18" t="s">
        <v>903</v>
      </c>
      <c r="C15" s="18"/>
      <c r="D15" s="18"/>
      <c r="E15" s="18"/>
      <c r="F15" s="18"/>
      <c r="G15" s="18" t="s">
        <v>904</v>
      </c>
      <c r="H15" s="18"/>
      <c r="I15" s="18"/>
      <c r="J15" s="18" t="s">
        <v>905</v>
      </c>
    </row>
    <row r="17" spans="1:10" ht="19.95" customHeight="1" x14ac:dyDescent="0.3">
      <c r="A17" s="37" t="s">
        <v>906</v>
      </c>
      <c r="B17" s="33"/>
      <c r="C17" s="33"/>
      <c r="D17" s="33"/>
      <c r="E17" s="33"/>
      <c r="F17" s="33"/>
      <c r="G17" s="33"/>
      <c r="H17" s="33"/>
      <c r="I17" s="33"/>
      <c r="J17" s="33"/>
    </row>
    <row r="18" spans="1:10" ht="31.95" customHeight="1" x14ac:dyDescent="0.3">
      <c r="A18" s="15" t="s">
        <v>78</v>
      </c>
      <c r="B18" s="15" t="s">
        <v>907</v>
      </c>
      <c r="C18" s="15" t="s">
        <v>908</v>
      </c>
      <c r="D18" s="15" t="s">
        <v>909</v>
      </c>
      <c r="E18" s="15" t="s">
        <v>910</v>
      </c>
      <c r="F18" s="15" t="s">
        <v>911</v>
      </c>
      <c r="G18" s="15" t="s">
        <v>912</v>
      </c>
      <c r="H18" s="15" t="s">
        <v>913</v>
      </c>
      <c r="I18" s="15" t="s">
        <v>914</v>
      </c>
      <c r="J18" s="15" t="s">
        <v>86</v>
      </c>
    </row>
    <row r="19" spans="1:10" ht="16.05" customHeight="1" x14ac:dyDescent="0.3">
      <c r="A19" s="18">
        <v>1</v>
      </c>
      <c r="B19" s="18" t="s">
        <v>915</v>
      </c>
      <c r="C19" s="18"/>
      <c r="D19" s="18"/>
      <c r="E19" s="18"/>
      <c r="F19" s="18"/>
      <c r="G19" s="18"/>
      <c r="H19" s="18" t="s">
        <v>916</v>
      </c>
      <c r="I19" s="18" t="s">
        <v>349</v>
      </c>
      <c r="J19" s="18" t="s">
        <v>917</v>
      </c>
    </row>
    <row r="20" spans="1:10" ht="16.05" customHeight="1" x14ac:dyDescent="0.3">
      <c r="A20" s="16">
        <v>2</v>
      </c>
      <c r="B20" s="16" t="s">
        <v>918</v>
      </c>
      <c r="C20" s="16"/>
      <c r="D20" s="16"/>
      <c r="E20" s="16"/>
      <c r="F20" s="16"/>
      <c r="G20" s="16"/>
      <c r="H20" s="16" t="s">
        <v>919</v>
      </c>
      <c r="I20" s="16" t="s">
        <v>291</v>
      </c>
      <c r="J20" s="16" t="s">
        <v>920</v>
      </c>
    </row>
    <row r="21" spans="1:10" ht="16.05" customHeight="1" x14ac:dyDescent="0.3">
      <c r="A21" s="18">
        <v>3</v>
      </c>
      <c r="B21" s="18" t="s">
        <v>921</v>
      </c>
      <c r="C21" s="18"/>
      <c r="D21" s="18"/>
      <c r="E21" s="18"/>
      <c r="F21" s="18"/>
      <c r="G21" s="18"/>
      <c r="H21" s="18" t="s">
        <v>922</v>
      </c>
      <c r="I21" s="18" t="s">
        <v>291</v>
      </c>
      <c r="J21" s="18" t="s">
        <v>923</v>
      </c>
    </row>
    <row r="22" spans="1:10" ht="16.05" customHeight="1" x14ac:dyDescent="0.3">
      <c r="A22" s="16">
        <v>4</v>
      </c>
      <c r="B22" s="16" t="s">
        <v>924</v>
      </c>
      <c r="C22" s="16"/>
      <c r="D22" s="16"/>
      <c r="E22" s="16"/>
      <c r="F22" s="16"/>
      <c r="G22" s="16"/>
      <c r="H22" s="16" t="s">
        <v>925</v>
      </c>
      <c r="I22" s="16" t="s">
        <v>295</v>
      </c>
      <c r="J22" s="16" t="s">
        <v>926</v>
      </c>
    </row>
    <row r="23" spans="1:10" ht="16.05" customHeight="1" x14ac:dyDescent="0.3">
      <c r="A23" s="18">
        <v>5</v>
      </c>
      <c r="B23" s="18" t="s">
        <v>927</v>
      </c>
      <c r="C23" s="18"/>
      <c r="D23" s="18"/>
      <c r="E23" s="18"/>
      <c r="F23" s="18"/>
      <c r="G23" s="18"/>
      <c r="H23" s="18" t="s">
        <v>928</v>
      </c>
      <c r="I23" s="18" t="s">
        <v>291</v>
      </c>
      <c r="J23" s="18" t="s">
        <v>929</v>
      </c>
    </row>
    <row r="24" spans="1:10" ht="16.05" customHeight="1" x14ac:dyDescent="0.3">
      <c r="A24" s="16">
        <v>6</v>
      </c>
      <c r="B24" s="16" t="s">
        <v>930</v>
      </c>
      <c r="C24" s="16"/>
      <c r="D24" s="16"/>
      <c r="E24" s="16"/>
      <c r="F24" s="16"/>
      <c r="G24" s="16"/>
      <c r="H24" s="16" t="s">
        <v>931</v>
      </c>
      <c r="I24" s="16" t="s">
        <v>349</v>
      </c>
      <c r="J24" s="16"/>
    </row>
    <row r="25" spans="1:10" ht="16.05" customHeight="1" x14ac:dyDescent="0.3">
      <c r="A25" s="18">
        <v>7</v>
      </c>
      <c r="B25" s="18" t="s">
        <v>932</v>
      </c>
      <c r="C25" s="18"/>
      <c r="D25" s="18"/>
      <c r="E25" s="18"/>
      <c r="F25" s="18"/>
      <c r="G25" s="18"/>
      <c r="H25" s="18" t="s">
        <v>933</v>
      </c>
      <c r="I25" s="18" t="s">
        <v>349</v>
      </c>
      <c r="J25" s="18" t="s">
        <v>934</v>
      </c>
    </row>
    <row r="27" spans="1:10" ht="19.95" customHeight="1" x14ac:dyDescent="0.3">
      <c r="A27" s="37" t="s">
        <v>935</v>
      </c>
      <c r="B27" s="33"/>
      <c r="C27" s="33"/>
      <c r="D27" s="33"/>
      <c r="E27" s="33"/>
      <c r="F27" s="33"/>
      <c r="G27" s="33"/>
      <c r="H27" s="33"/>
      <c r="I27" s="33"/>
      <c r="J27" s="33"/>
    </row>
    <row r="28" spans="1:10" ht="31.95" customHeight="1" x14ac:dyDescent="0.3">
      <c r="A28" s="15" t="s">
        <v>78</v>
      </c>
      <c r="B28" s="15" t="s">
        <v>936</v>
      </c>
      <c r="C28" s="15" t="s">
        <v>908</v>
      </c>
      <c r="D28" s="15" t="s">
        <v>344</v>
      </c>
      <c r="E28" s="15" t="s">
        <v>937</v>
      </c>
      <c r="F28" s="15" t="s">
        <v>938</v>
      </c>
      <c r="G28" s="15" t="s">
        <v>939</v>
      </c>
      <c r="H28" s="15" t="s">
        <v>940</v>
      </c>
      <c r="I28" s="15" t="s">
        <v>941</v>
      </c>
      <c r="J28" s="15" t="s">
        <v>732</v>
      </c>
    </row>
    <row r="29" spans="1:10" ht="16.05" customHeight="1" x14ac:dyDescent="0.3">
      <c r="A29" s="18">
        <v>1</v>
      </c>
      <c r="B29" s="18" t="s">
        <v>942</v>
      </c>
      <c r="C29" s="18"/>
      <c r="D29" s="18" t="s">
        <v>349</v>
      </c>
      <c r="E29" s="18"/>
      <c r="F29" s="18"/>
      <c r="G29" s="18"/>
      <c r="H29" s="18"/>
      <c r="I29" s="18" t="s">
        <v>943</v>
      </c>
      <c r="J29" s="18" t="s">
        <v>944</v>
      </c>
    </row>
    <row r="30" spans="1:10" ht="16.05" customHeight="1" x14ac:dyDescent="0.3">
      <c r="A30" s="16">
        <v>2</v>
      </c>
      <c r="B30" s="16" t="s">
        <v>945</v>
      </c>
      <c r="C30" s="16"/>
      <c r="D30" s="16" t="s">
        <v>295</v>
      </c>
      <c r="E30" s="16"/>
      <c r="F30" s="16"/>
      <c r="G30" s="16"/>
      <c r="H30" s="16"/>
      <c r="I30" s="16" t="s">
        <v>946</v>
      </c>
      <c r="J30" s="16" t="s">
        <v>947</v>
      </c>
    </row>
    <row r="31" spans="1:10" ht="16.05" customHeight="1" x14ac:dyDescent="0.3">
      <c r="A31" s="18">
        <v>3</v>
      </c>
      <c r="B31" s="18" t="s">
        <v>948</v>
      </c>
      <c r="C31" s="18"/>
      <c r="D31" s="18" t="s">
        <v>291</v>
      </c>
      <c r="E31" s="18"/>
      <c r="F31" s="18"/>
      <c r="G31" s="18"/>
      <c r="H31" s="18"/>
      <c r="I31" s="18" t="s">
        <v>949</v>
      </c>
      <c r="J31" s="18" t="s">
        <v>950</v>
      </c>
    </row>
    <row r="32" spans="1:10" ht="16.05" customHeight="1" x14ac:dyDescent="0.3">
      <c r="A32" s="16">
        <v>4</v>
      </c>
      <c r="B32" s="16" t="s">
        <v>951</v>
      </c>
      <c r="C32" s="16"/>
      <c r="D32" s="16" t="s">
        <v>295</v>
      </c>
      <c r="E32" s="16"/>
      <c r="F32" s="16"/>
      <c r="G32" s="16"/>
      <c r="H32" s="16"/>
      <c r="I32" s="16" t="s">
        <v>952</v>
      </c>
      <c r="J32" s="16" t="s">
        <v>953</v>
      </c>
    </row>
    <row r="33" spans="1:10" ht="16.05" customHeight="1" x14ac:dyDescent="0.3">
      <c r="A33" s="18">
        <v>5</v>
      </c>
      <c r="B33" s="18" t="s">
        <v>954</v>
      </c>
      <c r="C33" s="18"/>
      <c r="D33" s="18" t="s">
        <v>295</v>
      </c>
      <c r="E33" s="18"/>
      <c r="F33" s="18"/>
      <c r="G33" s="18"/>
      <c r="H33" s="18"/>
      <c r="I33" s="18" t="s">
        <v>955</v>
      </c>
      <c r="J33" s="18" t="s">
        <v>956</v>
      </c>
    </row>
    <row r="34" spans="1:10" ht="16.05" customHeight="1" x14ac:dyDescent="0.3">
      <c r="A34" s="16">
        <v>6</v>
      </c>
      <c r="B34" s="16" t="s">
        <v>957</v>
      </c>
      <c r="C34" s="16"/>
      <c r="D34" s="16" t="s">
        <v>275</v>
      </c>
      <c r="E34" s="16"/>
      <c r="F34" s="16"/>
      <c r="G34" s="16"/>
      <c r="H34" s="16"/>
      <c r="I34" s="16" t="s">
        <v>958</v>
      </c>
      <c r="J34" s="16" t="s">
        <v>959</v>
      </c>
    </row>
    <row r="35" spans="1:10" ht="16.05" customHeight="1" x14ac:dyDescent="0.3">
      <c r="A35" s="18">
        <v>7</v>
      </c>
      <c r="B35" s="18" t="s">
        <v>960</v>
      </c>
      <c r="C35" s="18"/>
      <c r="D35" s="18" t="s">
        <v>275</v>
      </c>
      <c r="E35" s="18"/>
      <c r="F35" s="18"/>
      <c r="G35" s="18"/>
      <c r="H35" s="18"/>
      <c r="I35" s="18" t="s">
        <v>961</v>
      </c>
      <c r="J35" s="18" t="s">
        <v>962</v>
      </c>
    </row>
  </sheetData>
  <mergeCells count="6">
    <mergeCell ref="A1:J1"/>
    <mergeCell ref="A17:J17"/>
    <mergeCell ref="A27:J27"/>
    <mergeCell ref="A3:J3"/>
    <mergeCell ref="A4:J4"/>
    <mergeCell ref="A2:J2"/>
  </mergeCell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xr:uid="{00000000-0002-0000-1400-000000000000}">
          <x14:formula1>
            <xm:f>REF!$K$2:$K$5</xm:f>
          </x14:formula1>
          <xm:sqref>G29:G35 H6:H15</xm:sqref>
        </x14:dataValidation>
        <x14:dataValidation type="list" allowBlank="1" xr:uid="{00000000-0002-0000-1400-00000A000000}">
          <x14:formula1>
            <xm:f>REF!$A$2:$A$37</xm:f>
          </x14:formula1>
          <xm:sqref>H29:H35 G19:G25</xm:sqref>
        </x14:dataValidation>
        <x14:dataValidation type="list" allowBlank="1" xr:uid="{00000000-0002-0000-1400-00000B000000}">
          <x14:formula1>
            <xm:f>REF!$I$2:$I$5</xm:f>
          </x14:formula1>
          <xm:sqref>D29:D35 I19:I25</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59"/>
  <sheetViews>
    <sheetView showGridLines="0" workbookViewId="0">
      <selection sqref="A1:L1"/>
    </sheetView>
  </sheetViews>
  <sheetFormatPr defaultRowHeight="14.4" x14ac:dyDescent="0.3"/>
  <cols>
    <col min="1" max="1" width="4" customWidth="1"/>
    <col min="2" max="2" width="26" customWidth="1"/>
    <col min="3" max="3" width="16" customWidth="1"/>
    <col min="4" max="4" width="22" customWidth="1"/>
    <col min="5" max="6" width="14" customWidth="1"/>
    <col min="7" max="11" width="12" customWidth="1"/>
    <col min="12" max="12" width="22" customWidth="1"/>
  </cols>
  <sheetData>
    <row r="1" spans="1:12" ht="28.05" customHeight="1" x14ac:dyDescent="0.3">
      <c r="A1" s="32" t="s">
        <v>963</v>
      </c>
      <c r="B1" s="33"/>
      <c r="C1" s="33"/>
      <c r="D1" s="33"/>
      <c r="E1" s="33"/>
      <c r="F1" s="33"/>
      <c r="G1" s="33"/>
      <c r="H1" s="33"/>
      <c r="I1" s="33"/>
      <c r="J1" s="33"/>
      <c r="K1" s="33"/>
      <c r="L1" s="33"/>
    </row>
    <row r="2" spans="1:12" ht="18" customHeight="1" x14ac:dyDescent="0.3">
      <c r="A2" s="38" t="str">
        <f>IF(SelectedScope="All India","NATIONAL VIEW — ALL INDIA","STATE VIEW — "&amp;SelectedScope)</f>
        <v>NATIONAL VIEW — ALL INDIA</v>
      </c>
      <c r="B2" s="33"/>
      <c r="C2" s="33"/>
      <c r="D2" s="33"/>
      <c r="E2" s="33"/>
      <c r="F2" s="33"/>
      <c r="G2" s="33"/>
      <c r="H2" s="33"/>
      <c r="I2" s="33"/>
      <c r="J2" s="33"/>
      <c r="K2" s="33"/>
      <c r="L2" s="33"/>
    </row>
    <row r="3" spans="1:12" ht="16.05" customHeight="1" x14ac:dyDescent="0.3">
      <c r="A3" s="39" t="s">
        <v>964</v>
      </c>
      <c r="B3" s="33"/>
      <c r="C3" s="33"/>
      <c r="D3" s="33"/>
      <c r="E3" s="33"/>
      <c r="F3" s="33"/>
      <c r="G3" s="33"/>
      <c r="H3" s="33"/>
      <c r="I3" s="33"/>
      <c r="J3" s="33"/>
      <c r="K3" s="33"/>
      <c r="L3" s="33"/>
    </row>
    <row r="4" spans="1:12" ht="19.95" customHeight="1" x14ac:dyDescent="0.3">
      <c r="A4" s="37" t="s">
        <v>965</v>
      </c>
      <c r="B4" s="33"/>
      <c r="C4" s="33"/>
      <c r="D4" s="33"/>
      <c r="E4" s="33"/>
      <c r="F4" s="33"/>
      <c r="G4" s="33"/>
      <c r="H4" s="33"/>
      <c r="I4" s="33"/>
      <c r="J4" s="33"/>
      <c r="K4" s="33"/>
      <c r="L4" s="33"/>
    </row>
    <row r="5" spans="1:12" ht="31.95" customHeight="1" x14ac:dyDescent="0.3">
      <c r="A5" s="15" t="s">
        <v>78</v>
      </c>
      <c r="B5" s="15" t="s">
        <v>966</v>
      </c>
      <c r="C5" s="15" t="s">
        <v>967</v>
      </c>
      <c r="D5" s="15" t="s">
        <v>968</v>
      </c>
      <c r="E5" s="15" t="s">
        <v>969</v>
      </c>
      <c r="F5" s="15" t="s">
        <v>970</v>
      </c>
      <c r="G5" s="15" t="s">
        <v>698</v>
      </c>
      <c r="H5" s="15" t="s">
        <v>971</v>
      </c>
      <c r="I5" s="15" t="s">
        <v>159</v>
      </c>
      <c r="J5" s="15" t="s">
        <v>972</v>
      </c>
      <c r="K5" s="15" t="s">
        <v>973</v>
      </c>
      <c r="L5" s="15" t="s">
        <v>86</v>
      </c>
    </row>
    <row r="6" spans="1:12" ht="15" customHeight="1" x14ac:dyDescent="0.3">
      <c r="A6" s="12">
        <f>IF(IF(OR(SelectedScope="All India",RAW_ADS!$D4=SelectedScope,RAW_ADS!$D4="All India"),TRUE,FALSE),RAW_ADS!A4,"")</f>
        <v>1</v>
      </c>
      <c r="B6" s="12" t="str">
        <f>IF(IF(OR(SelectedScope="All India",RAW_ADS!$D4=SelectedScope,RAW_ADS!$D4="All India"),TRUE,FALSE),RAW_ADS!B4,"")</f>
        <v>Science Kit Launch</v>
      </c>
      <c r="C6" s="12" t="str">
        <f>IF(IF(OR(SelectedScope="All India",RAW_ADS!$D4=SelectedScope,RAW_ADS!$D4="All India"),TRUE,FALSE),RAW_ADS!C4,"")</f>
        <v>Video</v>
      </c>
      <c r="D6" s="12" t="str">
        <f>IF(IF(OR(SelectedScope="All India",RAW_ADS!$D4=SelectedScope,RAW_ADS!$D4="All India"),TRUE,FALSE),RAW_ADS!D4,"")</f>
        <v>Maharashtra</v>
      </c>
      <c r="E6" s="12">
        <f>IF(IF(OR(SelectedScope="All India",RAW_ADS!$D4=SelectedScope,RAW_ADS!$D4="All India"),TRUE,FALSE),RAW_ADS!E4,"")</f>
        <v>0</v>
      </c>
      <c r="F6" s="12">
        <f>IF(IF(OR(SelectedScope="All India",RAW_ADS!$D4=SelectedScope,RAW_ADS!$D4="All India"),TRUE,FALSE),RAW_ADS!F4,"")</f>
        <v>0</v>
      </c>
      <c r="G6" s="12">
        <f>IF(IF(OR(SelectedScope="All India",RAW_ADS!$D4=SelectedScope,RAW_ADS!$D4="All India"),TRUE,FALSE),RAW_ADS!G4,"")</f>
        <v>0</v>
      </c>
      <c r="H6" s="12">
        <f>IF(IF(OR(SelectedScope="All India",RAW_ADS!$D4=SelectedScope,RAW_ADS!$D4="All India"),TRUE,FALSE),RAW_ADS!H4,"")</f>
        <v>0</v>
      </c>
      <c r="I6" s="12">
        <f>IF(IF(OR(SelectedScope="All India",RAW_ADS!$D4=SelectedScope,RAW_ADS!$D4="All India"),TRUE,FALSE),RAW_ADS!I4,"")</f>
        <v>0</v>
      </c>
      <c r="J6" s="12">
        <f>IF(IF(OR(SelectedScope="All India",RAW_ADS!$D4=SelectedScope,RAW_ADS!$D4="All India"),TRUE,FALSE),RAW_ADS!J4,"")</f>
        <v>0</v>
      </c>
      <c r="K6" s="12">
        <f>IF(IF(OR(SelectedScope="All India",RAW_ADS!$D4=SelectedScope,RAW_ADS!$D4="All India"),TRUE,FALSE),RAW_ADS!K4,"")</f>
        <v>0</v>
      </c>
      <c r="L6" s="12">
        <f>IF(IF(OR(SelectedScope="All India",RAW_ADS!$D4=SelectedScope,RAW_ADS!$D4="All India"),TRUE,FALSE),RAW_ADS!L4,"")</f>
        <v>0</v>
      </c>
    </row>
    <row r="7" spans="1:12" ht="15" customHeight="1" x14ac:dyDescent="0.3">
      <c r="A7" s="9">
        <f>IF(IF(OR(SelectedScope="All India",RAW_ADS!$D5=SelectedScope,RAW_ADS!$D5="All India"),TRUE,FALSE),RAW_ADS!A5,"")</f>
        <v>2</v>
      </c>
      <c r="B7" s="9" t="str">
        <f>IF(IF(OR(SelectedScope="All India",RAW_ADS!$D5=SelectedScope,RAW_ADS!$D5="All India"),TRUE,FALSE),RAW_ADS!B5,"")</f>
        <v>Maths Olympiad 2026</v>
      </c>
      <c r="C7" s="9" t="str">
        <f>IF(IF(OR(SelectedScope="All India",RAW_ADS!$D5=SelectedScope,RAW_ADS!$D5="All India"),TRUE,FALSE),RAW_ADS!C5,"")</f>
        <v>Banner</v>
      </c>
      <c r="D7" s="9" t="str">
        <f>IF(IF(OR(SelectedScope="All India",RAW_ADS!$D5=SelectedScope,RAW_ADS!$D5="All India"),TRUE,FALSE),RAW_ADS!D5,"")</f>
        <v>All India</v>
      </c>
      <c r="E7" s="9">
        <f>IF(IF(OR(SelectedScope="All India",RAW_ADS!$D5=SelectedScope,RAW_ADS!$D5="All India"),TRUE,FALSE),RAW_ADS!E5,"")</f>
        <v>0</v>
      </c>
      <c r="F7" s="9">
        <f>IF(IF(OR(SelectedScope="All India",RAW_ADS!$D5=SelectedScope,RAW_ADS!$D5="All India"),TRUE,FALSE),RAW_ADS!F5,"")</f>
        <v>0</v>
      </c>
      <c r="G7" s="9">
        <f>IF(IF(OR(SelectedScope="All India",RAW_ADS!$D5=SelectedScope,RAW_ADS!$D5="All India"),TRUE,FALSE),RAW_ADS!G5,"")</f>
        <v>0</v>
      </c>
      <c r="H7" s="9">
        <f>IF(IF(OR(SelectedScope="All India",RAW_ADS!$D5=SelectedScope,RAW_ADS!$D5="All India"),TRUE,FALSE),RAW_ADS!H5,"")</f>
        <v>0</v>
      </c>
      <c r="I7" s="9">
        <f>IF(IF(OR(SelectedScope="All India",RAW_ADS!$D5=SelectedScope,RAW_ADS!$D5="All India"),TRUE,FALSE),RAW_ADS!I5,"")</f>
        <v>0</v>
      </c>
      <c r="J7" s="9">
        <f>IF(IF(OR(SelectedScope="All India",RAW_ADS!$D5=SelectedScope,RAW_ADS!$D5="All India"),TRUE,FALSE),RAW_ADS!J5,"")</f>
        <v>0</v>
      </c>
      <c r="K7" s="9">
        <f>IF(IF(OR(SelectedScope="All India",RAW_ADS!$D5=SelectedScope,RAW_ADS!$D5="All India"),TRUE,FALSE),RAW_ADS!K5,"")</f>
        <v>0</v>
      </c>
      <c r="L7" s="9">
        <f>IF(IF(OR(SelectedScope="All India",RAW_ADS!$D5=SelectedScope,RAW_ADS!$D5="All India"),TRUE,FALSE),RAW_ADS!L5,"")</f>
        <v>0</v>
      </c>
    </row>
    <row r="8" spans="1:12" ht="15" customHeight="1" x14ac:dyDescent="0.3">
      <c r="A8" s="12">
        <f>IF(IF(OR(SelectedScope="All India",RAW_ADS!$D6=SelectedScope,RAW_ADS!$D6="All India"),TRUE,FALSE),RAW_ADS!A6,"")</f>
        <v>3</v>
      </c>
      <c r="B8" s="12" t="str">
        <f>IF(IF(OR(SelectedScope="All India",RAW_ADS!$D6=SelectedScope,RAW_ADS!$D6="All India"),TRUE,FALSE),RAW_ADS!B6,"")</f>
        <v>History Book Fair</v>
      </c>
      <c r="C8" s="12" t="str">
        <f>IF(IF(OR(SelectedScope="All India",RAW_ADS!$D6=SelectedScope,RAW_ADS!$D6="All India"),TRUE,FALSE),RAW_ADS!C6,"")</f>
        <v>Interstitial</v>
      </c>
      <c r="D8" s="12" t="str">
        <f>IF(IF(OR(SelectedScope="All India",RAW_ADS!$D6=SelectedScope,RAW_ADS!$D6="All India"),TRUE,FALSE),RAW_ADS!D6,"")</f>
        <v>Uttar Pradesh</v>
      </c>
      <c r="E8" s="12">
        <f>IF(IF(OR(SelectedScope="All India",RAW_ADS!$D6=SelectedScope,RAW_ADS!$D6="All India"),TRUE,FALSE),RAW_ADS!E6,"")</f>
        <v>0</v>
      </c>
      <c r="F8" s="12">
        <f>IF(IF(OR(SelectedScope="All India",RAW_ADS!$D6=SelectedScope,RAW_ADS!$D6="All India"),TRUE,FALSE),RAW_ADS!F6,"")</f>
        <v>0</v>
      </c>
      <c r="G8" s="12">
        <f>IF(IF(OR(SelectedScope="All India",RAW_ADS!$D6=SelectedScope,RAW_ADS!$D6="All India"),TRUE,FALSE),RAW_ADS!G6,"")</f>
        <v>0</v>
      </c>
      <c r="H8" s="12">
        <f>IF(IF(OR(SelectedScope="All India",RAW_ADS!$D6=SelectedScope,RAW_ADS!$D6="All India"),TRUE,FALSE),RAW_ADS!H6,"")</f>
        <v>0</v>
      </c>
      <c r="I8" s="12">
        <f>IF(IF(OR(SelectedScope="All India",RAW_ADS!$D6=SelectedScope,RAW_ADS!$D6="All India"),TRUE,FALSE),RAW_ADS!I6,"")</f>
        <v>0</v>
      </c>
      <c r="J8" s="12">
        <f>IF(IF(OR(SelectedScope="All India",RAW_ADS!$D6=SelectedScope,RAW_ADS!$D6="All India"),TRUE,FALSE),RAW_ADS!J6,"")</f>
        <v>0</v>
      </c>
      <c r="K8" s="12">
        <f>IF(IF(OR(SelectedScope="All India",RAW_ADS!$D6=SelectedScope,RAW_ADS!$D6="All India"),TRUE,FALSE),RAW_ADS!K6,"")</f>
        <v>0</v>
      </c>
      <c r="L8" s="12">
        <f>IF(IF(OR(SelectedScope="All India",RAW_ADS!$D6=SelectedScope,RAW_ADS!$D6="All India"),TRUE,FALSE),RAW_ADS!L6,"")</f>
        <v>0</v>
      </c>
    </row>
    <row r="9" spans="1:12" ht="15" customHeight="1" x14ac:dyDescent="0.3">
      <c r="A9" s="9">
        <f>IF(IF(OR(SelectedScope="All India",RAW_ADS!$D7=SelectedScope,RAW_ADS!$D7="All India"),TRUE,FALSE),RAW_ADS!A7,"")</f>
        <v>4</v>
      </c>
      <c r="B9" s="9" t="str">
        <f>IF(IF(OR(SelectedScope="All India",RAW_ADS!$D7=SelectedScope,RAW_ADS!$D7="All India"),TRUE,FALSE),RAW_ADS!B7,"")</f>
        <v>Republic Day Special</v>
      </c>
      <c r="C9" s="9" t="str">
        <f>IF(IF(OR(SelectedScope="All India",RAW_ADS!$D7=SelectedScope,RAW_ADS!$D7="All India"),TRUE,FALSE),RAW_ADS!C7,"")</f>
        <v>Video</v>
      </c>
      <c r="D9" s="9" t="str">
        <f>IF(IF(OR(SelectedScope="All India",RAW_ADS!$D7=SelectedScope,RAW_ADS!$D7="All India"),TRUE,FALSE),RAW_ADS!D7,"")</f>
        <v>All India</v>
      </c>
      <c r="E9" s="9">
        <f>IF(IF(OR(SelectedScope="All India",RAW_ADS!$D7=SelectedScope,RAW_ADS!$D7="All India"),TRUE,FALSE),RAW_ADS!E7,"")</f>
        <v>0</v>
      </c>
      <c r="F9" s="9">
        <f>IF(IF(OR(SelectedScope="All India",RAW_ADS!$D7=SelectedScope,RAW_ADS!$D7="All India"),TRUE,FALSE),RAW_ADS!F7,"")</f>
        <v>0</v>
      </c>
      <c r="G9" s="9">
        <f>IF(IF(OR(SelectedScope="All India",RAW_ADS!$D7=SelectedScope,RAW_ADS!$D7="All India"),TRUE,FALSE),RAW_ADS!G7,"")</f>
        <v>0</v>
      </c>
      <c r="H9" s="9">
        <f>IF(IF(OR(SelectedScope="All India",RAW_ADS!$D7=SelectedScope,RAW_ADS!$D7="All India"),TRUE,FALSE),RAW_ADS!H7,"")</f>
        <v>0</v>
      </c>
      <c r="I9" s="9">
        <f>IF(IF(OR(SelectedScope="All India",RAW_ADS!$D7=SelectedScope,RAW_ADS!$D7="All India"),TRUE,FALSE),RAW_ADS!I7,"")</f>
        <v>0</v>
      </c>
      <c r="J9" s="9">
        <f>IF(IF(OR(SelectedScope="All India",RAW_ADS!$D7=SelectedScope,RAW_ADS!$D7="All India"),TRUE,FALSE),RAW_ADS!J7,"")</f>
        <v>0</v>
      </c>
      <c r="K9" s="9">
        <f>IF(IF(OR(SelectedScope="All India",RAW_ADS!$D7=SelectedScope,RAW_ADS!$D7="All India"),TRUE,FALSE),RAW_ADS!K7,"")</f>
        <v>0</v>
      </c>
      <c r="L9" s="9">
        <f>IF(IF(OR(SelectedScope="All India",RAW_ADS!$D7=SelectedScope,RAW_ADS!$D7="All India"),TRUE,FALSE),RAW_ADS!L7,"")</f>
        <v>0</v>
      </c>
    </row>
    <row r="10" spans="1:12" ht="15" customHeight="1" x14ac:dyDescent="0.3">
      <c r="A10" s="12">
        <f>IF(IF(OR(SelectedScope="All India",RAW_ADS!$D8=SelectedScope,RAW_ADS!$D8="All India"),TRUE,FALSE),RAW_ADS!A8,"")</f>
        <v>5</v>
      </c>
      <c r="B10" s="12" t="str">
        <f>IF(IF(OR(SelectedScope="All India",RAW_ADS!$D8=SelectedScope,RAW_ADS!$D8="All India"),TRUE,FALSE),RAW_ADS!B8,"")</f>
        <v>Winter Science Fair</v>
      </c>
      <c r="C10" s="12" t="str">
        <f>IF(IF(OR(SelectedScope="All India",RAW_ADS!$D8=SelectedScope,RAW_ADS!$D8="All India"),TRUE,FALSE),RAW_ADS!C8,"")</f>
        <v>Banner</v>
      </c>
      <c r="D10" s="12" t="str">
        <f>IF(IF(OR(SelectedScope="All India",RAW_ADS!$D8=SelectedScope,RAW_ADS!$D8="All India"),TRUE,FALSE),RAW_ADS!D8,"")</f>
        <v>Delhi</v>
      </c>
      <c r="E10" s="12">
        <f>IF(IF(OR(SelectedScope="All India",RAW_ADS!$D8=SelectedScope,RAW_ADS!$D8="All India"),TRUE,FALSE),RAW_ADS!E8,"")</f>
        <v>0</v>
      </c>
      <c r="F10" s="12">
        <f>IF(IF(OR(SelectedScope="All India",RAW_ADS!$D8=SelectedScope,RAW_ADS!$D8="All India"),TRUE,FALSE),RAW_ADS!F8,"")</f>
        <v>0</v>
      </c>
      <c r="G10" s="12">
        <f>IF(IF(OR(SelectedScope="All India",RAW_ADS!$D8=SelectedScope,RAW_ADS!$D8="All India"),TRUE,FALSE),RAW_ADS!G8,"")</f>
        <v>0</v>
      </c>
      <c r="H10" s="12">
        <f>IF(IF(OR(SelectedScope="All India",RAW_ADS!$D8=SelectedScope,RAW_ADS!$D8="All India"),TRUE,FALSE),RAW_ADS!H8,"")</f>
        <v>0</v>
      </c>
      <c r="I10" s="12">
        <f>IF(IF(OR(SelectedScope="All India",RAW_ADS!$D8=SelectedScope,RAW_ADS!$D8="All India"),TRUE,FALSE),RAW_ADS!I8,"")</f>
        <v>0</v>
      </c>
      <c r="J10" s="12">
        <f>IF(IF(OR(SelectedScope="All India",RAW_ADS!$D8=SelectedScope,RAW_ADS!$D8="All India"),TRUE,FALSE),RAW_ADS!J8,"")</f>
        <v>0</v>
      </c>
      <c r="K10" s="12">
        <f>IF(IF(OR(SelectedScope="All India",RAW_ADS!$D8=SelectedScope,RAW_ADS!$D8="All India"),TRUE,FALSE),RAW_ADS!K8,"")</f>
        <v>0</v>
      </c>
      <c r="L10" s="12">
        <f>IF(IF(OR(SelectedScope="All India",RAW_ADS!$D8=SelectedScope,RAW_ADS!$D8="All India"),TRUE,FALSE),RAW_ADS!L8,"")</f>
        <v>0</v>
      </c>
    </row>
    <row r="11" spans="1:12" ht="15" customHeight="1" x14ac:dyDescent="0.3">
      <c r="A11" s="9">
        <f>IF(IF(OR(SelectedScope="All India",RAW_ADS!$D9=SelectedScope,RAW_ADS!$D9="All India"),TRUE,FALSE),RAW_ADS!A9,"")</f>
        <v>6</v>
      </c>
      <c r="B11" s="9" t="str">
        <f>IF(IF(OR(SelectedScope="All India",RAW_ADS!$D9=SelectedScope,RAW_ADS!$D9="All India"),TRUE,FALSE),RAW_ADS!B9,"")</f>
        <v>[Campaign]</v>
      </c>
      <c r="C11" s="9">
        <f>IF(IF(OR(SelectedScope="All India",RAW_ADS!$D9=SelectedScope,RAW_ADS!$D9="All India"),TRUE,FALSE),RAW_ADS!C9,"")</f>
        <v>0</v>
      </c>
      <c r="D11" s="9">
        <f>IF(IF(OR(SelectedScope="All India",RAW_ADS!$D9=SelectedScope,RAW_ADS!$D9="All India"),TRUE,FALSE),RAW_ADS!D9,"")</f>
        <v>0</v>
      </c>
      <c r="E11" s="9">
        <f>IF(IF(OR(SelectedScope="All India",RAW_ADS!$D9=SelectedScope,RAW_ADS!$D9="All India"),TRUE,FALSE),RAW_ADS!E9,"")</f>
        <v>0</v>
      </c>
      <c r="F11" s="9">
        <f>IF(IF(OR(SelectedScope="All India",RAW_ADS!$D9=SelectedScope,RAW_ADS!$D9="All India"),TRUE,FALSE),RAW_ADS!F9,"")</f>
        <v>0</v>
      </c>
      <c r="G11" s="9">
        <f>IF(IF(OR(SelectedScope="All India",RAW_ADS!$D9=SelectedScope,RAW_ADS!$D9="All India"),TRUE,FALSE),RAW_ADS!G9,"")</f>
        <v>0</v>
      </c>
      <c r="H11" s="9">
        <f>IF(IF(OR(SelectedScope="All India",RAW_ADS!$D9=SelectedScope,RAW_ADS!$D9="All India"),TRUE,FALSE),RAW_ADS!H9,"")</f>
        <v>0</v>
      </c>
      <c r="I11" s="9">
        <f>IF(IF(OR(SelectedScope="All India",RAW_ADS!$D9=SelectedScope,RAW_ADS!$D9="All India"),TRUE,FALSE),RAW_ADS!I9,"")</f>
        <v>0</v>
      </c>
      <c r="J11" s="9">
        <f>IF(IF(OR(SelectedScope="All India",RAW_ADS!$D9=SelectedScope,RAW_ADS!$D9="All India"),TRUE,FALSE),RAW_ADS!J9,"")</f>
        <v>0</v>
      </c>
      <c r="K11" s="9">
        <f>IF(IF(OR(SelectedScope="All India",RAW_ADS!$D9=SelectedScope,RAW_ADS!$D9="All India"),TRUE,FALSE),RAW_ADS!K9,"")</f>
        <v>0</v>
      </c>
      <c r="L11" s="9">
        <f>IF(IF(OR(SelectedScope="All India",RAW_ADS!$D9=SelectedScope,RAW_ADS!$D9="All India"),TRUE,FALSE),RAW_ADS!L9,"")</f>
        <v>0</v>
      </c>
    </row>
    <row r="12" spans="1:12" ht="15" customHeight="1" x14ac:dyDescent="0.3">
      <c r="A12" s="12">
        <f>IF(IF(OR(SelectedScope="All India",RAW_ADS!$D10=SelectedScope,RAW_ADS!$D10="All India"),TRUE,FALSE),RAW_ADS!A10,"")</f>
        <v>7</v>
      </c>
      <c r="B12" s="12" t="str">
        <f>IF(IF(OR(SelectedScope="All India",RAW_ADS!$D10=SelectedScope,RAW_ADS!$D10="All India"),TRUE,FALSE),RAW_ADS!B10,"")</f>
        <v>[Campaign]</v>
      </c>
      <c r="C12" s="12">
        <f>IF(IF(OR(SelectedScope="All India",RAW_ADS!$D10=SelectedScope,RAW_ADS!$D10="All India"),TRUE,FALSE),RAW_ADS!C10,"")</f>
        <v>0</v>
      </c>
      <c r="D12" s="12">
        <f>IF(IF(OR(SelectedScope="All India",RAW_ADS!$D10=SelectedScope,RAW_ADS!$D10="All India"),TRUE,FALSE),RAW_ADS!D10,"")</f>
        <v>0</v>
      </c>
      <c r="E12" s="12">
        <f>IF(IF(OR(SelectedScope="All India",RAW_ADS!$D10=SelectedScope,RAW_ADS!$D10="All India"),TRUE,FALSE),RAW_ADS!E10,"")</f>
        <v>0</v>
      </c>
      <c r="F12" s="12">
        <f>IF(IF(OR(SelectedScope="All India",RAW_ADS!$D10=SelectedScope,RAW_ADS!$D10="All India"),TRUE,FALSE),RAW_ADS!F10,"")</f>
        <v>0</v>
      </c>
      <c r="G12" s="12">
        <f>IF(IF(OR(SelectedScope="All India",RAW_ADS!$D10=SelectedScope,RAW_ADS!$D10="All India"),TRUE,FALSE),RAW_ADS!G10,"")</f>
        <v>0</v>
      </c>
      <c r="H12" s="12">
        <f>IF(IF(OR(SelectedScope="All India",RAW_ADS!$D10=SelectedScope,RAW_ADS!$D10="All India"),TRUE,FALSE),RAW_ADS!H10,"")</f>
        <v>0</v>
      </c>
      <c r="I12" s="12">
        <f>IF(IF(OR(SelectedScope="All India",RAW_ADS!$D10=SelectedScope,RAW_ADS!$D10="All India"),TRUE,FALSE),RAW_ADS!I10,"")</f>
        <v>0</v>
      </c>
      <c r="J12" s="12">
        <f>IF(IF(OR(SelectedScope="All India",RAW_ADS!$D10=SelectedScope,RAW_ADS!$D10="All India"),TRUE,FALSE),RAW_ADS!J10,"")</f>
        <v>0</v>
      </c>
      <c r="K12" s="12">
        <f>IF(IF(OR(SelectedScope="All India",RAW_ADS!$D10=SelectedScope,RAW_ADS!$D10="All India"),TRUE,FALSE),RAW_ADS!K10,"")</f>
        <v>0</v>
      </c>
      <c r="L12" s="12">
        <f>IF(IF(OR(SelectedScope="All India",RAW_ADS!$D10=SelectedScope,RAW_ADS!$D10="All India"),TRUE,FALSE),RAW_ADS!L10,"")</f>
        <v>0</v>
      </c>
    </row>
    <row r="13" spans="1:12" ht="15" customHeight="1" x14ac:dyDescent="0.3">
      <c r="A13" s="9">
        <f>IF(IF(OR(SelectedScope="All India",RAW_ADS!$D11=SelectedScope,RAW_ADS!$D11="All India"),TRUE,FALSE),RAW_ADS!A11,"")</f>
        <v>8</v>
      </c>
      <c r="B13" s="9" t="str">
        <f>IF(IF(OR(SelectedScope="All India",RAW_ADS!$D11=SelectedScope,RAW_ADS!$D11="All India"),TRUE,FALSE),RAW_ADS!B11,"")</f>
        <v>[Campaign]</v>
      </c>
      <c r="C13" s="9">
        <f>IF(IF(OR(SelectedScope="All India",RAW_ADS!$D11=SelectedScope,RAW_ADS!$D11="All India"),TRUE,FALSE),RAW_ADS!C11,"")</f>
        <v>0</v>
      </c>
      <c r="D13" s="9">
        <f>IF(IF(OR(SelectedScope="All India",RAW_ADS!$D11=SelectedScope,RAW_ADS!$D11="All India"),TRUE,FALSE),RAW_ADS!D11,"")</f>
        <v>0</v>
      </c>
      <c r="E13" s="9">
        <f>IF(IF(OR(SelectedScope="All India",RAW_ADS!$D11=SelectedScope,RAW_ADS!$D11="All India"),TRUE,FALSE),RAW_ADS!E11,"")</f>
        <v>0</v>
      </c>
      <c r="F13" s="9">
        <f>IF(IF(OR(SelectedScope="All India",RAW_ADS!$D11=SelectedScope,RAW_ADS!$D11="All India"),TRUE,FALSE),RAW_ADS!F11,"")</f>
        <v>0</v>
      </c>
      <c r="G13" s="9">
        <f>IF(IF(OR(SelectedScope="All India",RAW_ADS!$D11=SelectedScope,RAW_ADS!$D11="All India"),TRUE,FALSE),RAW_ADS!G11,"")</f>
        <v>0</v>
      </c>
      <c r="H13" s="9">
        <f>IF(IF(OR(SelectedScope="All India",RAW_ADS!$D11=SelectedScope,RAW_ADS!$D11="All India"),TRUE,FALSE),RAW_ADS!H11,"")</f>
        <v>0</v>
      </c>
      <c r="I13" s="9">
        <f>IF(IF(OR(SelectedScope="All India",RAW_ADS!$D11=SelectedScope,RAW_ADS!$D11="All India"),TRUE,FALSE),RAW_ADS!I11,"")</f>
        <v>0</v>
      </c>
      <c r="J13" s="9">
        <f>IF(IF(OR(SelectedScope="All India",RAW_ADS!$D11=SelectedScope,RAW_ADS!$D11="All India"),TRUE,FALSE),RAW_ADS!J11,"")</f>
        <v>0</v>
      </c>
      <c r="K13" s="9">
        <f>IF(IF(OR(SelectedScope="All India",RAW_ADS!$D11=SelectedScope,RAW_ADS!$D11="All India"),TRUE,FALSE),RAW_ADS!K11,"")</f>
        <v>0</v>
      </c>
      <c r="L13" s="9">
        <f>IF(IF(OR(SelectedScope="All India",RAW_ADS!$D11=SelectedScope,RAW_ADS!$D11="All India"),TRUE,FALSE),RAW_ADS!L11,"")</f>
        <v>0</v>
      </c>
    </row>
    <row r="14" spans="1:12" ht="15" customHeight="1" x14ac:dyDescent="0.3">
      <c r="A14" s="12">
        <f>IF(IF(OR(SelectedScope="All India",RAW_ADS!$D12=SelectedScope,RAW_ADS!$D12="All India"),TRUE,FALSE),RAW_ADS!A12,"")</f>
        <v>9</v>
      </c>
      <c r="B14" s="12" t="str">
        <f>IF(IF(OR(SelectedScope="All India",RAW_ADS!$D12=SelectedScope,RAW_ADS!$D12="All India"),TRUE,FALSE),RAW_ADS!B12,"")</f>
        <v>[Campaign]</v>
      </c>
      <c r="C14" s="12">
        <f>IF(IF(OR(SelectedScope="All India",RAW_ADS!$D12=SelectedScope,RAW_ADS!$D12="All India"),TRUE,FALSE),RAW_ADS!C12,"")</f>
        <v>0</v>
      </c>
      <c r="D14" s="12">
        <f>IF(IF(OR(SelectedScope="All India",RAW_ADS!$D12=SelectedScope,RAW_ADS!$D12="All India"),TRUE,FALSE),RAW_ADS!D12,"")</f>
        <v>0</v>
      </c>
      <c r="E14" s="12">
        <f>IF(IF(OR(SelectedScope="All India",RAW_ADS!$D12=SelectedScope,RAW_ADS!$D12="All India"),TRUE,FALSE),RAW_ADS!E12,"")</f>
        <v>0</v>
      </c>
      <c r="F14" s="12">
        <f>IF(IF(OR(SelectedScope="All India",RAW_ADS!$D12=SelectedScope,RAW_ADS!$D12="All India"),TRUE,FALSE),RAW_ADS!F12,"")</f>
        <v>0</v>
      </c>
      <c r="G14" s="12">
        <f>IF(IF(OR(SelectedScope="All India",RAW_ADS!$D12=SelectedScope,RAW_ADS!$D12="All India"),TRUE,FALSE),RAW_ADS!G12,"")</f>
        <v>0</v>
      </c>
      <c r="H14" s="12">
        <f>IF(IF(OR(SelectedScope="All India",RAW_ADS!$D12=SelectedScope,RAW_ADS!$D12="All India"),TRUE,FALSE),RAW_ADS!H12,"")</f>
        <v>0</v>
      </c>
      <c r="I14" s="12">
        <f>IF(IF(OR(SelectedScope="All India",RAW_ADS!$D12=SelectedScope,RAW_ADS!$D12="All India"),TRUE,FALSE),RAW_ADS!I12,"")</f>
        <v>0</v>
      </c>
      <c r="J14" s="12">
        <f>IF(IF(OR(SelectedScope="All India",RAW_ADS!$D12=SelectedScope,RAW_ADS!$D12="All India"),TRUE,FALSE),RAW_ADS!J12,"")</f>
        <v>0</v>
      </c>
      <c r="K14" s="12">
        <f>IF(IF(OR(SelectedScope="All India",RAW_ADS!$D12=SelectedScope,RAW_ADS!$D12="All India"),TRUE,FALSE),RAW_ADS!K12,"")</f>
        <v>0</v>
      </c>
      <c r="L14" s="12">
        <f>IF(IF(OR(SelectedScope="All India",RAW_ADS!$D12=SelectedScope,RAW_ADS!$D12="All India"),TRUE,FALSE),RAW_ADS!L12,"")</f>
        <v>0</v>
      </c>
    </row>
    <row r="15" spans="1:12" ht="15" customHeight="1" x14ac:dyDescent="0.3">
      <c r="A15" s="9">
        <f>IF(IF(OR(SelectedScope="All India",RAW_ADS!$D13=SelectedScope,RAW_ADS!$D13="All India"),TRUE,FALSE),RAW_ADS!A13,"")</f>
        <v>10</v>
      </c>
      <c r="B15" s="9" t="str">
        <f>IF(IF(OR(SelectedScope="All India",RAW_ADS!$D13=SelectedScope,RAW_ADS!$D13="All India"),TRUE,FALSE),RAW_ADS!B13,"")</f>
        <v>[Campaign]</v>
      </c>
      <c r="C15" s="9">
        <f>IF(IF(OR(SelectedScope="All India",RAW_ADS!$D13=SelectedScope,RAW_ADS!$D13="All India"),TRUE,FALSE),RAW_ADS!C13,"")</f>
        <v>0</v>
      </c>
      <c r="D15" s="9">
        <f>IF(IF(OR(SelectedScope="All India",RAW_ADS!$D13=SelectedScope,RAW_ADS!$D13="All India"),TRUE,FALSE),RAW_ADS!D13,"")</f>
        <v>0</v>
      </c>
      <c r="E15" s="9">
        <f>IF(IF(OR(SelectedScope="All India",RAW_ADS!$D13=SelectedScope,RAW_ADS!$D13="All India"),TRUE,FALSE),RAW_ADS!E13,"")</f>
        <v>0</v>
      </c>
      <c r="F15" s="9">
        <f>IF(IF(OR(SelectedScope="All India",RAW_ADS!$D13=SelectedScope,RAW_ADS!$D13="All India"),TRUE,FALSE),RAW_ADS!F13,"")</f>
        <v>0</v>
      </c>
      <c r="G15" s="9">
        <f>IF(IF(OR(SelectedScope="All India",RAW_ADS!$D13=SelectedScope,RAW_ADS!$D13="All India"),TRUE,FALSE),RAW_ADS!G13,"")</f>
        <v>0</v>
      </c>
      <c r="H15" s="9">
        <f>IF(IF(OR(SelectedScope="All India",RAW_ADS!$D13=SelectedScope,RAW_ADS!$D13="All India"),TRUE,FALSE),RAW_ADS!H13,"")</f>
        <v>0</v>
      </c>
      <c r="I15" s="9">
        <f>IF(IF(OR(SelectedScope="All India",RAW_ADS!$D13=SelectedScope,RAW_ADS!$D13="All India"),TRUE,FALSE),RAW_ADS!I13,"")</f>
        <v>0</v>
      </c>
      <c r="J15" s="9">
        <f>IF(IF(OR(SelectedScope="All India",RAW_ADS!$D13=SelectedScope,RAW_ADS!$D13="All India"),TRUE,FALSE),RAW_ADS!J13,"")</f>
        <v>0</v>
      </c>
      <c r="K15" s="9">
        <f>IF(IF(OR(SelectedScope="All India",RAW_ADS!$D13=SelectedScope,RAW_ADS!$D13="All India"),TRUE,FALSE),RAW_ADS!K13,"")</f>
        <v>0</v>
      </c>
      <c r="L15" s="9">
        <f>IF(IF(OR(SelectedScope="All India",RAW_ADS!$D13=SelectedScope,RAW_ADS!$D13="All India"),TRUE,FALSE),RAW_ADS!L13,"")</f>
        <v>0</v>
      </c>
    </row>
    <row r="16" spans="1:12" ht="15" customHeight="1" x14ac:dyDescent="0.3">
      <c r="A16" s="12">
        <f>IF(IF(OR(SelectedScope="All India",RAW_ADS!$D14=SelectedScope,RAW_ADS!$D14="All India"),TRUE,FALSE),RAW_ADS!A14,"")</f>
        <v>11</v>
      </c>
      <c r="B16" s="12" t="str">
        <f>IF(IF(OR(SelectedScope="All India",RAW_ADS!$D14=SelectedScope,RAW_ADS!$D14="All India"),TRUE,FALSE),RAW_ADS!B14,"")</f>
        <v>[Campaign]</v>
      </c>
      <c r="C16" s="12">
        <f>IF(IF(OR(SelectedScope="All India",RAW_ADS!$D14=SelectedScope,RAW_ADS!$D14="All India"),TRUE,FALSE),RAW_ADS!C14,"")</f>
        <v>0</v>
      </c>
      <c r="D16" s="12">
        <f>IF(IF(OR(SelectedScope="All India",RAW_ADS!$D14=SelectedScope,RAW_ADS!$D14="All India"),TRUE,FALSE),RAW_ADS!D14,"")</f>
        <v>0</v>
      </c>
      <c r="E16" s="12">
        <f>IF(IF(OR(SelectedScope="All India",RAW_ADS!$D14=SelectedScope,RAW_ADS!$D14="All India"),TRUE,FALSE),RAW_ADS!E14,"")</f>
        <v>0</v>
      </c>
      <c r="F16" s="12">
        <f>IF(IF(OR(SelectedScope="All India",RAW_ADS!$D14=SelectedScope,RAW_ADS!$D14="All India"),TRUE,FALSE),RAW_ADS!F14,"")</f>
        <v>0</v>
      </c>
      <c r="G16" s="12">
        <f>IF(IF(OR(SelectedScope="All India",RAW_ADS!$D14=SelectedScope,RAW_ADS!$D14="All India"),TRUE,FALSE),RAW_ADS!G14,"")</f>
        <v>0</v>
      </c>
      <c r="H16" s="12">
        <f>IF(IF(OR(SelectedScope="All India",RAW_ADS!$D14=SelectedScope,RAW_ADS!$D14="All India"),TRUE,FALSE),RAW_ADS!H14,"")</f>
        <v>0</v>
      </c>
      <c r="I16" s="12">
        <f>IF(IF(OR(SelectedScope="All India",RAW_ADS!$D14=SelectedScope,RAW_ADS!$D14="All India"),TRUE,FALSE),RAW_ADS!I14,"")</f>
        <v>0</v>
      </c>
      <c r="J16" s="12">
        <f>IF(IF(OR(SelectedScope="All India",RAW_ADS!$D14=SelectedScope,RAW_ADS!$D14="All India"),TRUE,FALSE),RAW_ADS!J14,"")</f>
        <v>0</v>
      </c>
      <c r="K16" s="12">
        <f>IF(IF(OR(SelectedScope="All India",RAW_ADS!$D14=SelectedScope,RAW_ADS!$D14="All India"),TRUE,FALSE),RAW_ADS!K14,"")</f>
        <v>0</v>
      </c>
      <c r="L16" s="12">
        <f>IF(IF(OR(SelectedScope="All India",RAW_ADS!$D14=SelectedScope,RAW_ADS!$D14="All India"),TRUE,FALSE),RAW_ADS!L14,"")</f>
        <v>0</v>
      </c>
    </row>
    <row r="17" spans="1:12" ht="15" customHeight="1" x14ac:dyDescent="0.3">
      <c r="A17" s="9">
        <f>IF(IF(OR(SelectedScope="All India",RAW_ADS!$D15=SelectedScope,RAW_ADS!$D15="All India"),TRUE,FALSE),RAW_ADS!A15,"")</f>
        <v>12</v>
      </c>
      <c r="B17" s="9" t="str">
        <f>IF(IF(OR(SelectedScope="All India",RAW_ADS!$D15=SelectedScope,RAW_ADS!$D15="All India"),TRUE,FALSE),RAW_ADS!B15,"")</f>
        <v>[Campaign]</v>
      </c>
      <c r="C17" s="9">
        <f>IF(IF(OR(SelectedScope="All India",RAW_ADS!$D15=SelectedScope,RAW_ADS!$D15="All India"),TRUE,FALSE),RAW_ADS!C15,"")</f>
        <v>0</v>
      </c>
      <c r="D17" s="9">
        <f>IF(IF(OR(SelectedScope="All India",RAW_ADS!$D15=SelectedScope,RAW_ADS!$D15="All India"),TRUE,FALSE),RAW_ADS!D15,"")</f>
        <v>0</v>
      </c>
      <c r="E17" s="9">
        <f>IF(IF(OR(SelectedScope="All India",RAW_ADS!$D15=SelectedScope,RAW_ADS!$D15="All India"),TRUE,FALSE),RAW_ADS!E15,"")</f>
        <v>0</v>
      </c>
      <c r="F17" s="9">
        <f>IF(IF(OR(SelectedScope="All India",RAW_ADS!$D15=SelectedScope,RAW_ADS!$D15="All India"),TRUE,FALSE),RAW_ADS!F15,"")</f>
        <v>0</v>
      </c>
      <c r="G17" s="9">
        <f>IF(IF(OR(SelectedScope="All India",RAW_ADS!$D15=SelectedScope,RAW_ADS!$D15="All India"),TRUE,FALSE),RAW_ADS!G15,"")</f>
        <v>0</v>
      </c>
      <c r="H17" s="9">
        <f>IF(IF(OR(SelectedScope="All India",RAW_ADS!$D15=SelectedScope,RAW_ADS!$D15="All India"),TRUE,FALSE),RAW_ADS!H15,"")</f>
        <v>0</v>
      </c>
      <c r="I17" s="9">
        <f>IF(IF(OR(SelectedScope="All India",RAW_ADS!$D15=SelectedScope,RAW_ADS!$D15="All India"),TRUE,FALSE),RAW_ADS!I15,"")</f>
        <v>0</v>
      </c>
      <c r="J17" s="9">
        <f>IF(IF(OR(SelectedScope="All India",RAW_ADS!$D15=SelectedScope,RAW_ADS!$D15="All India"),TRUE,FALSE),RAW_ADS!J15,"")</f>
        <v>0</v>
      </c>
      <c r="K17" s="9">
        <f>IF(IF(OR(SelectedScope="All India",RAW_ADS!$D15=SelectedScope,RAW_ADS!$D15="All India"),TRUE,FALSE),RAW_ADS!K15,"")</f>
        <v>0</v>
      </c>
      <c r="L17" s="9">
        <f>IF(IF(OR(SelectedScope="All India",RAW_ADS!$D15=SelectedScope,RAW_ADS!$D15="All India"),TRUE,FALSE),RAW_ADS!L15,"")</f>
        <v>0</v>
      </c>
    </row>
    <row r="18" spans="1:12" ht="15" customHeight="1" x14ac:dyDescent="0.3">
      <c r="A18" s="12">
        <f>IF(IF(OR(SelectedScope="All India",RAW_ADS!$D16=SelectedScope,RAW_ADS!$D16="All India"),TRUE,FALSE),RAW_ADS!A16,"")</f>
        <v>13</v>
      </c>
      <c r="B18" s="12" t="str">
        <f>IF(IF(OR(SelectedScope="All India",RAW_ADS!$D16=SelectedScope,RAW_ADS!$D16="All India"),TRUE,FALSE),RAW_ADS!B16,"")</f>
        <v>[Campaign]</v>
      </c>
      <c r="C18" s="12">
        <f>IF(IF(OR(SelectedScope="All India",RAW_ADS!$D16=SelectedScope,RAW_ADS!$D16="All India"),TRUE,FALSE),RAW_ADS!C16,"")</f>
        <v>0</v>
      </c>
      <c r="D18" s="12">
        <f>IF(IF(OR(SelectedScope="All India",RAW_ADS!$D16=SelectedScope,RAW_ADS!$D16="All India"),TRUE,FALSE),RAW_ADS!D16,"")</f>
        <v>0</v>
      </c>
      <c r="E18" s="12">
        <f>IF(IF(OR(SelectedScope="All India",RAW_ADS!$D16=SelectedScope,RAW_ADS!$D16="All India"),TRUE,FALSE),RAW_ADS!E16,"")</f>
        <v>0</v>
      </c>
      <c r="F18" s="12">
        <f>IF(IF(OR(SelectedScope="All India",RAW_ADS!$D16=SelectedScope,RAW_ADS!$D16="All India"),TRUE,FALSE),RAW_ADS!F16,"")</f>
        <v>0</v>
      </c>
      <c r="G18" s="12">
        <f>IF(IF(OR(SelectedScope="All India",RAW_ADS!$D16=SelectedScope,RAW_ADS!$D16="All India"),TRUE,FALSE),RAW_ADS!G16,"")</f>
        <v>0</v>
      </c>
      <c r="H18" s="12">
        <f>IF(IF(OR(SelectedScope="All India",RAW_ADS!$D16=SelectedScope,RAW_ADS!$D16="All India"),TRUE,FALSE),RAW_ADS!H16,"")</f>
        <v>0</v>
      </c>
      <c r="I18" s="12">
        <f>IF(IF(OR(SelectedScope="All India",RAW_ADS!$D16=SelectedScope,RAW_ADS!$D16="All India"),TRUE,FALSE),RAW_ADS!I16,"")</f>
        <v>0</v>
      </c>
      <c r="J18" s="12">
        <f>IF(IF(OR(SelectedScope="All India",RAW_ADS!$D16=SelectedScope,RAW_ADS!$D16="All India"),TRUE,FALSE),RAW_ADS!J16,"")</f>
        <v>0</v>
      </c>
      <c r="K18" s="12">
        <f>IF(IF(OR(SelectedScope="All India",RAW_ADS!$D16=SelectedScope,RAW_ADS!$D16="All India"),TRUE,FALSE),RAW_ADS!K16,"")</f>
        <v>0</v>
      </c>
      <c r="L18" s="12">
        <f>IF(IF(OR(SelectedScope="All India",RAW_ADS!$D16=SelectedScope,RAW_ADS!$D16="All India"),TRUE,FALSE),RAW_ADS!L16,"")</f>
        <v>0</v>
      </c>
    </row>
    <row r="19" spans="1:12" ht="15" customHeight="1" x14ac:dyDescent="0.3">
      <c r="A19" s="9">
        <f>IF(IF(OR(SelectedScope="All India",RAW_ADS!$D17=SelectedScope,RAW_ADS!$D17="All India"),TRUE,FALSE),RAW_ADS!A17,"")</f>
        <v>14</v>
      </c>
      <c r="B19" s="9" t="str">
        <f>IF(IF(OR(SelectedScope="All India",RAW_ADS!$D17=SelectedScope,RAW_ADS!$D17="All India"),TRUE,FALSE),RAW_ADS!B17,"")</f>
        <v>[Campaign]</v>
      </c>
      <c r="C19" s="9">
        <f>IF(IF(OR(SelectedScope="All India",RAW_ADS!$D17=SelectedScope,RAW_ADS!$D17="All India"),TRUE,FALSE),RAW_ADS!C17,"")</f>
        <v>0</v>
      </c>
      <c r="D19" s="9">
        <f>IF(IF(OR(SelectedScope="All India",RAW_ADS!$D17=SelectedScope,RAW_ADS!$D17="All India"),TRUE,FALSE),RAW_ADS!D17,"")</f>
        <v>0</v>
      </c>
      <c r="E19" s="9">
        <f>IF(IF(OR(SelectedScope="All India",RAW_ADS!$D17=SelectedScope,RAW_ADS!$D17="All India"),TRUE,FALSE),RAW_ADS!E17,"")</f>
        <v>0</v>
      </c>
      <c r="F19" s="9">
        <f>IF(IF(OR(SelectedScope="All India",RAW_ADS!$D17=SelectedScope,RAW_ADS!$D17="All India"),TRUE,FALSE),RAW_ADS!F17,"")</f>
        <v>0</v>
      </c>
      <c r="G19" s="9">
        <f>IF(IF(OR(SelectedScope="All India",RAW_ADS!$D17=SelectedScope,RAW_ADS!$D17="All India"),TRUE,FALSE),RAW_ADS!G17,"")</f>
        <v>0</v>
      </c>
      <c r="H19" s="9">
        <f>IF(IF(OR(SelectedScope="All India",RAW_ADS!$D17=SelectedScope,RAW_ADS!$D17="All India"),TRUE,FALSE),RAW_ADS!H17,"")</f>
        <v>0</v>
      </c>
      <c r="I19" s="9">
        <f>IF(IF(OR(SelectedScope="All India",RAW_ADS!$D17=SelectedScope,RAW_ADS!$D17="All India"),TRUE,FALSE),RAW_ADS!I17,"")</f>
        <v>0</v>
      </c>
      <c r="J19" s="9">
        <f>IF(IF(OR(SelectedScope="All India",RAW_ADS!$D17=SelectedScope,RAW_ADS!$D17="All India"),TRUE,FALSE),RAW_ADS!J17,"")</f>
        <v>0</v>
      </c>
      <c r="K19" s="9">
        <f>IF(IF(OR(SelectedScope="All India",RAW_ADS!$D17=SelectedScope,RAW_ADS!$D17="All India"),TRUE,FALSE),RAW_ADS!K17,"")</f>
        <v>0</v>
      </c>
      <c r="L19" s="9">
        <f>IF(IF(OR(SelectedScope="All India",RAW_ADS!$D17=SelectedScope,RAW_ADS!$D17="All India"),TRUE,FALSE),RAW_ADS!L17,"")</f>
        <v>0</v>
      </c>
    </row>
    <row r="20" spans="1:12" ht="15" customHeight="1" x14ac:dyDescent="0.3">
      <c r="A20" s="12">
        <f>IF(IF(OR(SelectedScope="All India",RAW_ADS!$D18=SelectedScope,RAW_ADS!$D18="All India"),TRUE,FALSE),RAW_ADS!A18,"")</f>
        <v>15</v>
      </c>
      <c r="B20" s="12" t="str">
        <f>IF(IF(OR(SelectedScope="All India",RAW_ADS!$D18=SelectedScope,RAW_ADS!$D18="All India"),TRUE,FALSE),RAW_ADS!B18,"")</f>
        <v>[Campaign]</v>
      </c>
      <c r="C20" s="12">
        <f>IF(IF(OR(SelectedScope="All India",RAW_ADS!$D18=SelectedScope,RAW_ADS!$D18="All India"),TRUE,FALSE),RAW_ADS!C18,"")</f>
        <v>0</v>
      </c>
      <c r="D20" s="12">
        <f>IF(IF(OR(SelectedScope="All India",RAW_ADS!$D18=SelectedScope,RAW_ADS!$D18="All India"),TRUE,FALSE),RAW_ADS!D18,"")</f>
        <v>0</v>
      </c>
      <c r="E20" s="12">
        <f>IF(IF(OR(SelectedScope="All India",RAW_ADS!$D18=SelectedScope,RAW_ADS!$D18="All India"),TRUE,FALSE),RAW_ADS!E18,"")</f>
        <v>0</v>
      </c>
      <c r="F20" s="12">
        <f>IF(IF(OR(SelectedScope="All India",RAW_ADS!$D18=SelectedScope,RAW_ADS!$D18="All India"),TRUE,FALSE),RAW_ADS!F18,"")</f>
        <v>0</v>
      </c>
      <c r="G20" s="12">
        <f>IF(IF(OR(SelectedScope="All India",RAW_ADS!$D18=SelectedScope,RAW_ADS!$D18="All India"),TRUE,FALSE),RAW_ADS!G18,"")</f>
        <v>0</v>
      </c>
      <c r="H20" s="12">
        <f>IF(IF(OR(SelectedScope="All India",RAW_ADS!$D18=SelectedScope,RAW_ADS!$D18="All India"),TRUE,FALSE),RAW_ADS!H18,"")</f>
        <v>0</v>
      </c>
      <c r="I20" s="12">
        <f>IF(IF(OR(SelectedScope="All India",RAW_ADS!$D18=SelectedScope,RAW_ADS!$D18="All India"),TRUE,FALSE),RAW_ADS!I18,"")</f>
        <v>0</v>
      </c>
      <c r="J20" s="12">
        <f>IF(IF(OR(SelectedScope="All India",RAW_ADS!$D18=SelectedScope,RAW_ADS!$D18="All India"),TRUE,FALSE),RAW_ADS!J18,"")</f>
        <v>0</v>
      </c>
      <c r="K20" s="12">
        <f>IF(IF(OR(SelectedScope="All India",RAW_ADS!$D18=SelectedScope,RAW_ADS!$D18="All India"),TRUE,FALSE),RAW_ADS!K18,"")</f>
        <v>0</v>
      </c>
      <c r="L20" s="12">
        <f>IF(IF(OR(SelectedScope="All India",RAW_ADS!$D18=SelectedScope,RAW_ADS!$D18="All India"),TRUE,FALSE),RAW_ADS!L18,"")</f>
        <v>0</v>
      </c>
    </row>
    <row r="22" spans="1:12" ht="19.95" customHeight="1" x14ac:dyDescent="0.3">
      <c r="A22" s="37" t="s">
        <v>974</v>
      </c>
      <c r="B22" s="33"/>
      <c r="C22" s="33"/>
      <c r="D22" s="33"/>
      <c r="E22" s="33"/>
      <c r="F22" s="33"/>
      <c r="G22" s="33"/>
      <c r="H22" s="33"/>
      <c r="I22" s="33"/>
      <c r="J22" s="33"/>
      <c r="K22" s="33"/>
      <c r="L22" s="33"/>
    </row>
    <row r="23" spans="1:12" ht="31.95" customHeight="1" x14ac:dyDescent="0.3">
      <c r="A23" s="15" t="s">
        <v>78</v>
      </c>
      <c r="B23" s="15" t="s">
        <v>192</v>
      </c>
      <c r="C23" s="15" t="s">
        <v>969</v>
      </c>
      <c r="D23" s="15" t="s">
        <v>975</v>
      </c>
      <c r="E23" s="15" t="s">
        <v>698</v>
      </c>
      <c r="F23" s="15" t="s">
        <v>976</v>
      </c>
      <c r="G23" s="15" t="s">
        <v>977</v>
      </c>
      <c r="H23" s="15" t="s">
        <v>978</v>
      </c>
      <c r="I23" s="15" t="s">
        <v>979</v>
      </c>
      <c r="J23" s="15" t="s">
        <v>980</v>
      </c>
      <c r="K23" s="15" t="s">
        <v>86</v>
      </c>
      <c r="L23" s="15" t="s">
        <v>89</v>
      </c>
    </row>
    <row r="24" spans="1:12" ht="16.05" customHeight="1" x14ac:dyDescent="0.3">
      <c r="A24" s="16">
        <v>1</v>
      </c>
      <c r="B24" s="16" t="s">
        <v>519</v>
      </c>
      <c r="C24" s="12">
        <f>SUMPRODUCT((RAW_ADS!$D$4:$D$18=$B24)*RAW_ADS!$E$4:$E$18)</f>
        <v>0</v>
      </c>
      <c r="D24" s="12">
        <f>SUMPRODUCT((RAW_ADS!$D$4:$D$18=$B24)*RAW_ADS!$F$4:$F$18)</f>
        <v>0</v>
      </c>
      <c r="E24" s="20">
        <f>IFERROR(SUMPRODUCT((RAW_ADS!$D$4:$D$18=$B24)*RAW_ADS!$G$4:$G$18)/MAX(SUMPRODUCT((RAW_ADS!$D$4:$D$18=$B24)*RAW_ADS!$E$4:$E$18),1),"")</f>
        <v>0</v>
      </c>
      <c r="F24" s="16"/>
      <c r="G24" s="16"/>
      <c r="H24" s="16"/>
      <c r="I24" s="16"/>
      <c r="J24" s="16"/>
      <c r="K24" s="16"/>
      <c r="L24" s="16"/>
    </row>
    <row r="25" spans="1:12" ht="16.05" customHeight="1" x14ac:dyDescent="0.3">
      <c r="A25" s="18">
        <v>2</v>
      </c>
      <c r="B25" s="18" t="s">
        <v>520</v>
      </c>
      <c r="C25" s="9">
        <f>SUMPRODUCT((RAW_ADS!$D$4:$D$18=$B25)*RAW_ADS!$E$4:$E$18)</f>
        <v>0</v>
      </c>
      <c r="D25" s="9">
        <f>SUMPRODUCT((RAW_ADS!$D$4:$D$18=$B25)*RAW_ADS!$F$4:$F$18)</f>
        <v>0</v>
      </c>
      <c r="E25" s="21">
        <f>IFERROR(SUMPRODUCT((RAW_ADS!$D$4:$D$18=$B25)*RAW_ADS!$G$4:$G$18)/MAX(SUMPRODUCT((RAW_ADS!$D$4:$D$18=$B25)*RAW_ADS!$E$4:$E$18),1),"")</f>
        <v>0</v>
      </c>
      <c r="F25" s="18"/>
      <c r="G25" s="18"/>
      <c r="H25" s="18"/>
      <c r="I25" s="18"/>
      <c r="J25" s="18"/>
      <c r="K25" s="18"/>
      <c r="L25" s="18"/>
    </row>
    <row r="26" spans="1:12" ht="16.05" customHeight="1" x14ac:dyDescent="0.3">
      <c r="A26" s="16">
        <v>3</v>
      </c>
      <c r="B26" s="16" t="s">
        <v>521</v>
      </c>
      <c r="C26" s="12">
        <f>SUMPRODUCT((RAW_ADS!$D$4:$D$18=$B26)*RAW_ADS!$E$4:$E$18)</f>
        <v>0</v>
      </c>
      <c r="D26" s="12">
        <f>SUMPRODUCT((RAW_ADS!$D$4:$D$18=$B26)*RAW_ADS!$F$4:$F$18)</f>
        <v>0</v>
      </c>
      <c r="E26" s="20">
        <f>IFERROR(SUMPRODUCT((RAW_ADS!$D$4:$D$18=$B26)*RAW_ADS!$G$4:$G$18)/MAX(SUMPRODUCT((RAW_ADS!$D$4:$D$18=$B26)*RAW_ADS!$E$4:$E$18),1),"")</f>
        <v>0</v>
      </c>
      <c r="F26" s="16"/>
      <c r="G26" s="16"/>
      <c r="H26" s="16"/>
      <c r="I26" s="16"/>
      <c r="J26" s="16"/>
      <c r="K26" s="16"/>
      <c r="L26" s="16"/>
    </row>
    <row r="27" spans="1:12" ht="16.05" customHeight="1" x14ac:dyDescent="0.3">
      <c r="A27" s="18">
        <v>4</v>
      </c>
      <c r="B27" s="18" t="s">
        <v>522</v>
      </c>
      <c r="C27" s="9">
        <f>SUMPRODUCT((RAW_ADS!$D$4:$D$18=$B27)*RAW_ADS!$E$4:$E$18)</f>
        <v>0</v>
      </c>
      <c r="D27" s="9">
        <f>SUMPRODUCT((RAW_ADS!$D$4:$D$18=$B27)*RAW_ADS!$F$4:$F$18)</f>
        <v>0</v>
      </c>
      <c r="E27" s="21">
        <f>IFERROR(SUMPRODUCT((RAW_ADS!$D$4:$D$18=$B27)*RAW_ADS!$G$4:$G$18)/MAX(SUMPRODUCT((RAW_ADS!$D$4:$D$18=$B27)*RAW_ADS!$E$4:$E$18),1),"")</f>
        <v>0</v>
      </c>
      <c r="F27" s="18"/>
      <c r="G27" s="18"/>
      <c r="H27" s="18"/>
      <c r="I27" s="18"/>
      <c r="J27" s="18"/>
      <c r="K27" s="18"/>
      <c r="L27" s="18"/>
    </row>
    <row r="28" spans="1:12" ht="16.05" customHeight="1" x14ac:dyDescent="0.3">
      <c r="A28" s="16">
        <v>5</v>
      </c>
      <c r="B28" s="16" t="s">
        <v>523</v>
      </c>
      <c r="C28" s="12">
        <f>SUMPRODUCT((RAW_ADS!$D$4:$D$18=$B28)*RAW_ADS!$E$4:$E$18)</f>
        <v>0</v>
      </c>
      <c r="D28" s="12">
        <f>SUMPRODUCT((RAW_ADS!$D$4:$D$18=$B28)*RAW_ADS!$F$4:$F$18)</f>
        <v>0</v>
      </c>
      <c r="E28" s="20">
        <f>IFERROR(SUMPRODUCT((RAW_ADS!$D$4:$D$18=$B28)*RAW_ADS!$G$4:$G$18)/MAX(SUMPRODUCT((RAW_ADS!$D$4:$D$18=$B28)*RAW_ADS!$E$4:$E$18),1),"")</f>
        <v>0</v>
      </c>
      <c r="F28" s="16"/>
      <c r="G28" s="16"/>
      <c r="H28" s="16"/>
      <c r="I28" s="16"/>
      <c r="J28" s="16"/>
      <c r="K28" s="16"/>
      <c r="L28" s="16"/>
    </row>
    <row r="29" spans="1:12" ht="16.05" customHeight="1" x14ac:dyDescent="0.3">
      <c r="A29" s="18">
        <v>6</v>
      </c>
      <c r="B29" s="18" t="s">
        <v>524</v>
      </c>
      <c r="C29" s="9">
        <f>SUMPRODUCT((RAW_ADS!$D$4:$D$18=$B29)*RAW_ADS!$E$4:$E$18)</f>
        <v>0</v>
      </c>
      <c r="D29" s="9">
        <f>SUMPRODUCT((RAW_ADS!$D$4:$D$18=$B29)*RAW_ADS!$F$4:$F$18)</f>
        <v>0</v>
      </c>
      <c r="E29" s="21">
        <f>IFERROR(SUMPRODUCT((RAW_ADS!$D$4:$D$18=$B29)*RAW_ADS!$G$4:$G$18)/MAX(SUMPRODUCT((RAW_ADS!$D$4:$D$18=$B29)*RAW_ADS!$E$4:$E$18),1),"")</f>
        <v>0</v>
      </c>
      <c r="F29" s="18"/>
      <c r="G29" s="18"/>
      <c r="H29" s="18"/>
      <c r="I29" s="18"/>
      <c r="J29" s="18"/>
      <c r="K29" s="18"/>
      <c r="L29" s="18"/>
    </row>
    <row r="30" spans="1:12" ht="16.05" customHeight="1" x14ac:dyDescent="0.3">
      <c r="A30" s="16">
        <v>7</v>
      </c>
      <c r="B30" s="16" t="s">
        <v>525</v>
      </c>
      <c r="C30" s="12">
        <f>SUMPRODUCT((RAW_ADS!$D$4:$D$18=$B30)*RAW_ADS!$E$4:$E$18)</f>
        <v>0</v>
      </c>
      <c r="D30" s="12">
        <f>SUMPRODUCT((RAW_ADS!$D$4:$D$18=$B30)*RAW_ADS!$F$4:$F$18)</f>
        <v>0</v>
      </c>
      <c r="E30" s="20">
        <f>IFERROR(SUMPRODUCT((RAW_ADS!$D$4:$D$18=$B30)*RAW_ADS!$G$4:$G$18)/MAX(SUMPRODUCT((RAW_ADS!$D$4:$D$18=$B30)*RAW_ADS!$E$4:$E$18),1),"")</f>
        <v>0</v>
      </c>
      <c r="F30" s="16"/>
      <c r="G30" s="16"/>
      <c r="H30" s="16"/>
      <c r="I30" s="16"/>
      <c r="J30" s="16"/>
      <c r="K30" s="16"/>
      <c r="L30" s="16"/>
    </row>
    <row r="31" spans="1:12" ht="16.05" customHeight="1" x14ac:dyDescent="0.3">
      <c r="A31" s="18">
        <v>8</v>
      </c>
      <c r="B31" s="18" t="s">
        <v>526</v>
      </c>
      <c r="C31" s="9">
        <f>SUMPRODUCT((RAW_ADS!$D$4:$D$18=$B31)*RAW_ADS!$E$4:$E$18)</f>
        <v>0</v>
      </c>
      <c r="D31" s="9">
        <f>SUMPRODUCT((RAW_ADS!$D$4:$D$18=$B31)*RAW_ADS!$F$4:$F$18)</f>
        <v>0</v>
      </c>
      <c r="E31" s="21">
        <f>IFERROR(SUMPRODUCT((RAW_ADS!$D$4:$D$18=$B31)*RAW_ADS!$G$4:$G$18)/MAX(SUMPRODUCT((RAW_ADS!$D$4:$D$18=$B31)*RAW_ADS!$E$4:$E$18),1),"")</f>
        <v>0</v>
      </c>
      <c r="F31" s="18"/>
      <c r="G31" s="18"/>
      <c r="H31" s="18"/>
      <c r="I31" s="18"/>
      <c r="J31" s="18"/>
      <c r="K31" s="18"/>
      <c r="L31" s="18"/>
    </row>
    <row r="32" spans="1:12" ht="16.05" customHeight="1" x14ac:dyDescent="0.3">
      <c r="A32" s="16">
        <v>9</v>
      </c>
      <c r="B32" s="16" t="s">
        <v>527</v>
      </c>
      <c r="C32" s="12">
        <f>SUMPRODUCT((RAW_ADS!$D$4:$D$18=$B32)*RAW_ADS!$E$4:$E$18)</f>
        <v>0</v>
      </c>
      <c r="D32" s="12">
        <f>SUMPRODUCT((RAW_ADS!$D$4:$D$18=$B32)*RAW_ADS!$F$4:$F$18)</f>
        <v>0</v>
      </c>
      <c r="E32" s="20">
        <f>IFERROR(SUMPRODUCT((RAW_ADS!$D$4:$D$18=$B32)*RAW_ADS!$G$4:$G$18)/MAX(SUMPRODUCT((RAW_ADS!$D$4:$D$18=$B32)*RAW_ADS!$E$4:$E$18),1),"")</f>
        <v>0</v>
      </c>
      <c r="F32" s="16"/>
      <c r="G32" s="16"/>
      <c r="H32" s="16"/>
      <c r="I32" s="16"/>
      <c r="J32" s="16"/>
      <c r="K32" s="16"/>
      <c r="L32" s="16"/>
    </row>
    <row r="33" spans="1:12" ht="16.05" customHeight="1" x14ac:dyDescent="0.3">
      <c r="A33" s="18">
        <v>10</v>
      </c>
      <c r="B33" s="18" t="s">
        <v>528</v>
      </c>
      <c r="C33" s="9">
        <f>SUMPRODUCT((RAW_ADS!$D$4:$D$18=$B33)*RAW_ADS!$E$4:$E$18)</f>
        <v>0</v>
      </c>
      <c r="D33" s="9">
        <f>SUMPRODUCT((RAW_ADS!$D$4:$D$18=$B33)*RAW_ADS!$F$4:$F$18)</f>
        <v>0</v>
      </c>
      <c r="E33" s="21">
        <f>IFERROR(SUMPRODUCT((RAW_ADS!$D$4:$D$18=$B33)*RAW_ADS!$G$4:$G$18)/MAX(SUMPRODUCT((RAW_ADS!$D$4:$D$18=$B33)*RAW_ADS!$E$4:$E$18),1),"")</f>
        <v>0</v>
      </c>
      <c r="F33" s="18"/>
      <c r="G33" s="18"/>
      <c r="H33" s="18"/>
      <c r="I33" s="18"/>
      <c r="J33" s="18"/>
      <c r="K33" s="18"/>
      <c r="L33" s="18"/>
    </row>
    <row r="34" spans="1:12" ht="16.05" customHeight="1" x14ac:dyDescent="0.3">
      <c r="A34" s="16">
        <v>11</v>
      </c>
      <c r="B34" s="16" t="s">
        <v>529</v>
      </c>
      <c r="C34" s="12">
        <f>SUMPRODUCT((RAW_ADS!$D$4:$D$18=$B34)*RAW_ADS!$E$4:$E$18)</f>
        <v>0</v>
      </c>
      <c r="D34" s="12">
        <f>SUMPRODUCT((RAW_ADS!$D$4:$D$18=$B34)*RAW_ADS!$F$4:$F$18)</f>
        <v>0</v>
      </c>
      <c r="E34" s="20">
        <f>IFERROR(SUMPRODUCT((RAW_ADS!$D$4:$D$18=$B34)*RAW_ADS!$G$4:$G$18)/MAX(SUMPRODUCT((RAW_ADS!$D$4:$D$18=$B34)*RAW_ADS!$E$4:$E$18),1),"")</f>
        <v>0</v>
      </c>
      <c r="F34" s="16"/>
      <c r="G34" s="16"/>
      <c r="H34" s="16"/>
      <c r="I34" s="16"/>
      <c r="J34" s="16"/>
      <c r="K34" s="16"/>
      <c r="L34" s="16"/>
    </row>
    <row r="35" spans="1:12" ht="16.05" customHeight="1" x14ac:dyDescent="0.3">
      <c r="A35" s="18">
        <v>12</v>
      </c>
      <c r="B35" s="18" t="s">
        <v>530</v>
      </c>
      <c r="C35" s="9">
        <f>SUMPRODUCT((RAW_ADS!$D$4:$D$18=$B35)*RAW_ADS!$E$4:$E$18)</f>
        <v>0</v>
      </c>
      <c r="D35" s="9">
        <f>SUMPRODUCT((RAW_ADS!$D$4:$D$18=$B35)*RAW_ADS!$F$4:$F$18)</f>
        <v>0</v>
      </c>
      <c r="E35" s="21">
        <f>IFERROR(SUMPRODUCT((RAW_ADS!$D$4:$D$18=$B35)*RAW_ADS!$G$4:$G$18)/MAX(SUMPRODUCT((RAW_ADS!$D$4:$D$18=$B35)*RAW_ADS!$E$4:$E$18),1),"")</f>
        <v>0</v>
      </c>
      <c r="F35" s="18"/>
      <c r="G35" s="18"/>
      <c r="H35" s="18"/>
      <c r="I35" s="18"/>
      <c r="J35" s="18"/>
      <c r="K35" s="18"/>
      <c r="L35" s="18"/>
    </row>
    <row r="36" spans="1:12" ht="16.05" customHeight="1" x14ac:dyDescent="0.3">
      <c r="A36" s="16">
        <v>13</v>
      </c>
      <c r="B36" s="16" t="s">
        <v>531</v>
      </c>
      <c r="C36" s="12">
        <f>SUMPRODUCT((RAW_ADS!$D$4:$D$18=$B36)*RAW_ADS!$E$4:$E$18)</f>
        <v>0</v>
      </c>
      <c r="D36" s="12">
        <f>SUMPRODUCT((RAW_ADS!$D$4:$D$18=$B36)*RAW_ADS!$F$4:$F$18)</f>
        <v>0</v>
      </c>
      <c r="E36" s="20">
        <f>IFERROR(SUMPRODUCT((RAW_ADS!$D$4:$D$18=$B36)*RAW_ADS!$G$4:$G$18)/MAX(SUMPRODUCT((RAW_ADS!$D$4:$D$18=$B36)*RAW_ADS!$E$4:$E$18),1),"")</f>
        <v>0</v>
      </c>
      <c r="F36" s="16"/>
      <c r="G36" s="16"/>
      <c r="H36" s="16"/>
      <c r="I36" s="16"/>
      <c r="J36" s="16"/>
      <c r="K36" s="16"/>
      <c r="L36" s="16"/>
    </row>
    <row r="37" spans="1:12" ht="16.05" customHeight="1" x14ac:dyDescent="0.3">
      <c r="A37" s="18">
        <v>14</v>
      </c>
      <c r="B37" s="18" t="s">
        <v>532</v>
      </c>
      <c r="C37" s="9">
        <f>SUMPRODUCT((RAW_ADS!$D$4:$D$18=$B37)*RAW_ADS!$E$4:$E$18)</f>
        <v>0</v>
      </c>
      <c r="D37" s="9">
        <f>SUMPRODUCT((RAW_ADS!$D$4:$D$18=$B37)*RAW_ADS!$F$4:$F$18)</f>
        <v>0</v>
      </c>
      <c r="E37" s="21">
        <f>IFERROR(SUMPRODUCT((RAW_ADS!$D$4:$D$18=$B37)*RAW_ADS!$G$4:$G$18)/MAX(SUMPRODUCT((RAW_ADS!$D$4:$D$18=$B37)*RAW_ADS!$E$4:$E$18),1),"")</f>
        <v>0</v>
      </c>
      <c r="F37" s="18"/>
      <c r="G37" s="18"/>
      <c r="H37" s="18"/>
      <c r="I37" s="18"/>
      <c r="J37" s="18"/>
      <c r="K37" s="18"/>
      <c r="L37" s="18"/>
    </row>
    <row r="38" spans="1:12" ht="16.05" customHeight="1" x14ac:dyDescent="0.3">
      <c r="A38" s="16">
        <v>15</v>
      </c>
      <c r="B38" s="16" t="s">
        <v>533</v>
      </c>
      <c r="C38" s="12">
        <f>SUMPRODUCT((RAW_ADS!$D$4:$D$18=$B38)*RAW_ADS!$E$4:$E$18)</f>
        <v>0</v>
      </c>
      <c r="D38" s="12">
        <f>SUMPRODUCT((RAW_ADS!$D$4:$D$18=$B38)*RAW_ADS!$F$4:$F$18)</f>
        <v>0</v>
      </c>
      <c r="E38" s="20">
        <f>IFERROR(SUMPRODUCT((RAW_ADS!$D$4:$D$18=$B38)*RAW_ADS!$G$4:$G$18)/MAX(SUMPRODUCT((RAW_ADS!$D$4:$D$18=$B38)*RAW_ADS!$E$4:$E$18),1),"")</f>
        <v>0</v>
      </c>
      <c r="F38" s="16"/>
      <c r="G38" s="16"/>
      <c r="H38" s="16"/>
      <c r="I38" s="16"/>
      <c r="J38" s="16"/>
      <c r="K38" s="16"/>
      <c r="L38" s="16"/>
    </row>
    <row r="39" spans="1:12" ht="16.05" customHeight="1" x14ac:dyDescent="0.3">
      <c r="A39" s="18">
        <v>16</v>
      </c>
      <c r="B39" s="18" t="s">
        <v>534</v>
      </c>
      <c r="C39" s="9">
        <f>SUMPRODUCT((RAW_ADS!$D$4:$D$18=$B39)*RAW_ADS!$E$4:$E$18)</f>
        <v>0</v>
      </c>
      <c r="D39" s="9">
        <f>SUMPRODUCT((RAW_ADS!$D$4:$D$18=$B39)*RAW_ADS!$F$4:$F$18)</f>
        <v>0</v>
      </c>
      <c r="E39" s="21">
        <f>IFERROR(SUMPRODUCT((RAW_ADS!$D$4:$D$18=$B39)*RAW_ADS!$G$4:$G$18)/MAX(SUMPRODUCT((RAW_ADS!$D$4:$D$18=$B39)*RAW_ADS!$E$4:$E$18),1),"")</f>
        <v>0</v>
      </c>
      <c r="F39" s="18"/>
      <c r="G39" s="18"/>
      <c r="H39" s="18"/>
      <c r="I39" s="18"/>
      <c r="J39" s="18"/>
      <c r="K39" s="18"/>
      <c r="L39" s="18"/>
    </row>
    <row r="40" spans="1:12" ht="16.05" customHeight="1" x14ac:dyDescent="0.3">
      <c r="A40" s="16">
        <v>17</v>
      </c>
      <c r="B40" s="16" t="s">
        <v>535</v>
      </c>
      <c r="C40" s="12">
        <f>SUMPRODUCT((RAW_ADS!$D$4:$D$18=$B40)*RAW_ADS!$E$4:$E$18)</f>
        <v>0</v>
      </c>
      <c r="D40" s="12">
        <f>SUMPRODUCT((RAW_ADS!$D$4:$D$18=$B40)*RAW_ADS!$F$4:$F$18)</f>
        <v>0</v>
      </c>
      <c r="E40" s="20">
        <f>IFERROR(SUMPRODUCT((RAW_ADS!$D$4:$D$18=$B40)*RAW_ADS!$G$4:$G$18)/MAX(SUMPRODUCT((RAW_ADS!$D$4:$D$18=$B40)*RAW_ADS!$E$4:$E$18),1),"")</f>
        <v>0</v>
      </c>
      <c r="F40" s="16"/>
      <c r="G40" s="16"/>
      <c r="H40" s="16"/>
      <c r="I40" s="16"/>
      <c r="J40" s="16"/>
      <c r="K40" s="16"/>
      <c r="L40" s="16"/>
    </row>
    <row r="41" spans="1:12" ht="16.05" customHeight="1" x14ac:dyDescent="0.3">
      <c r="A41" s="18">
        <v>18</v>
      </c>
      <c r="B41" s="18" t="s">
        <v>536</v>
      </c>
      <c r="C41" s="9">
        <f>SUMPRODUCT((RAW_ADS!$D$4:$D$18=$B41)*RAW_ADS!$E$4:$E$18)</f>
        <v>0</v>
      </c>
      <c r="D41" s="9">
        <f>SUMPRODUCT((RAW_ADS!$D$4:$D$18=$B41)*RAW_ADS!$F$4:$F$18)</f>
        <v>0</v>
      </c>
      <c r="E41" s="21">
        <f>IFERROR(SUMPRODUCT((RAW_ADS!$D$4:$D$18=$B41)*RAW_ADS!$G$4:$G$18)/MAX(SUMPRODUCT((RAW_ADS!$D$4:$D$18=$B41)*RAW_ADS!$E$4:$E$18),1),"")</f>
        <v>0</v>
      </c>
      <c r="F41" s="18"/>
      <c r="G41" s="18"/>
      <c r="H41" s="18"/>
      <c r="I41" s="18"/>
      <c r="J41" s="18"/>
      <c r="K41" s="18"/>
      <c r="L41" s="18"/>
    </row>
    <row r="42" spans="1:12" ht="16.05" customHeight="1" x14ac:dyDescent="0.3">
      <c r="A42" s="16">
        <v>19</v>
      </c>
      <c r="B42" s="16" t="s">
        <v>537</v>
      </c>
      <c r="C42" s="12">
        <f>SUMPRODUCT((RAW_ADS!$D$4:$D$18=$B42)*RAW_ADS!$E$4:$E$18)</f>
        <v>0</v>
      </c>
      <c r="D42" s="12">
        <f>SUMPRODUCT((RAW_ADS!$D$4:$D$18=$B42)*RAW_ADS!$F$4:$F$18)</f>
        <v>0</v>
      </c>
      <c r="E42" s="20">
        <f>IFERROR(SUMPRODUCT((RAW_ADS!$D$4:$D$18=$B42)*RAW_ADS!$G$4:$G$18)/MAX(SUMPRODUCT((RAW_ADS!$D$4:$D$18=$B42)*RAW_ADS!$E$4:$E$18),1),"")</f>
        <v>0</v>
      </c>
      <c r="F42" s="16"/>
      <c r="G42" s="16"/>
      <c r="H42" s="16"/>
      <c r="I42" s="16"/>
      <c r="J42" s="16"/>
      <c r="K42" s="16"/>
      <c r="L42" s="16"/>
    </row>
    <row r="43" spans="1:12" ht="16.05" customHeight="1" x14ac:dyDescent="0.3">
      <c r="A43" s="18">
        <v>20</v>
      </c>
      <c r="B43" s="18" t="s">
        <v>538</v>
      </c>
      <c r="C43" s="9">
        <f>SUMPRODUCT((RAW_ADS!$D$4:$D$18=$B43)*RAW_ADS!$E$4:$E$18)</f>
        <v>0</v>
      </c>
      <c r="D43" s="9">
        <f>SUMPRODUCT((RAW_ADS!$D$4:$D$18=$B43)*RAW_ADS!$F$4:$F$18)</f>
        <v>0</v>
      </c>
      <c r="E43" s="21">
        <f>IFERROR(SUMPRODUCT((RAW_ADS!$D$4:$D$18=$B43)*RAW_ADS!$G$4:$G$18)/MAX(SUMPRODUCT((RAW_ADS!$D$4:$D$18=$B43)*RAW_ADS!$E$4:$E$18),1),"")</f>
        <v>0</v>
      </c>
      <c r="F43" s="18"/>
      <c r="G43" s="18"/>
      <c r="H43" s="18"/>
      <c r="I43" s="18"/>
      <c r="J43" s="18"/>
      <c r="K43" s="18"/>
      <c r="L43" s="18"/>
    </row>
    <row r="44" spans="1:12" ht="16.05" customHeight="1" x14ac:dyDescent="0.3">
      <c r="A44" s="16">
        <v>21</v>
      </c>
      <c r="B44" s="16" t="s">
        <v>539</v>
      </c>
      <c r="C44" s="12">
        <f>SUMPRODUCT((RAW_ADS!$D$4:$D$18=$B44)*RAW_ADS!$E$4:$E$18)</f>
        <v>0</v>
      </c>
      <c r="D44" s="12">
        <f>SUMPRODUCT((RAW_ADS!$D$4:$D$18=$B44)*RAW_ADS!$F$4:$F$18)</f>
        <v>0</v>
      </c>
      <c r="E44" s="20">
        <f>IFERROR(SUMPRODUCT((RAW_ADS!$D$4:$D$18=$B44)*RAW_ADS!$G$4:$G$18)/MAX(SUMPRODUCT((RAW_ADS!$D$4:$D$18=$B44)*RAW_ADS!$E$4:$E$18),1),"")</f>
        <v>0</v>
      </c>
      <c r="F44" s="16"/>
      <c r="G44" s="16"/>
      <c r="H44" s="16"/>
      <c r="I44" s="16"/>
      <c r="J44" s="16"/>
      <c r="K44" s="16"/>
      <c r="L44" s="16"/>
    </row>
    <row r="45" spans="1:12" ht="16.05" customHeight="1" x14ac:dyDescent="0.3">
      <c r="A45" s="18">
        <v>22</v>
      </c>
      <c r="B45" s="18" t="s">
        <v>540</v>
      </c>
      <c r="C45" s="9">
        <f>SUMPRODUCT((RAW_ADS!$D$4:$D$18=$B45)*RAW_ADS!$E$4:$E$18)</f>
        <v>0</v>
      </c>
      <c r="D45" s="9">
        <f>SUMPRODUCT((RAW_ADS!$D$4:$D$18=$B45)*RAW_ADS!$F$4:$F$18)</f>
        <v>0</v>
      </c>
      <c r="E45" s="21">
        <f>IFERROR(SUMPRODUCT((RAW_ADS!$D$4:$D$18=$B45)*RAW_ADS!$G$4:$G$18)/MAX(SUMPRODUCT((RAW_ADS!$D$4:$D$18=$B45)*RAW_ADS!$E$4:$E$18),1),"")</f>
        <v>0</v>
      </c>
      <c r="F45" s="18"/>
      <c r="G45" s="18"/>
      <c r="H45" s="18"/>
      <c r="I45" s="18"/>
      <c r="J45" s="18"/>
      <c r="K45" s="18"/>
      <c r="L45" s="18"/>
    </row>
    <row r="46" spans="1:12" ht="16.05" customHeight="1" x14ac:dyDescent="0.3">
      <c r="A46" s="16">
        <v>23</v>
      </c>
      <c r="B46" s="16" t="s">
        <v>541</v>
      </c>
      <c r="C46" s="12">
        <f>SUMPRODUCT((RAW_ADS!$D$4:$D$18=$B46)*RAW_ADS!$E$4:$E$18)</f>
        <v>0</v>
      </c>
      <c r="D46" s="12">
        <f>SUMPRODUCT((RAW_ADS!$D$4:$D$18=$B46)*RAW_ADS!$F$4:$F$18)</f>
        <v>0</v>
      </c>
      <c r="E46" s="20">
        <f>IFERROR(SUMPRODUCT((RAW_ADS!$D$4:$D$18=$B46)*RAW_ADS!$G$4:$G$18)/MAX(SUMPRODUCT((RAW_ADS!$D$4:$D$18=$B46)*RAW_ADS!$E$4:$E$18),1),"")</f>
        <v>0</v>
      </c>
      <c r="F46" s="16"/>
      <c r="G46" s="16"/>
      <c r="H46" s="16"/>
      <c r="I46" s="16"/>
      <c r="J46" s="16"/>
      <c r="K46" s="16"/>
      <c r="L46" s="16"/>
    </row>
    <row r="47" spans="1:12" ht="16.05" customHeight="1" x14ac:dyDescent="0.3">
      <c r="A47" s="18">
        <v>24</v>
      </c>
      <c r="B47" s="18" t="s">
        <v>542</v>
      </c>
      <c r="C47" s="9">
        <f>SUMPRODUCT((RAW_ADS!$D$4:$D$18=$B47)*RAW_ADS!$E$4:$E$18)</f>
        <v>0</v>
      </c>
      <c r="D47" s="9">
        <f>SUMPRODUCT((RAW_ADS!$D$4:$D$18=$B47)*RAW_ADS!$F$4:$F$18)</f>
        <v>0</v>
      </c>
      <c r="E47" s="21">
        <f>IFERROR(SUMPRODUCT((RAW_ADS!$D$4:$D$18=$B47)*RAW_ADS!$G$4:$G$18)/MAX(SUMPRODUCT((RAW_ADS!$D$4:$D$18=$B47)*RAW_ADS!$E$4:$E$18),1),"")</f>
        <v>0</v>
      </c>
      <c r="F47" s="18"/>
      <c r="G47" s="18"/>
      <c r="H47" s="18"/>
      <c r="I47" s="18"/>
      <c r="J47" s="18"/>
      <c r="K47" s="18"/>
      <c r="L47" s="18"/>
    </row>
    <row r="48" spans="1:12" ht="16.05" customHeight="1" x14ac:dyDescent="0.3">
      <c r="A48" s="16">
        <v>25</v>
      </c>
      <c r="B48" s="16" t="s">
        <v>543</v>
      </c>
      <c r="C48" s="12">
        <f>SUMPRODUCT((RAW_ADS!$D$4:$D$18=$B48)*RAW_ADS!$E$4:$E$18)</f>
        <v>0</v>
      </c>
      <c r="D48" s="12">
        <f>SUMPRODUCT((RAW_ADS!$D$4:$D$18=$B48)*RAW_ADS!$F$4:$F$18)</f>
        <v>0</v>
      </c>
      <c r="E48" s="20">
        <f>IFERROR(SUMPRODUCT((RAW_ADS!$D$4:$D$18=$B48)*RAW_ADS!$G$4:$G$18)/MAX(SUMPRODUCT((RAW_ADS!$D$4:$D$18=$B48)*RAW_ADS!$E$4:$E$18),1),"")</f>
        <v>0</v>
      </c>
      <c r="F48" s="16"/>
      <c r="G48" s="16"/>
      <c r="H48" s="16"/>
      <c r="I48" s="16"/>
      <c r="J48" s="16"/>
      <c r="K48" s="16"/>
      <c r="L48" s="16"/>
    </row>
    <row r="49" spans="1:12" ht="16.05" customHeight="1" x14ac:dyDescent="0.3">
      <c r="A49" s="18">
        <v>26</v>
      </c>
      <c r="B49" s="18" t="s">
        <v>544</v>
      </c>
      <c r="C49" s="9">
        <f>SUMPRODUCT((RAW_ADS!$D$4:$D$18=$B49)*RAW_ADS!$E$4:$E$18)</f>
        <v>0</v>
      </c>
      <c r="D49" s="9">
        <f>SUMPRODUCT((RAW_ADS!$D$4:$D$18=$B49)*RAW_ADS!$F$4:$F$18)</f>
        <v>0</v>
      </c>
      <c r="E49" s="21">
        <f>IFERROR(SUMPRODUCT((RAW_ADS!$D$4:$D$18=$B49)*RAW_ADS!$G$4:$G$18)/MAX(SUMPRODUCT((RAW_ADS!$D$4:$D$18=$B49)*RAW_ADS!$E$4:$E$18),1),"")</f>
        <v>0</v>
      </c>
      <c r="F49" s="18"/>
      <c r="G49" s="18"/>
      <c r="H49" s="18"/>
      <c r="I49" s="18"/>
      <c r="J49" s="18"/>
      <c r="K49" s="18"/>
      <c r="L49" s="18"/>
    </row>
    <row r="50" spans="1:12" ht="16.05" customHeight="1" x14ac:dyDescent="0.3">
      <c r="A50" s="16">
        <v>27</v>
      </c>
      <c r="B50" s="16" t="s">
        <v>545</v>
      </c>
      <c r="C50" s="12">
        <f>SUMPRODUCT((RAW_ADS!$D$4:$D$18=$B50)*RAW_ADS!$E$4:$E$18)</f>
        <v>0</v>
      </c>
      <c r="D50" s="12">
        <f>SUMPRODUCT((RAW_ADS!$D$4:$D$18=$B50)*RAW_ADS!$F$4:$F$18)</f>
        <v>0</v>
      </c>
      <c r="E50" s="20">
        <f>IFERROR(SUMPRODUCT((RAW_ADS!$D$4:$D$18=$B50)*RAW_ADS!$G$4:$G$18)/MAX(SUMPRODUCT((RAW_ADS!$D$4:$D$18=$B50)*RAW_ADS!$E$4:$E$18),1),"")</f>
        <v>0</v>
      </c>
      <c r="F50" s="16"/>
      <c r="G50" s="16"/>
      <c r="H50" s="16"/>
      <c r="I50" s="16"/>
      <c r="J50" s="16"/>
      <c r="K50" s="16"/>
      <c r="L50" s="16"/>
    </row>
    <row r="51" spans="1:12" ht="16.05" customHeight="1" x14ac:dyDescent="0.3">
      <c r="A51" s="18">
        <v>28</v>
      </c>
      <c r="B51" s="18" t="s">
        <v>546</v>
      </c>
      <c r="C51" s="9">
        <f>SUMPRODUCT((RAW_ADS!$D$4:$D$18=$B51)*RAW_ADS!$E$4:$E$18)</f>
        <v>0</v>
      </c>
      <c r="D51" s="9">
        <f>SUMPRODUCT((RAW_ADS!$D$4:$D$18=$B51)*RAW_ADS!$F$4:$F$18)</f>
        <v>0</v>
      </c>
      <c r="E51" s="21">
        <f>IFERROR(SUMPRODUCT((RAW_ADS!$D$4:$D$18=$B51)*RAW_ADS!$G$4:$G$18)/MAX(SUMPRODUCT((RAW_ADS!$D$4:$D$18=$B51)*RAW_ADS!$E$4:$E$18),1),"")</f>
        <v>0</v>
      </c>
      <c r="F51" s="18"/>
      <c r="G51" s="18"/>
      <c r="H51" s="18"/>
      <c r="I51" s="18"/>
      <c r="J51" s="18"/>
      <c r="K51" s="18"/>
      <c r="L51" s="18"/>
    </row>
    <row r="52" spans="1:12" ht="16.05" customHeight="1" x14ac:dyDescent="0.3">
      <c r="A52" s="16">
        <v>29</v>
      </c>
      <c r="B52" s="16" t="s">
        <v>547</v>
      </c>
      <c r="C52" s="12">
        <f>SUMPRODUCT((RAW_ADS!$D$4:$D$18=$B52)*RAW_ADS!$E$4:$E$18)</f>
        <v>0</v>
      </c>
      <c r="D52" s="12">
        <f>SUMPRODUCT((RAW_ADS!$D$4:$D$18=$B52)*RAW_ADS!$F$4:$F$18)</f>
        <v>0</v>
      </c>
      <c r="E52" s="20">
        <f>IFERROR(SUMPRODUCT((RAW_ADS!$D$4:$D$18=$B52)*RAW_ADS!$G$4:$G$18)/MAX(SUMPRODUCT((RAW_ADS!$D$4:$D$18=$B52)*RAW_ADS!$E$4:$E$18),1),"")</f>
        <v>0</v>
      </c>
      <c r="F52" s="16"/>
      <c r="G52" s="16"/>
      <c r="H52" s="16"/>
      <c r="I52" s="16"/>
      <c r="J52" s="16"/>
      <c r="K52" s="16"/>
      <c r="L52" s="16"/>
    </row>
    <row r="53" spans="1:12" ht="16.05" customHeight="1" x14ac:dyDescent="0.3">
      <c r="A53" s="18">
        <v>30</v>
      </c>
      <c r="B53" s="18" t="s">
        <v>548</v>
      </c>
      <c r="C53" s="9">
        <f>SUMPRODUCT((RAW_ADS!$D$4:$D$18=$B53)*RAW_ADS!$E$4:$E$18)</f>
        <v>0</v>
      </c>
      <c r="D53" s="9">
        <f>SUMPRODUCT((RAW_ADS!$D$4:$D$18=$B53)*RAW_ADS!$F$4:$F$18)</f>
        <v>0</v>
      </c>
      <c r="E53" s="21">
        <f>IFERROR(SUMPRODUCT((RAW_ADS!$D$4:$D$18=$B53)*RAW_ADS!$G$4:$G$18)/MAX(SUMPRODUCT((RAW_ADS!$D$4:$D$18=$B53)*RAW_ADS!$E$4:$E$18),1),"")</f>
        <v>0</v>
      </c>
      <c r="F53" s="18"/>
      <c r="G53" s="18"/>
      <c r="H53" s="18"/>
      <c r="I53" s="18"/>
      <c r="J53" s="18"/>
      <c r="K53" s="18"/>
      <c r="L53" s="18"/>
    </row>
    <row r="54" spans="1:12" ht="16.05" customHeight="1" x14ac:dyDescent="0.3">
      <c r="A54" s="16">
        <v>31</v>
      </c>
      <c r="B54" s="16" t="s">
        <v>549</v>
      </c>
      <c r="C54" s="12">
        <f>SUMPRODUCT((RAW_ADS!$D$4:$D$18=$B54)*RAW_ADS!$E$4:$E$18)</f>
        <v>0</v>
      </c>
      <c r="D54" s="12">
        <f>SUMPRODUCT((RAW_ADS!$D$4:$D$18=$B54)*RAW_ADS!$F$4:$F$18)</f>
        <v>0</v>
      </c>
      <c r="E54" s="20">
        <f>IFERROR(SUMPRODUCT((RAW_ADS!$D$4:$D$18=$B54)*RAW_ADS!$G$4:$G$18)/MAX(SUMPRODUCT((RAW_ADS!$D$4:$D$18=$B54)*RAW_ADS!$E$4:$E$18),1),"")</f>
        <v>0</v>
      </c>
      <c r="F54" s="16"/>
      <c r="G54" s="16"/>
      <c r="H54" s="16"/>
      <c r="I54" s="16"/>
      <c r="J54" s="16"/>
      <c r="K54" s="16"/>
      <c r="L54" s="16"/>
    </row>
    <row r="55" spans="1:12" ht="16.05" customHeight="1" x14ac:dyDescent="0.3">
      <c r="A55" s="18">
        <v>32</v>
      </c>
      <c r="B55" s="18" t="s">
        <v>550</v>
      </c>
      <c r="C55" s="9">
        <f>SUMPRODUCT((RAW_ADS!$D$4:$D$18=$B55)*RAW_ADS!$E$4:$E$18)</f>
        <v>0</v>
      </c>
      <c r="D55" s="9">
        <f>SUMPRODUCT((RAW_ADS!$D$4:$D$18=$B55)*RAW_ADS!$F$4:$F$18)</f>
        <v>0</v>
      </c>
      <c r="E55" s="21">
        <f>IFERROR(SUMPRODUCT((RAW_ADS!$D$4:$D$18=$B55)*RAW_ADS!$G$4:$G$18)/MAX(SUMPRODUCT((RAW_ADS!$D$4:$D$18=$B55)*RAW_ADS!$E$4:$E$18),1),"")</f>
        <v>0</v>
      </c>
      <c r="F55" s="18"/>
      <c r="G55" s="18"/>
      <c r="H55" s="18"/>
      <c r="I55" s="18"/>
      <c r="J55" s="18"/>
      <c r="K55" s="18"/>
      <c r="L55" s="18"/>
    </row>
    <row r="56" spans="1:12" ht="16.05" customHeight="1" x14ac:dyDescent="0.3">
      <c r="A56" s="16">
        <v>33</v>
      </c>
      <c r="B56" s="16" t="s">
        <v>551</v>
      </c>
      <c r="C56" s="12">
        <f>SUMPRODUCT((RAW_ADS!$D$4:$D$18=$B56)*RAW_ADS!$E$4:$E$18)</f>
        <v>0</v>
      </c>
      <c r="D56" s="12">
        <f>SUMPRODUCT((RAW_ADS!$D$4:$D$18=$B56)*RAW_ADS!$F$4:$F$18)</f>
        <v>0</v>
      </c>
      <c r="E56" s="20">
        <f>IFERROR(SUMPRODUCT((RAW_ADS!$D$4:$D$18=$B56)*RAW_ADS!$G$4:$G$18)/MAX(SUMPRODUCT((RAW_ADS!$D$4:$D$18=$B56)*RAW_ADS!$E$4:$E$18),1),"")</f>
        <v>0</v>
      </c>
      <c r="F56" s="16"/>
      <c r="G56" s="16"/>
      <c r="H56" s="16"/>
      <c r="I56" s="16"/>
      <c r="J56" s="16"/>
      <c r="K56" s="16"/>
      <c r="L56" s="16"/>
    </row>
    <row r="57" spans="1:12" ht="16.05" customHeight="1" x14ac:dyDescent="0.3">
      <c r="A57" s="18">
        <v>34</v>
      </c>
      <c r="B57" s="18" t="s">
        <v>552</v>
      </c>
      <c r="C57" s="9">
        <f>SUMPRODUCT((RAW_ADS!$D$4:$D$18=$B57)*RAW_ADS!$E$4:$E$18)</f>
        <v>0</v>
      </c>
      <c r="D57" s="9">
        <f>SUMPRODUCT((RAW_ADS!$D$4:$D$18=$B57)*RAW_ADS!$F$4:$F$18)</f>
        <v>0</v>
      </c>
      <c r="E57" s="21">
        <f>IFERROR(SUMPRODUCT((RAW_ADS!$D$4:$D$18=$B57)*RAW_ADS!$G$4:$G$18)/MAX(SUMPRODUCT((RAW_ADS!$D$4:$D$18=$B57)*RAW_ADS!$E$4:$E$18),1),"")</f>
        <v>0</v>
      </c>
      <c r="F57" s="18"/>
      <c r="G57" s="18"/>
      <c r="H57" s="18"/>
      <c r="I57" s="18"/>
      <c r="J57" s="18"/>
      <c r="K57" s="18"/>
      <c r="L57" s="18"/>
    </row>
    <row r="58" spans="1:12" ht="16.05" customHeight="1" x14ac:dyDescent="0.3">
      <c r="A58" s="16">
        <v>35</v>
      </c>
      <c r="B58" s="16" t="s">
        <v>553</v>
      </c>
      <c r="C58" s="12">
        <f>SUMPRODUCT((RAW_ADS!$D$4:$D$18=$B58)*RAW_ADS!$E$4:$E$18)</f>
        <v>0</v>
      </c>
      <c r="D58" s="12">
        <f>SUMPRODUCT((RAW_ADS!$D$4:$D$18=$B58)*RAW_ADS!$F$4:$F$18)</f>
        <v>0</v>
      </c>
      <c r="E58" s="20">
        <f>IFERROR(SUMPRODUCT((RAW_ADS!$D$4:$D$18=$B58)*RAW_ADS!$G$4:$G$18)/MAX(SUMPRODUCT((RAW_ADS!$D$4:$D$18=$B58)*RAW_ADS!$E$4:$E$18),1),"")</f>
        <v>0</v>
      </c>
      <c r="F58" s="16"/>
      <c r="G58" s="16"/>
      <c r="H58" s="16"/>
      <c r="I58" s="16"/>
      <c r="J58" s="16"/>
      <c r="K58" s="16"/>
      <c r="L58" s="16"/>
    </row>
    <row r="59" spans="1:12" ht="16.05" customHeight="1" x14ac:dyDescent="0.3">
      <c r="A59" s="18">
        <v>36</v>
      </c>
      <c r="B59" s="18" t="s">
        <v>554</v>
      </c>
      <c r="C59" s="9">
        <f>SUMPRODUCT((RAW_ADS!$D$4:$D$18=$B59)*RAW_ADS!$E$4:$E$18)</f>
        <v>0</v>
      </c>
      <c r="D59" s="9">
        <f>SUMPRODUCT((RAW_ADS!$D$4:$D$18=$B59)*RAW_ADS!$F$4:$F$18)</f>
        <v>0</v>
      </c>
      <c r="E59" s="21">
        <f>IFERROR(SUMPRODUCT((RAW_ADS!$D$4:$D$18=$B59)*RAW_ADS!$G$4:$G$18)/MAX(SUMPRODUCT((RAW_ADS!$D$4:$D$18=$B59)*RAW_ADS!$E$4:$E$18),1),"")</f>
        <v>0</v>
      </c>
      <c r="F59" s="18"/>
      <c r="G59" s="18"/>
      <c r="H59" s="18"/>
      <c r="I59" s="18"/>
      <c r="J59" s="18"/>
      <c r="K59" s="18"/>
      <c r="L59" s="18"/>
    </row>
  </sheetData>
  <mergeCells count="5">
    <mergeCell ref="A2:L2"/>
    <mergeCell ref="A1:L1"/>
    <mergeCell ref="A22:L22"/>
    <mergeCell ref="A3:L3"/>
    <mergeCell ref="A4:L4"/>
  </mergeCell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0000000-0002-0000-1500-000000000000}">
          <x14:formula1>
            <xm:f>REF!$K$2:$K$5</xm:f>
          </x14:formula1>
          <xm:sqref>H24:I59</xm:sqref>
        </x14:dataValidation>
        <x14:dataValidation type="list" allowBlank="1" xr:uid="{00000000-0002-0000-1500-000002000000}">
          <x14:formula1>
            <xm:f>REF!$Q$2:$Q$5</xm:f>
          </x14:formula1>
          <xm:sqref>J24:J59</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J82"/>
  <sheetViews>
    <sheetView showGridLines="0" topLeftCell="A3" workbookViewId="0">
      <selection activeCell="D20" sqref="D20"/>
    </sheetView>
  </sheetViews>
  <sheetFormatPr defaultRowHeight="14.4" x14ac:dyDescent="0.3"/>
  <cols>
    <col min="1" max="1" width="4" customWidth="1"/>
    <col min="2" max="2" width="28" customWidth="1"/>
    <col min="3" max="4" width="16" customWidth="1"/>
    <col min="5" max="9" width="14" customWidth="1"/>
    <col min="10" max="10" width="22" customWidth="1"/>
  </cols>
  <sheetData>
    <row r="1" spans="1:10" ht="28.05" customHeight="1" x14ac:dyDescent="0.3">
      <c r="A1" s="32" t="s">
        <v>981</v>
      </c>
      <c r="B1" s="33"/>
      <c r="C1" s="33"/>
      <c r="D1" s="33"/>
      <c r="E1" s="33"/>
      <c r="F1" s="33"/>
      <c r="G1" s="33"/>
      <c r="H1" s="33"/>
      <c r="I1" s="33"/>
      <c r="J1" s="33"/>
    </row>
    <row r="2" spans="1:10" ht="18" customHeight="1" x14ac:dyDescent="0.3">
      <c r="A2" s="38" t="str">
        <f>IF(SelectedScope="All India","NATIONAL VIEW — ALL INDIA","STATE VIEW — "&amp;SelectedScope)</f>
        <v>NATIONAL VIEW — ALL INDIA</v>
      </c>
      <c r="B2" s="33"/>
      <c r="C2" s="33"/>
      <c r="D2" s="33"/>
      <c r="E2" s="33"/>
      <c r="F2" s="33"/>
      <c r="G2" s="33"/>
      <c r="H2" s="33"/>
      <c r="I2" s="33"/>
      <c r="J2" s="33"/>
    </row>
    <row r="3" spans="1:10" ht="16.05" customHeight="1" x14ac:dyDescent="0.3">
      <c r="A3" s="39" t="s">
        <v>982</v>
      </c>
      <c r="B3" s="33"/>
      <c r="C3" s="33"/>
      <c r="D3" s="33"/>
      <c r="E3" s="33"/>
      <c r="F3" s="33"/>
      <c r="G3" s="33"/>
      <c r="H3" s="33"/>
      <c r="I3" s="33"/>
      <c r="J3" s="33"/>
    </row>
    <row r="4" spans="1:10" ht="19.95" customHeight="1" x14ac:dyDescent="0.3">
      <c r="A4" s="37" t="s">
        <v>983</v>
      </c>
      <c r="B4" s="33"/>
      <c r="C4" s="33"/>
      <c r="D4" s="33"/>
      <c r="E4" s="33"/>
      <c r="F4" s="33"/>
      <c r="G4" s="33"/>
      <c r="H4" s="33"/>
      <c r="I4" s="33"/>
      <c r="J4" s="33"/>
    </row>
    <row r="5" spans="1:10" ht="31.95" customHeight="1" x14ac:dyDescent="0.3">
      <c r="A5" s="15" t="s">
        <v>78</v>
      </c>
      <c r="B5" s="15" t="s">
        <v>984</v>
      </c>
      <c r="C5" s="15" t="s">
        <v>71</v>
      </c>
      <c r="D5" s="15" t="s">
        <v>985</v>
      </c>
      <c r="E5" s="15" t="s">
        <v>986</v>
      </c>
      <c r="F5" s="15" t="s">
        <v>987</v>
      </c>
      <c r="G5" s="15" t="s">
        <v>988</v>
      </c>
      <c r="H5" s="15" t="s">
        <v>989</v>
      </c>
      <c r="I5" s="15" t="s">
        <v>990</v>
      </c>
      <c r="J5" s="15" t="s">
        <v>86</v>
      </c>
    </row>
    <row r="6" spans="1:10" ht="16.05" customHeight="1" x14ac:dyDescent="0.3">
      <c r="A6" s="16">
        <v>1</v>
      </c>
      <c r="B6" s="16" t="s">
        <v>991</v>
      </c>
      <c r="C6" s="16"/>
      <c r="D6" s="16"/>
      <c r="E6" s="16"/>
      <c r="F6" s="16"/>
      <c r="G6" s="16"/>
      <c r="H6" s="16"/>
      <c r="I6" s="16"/>
      <c r="J6" s="16"/>
    </row>
    <row r="7" spans="1:10" ht="16.05" customHeight="1" x14ac:dyDescent="0.3">
      <c r="A7" s="18">
        <v>2</v>
      </c>
      <c r="B7" s="18" t="s">
        <v>992</v>
      </c>
      <c r="C7" s="18"/>
      <c r="D7" s="18"/>
      <c r="E7" s="18"/>
      <c r="F7" s="18"/>
      <c r="G7" s="18"/>
      <c r="H7" s="18"/>
      <c r="I7" s="18"/>
      <c r="J7" s="18"/>
    </row>
    <row r="8" spans="1:10" ht="16.05" customHeight="1" x14ac:dyDescent="0.3">
      <c r="A8" s="16">
        <v>3</v>
      </c>
      <c r="B8" s="16" t="s">
        <v>993</v>
      </c>
      <c r="C8" s="16"/>
      <c r="D8" s="16"/>
      <c r="E8" s="16"/>
      <c r="F8" s="16"/>
      <c r="G8" s="16"/>
      <c r="H8" s="16"/>
      <c r="I8" s="16"/>
      <c r="J8" s="16"/>
    </row>
    <row r="9" spans="1:10" ht="16.05" customHeight="1" x14ac:dyDescent="0.3">
      <c r="A9" s="18">
        <v>4</v>
      </c>
      <c r="B9" s="18" t="s">
        <v>994</v>
      </c>
      <c r="C9" s="18"/>
      <c r="D9" s="18"/>
      <c r="E9" s="18"/>
      <c r="F9" s="18"/>
      <c r="G9" s="18"/>
      <c r="H9" s="18"/>
      <c r="I9" s="18"/>
      <c r="J9" s="18"/>
    </row>
    <row r="10" spans="1:10" ht="16.05" customHeight="1" x14ac:dyDescent="0.3">
      <c r="A10" s="16">
        <v>5</v>
      </c>
      <c r="B10" s="16" t="s">
        <v>995</v>
      </c>
      <c r="C10" s="16"/>
      <c r="D10" s="16"/>
      <c r="E10" s="16"/>
      <c r="F10" s="16"/>
      <c r="G10" s="16"/>
      <c r="H10" s="16"/>
      <c r="I10" s="16"/>
      <c r="J10" s="16"/>
    </row>
    <row r="11" spans="1:10" ht="16.05" customHeight="1" x14ac:dyDescent="0.3">
      <c r="A11" s="18">
        <v>6</v>
      </c>
      <c r="B11" s="18" t="s">
        <v>996</v>
      </c>
      <c r="C11" s="18"/>
      <c r="D11" s="18"/>
      <c r="E11" s="18"/>
      <c r="F11" s="18"/>
      <c r="G11" s="18"/>
      <c r="H11" s="18"/>
      <c r="I11" s="18"/>
      <c r="J11" s="18"/>
    </row>
    <row r="12" spans="1:10" ht="16.05" customHeight="1" x14ac:dyDescent="0.3">
      <c r="A12" s="16">
        <v>7</v>
      </c>
      <c r="B12" s="16" t="s">
        <v>997</v>
      </c>
      <c r="C12" s="16"/>
      <c r="D12" s="16"/>
      <c r="E12" s="16"/>
      <c r="F12" s="16"/>
      <c r="G12" s="16"/>
      <c r="H12" s="16"/>
      <c r="I12" s="16"/>
      <c r="J12" s="16"/>
    </row>
    <row r="13" spans="1:10" ht="16.05" customHeight="1" x14ac:dyDescent="0.3">
      <c r="A13" s="18">
        <v>8</v>
      </c>
      <c r="B13" s="18" t="s">
        <v>998</v>
      </c>
      <c r="C13" s="18"/>
      <c r="D13" s="18"/>
      <c r="E13" s="18"/>
      <c r="F13" s="18"/>
      <c r="G13" s="18"/>
      <c r="H13" s="18"/>
      <c r="I13" s="18"/>
      <c r="J13" s="18"/>
    </row>
    <row r="14" spans="1:10" ht="16.05" customHeight="1" x14ac:dyDescent="0.3">
      <c r="A14" s="16">
        <v>9</v>
      </c>
      <c r="B14" s="16" t="s">
        <v>999</v>
      </c>
      <c r="C14" s="16"/>
      <c r="D14" s="16"/>
      <c r="E14" s="16"/>
      <c r="F14" s="16"/>
      <c r="G14" s="16"/>
      <c r="H14" s="16"/>
      <c r="I14" s="16"/>
      <c r="J14" s="16"/>
    </row>
    <row r="15" spans="1:10" ht="16.05" customHeight="1" x14ac:dyDescent="0.3">
      <c r="A15" s="18">
        <v>10</v>
      </c>
      <c r="B15" s="18" t="s">
        <v>1000</v>
      </c>
      <c r="C15" s="18"/>
      <c r="D15" s="18"/>
      <c r="E15" s="18"/>
      <c r="F15" s="18"/>
      <c r="G15" s="18"/>
      <c r="H15" s="18"/>
      <c r="I15" s="18"/>
      <c r="J15" s="18"/>
    </row>
    <row r="17" spans="1:10" ht="19.95" customHeight="1" x14ac:dyDescent="0.3">
      <c r="A17" s="37" t="s">
        <v>1001</v>
      </c>
      <c r="B17" s="33"/>
      <c r="C17" s="33"/>
      <c r="D17" s="33"/>
      <c r="E17" s="33"/>
      <c r="F17" s="33"/>
      <c r="G17" s="33"/>
      <c r="H17" s="33"/>
      <c r="I17" s="33"/>
      <c r="J17" s="33"/>
    </row>
    <row r="18" spans="1:10" ht="31.95" customHeight="1" x14ac:dyDescent="0.3">
      <c r="A18" s="15" t="s">
        <v>78</v>
      </c>
      <c r="B18" s="15" t="s">
        <v>192</v>
      </c>
      <c r="C18" s="15" t="s">
        <v>1002</v>
      </c>
      <c r="D18" s="15" t="s">
        <v>1003</v>
      </c>
      <c r="E18" s="15" t="s">
        <v>1004</v>
      </c>
      <c r="F18" s="15" t="s">
        <v>1005</v>
      </c>
      <c r="G18" s="15" t="s">
        <v>1006</v>
      </c>
      <c r="H18" s="15" t="s">
        <v>1007</v>
      </c>
      <c r="I18" s="15" t="s">
        <v>1008</v>
      </c>
      <c r="J18" s="15" t="s">
        <v>86</v>
      </c>
    </row>
    <row r="19" spans="1:10" ht="16.05" customHeight="1" x14ac:dyDescent="0.3">
      <c r="A19" s="18">
        <v>1</v>
      </c>
      <c r="B19" s="18" t="s">
        <v>519</v>
      </c>
      <c r="C19" s="9">
        <f>SUMPRODUCT(('RAW_DISTRICT'!$B$4:$B$745=$B19)*'RAW_DISTRICT'!$Q$4:$Q$745)</f>
        <v>0</v>
      </c>
      <c r="D19" s="9">
        <f>SUMPRODUCT(('RAW_DISTRICT'!$B$4:$B$745=$B19)*'RAW_DISTRICT'!$L$4:$L$745)</f>
        <v>0</v>
      </c>
      <c r="E19" s="21" t="str">
        <f t="shared" ref="E19:E54" si="0">IFERROR(C19/D19,"")</f>
        <v/>
      </c>
      <c r="F19" s="21" t="str">
        <f t="shared" ref="F19:F54" si="1">IFERROR(1-E19,"")</f>
        <v/>
      </c>
      <c r="G19" s="18"/>
      <c r="H19" s="18"/>
      <c r="I19" s="9">
        <f t="shared" ref="I19:I54" si="2">IFERROR(G19-H19,"")</f>
        <v>0</v>
      </c>
      <c r="J19" s="18"/>
    </row>
    <row r="20" spans="1:10" ht="16.05" customHeight="1" x14ac:dyDescent="0.3">
      <c r="A20" s="16">
        <v>2</v>
      </c>
      <c r="B20" s="16" t="s">
        <v>520</v>
      </c>
      <c r="C20" s="12">
        <f>SUMPRODUCT(('RAW_DISTRICT'!$B$4:$B$745=$B20)*'RAW_DISTRICT'!$Q$4:$Q$745)</f>
        <v>0</v>
      </c>
      <c r="D20" s="12">
        <f>SUMPRODUCT(('RAW_DISTRICT'!$B$4:$B$745=$B20)*'RAW_DISTRICT'!$L$4:$L$745)</f>
        <v>0</v>
      </c>
      <c r="E20" s="20" t="str">
        <f t="shared" si="0"/>
        <v/>
      </c>
      <c r="F20" s="20" t="str">
        <f t="shared" si="1"/>
        <v/>
      </c>
      <c r="G20" s="16"/>
      <c r="H20" s="16"/>
      <c r="I20" s="12">
        <f t="shared" si="2"/>
        <v>0</v>
      </c>
      <c r="J20" s="16"/>
    </row>
    <row r="21" spans="1:10" ht="16.05" customHeight="1" x14ac:dyDescent="0.3">
      <c r="A21" s="18">
        <v>3</v>
      </c>
      <c r="B21" s="18" t="s">
        <v>521</v>
      </c>
      <c r="C21" s="9">
        <f>SUMPRODUCT(('RAW_DISTRICT'!$B$4:$B$745=$B21)*'RAW_DISTRICT'!$Q$4:$Q$745)</f>
        <v>0</v>
      </c>
      <c r="D21" s="9">
        <f>SUMPRODUCT(('RAW_DISTRICT'!$B$4:$B$745=$B21)*'RAW_DISTRICT'!$L$4:$L$745)</f>
        <v>0</v>
      </c>
      <c r="E21" s="21" t="str">
        <f t="shared" si="0"/>
        <v/>
      </c>
      <c r="F21" s="21" t="str">
        <f t="shared" si="1"/>
        <v/>
      </c>
      <c r="G21" s="18"/>
      <c r="H21" s="18"/>
      <c r="I21" s="9">
        <f t="shared" si="2"/>
        <v>0</v>
      </c>
      <c r="J21" s="18"/>
    </row>
    <row r="22" spans="1:10" ht="16.05" customHeight="1" x14ac:dyDescent="0.3">
      <c r="A22" s="16">
        <v>4</v>
      </c>
      <c r="B22" s="16" t="s">
        <v>522</v>
      </c>
      <c r="C22" s="12">
        <f>SUMPRODUCT(('RAW_DISTRICT'!$B$4:$B$745=$B22)*'RAW_DISTRICT'!$Q$4:$Q$745)</f>
        <v>0</v>
      </c>
      <c r="D22" s="12">
        <f>SUMPRODUCT(('RAW_DISTRICT'!$B$4:$B$745=$B22)*'RAW_DISTRICT'!$L$4:$L$745)</f>
        <v>0</v>
      </c>
      <c r="E22" s="20" t="str">
        <f t="shared" si="0"/>
        <v/>
      </c>
      <c r="F22" s="20" t="str">
        <f t="shared" si="1"/>
        <v/>
      </c>
      <c r="G22" s="16"/>
      <c r="H22" s="16"/>
      <c r="I22" s="12">
        <f t="shared" si="2"/>
        <v>0</v>
      </c>
      <c r="J22" s="16"/>
    </row>
    <row r="23" spans="1:10" ht="16.05" customHeight="1" x14ac:dyDescent="0.3">
      <c r="A23" s="18">
        <v>5</v>
      </c>
      <c r="B23" s="18" t="s">
        <v>523</v>
      </c>
      <c r="C23" s="9">
        <f>SUMPRODUCT(('RAW_DISTRICT'!$B$4:$B$745=$B23)*'RAW_DISTRICT'!$Q$4:$Q$745)</f>
        <v>0</v>
      </c>
      <c r="D23" s="9">
        <f>SUMPRODUCT(('RAW_DISTRICT'!$B$4:$B$745=$B23)*'RAW_DISTRICT'!$L$4:$L$745)</f>
        <v>0</v>
      </c>
      <c r="E23" s="21" t="str">
        <f t="shared" si="0"/>
        <v/>
      </c>
      <c r="F23" s="21" t="str">
        <f t="shared" si="1"/>
        <v/>
      </c>
      <c r="G23" s="18"/>
      <c r="H23" s="18"/>
      <c r="I23" s="9">
        <f t="shared" si="2"/>
        <v>0</v>
      </c>
      <c r="J23" s="18"/>
    </row>
    <row r="24" spans="1:10" ht="16.05" customHeight="1" x14ac:dyDescent="0.3">
      <c r="A24" s="16">
        <v>6</v>
      </c>
      <c r="B24" s="16" t="s">
        <v>524</v>
      </c>
      <c r="C24" s="12">
        <f>SUMPRODUCT(('RAW_DISTRICT'!$B$4:$B$745=$B24)*'RAW_DISTRICT'!$Q$4:$Q$745)</f>
        <v>0</v>
      </c>
      <c r="D24" s="12">
        <f>SUMPRODUCT(('RAW_DISTRICT'!$B$4:$B$745=$B24)*'RAW_DISTRICT'!$L$4:$L$745)</f>
        <v>0</v>
      </c>
      <c r="E24" s="20" t="str">
        <f t="shared" si="0"/>
        <v/>
      </c>
      <c r="F24" s="20" t="str">
        <f t="shared" si="1"/>
        <v/>
      </c>
      <c r="G24" s="16"/>
      <c r="H24" s="16"/>
      <c r="I24" s="12">
        <f t="shared" si="2"/>
        <v>0</v>
      </c>
      <c r="J24" s="16"/>
    </row>
    <row r="25" spans="1:10" ht="16.05" customHeight="1" x14ac:dyDescent="0.3">
      <c r="A25" s="18">
        <v>7</v>
      </c>
      <c r="B25" s="18" t="s">
        <v>525</v>
      </c>
      <c r="C25" s="9">
        <f>SUMPRODUCT(('RAW_DISTRICT'!$B$4:$B$745=$B25)*'RAW_DISTRICT'!$Q$4:$Q$745)</f>
        <v>0</v>
      </c>
      <c r="D25" s="9">
        <f>SUMPRODUCT(('RAW_DISTRICT'!$B$4:$B$745=$B25)*'RAW_DISTRICT'!$L$4:$L$745)</f>
        <v>0</v>
      </c>
      <c r="E25" s="21" t="str">
        <f t="shared" si="0"/>
        <v/>
      </c>
      <c r="F25" s="21" t="str">
        <f t="shared" si="1"/>
        <v/>
      </c>
      <c r="G25" s="18"/>
      <c r="H25" s="18"/>
      <c r="I25" s="9">
        <f t="shared" si="2"/>
        <v>0</v>
      </c>
      <c r="J25" s="18"/>
    </row>
    <row r="26" spans="1:10" ht="16.05" customHeight="1" x14ac:dyDescent="0.3">
      <c r="A26" s="16">
        <v>8</v>
      </c>
      <c r="B26" s="16" t="s">
        <v>526</v>
      </c>
      <c r="C26" s="12">
        <f>SUMPRODUCT(('RAW_DISTRICT'!$B$4:$B$745=$B26)*'RAW_DISTRICT'!$Q$4:$Q$745)</f>
        <v>0</v>
      </c>
      <c r="D26" s="12">
        <f>SUMPRODUCT(('RAW_DISTRICT'!$B$4:$B$745=$B26)*'RAW_DISTRICT'!$L$4:$L$745)</f>
        <v>0</v>
      </c>
      <c r="E26" s="20" t="str">
        <f t="shared" si="0"/>
        <v/>
      </c>
      <c r="F26" s="20" t="str">
        <f t="shared" si="1"/>
        <v/>
      </c>
      <c r="G26" s="16"/>
      <c r="H26" s="16"/>
      <c r="I26" s="12">
        <f t="shared" si="2"/>
        <v>0</v>
      </c>
      <c r="J26" s="16"/>
    </row>
    <row r="27" spans="1:10" ht="16.05" customHeight="1" x14ac:dyDescent="0.3">
      <c r="A27" s="18">
        <v>9</v>
      </c>
      <c r="B27" s="18" t="s">
        <v>527</v>
      </c>
      <c r="C27" s="9">
        <f>SUMPRODUCT(('RAW_DISTRICT'!$B$4:$B$745=$B27)*'RAW_DISTRICT'!$Q$4:$Q$745)</f>
        <v>0</v>
      </c>
      <c r="D27" s="9">
        <f>SUMPRODUCT(('RAW_DISTRICT'!$B$4:$B$745=$B27)*'RAW_DISTRICT'!$L$4:$L$745)</f>
        <v>0</v>
      </c>
      <c r="E27" s="21" t="str">
        <f t="shared" si="0"/>
        <v/>
      </c>
      <c r="F27" s="21" t="str">
        <f t="shared" si="1"/>
        <v/>
      </c>
      <c r="G27" s="18"/>
      <c r="H27" s="18"/>
      <c r="I27" s="9">
        <f t="shared" si="2"/>
        <v>0</v>
      </c>
      <c r="J27" s="18"/>
    </row>
    <row r="28" spans="1:10" ht="16.05" customHeight="1" x14ac:dyDescent="0.3">
      <c r="A28" s="16">
        <v>10</v>
      </c>
      <c r="B28" s="16" t="s">
        <v>528</v>
      </c>
      <c r="C28" s="12">
        <f>SUMPRODUCT(('RAW_DISTRICT'!$B$4:$B$745=$B28)*'RAW_DISTRICT'!$Q$4:$Q$745)</f>
        <v>0</v>
      </c>
      <c r="D28" s="12">
        <f>SUMPRODUCT(('RAW_DISTRICT'!$B$4:$B$745=$B28)*'RAW_DISTRICT'!$L$4:$L$745)</f>
        <v>0</v>
      </c>
      <c r="E28" s="20" t="str">
        <f t="shared" si="0"/>
        <v/>
      </c>
      <c r="F28" s="20" t="str">
        <f t="shared" si="1"/>
        <v/>
      </c>
      <c r="G28" s="16"/>
      <c r="H28" s="16"/>
      <c r="I28" s="12">
        <f t="shared" si="2"/>
        <v>0</v>
      </c>
      <c r="J28" s="16"/>
    </row>
    <row r="29" spans="1:10" ht="16.05" customHeight="1" x14ac:dyDescent="0.3">
      <c r="A29" s="18">
        <v>11</v>
      </c>
      <c r="B29" s="18" t="s">
        <v>529</v>
      </c>
      <c r="C29" s="9">
        <f>SUMPRODUCT(('RAW_DISTRICT'!$B$4:$B$745=$B29)*'RAW_DISTRICT'!$Q$4:$Q$745)</f>
        <v>0</v>
      </c>
      <c r="D29" s="9">
        <f>SUMPRODUCT(('RAW_DISTRICT'!$B$4:$B$745=$B29)*'RAW_DISTRICT'!$L$4:$L$745)</f>
        <v>0</v>
      </c>
      <c r="E29" s="21" t="str">
        <f t="shared" si="0"/>
        <v/>
      </c>
      <c r="F29" s="21" t="str">
        <f t="shared" si="1"/>
        <v/>
      </c>
      <c r="G29" s="18"/>
      <c r="H29" s="18"/>
      <c r="I29" s="9">
        <f t="shared" si="2"/>
        <v>0</v>
      </c>
      <c r="J29" s="18"/>
    </row>
    <row r="30" spans="1:10" ht="16.05" customHeight="1" x14ac:dyDescent="0.3">
      <c r="A30" s="16">
        <v>12</v>
      </c>
      <c r="B30" s="16" t="s">
        <v>530</v>
      </c>
      <c r="C30" s="12">
        <f>SUMPRODUCT(('RAW_DISTRICT'!$B$4:$B$745=$B30)*'RAW_DISTRICT'!$Q$4:$Q$745)</f>
        <v>0</v>
      </c>
      <c r="D30" s="12">
        <f>SUMPRODUCT(('RAW_DISTRICT'!$B$4:$B$745=$B30)*'RAW_DISTRICT'!$L$4:$L$745)</f>
        <v>0</v>
      </c>
      <c r="E30" s="20" t="str">
        <f t="shared" si="0"/>
        <v/>
      </c>
      <c r="F30" s="20" t="str">
        <f t="shared" si="1"/>
        <v/>
      </c>
      <c r="G30" s="16"/>
      <c r="H30" s="16"/>
      <c r="I30" s="12">
        <f t="shared" si="2"/>
        <v>0</v>
      </c>
      <c r="J30" s="16"/>
    </row>
    <row r="31" spans="1:10" ht="16.05" customHeight="1" x14ac:dyDescent="0.3">
      <c r="A31" s="18">
        <v>13</v>
      </c>
      <c r="B31" s="18" t="s">
        <v>531</v>
      </c>
      <c r="C31" s="9">
        <f>SUMPRODUCT(('RAW_DISTRICT'!$B$4:$B$745=$B31)*'RAW_DISTRICT'!$Q$4:$Q$745)</f>
        <v>0</v>
      </c>
      <c r="D31" s="9">
        <f>SUMPRODUCT(('RAW_DISTRICT'!$B$4:$B$745=$B31)*'RAW_DISTRICT'!$L$4:$L$745)</f>
        <v>0</v>
      </c>
      <c r="E31" s="21" t="str">
        <f t="shared" si="0"/>
        <v/>
      </c>
      <c r="F31" s="21" t="str">
        <f t="shared" si="1"/>
        <v/>
      </c>
      <c r="G31" s="18"/>
      <c r="H31" s="18"/>
      <c r="I31" s="9">
        <f t="shared" si="2"/>
        <v>0</v>
      </c>
      <c r="J31" s="18"/>
    </row>
    <row r="32" spans="1:10" ht="16.05" customHeight="1" x14ac:dyDescent="0.3">
      <c r="A32" s="16">
        <v>14</v>
      </c>
      <c r="B32" s="16" t="s">
        <v>532</v>
      </c>
      <c r="C32" s="12">
        <f>SUMPRODUCT(('RAW_DISTRICT'!$B$4:$B$745=$B32)*'RAW_DISTRICT'!$Q$4:$Q$745)</f>
        <v>0</v>
      </c>
      <c r="D32" s="12">
        <f>SUMPRODUCT(('RAW_DISTRICT'!$B$4:$B$745=$B32)*'RAW_DISTRICT'!$L$4:$L$745)</f>
        <v>0</v>
      </c>
      <c r="E32" s="20" t="str">
        <f t="shared" si="0"/>
        <v/>
      </c>
      <c r="F32" s="20" t="str">
        <f t="shared" si="1"/>
        <v/>
      </c>
      <c r="G32" s="16"/>
      <c r="H32" s="16"/>
      <c r="I32" s="12">
        <f t="shared" si="2"/>
        <v>0</v>
      </c>
      <c r="J32" s="16"/>
    </row>
    <row r="33" spans="1:10" ht="16.05" customHeight="1" x14ac:dyDescent="0.3">
      <c r="A33" s="18">
        <v>15</v>
      </c>
      <c r="B33" s="18" t="s">
        <v>533</v>
      </c>
      <c r="C33" s="9">
        <f>SUMPRODUCT(('RAW_DISTRICT'!$B$4:$B$745=$B33)*'RAW_DISTRICT'!$Q$4:$Q$745)</f>
        <v>0</v>
      </c>
      <c r="D33" s="9">
        <f>SUMPRODUCT(('RAW_DISTRICT'!$B$4:$B$745=$B33)*'RAW_DISTRICT'!$L$4:$L$745)</f>
        <v>0</v>
      </c>
      <c r="E33" s="21" t="str">
        <f t="shared" si="0"/>
        <v/>
      </c>
      <c r="F33" s="21" t="str">
        <f t="shared" si="1"/>
        <v/>
      </c>
      <c r="G33" s="18"/>
      <c r="H33" s="18"/>
      <c r="I33" s="9">
        <f t="shared" si="2"/>
        <v>0</v>
      </c>
      <c r="J33" s="18"/>
    </row>
    <row r="34" spans="1:10" ht="16.05" customHeight="1" x14ac:dyDescent="0.3">
      <c r="A34" s="16">
        <v>16</v>
      </c>
      <c r="B34" s="16" t="s">
        <v>534</v>
      </c>
      <c r="C34" s="12">
        <f>SUMPRODUCT(('RAW_DISTRICT'!$B$4:$B$745=$B34)*'RAW_DISTRICT'!$Q$4:$Q$745)</f>
        <v>0</v>
      </c>
      <c r="D34" s="12">
        <f>SUMPRODUCT(('RAW_DISTRICT'!$B$4:$B$745=$B34)*'RAW_DISTRICT'!$L$4:$L$745)</f>
        <v>0</v>
      </c>
      <c r="E34" s="20" t="str">
        <f t="shared" si="0"/>
        <v/>
      </c>
      <c r="F34" s="20" t="str">
        <f t="shared" si="1"/>
        <v/>
      </c>
      <c r="G34" s="16"/>
      <c r="H34" s="16"/>
      <c r="I34" s="12">
        <f t="shared" si="2"/>
        <v>0</v>
      </c>
      <c r="J34" s="16"/>
    </row>
    <row r="35" spans="1:10" ht="16.05" customHeight="1" x14ac:dyDescent="0.3">
      <c r="A35" s="18">
        <v>17</v>
      </c>
      <c r="B35" s="18" t="s">
        <v>535</v>
      </c>
      <c r="C35" s="9">
        <f>SUMPRODUCT(('RAW_DISTRICT'!$B$4:$B$745=$B35)*'RAW_DISTRICT'!$Q$4:$Q$745)</f>
        <v>0</v>
      </c>
      <c r="D35" s="9">
        <f>SUMPRODUCT(('RAW_DISTRICT'!$B$4:$B$745=$B35)*'RAW_DISTRICT'!$L$4:$L$745)</f>
        <v>0</v>
      </c>
      <c r="E35" s="21" t="str">
        <f t="shared" si="0"/>
        <v/>
      </c>
      <c r="F35" s="21" t="str">
        <f t="shared" si="1"/>
        <v/>
      </c>
      <c r="G35" s="18"/>
      <c r="H35" s="18"/>
      <c r="I35" s="9">
        <f t="shared" si="2"/>
        <v>0</v>
      </c>
      <c r="J35" s="18"/>
    </row>
    <row r="36" spans="1:10" ht="16.05" customHeight="1" x14ac:dyDescent="0.3">
      <c r="A36" s="16">
        <v>18</v>
      </c>
      <c r="B36" s="16" t="s">
        <v>536</v>
      </c>
      <c r="C36" s="12">
        <f>SUMPRODUCT(('RAW_DISTRICT'!$B$4:$B$745=$B36)*'RAW_DISTRICT'!$Q$4:$Q$745)</f>
        <v>0</v>
      </c>
      <c r="D36" s="12">
        <f>SUMPRODUCT(('RAW_DISTRICT'!$B$4:$B$745=$B36)*'RAW_DISTRICT'!$L$4:$L$745)</f>
        <v>0</v>
      </c>
      <c r="E36" s="20" t="str">
        <f t="shared" si="0"/>
        <v/>
      </c>
      <c r="F36" s="20" t="str">
        <f t="shared" si="1"/>
        <v/>
      </c>
      <c r="G36" s="16"/>
      <c r="H36" s="16"/>
      <c r="I36" s="12">
        <f t="shared" si="2"/>
        <v>0</v>
      </c>
      <c r="J36" s="16"/>
    </row>
    <row r="37" spans="1:10" ht="16.05" customHeight="1" x14ac:dyDescent="0.3">
      <c r="A37" s="18">
        <v>19</v>
      </c>
      <c r="B37" s="18" t="s">
        <v>537</v>
      </c>
      <c r="C37" s="9">
        <f>SUMPRODUCT(('RAW_DISTRICT'!$B$4:$B$745=$B37)*'RAW_DISTRICT'!$Q$4:$Q$745)</f>
        <v>0</v>
      </c>
      <c r="D37" s="9">
        <f>SUMPRODUCT(('RAW_DISTRICT'!$B$4:$B$745=$B37)*'RAW_DISTRICT'!$L$4:$L$745)</f>
        <v>0</v>
      </c>
      <c r="E37" s="21" t="str">
        <f t="shared" si="0"/>
        <v/>
      </c>
      <c r="F37" s="21" t="str">
        <f t="shared" si="1"/>
        <v/>
      </c>
      <c r="G37" s="18"/>
      <c r="H37" s="18"/>
      <c r="I37" s="9">
        <f t="shared" si="2"/>
        <v>0</v>
      </c>
      <c r="J37" s="18"/>
    </row>
    <row r="38" spans="1:10" ht="16.05" customHeight="1" x14ac:dyDescent="0.3">
      <c r="A38" s="16">
        <v>20</v>
      </c>
      <c r="B38" s="16" t="s">
        <v>538</v>
      </c>
      <c r="C38" s="12">
        <f>SUMPRODUCT(('RAW_DISTRICT'!$B$4:$B$745=$B38)*'RAW_DISTRICT'!$Q$4:$Q$745)</f>
        <v>0</v>
      </c>
      <c r="D38" s="12">
        <f>SUMPRODUCT(('RAW_DISTRICT'!$B$4:$B$745=$B38)*'RAW_DISTRICT'!$L$4:$L$745)</f>
        <v>0</v>
      </c>
      <c r="E38" s="20" t="str">
        <f t="shared" si="0"/>
        <v/>
      </c>
      <c r="F38" s="20" t="str">
        <f t="shared" si="1"/>
        <v/>
      </c>
      <c r="G38" s="16"/>
      <c r="H38" s="16"/>
      <c r="I38" s="12">
        <f t="shared" si="2"/>
        <v>0</v>
      </c>
      <c r="J38" s="16"/>
    </row>
    <row r="39" spans="1:10" ht="16.05" customHeight="1" x14ac:dyDescent="0.3">
      <c r="A39" s="18">
        <v>21</v>
      </c>
      <c r="B39" s="18" t="s">
        <v>539</v>
      </c>
      <c r="C39" s="9">
        <f>SUMPRODUCT(('RAW_DISTRICT'!$B$4:$B$745=$B39)*'RAW_DISTRICT'!$Q$4:$Q$745)</f>
        <v>0</v>
      </c>
      <c r="D39" s="9">
        <f>SUMPRODUCT(('RAW_DISTRICT'!$B$4:$B$745=$B39)*'RAW_DISTRICT'!$L$4:$L$745)</f>
        <v>0</v>
      </c>
      <c r="E39" s="21" t="str">
        <f t="shared" si="0"/>
        <v/>
      </c>
      <c r="F39" s="21" t="str">
        <f t="shared" si="1"/>
        <v/>
      </c>
      <c r="G39" s="18"/>
      <c r="H39" s="18"/>
      <c r="I39" s="9">
        <f t="shared" si="2"/>
        <v>0</v>
      </c>
      <c r="J39" s="18"/>
    </row>
    <row r="40" spans="1:10" ht="16.05" customHeight="1" x14ac:dyDescent="0.3">
      <c r="A40" s="16">
        <v>22</v>
      </c>
      <c r="B40" s="16" t="s">
        <v>540</v>
      </c>
      <c r="C40" s="12">
        <f>SUMPRODUCT(('RAW_DISTRICT'!$B$4:$B$745=$B40)*'RAW_DISTRICT'!$Q$4:$Q$745)</f>
        <v>0</v>
      </c>
      <c r="D40" s="12">
        <f>SUMPRODUCT(('RAW_DISTRICT'!$B$4:$B$745=$B40)*'RAW_DISTRICT'!$L$4:$L$745)</f>
        <v>0</v>
      </c>
      <c r="E40" s="20" t="str">
        <f t="shared" si="0"/>
        <v/>
      </c>
      <c r="F40" s="20" t="str">
        <f t="shared" si="1"/>
        <v/>
      </c>
      <c r="G40" s="16"/>
      <c r="H40" s="16"/>
      <c r="I40" s="12">
        <f t="shared" si="2"/>
        <v>0</v>
      </c>
      <c r="J40" s="16"/>
    </row>
    <row r="41" spans="1:10" ht="16.05" customHeight="1" x14ac:dyDescent="0.3">
      <c r="A41" s="18">
        <v>23</v>
      </c>
      <c r="B41" s="18" t="s">
        <v>541</v>
      </c>
      <c r="C41" s="9">
        <f>SUMPRODUCT(('RAW_DISTRICT'!$B$4:$B$745=$B41)*'RAW_DISTRICT'!$Q$4:$Q$745)</f>
        <v>0</v>
      </c>
      <c r="D41" s="9">
        <f>SUMPRODUCT(('RAW_DISTRICT'!$B$4:$B$745=$B41)*'RAW_DISTRICT'!$L$4:$L$745)</f>
        <v>0</v>
      </c>
      <c r="E41" s="21" t="str">
        <f t="shared" si="0"/>
        <v/>
      </c>
      <c r="F41" s="21" t="str">
        <f t="shared" si="1"/>
        <v/>
      </c>
      <c r="G41" s="18"/>
      <c r="H41" s="18"/>
      <c r="I41" s="9">
        <f t="shared" si="2"/>
        <v>0</v>
      </c>
      <c r="J41" s="18"/>
    </row>
    <row r="42" spans="1:10" ht="16.05" customHeight="1" x14ac:dyDescent="0.3">
      <c r="A42" s="16">
        <v>24</v>
      </c>
      <c r="B42" s="16" t="s">
        <v>542</v>
      </c>
      <c r="C42" s="12">
        <f>SUMPRODUCT(('RAW_DISTRICT'!$B$4:$B$745=$B42)*'RAW_DISTRICT'!$Q$4:$Q$745)</f>
        <v>0</v>
      </c>
      <c r="D42" s="12">
        <f>SUMPRODUCT(('RAW_DISTRICT'!$B$4:$B$745=$B42)*'RAW_DISTRICT'!$L$4:$L$745)</f>
        <v>0</v>
      </c>
      <c r="E42" s="20" t="str">
        <f t="shared" si="0"/>
        <v/>
      </c>
      <c r="F42" s="20" t="str">
        <f t="shared" si="1"/>
        <v/>
      </c>
      <c r="G42" s="16"/>
      <c r="H42" s="16"/>
      <c r="I42" s="12">
        <f t="shared" si="2"/>
        <v>0</v>
      </c>
      <c r="J42" s="16"/>
    </row>
    <row r="43" spans="1:10" ht="16.05" customHeight="1" x14ac:dyDescent="0.3">
      <c r="A43" s="18">
        <v>25</v>
      </c>
      <c r="B43" s="18" t="s">
        <v>543</v>
      </c>
      <c r="C43" s="9">
        <f>SUMPRODUCT(('RAW_DISTRICT'!$B$4:$B$745=$B43)*'RAW_DISTRICT'!$Q$4:$Q$745)</f>
        <v>0</v>
      </c>
      <c r="D43" s="9">
        <f>SUMPRODUCT(('RAW_DISTRICT'!$B$4:$B$745=$B43)*'RAW_DISTRICT'!$L$4:$L$745)</f>
        <v>0</v>
      </c>
      <c r="E43" s="21" t="str">
        <f t="shared" si="0"/>
        <v/>
      </c>
      <c r="F43" s="21" t="str">
        <f t="shared" si="1"/>
        <v/>
      </c>
      <c r="G43" s="18"/>
      <c r="H43" s="18"/>
      <c r="I43" s="9">
        <f t="shared" si="2"/>
        <v>0</v>
      </c>
      <c r="J43" s="18"/>
    </row>
    <row r="44" spans="1:10" ht="16.05" customHeight="1" x14ac:dyDescent="0.3">
      <c r="A44" s="16">
        <v>26</v>
      </c>
      <c r="B44" s="16" t="s">
        <v>544</v>
      </c>
      <c r="C44" s="12">
        <f>SUMPRODUCT(('RAW_DISTRICT'!$B$4:$B$745=$B44)*'RAW_DISTRICT'!$Q$4:$Q$745)</f>
        <v>0</v>
      </c>
      <c r="D44" s="12">
        <f>SUMPRODUCT(('RAW_DISTRICT'!$B$4:$B$745=$B44)*'RAW_DISTRICT'!$L$4:$L$745)</f>
        <v>0</v>
      </c>
      <c r="E44" s="20" t="str">
        <f t="shared" si="0"/>
        <v/>
      </c>
      <c r="F44" s="20" t="str">
        <f t="shared" si="1"/>
        <v/>
      </c>
      <c r="G44" s="16"/>
      <c r="H44" s="16"/>
      <c r="I44" s="12">
        <f t="shared" si="2"/>
        <v>0</v>
      </c>
      <c r="J44" s="16"/>
    </row>
    <row r="45" spans="1:10" ht="16.05" customHeight="1" x14ac:dyDescent="0.3">
      <c r="A45" s="18">
        <v>27</v>
      </c>
      <c r="B45" s="18" t="s">
        <v>545</v>
      </c>
      <c r="C45" s="9">
        <f>SUMPRODUCT(('RAW_DISTRICT'!$B$4:$B$745=$B45)*'RAW_DISTRICT'!$Q$4:$Q$745)</f>
        <v>0</v>
      </c>
      <c r="D45" s="9">
        <f>SUMPRODUCT(('RAW_DISTRICT'!$B$4:$B$745=$B45)*'RAW_DISTRICT'!$L$4:$L$745)</f>
        <v>0</v>
      </c>
      <c r="E45" s="21" t="str">
        <f t="shared" si="0"/>
        <v/>
      </c>
      <c r="F45" s="21" t="str">
        <f t="shared" si="1"/>
        <v/>
      </c>
      <c r="G45" s="18"/>
      <c r="H45" s="18"/>
      <c r="I45" s="9">
        <f t="shared" si="2"/>
        <v>0</v>
      </c>
      <c r="J45" s="18"/>
    </row>
    <row r="46" spans="1:10" ht="16.05" customHeight="1" x14ac:dyDescent="0.3">
      <c r="A46" s="16">
        <v>28</v>
      </c>
      <c r="B46" s="16" t="s">
        <v>546</v>
      </c>
      <c r="C46" s="12">
        <f>SUMPRODUCT(('RAW_DISTRICT'!$B$4:$B$745=$B46)*'RAW_DISTRICT'!$Q$4:$Q$745)</f>
        <v>0</v>
      </c>
      <c r="D46" s="12">
        <f>SUMPRODUCT(('RAW_DISTRICT'!$B$4:$B$745=$B46)*'RAW_DISTRICT'!$L$4:$L$745)</f>
        <v>0</v>
      </c>
      <c r="E46" s="20" t="str">
        <f t="shared" si="0"/>
        <v/>
      </c>
      <c r="F46" s="20" t="str">
        <f t="shared" si="1"/>
        <v/>
      </c>
      <c r="G46" s="16"/>
      <c r="H46" s="16"/>
      <c r="I46" s="12">
        <f t="shared" si="2"/>
        <v>0</v>
      </c>
      <c r="J46" s="16"/>
    </row>
    <row r="47" spans="1:10" ht="16.05" customHeight="1" x14ac:dyDescent="0.3">
      <c r="A47" s="18">
        <v>29</v>
      </c>
      <c r="B47" s="18" t="s">
        <v>547</v>
      </c>
      <c r="C47" s="9">
        <f>SUMPRODUCT(('RAW_DISTRICT'!$B$4:$B$745=$B47)*'RAW_DISTRICT'!$Q$4:$Q$745)</f>
        <v>0</v>
      </c>
      <c r="D47" s="9">
        <f>SUMPRODUCT(('RAW_DISTRICT'!$B$4:$B$745=$B47)*'RAW_DISTRICT'!$L$4:$L$745)</f>
        <v>0</v>
      </c>
      <c r="E47" s="21" t="str">
        <f t="shared" si="0"/>
        <v/>
      </c>
      <c r="F47" s="21" t="str">
        <f t="shared" si="1"/>
        <v/>
      </c>
      <c r="G47" s="18"/>
      <c r="H47" s="18"/>
      <c r="I47" s="9">
        <f t="shared" si="2"/>
        <v>0</v>
      </c>
      <c r="J47" s="18"/>
    </row>
    <row r="48" spans="1:10" ht="16.05" customHeight="1" x14ac:dyDescent="0.3">
      <c r="A48" s="16">
        <v>30</v>
      </c>
      <c r="B48" s="16" t="s">
        <v>548</v>
      </c>
      <c r="C48" s="12">
        <f>SUMPRODUCT(('RAW_DISTRICT'!$B$4:$B$745=$B48)*'RAW_DISTRICT'!$Q$4:$Q$745)</f>
        <v>0</v>
      </c>
      <c r="D48" s="12">
        <f>SUMPRODUCT(('RAW_DISTRICT'!$B$4:$B$745=$B48)*'RAW_DISTRICT'!$L$4:$L$745)</f>
        <v>0</v>
      </c>
      <c r="E48" s="20" t="str">
        <f t="shared" si="0"/>
        <v/>
      </c>
      <c r="F48" s="20" t="str">
        <f t="shared" si="1"/>
        <v/>
      </c>
      <c r="G48" s="16"/>
      <c r="H48" s="16"/>
      <c r="I48" s="12">
        <f t="shared" si="2"/>
        <v>0</v>
      </c>
      <c r="J48" s="16"/>
    </row>
    <row r="49" spans="1:10" ht="16.05" customHeight="1" x14ac:dyDescent="0.3">
      <c r="A49" s="18">
        <v>31</v>
      </c>
      <c r="B49" s="18" t="s">
        <v>549</v>
      </c>
      <c r="C49" s="9">
        <f>SUMPRODUCT(('RAW_DISTRICT'!$B$4:$B$745=$B49)*'RAW_DISTRICT'!$Q$4:$Q$745)</f>
        <v>0</v>
      </c>
      <c r="D49" s="9">
        <f>SUMPRODUCT(('RAW_DISTRICT'!$B$4:$B$745=$B49)*'RAW_DISTRICT'!$L$4:$L$745)</f>
        <v>0</v>
      </c>
      <c r="E49" s="21" t="str">
        <f t="shared" si="0"/>
        <v/>
      </c>
      <c r="F49" s="21" t="str">
        <f t="shared" si="1"/>
        <v/>
      </c>
      <c r="G49" s="18"/>
      <c r="H49" s="18"/>
      <c r="I49" s="9">
        <f t="shared" si="2"/>
        <v>0</v>
      </c>
      <c r="J49" s="18"/>
    </row>
    <row r="50" spans="1:10" ht="16.05" customHeight="1" x14ac:dyDescent="0.3">
      <c r="A50" s="16">
        <v>32</v>
      </c>
      <c r="B50" s="16" t="s">
        <v>550</v>
      </c>
      <c r="C50" s="12">
        <f>SUMPRODUCT(('RAW_DISTRICT'!$B$4:$B$745=$B50)*'RAW_DISTRICT'!$Q$4:$Q$745)</f>
        <v>0</v>
      </c>
      <c r="D50" s="12">
        <f>SUMPRODUCT(('RAW_DISTRICT'!$B$4:$B$745=$B50)*'RAW_DISTRICT'!$L$4:$L$745)</f>
        <v>0</v>
      </c>
      <c r="E50" s="20" t="str">
        <f t="shared" si="0"/>
        <v/>
      </c>
      <c r="F50" s="20" t="str">
        <f t="shared" si="1"/>
        <v/>
      </c>
      <c r="G50" s="16"/>
      <c r="H50" s="16"/>
      <c r="I50" s="12">
        <f t="shared" si="2"/>
        <v>0</v>
      </c>
      <c r="J50" s="16"/>
    </row>
    <row r="51" spans="1:10" ht="16.05" customHeight="1" x14ac:dyDescent="0.3">
      <c r="A51" s="18">
        <v>33</v>
      </c>
      <c r="B51" s="18" t="s">
        <v>551</v>
      </c>
      <c r="C51" s="9">
        <f>SUMPRODUCT(('RAW_DISTRICT'!$B$4:$B$745=$B51)*'RAW_DISTRICT'!$Q$4:$Q$745)</f>
        <v>0</v>
      </c>
      <c r="D51" s="9">
        <f>SUMPRODUCT(('RAW_DISTRICT'!$B$4:$B$745=$B51)*'RAW_DISTRICT'!$L$4:$L$745)</f>
        <v>0</v>
      </c>
      <c r="E51" s="21" t="str">
        <f t="shared" si="0"/>
        <v/>
      </c>
      <c r="F51" s="21" t="str">
        <f t="shared" si="1"/>
        <v/>
      </c>
      <c r="G51" s="18"/>
      <c r="H51" s="18"/>
      <c r="I51" s="9">
        <f t="shared" si="2"/>
        <v>0</v>
      </c>
      <c r="J51" s="18"/>
    </row>
    <row r="52" spans="1:10" ht="16.05" customHeight="1" x14ac:dyDescent="0.3">
      <c r="A52" s="16">
        <v>34</v>
      </c>
      <c r="B52" s="16" t="s">
        <v>552</v>
      </c>
      <c r="C52" s="12">
        <f>SUMPRODUCT(('RAW_DISTRICT'!$B$4:$B$745=$B52)*'RAW_DISTRICT'!$Q$4:$Q$745)</f>
        <v>0</v>
      </c>
      <c r="D52" s="12">
        <f>SUMPRODUCT(('RAW_DISTRICT'!$B$4:$B$745=$B52)*'RAW_DISTRICT'!$L$4:$L$745)</f>
        <v>0</v>
      </c>
      <c r="E52" s="20" t="str">
        <f t="shared" si="0"/>
        <v/>
      </c>
      <c r="F52" s="20" t="str">
        <f t="shared" si="1"/>
        <v/>
      </c>
      <c r="G52" s="16"/>
      <c r="H52" s="16"/>
      <c r="I52" s="12">
        <f t="shared" si="2"/>
        <v>0</v>
      </c>
      <c r="J52" s="16"/>
    </row>
    <row r="53" spans="1:10" ht="16.05" customHeight="1" x14ac:dyDescent="0.3">
      <c r="A53" s="18">
        <v>35</v>
      </c>
      <c r="B53" s="18" t="s">
        <v>553</v>
      </c>
      <c r="C53" s="9">
        <f>SUMPRODUCT(('RAW_DISTRICT'!$B$4:$B$745=$B53)*'RAW_DISTRICT'!$Q$4:$Q$745)</f>
        <v>0</v>
      </c>
      <c r="D53" s="9">
        <f>SUMPRODUCT(('RAW_DISTRICT'!$B$4:$B$745=$B53)*'RAW_DISTRICT'!$L$4:$L$745)</f>
        <v>0</v>
      </c>
      <c r="E53" s="21" t="str">
        <f t="shared" si="0"/>
        <v/>
      </c>
      <c r="F53" s="21" t="str">
        <f t="shared" si="1"/>
        <v/>
      </c>
      <c r="G53" s="18"/>
      <c r="H53" s="18"/>
      <c r="I53" s="9">
        <f t="shared" si="2"/>
        <v>0</v>
      </c>
      <c r="J53" s="18"/>
    </row>
    <row r="54" spans="1:10" ht="16.05" customHeight="1" x14ac:dyDescent="0.3">
      <c r="A54" s="16">
        <v>36</v>
      </c>
      <c r="B54" s="16" t="s">
        <v>554</v>
      </c>
      <c r="C54" s="12">
        <f>SUMPRODUCT(('RAW_DISTRICT'!$B$4:$B$745=$B54)*'RAW_DISTRICT'!$Q$4:$Q$745)</f>
        <v>0</v>
      </c>
      <c r="D54" s="12">
        <f>SUMPRODUCT(('RAW_DISTRICT'!$B$4:$B$745=$B54)*'RAW_DISTRICT'!$L$4:$L$745)</f>
        <v>0</v>
      </c>
      <c r="E54" s="20" t="str">
        <f t="shared" si="0"/>
        <v/>
      </c>
      <c r="F54" s="20" t="str">
        <f t="shared" si="1"/>
        <v/>
      </c>
      <c r="G54" s="16"/>
      <c r="H54" s="16"/>
      <c r="I54" s="12">
        <f t="shared" si="2"/>
        <v>0</v>
      </c>
      <c r="J54" s="16"/>
    </row>
    <row r="56" spans="1:10" ht="19.95" customHeight="1" x14ac:dyDescent="0.3">
      <c r="A56" s="37" t="s">
        <v>1009</v>
      </c>
      <c r="B56" s="33"/>
      <c r="C56" s="33"/>
      <c r="D56" s="33"/>
      <c r="E56" s="33"/>
      <c r="F56" s="33"/>
      <c r="G56" s="33"/>
      <c r="H56" s="33"/>
      <c r="I56" s="33"/>
      <c r="J56" s="33"/>
    </row>
    <row r="57" spans="1:10" ht="31.95" customHeight="1" x14ac:dyDescent="0.3">
      <c r="A57" s="15" t="s">
        <v>78</v>
      </c>
      <c r="B57" s="15" t="s">
        <v>192</v>
      </c>
      <c r="C57" s="15" t="s">
        <v>191</v>
      </c>
      <c r="D57" s="15" t="s">
        <v>1010</v>
      </c>
      <c r="E57" s="15" t="s">
        <v>1011</v>
      </c>
      <c r="F57" s="15" t="s">
        <v>984</v>
      </c>
      <c r="G57" s="15" t="s">
        <v>1012</v>
      </c>
      <c r="H57" s="15" t="s">
        <v>1013</v>
      </c>
      <c r="I57" s="15" t="s">
        <v>1014</v>
      </c>
      <c r="J57" s="15" t="s">
        <v>1015</v>
      </c>
    </row>
    <row r="58" spans="1:10" ht="16.05" customHeight="1" x14ac:dyDescent="0.3">
      <c r="A58" s="16">
        <v>1</v>
      </c>
      <c r="B58" s="16"/>
      <c r="C58" s="16"/>
      <c r="D58" s="16"/>
      <c r="E58" s="16"/>
      <c r="F58" s="16"/>
      <c r="G58" s="16"/>
      <c r="H58" s="16"/>
      <c r="I58" s="16"/>
      <c r="J58" s="16"/>
    </row>
    <row r="59" spans="1:10" ht="16.05" customHeight="1" x14ac:dyDescent="0.3">
      <c r="A59" s="18">
        <v>2</v>
      </c>
      <c r="B59" s="18"/>
      <c r="C59" s="18"/>
      <c r="D59" s="18"/>
      <c r="E59" s="18"/>
      <c r="F59" s="18"/>
      <c r="G59" s="18"/>
      <c r="H59" s="18"/>
      <c r="I59" s="18"/>
      <c r="J59" s="18"/>
    </row>
    <row r="60" spans="1:10" ht="16.05" customHeight="1" x14ac:dyDescent="0.3">
      <c r="A60" s="16">
        <v>3</v>
      </c>
      <c r="B60" s="16"/>
      <c r="C60" s="16"/>
      <c r="D60" s="16"/>
      <c r="E60" s="16"/>
      <c r="F60" s="16"/>
      <c r="G60" s="16"/>
      <c r="H60" s="16"/>
      <c r="I60" s="16"/>
      <c r="J60" s="16"/>
    </row>
    <row r="61" spans="1:10" ht="16.05" customHeight="1" x14ac:dyDescent="0.3">
      <c r="A61" s="18">
        <v>4</v>
      </c>
      <c r="B61" s="18"/>
      <c r="C61" s="18"/>
      <c r="D61" s="18"/>
      <c r="E61" s="18"/>
      <c r="F61" s="18"/>
      <c r="G61" s="18"/>
      <c r="H61" s="18"/>
      <c r="I61" s="18"/>
      <c r="J61" s="18"/>
    </row>
    <row r="62" spans="1:10" ht="16.05" customHeight="1" x14ac:dyDescent="0.3">
      <c r="A62" s="16">
        <v>5</v>
      </c>
      <c r="B62" s="16"/>
      <c r="C62" s="16"/>
      <c r="D62" s="16"/>
      <c r="E62" s="16"/>
      <c r="F62" s="16"/>
      <c r="G62" s="16"/>
      <c r="H62" s="16"/>
      <c r="I62" s="16"/>
      <c r="J62" s="16"/>
    </row>
    <row r="63" spans="1:10" ht="16.05" customHeight="1" x14ac:dyDescent="0.3">
      <c r="A63" s="18">
        <v>6</v>
      </c>
      <c r="B63" s="18"/>
      <c r="C63" s="18"/>
      <c r="D63" s="18"/>
      <c r="E63" s="18"/>
      <c r="F63" s="18"/>
      <c r="G63" s="18"/>
      <c r="H63" s="18"/>
      <c r="I63" s="18"/>
      <c r="J63" s="18"/>
    </row>
    <row r="64" spans="1:10" ht="16.05" customHeight="1" x14ac:dyDescent="0.3">
      <c r="A64" s="16">
        <v>7</v>
      </c>
      <c r="B64" s="16"/>
      <c r="C64" s="16"/>
      <c r="D64" s="16"/>
      <c r="E64" s="16"/>
      <c r="F64" s="16"/>
      <c r="G64" s="16"/>
      <c r="H64" s="16"/>
      <c r="I64" s="16"/>
      <c r="J64" s="16"/>
    </row>
    <row r="65" spans="1:10" ht="16.05" customHeight="1" x14ac:dyDescent="0.3">
      <c r="A65" s="18">
        <v>8</v>
      </c>
      <c r="B65" s="18"/>
      <c r="C65" s="18"/>
      <c r="D65" s="18"/>
      <c r="E65" s="18"/>
      <c r="F65" s="18"/>
      <c r="G65" s="18"/>
      <c r="H65" s="18"/>
      <c r="I65" s="18"/>
      <c r="J65" s="18"/>
    </row>
    <row r="66" spans="1:10" ht="16.05" customHeight="1" x14ac:dyDescent="0.3">
      <c r="A66" s="16">
        <v>9</v>
      </c>
      <c r="B66" s="16"/>
      <c r="C66" s="16"/>
      <c r="D66" s="16"/>
      <c r="E66" s="16"/>
      <c r="F66" s="16"/>
      <c r="G66" s="16"/>
      <c r="H66" s="16"/>
      <c r="I66" s="16"/>
      <c r="J66" s="16"/>
    </row>
    <row r="67" spans="1:10" ht="16.05" customHeight="1" x14ac:dyDescent="0.3">
      <c r="A67" s="18">
        <v>10</v>
      </c>
      <c r="B67" s="18"/>
      <c r="C67" s="18"/>
      <c r="D67" s="18"/>
      <c r="E67" s="18"/>
      <c r="F67" s="18"/>
      <c r="G67" s="18"/>
      <c r="H67" s="18"/>
      <c r="I67" s="18"/>
      <c r="J67" s="18"/>
    </row>
    <row r="68" spans="1:10" ht="16.05" customHeight="1" x14ac:dyDescent="0.3">
      <c r="A68" s="16">
        <v>11</v>
      </c>
      <c r="B68" s="16"/>
      <c r="C68" s="16"/>
      <c r="D68" s="16"/>
      <c r="E68" s="16"/>
      <c r="F68" s="16"/>
      <c r="G68" s="16"/>
      <c r="H68" s="16"/>
      <c r="I68" s="16"/>
      <c r="J68" s="16"/>
    </row>
    <row r="69" spans="1:10" ht="16.05" customHeight="1" x14ac:dyDescent="0.3">
      <c r="A69" s="18">
        <v>12</v>
      </c>
      <c r="B69" s="18"/>
      <c r="C69" s="18"/>
      <c r="D69" s="18"/>
      <c r="E69" s="18"/>
      <c r="F69" s="18"/>
      <c r="G69" s="18"/>
      <c r="H69" s="18"/>
      <c r="I69" s="18"/>
      <c r="J69" s="18"/>
    </row>
    <row r="70" spans="1:10" ht="16.05" customHeight="1" x14ac:dyDescent="0.3">
      <c r="A70" s="16">
        <v>13</v>
      </c>
      <c r="B70" s="16"/>
      <c r="C70" s="16"/>
      <c r="D70" s="16"/>
      <c r="E70" s="16"/>
      <c r="F70" s="16"/>
      <c r="G70" s="16"/>
      <c r="H70" s="16"/>
      <c r="I70" s="16"/>
      <c r="J70" s="16"/>
    </row>
    <row r="71" spans="1:10" ht="16.05" customHeight="1" x14ac:dyDescent="0.3">
      <c r="A71" s="18">
        <v>14</v>
      </c>
      <c r="B71" s="18"/>
      <c r="C71" s="18"/>
      <c r="D71" s="18"/>
      <c r="E71" s="18"/>
      <c r="F71" s="18"/>
      <c r="G71" s="18"/>
      <c r="H71" s="18"/>
      <c r="I71" s="18"/>
      <c r="J71" s="18"/>
    </row>
    <row r="72" spans="1:10" ht="16.05" customHeight="1" x14ac:dyDescent="0.3">
      <c r="A72" s="16">
        <v>15</v>
      </c>
      <c r="B72" s="16"/>
      <c r="C72" s="16"/>
      <c r="D72" s="16"/>
      <c r="E72" s="16"/>
      <c r="F72" s="16"/>
      <c r="G72" s="16"/>
      <c r="H72" s="16"/>
      <c r="I72" s="16"/>
      <c r="J72" s="16"/>
    </row>
    <row r="73" spans="1:10" ht="16.05" customHeight="1" x14ac:dyDescent="0.3">
      <c r="A73" s="18">
        <v>16</v>
      </c>
      <c r="B73" s="18"/>
      <c r="C73" s="18"/>
      <c r="D73" s="18"/>
      <c r="E73" s="18"/>
      <c r="F73" s="18"/>
      <c r="G73" s="18"/>
      <c r="H73" s="18"/>
      <c r="I73" s="18"/>
      <c r="J73" s="18"/>
    </row>
    <row r="74" spans="1:10" ht="16.05" customHeight="1" x14ac:dyDescent="0.3">
      <c r="A74" s="16">
        <v>17</v>
      </c>
      <c r="B74" s="16"/>
      <c r="C74" s="16"/>
      <c r="D74" s="16"/>
      <c r="E74" s="16"/>
      <c r="F74" s="16"/>
      <c r="G74" s="16"/>
      <c r="H74" s="16"/>
      <c r="I74" s="16"/>
      <c r="J74" s="16"/>
    </row>
    <row r="75" spans="1:10" ht="16.05" customHeight="1" x14ac:dyDescent="0.3">
      <c r="A75" s="18">
        <v>18</v>
      </c>
      <c r="B75" s="18"/>
      <c r="C75" s="18"/>
      <c r="D75" s="18"/>
      <c r="E75" s="18"/>
      <c r="F75" s="18"/>
      <c r="G75" s="18"/>
      <c r="H75" s="18"/>
      <c r="I75" s="18"/>
      <c r="J75" s="18"/>
    </row>
    <row r="76" spans="1:10" ht="16.05" customHeight="1" x14ac:dyDescent="0.3">
      <c r="A76" s="16">
        <v>19</v>
      </c>
      <c r="B76" s="16"/>
      <c r="C76" s="16"/>
      <c r="D76" s="16"/>
      <c r="E76" s="16"/>
      <c r="F76" s="16"/>
      <c r="G76" s="16"/>
      <c r="H76" s="16"/>
      <c r="I76" s="16"/>
      <c r="J76" s="16"/>
    </row>
    <row r="77" spans="1:10" ht="16.05" customHeight="1" x14ac:dyDescent="0.3">
      <c r="A77" s="18">
        <v>20</v>
      </c>
      <c r="B77" s="18"/>
      <c r="C77" s="18"/>
      <c r="D77" s="18"/>
      <c r="E77" s="18"/>
      <c r="F77" s="18"/>
      <c r="G77" s="18"/>
      <c r="H77" s="18"/>
      <c r="I77" s="18"/>
      <c r="J77" s="18"/>
    </row>
    <row r="78" spans="1:10" ht="16.05" customHeight="1" x14ac:dyDescent="0.3">
      <c r="A78" s="16">
        <v>21</v>
      </c>
      <c r="B78" s="16"/>
      <c r="C78" s="16"/>
      <c r="D78" s="16"/>
      <c r="E78" s="16"/>
      <c r="F78" s="16"/>
      <c r="G78" s="16"/>
      <c r="H78" s="16"/>
      <c r="I78" s="16"/>
      <c r="J78" s="16"/>
    </row>
    <row r="79" spans="1:10" ht="16.05" customHeight="1" x14ac:dyDescent="0.3">
      <c r="A79" s="18">
        <v>22</v>
      </c>
      <c r="B79" s="18"/>
      <c r="C79" s="18"/>
      <c r="D79" s="18"/>
      <c r="E79" s="18"/>
      <c r="F79" s="18"/>
      <c r="G79" s="18"/>
      <c r="H79" s="18"/>
      <c r="I79" s="18"/>
      <c r="J79" s="18"/>
    </row>
    <row r="80" spans="1:10" ht="16.05" customHeight="1" x14ac:dyDescent="0.3">
      <c r="A80" s="16">
        <v>23</v>
      </c>
      <c r="B80" s="16"/>
      <c r="C80" s="16"/>
      <c r="D80" s="16"/>
      <c r="E80" s="16"/>
      <c r="F80" s="16"/>
      <c r="G80" s="16"/>
      <c r="H80" s="16"/>
      <c r="I80" s="16"/>
      <c r="J80" s="16"/>
    </row>
    <row r="81" spans="1:10" ht="16.05" customHeight="1" x14ac:dyDescent="0.3">
      <c r="A81" s="18">
        <v>24</v>
      </c>
      <c r="B81" s="18"/>
      <c r="C81" s="18"/>
      <c r="D81" s="18"/>
      <c r="E81" s="18"/>
      <c r="F81" s="18"/>
      <c r="G81" s="18"/>
      <c r="H81" s="18"/>
      <c r="I81" s="18"/>
      <c r="J81" s="18"/>
    </row>
    <row r="82" spans="1:10" ht="16.05" customHeight="1" x14ac:dyDescent="0.3">
      <c r="A82" s="16">
        <v>25</v>
      </c>
      <c r="B82" s="16"/>
      <c r="C82" s="16"/>
      <c r="D82" s="16"/>
      <c r="E82" s="16"/>
      <c r="F82" s="16"/>
      <c r="G82" s="16"/>
      <c r="H82" s="16"/>
      <c r="I82" s="16"/>
      <c r="J82" s="16"/>
    </row>
  </sheetData>
  <mergeCells count="6">
    <mergeCell ref="A1:J1"/>
    <mergeCell ref="A17:J17"/>
    <mergeCell ref="A56:J56"/>
    <mergeCell ref="A3:J3"/>
    <mergeCell ref="A4:J4"/>
    <mergeCell ref="A2:J2"/>
  </mergeCells>
  <pageMargins left="0.75" right="0.75" top="1" bottom="1" header="0.5" footer="0.5"/>
  <extLst>
    <ext xmlns:x14="http://schemas.microsoft.com/office/spreadsheetml/2009/9/main" uri="{CCE6A557-97BC-4b89-ADB6-D9C93CAAB3DF}">
      <x14:dataValidations xmlns:xm="http://schemas.microsoft.com/office/excel/2006/main" count="4">
        <x14:dataValidation type="list" allowBlank="1" xr:uid="{00000000-0002-0000-1600-000000000000}">
          <x14:formula1>
            <xm:f>REF!$N$2:$N$11</xm:f>
          </x14:formula1>
          <xm:sqref>F58:F82 B6:B15</xm:sqref>
        </x14:dataValidation>
        <x14:dataValidation type="list" allowBlank="1" xr:uid="{00000000-0002-0000-1600-00000A000000}">
          <x14:formula1>
            <xm:f>REF!$A$2:$A$37</xm:f>
          </x14:formula1>
          <xm:sqref>B58:B82</xm:sqref>
        </x14:dataValidation>
        <x14:dataValidation type="list" allowBlank="1" xr:uid="{00000000-0002-0000-1600-00000B000000}">
          <x14:formula1>
            <xm:f>REF!$B$2:$B$750</xm:f>
          </x14:formula1>
          <xm:sqref>C58:C82</xm:sqref>
        </x14:dataValidation>
        <x14:dataValidation type="list" allowBlank="1" xr:uid="{00000000-0002-0000-1600-00000D000000}">
          <x14:formula1>
            <xm:f>REF!$K$2:$K$5</xm:f>
          </x14:formula1>
          <xm:sqref>I58:J82</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V745"/>
  <sheetViews>
    <sheetView showGridLines="0" workbookViewId="0">
      <pane xSplit="3" ySplit="3" topLeftCell="D4" activePane="bottomRight" state="frozen"/>
      <selection pane="topRight"/>
      <selection pane="bottomLeft"/>
      <selection pane="bottomRight" sqref="A1:U1"/>
    </sheetView>
  </sheetViews>
  <sheetFormatPr defaultRowHeight="14.4" x14ac:dyDescent="0.3"/>
  <cols>
    <col min="1" max="1" width="4" customWidth="1"/>
    <col min="2" max="3" width="22" customWidth="1"/>
    <col min="4" max="4" width="13" customWidth="1"/>
    <col min="5" max="5" width="11" customWidth="1"/>
    <col min="6" max="7" width="10" customWidth="1"/>
    <col min="8" max="10" width="13" customWidth="1"/>
    <col min="11" max="14" width="12" customWidth="1"/>
    <col min="15" max="16" width="11" customWidth="1"/>
    <col min="17" max="17" width="16" customWidth="1"/>
    <col min="18" max="18" width="14" customWidth="1"/>
    <col min="19" max="19" width="12" customWidth="1"/>
    <col min="20" max="20" width="11" customWidth="1"/>
    <col min="21" max="21" width="22" customWidth="1"/>
    <col min="22" max="22" width="16" customWidth="1"/>
  </cols>
  <sheetData>
    <row r="1" spans="1:22" ht="28.05" customHeight="1" x14ac:dyDescent="0.3">
      <c r="A1" s="45" t="s">
        <v>1016</v>
      </c>
      <c r="B1" s="33"/>
      <c r="C1" s="33"/>
      <c r="D1" s="33"/>
      <c r="E1" s="33"/>
      <c r="F1" s="33"/>
      <c r="G1" s="33"/>
      <c r="H1" s="33"/>
      <c r="I1" s="33"/>
      <c r="J1" s="33"/>
      <c r="K1" s="33"/>
      <c r="L1" s="33"/>
      <c r="M1" s="33"/>
      <c r="N1" s="33"/>
      <c r="O1" s="33"/>
      <c r="P1" s="33"/>
      <c r="Q1" s="33"/>
      <c r="R1" s="33"/>
      <c r="S1" s="33"/>
      <c r="T1" s="33"/>
      <c r="U1" s="33"/>
    </row>
    <row r="2" spans="1:22" ht="16.05" customHeight="1" x14ac:dyDescent="0.3">
      <c r="A2" s="39" t="s">
        <v>1017</v>
      </c>
      <c r="B2" s="33"/>
      <c r="C2" s="33"/>
      <c r="D2" s="33"/>
      <c r="E2" s="33"/>
      <c r="F2" s="33"/>
      <c r="G2" s="33"/>
      <c r="H2" s="33"/>
      <c r="I2" s="33"/>
      <c r="J2" s="33"/>
      <c r="K2" s="33"/>
      <c r="L2" s="33"/>
      <c r="M2" s="33"/>
      <c r="N2" s="33"/>
      <c r="O2" s="33"/>
      <c r="P2" s="33"/>
      <c r="Q2" s="33"/>
      <c r="R2" s="33"/>
      <c r="S2" s="33"/>
      <c r="T2" s="33"/>
      <c r="U2" s="33"/>
    </row>
    <row r="3" spans="1:22" ht="31.95" customHeight="1" x14ac:dyDescent="0.3">
      <c r="A3" s="27" t="s">
        <v>78</v>
      </c>
      <c r="B3" s="27" t="s">
        <v>192</v>
      </c>
      <c r="C3" s="27" t="s">
        <v>191</v>
      </c>
      <c r="D3" s="27" t="s">
        <v>1018</v>
      </c>
      <c r="E3" s="27" t="s">
        <v>193</v>
      </c>
      <c r="F3" s="27" t="s">
        <v>71</v>
      </c>
      <c r="G3" s="27" t="s">
        <v>1019</v>
      </c>
      <c r="H3" s="27" t="s">
        <v>105</v>
      </c>
      <c r="I3" s="27" t="s">
        <v>1020</v>
      </c>
      <c r="J3" s="27" t="s">
        <v>100</v>
      </c>
      <c r="K3" s="27" t="s">
        <v>1021</v>
      </c>
      <c r="L3" s="27" t="s">
        <v>93</v>
      </c>
      <c r="M3" s="27" t="s">
        <v>95</v>
      </c>
      <c r="N3" s="27" t="s">
        <v>648</v>
      </c>
      <c r="O3" s="27" t="s">
        <v>1022</v>
      </c>
      <c r="P3" s="27" t="s">
        <v>84</v>
      </c>
      <c r="Q3" s="27" t="s">
        <v>375</v>
      </c>
      <c r="R3" s="27" t="s">
        <v>1023</v>
      </c>
      <c r="S3" s="27" t="s">
        <v>195</v>
      </c>
      <c r="T3" s="27" t="s">
        <v>1024</v>
      </c>
      <c r="U3" s="27" t="s">
        <v>86</v>
      </c>
      <c r="V3" s="27" t="s">
        <v>1025</v>
      </c>
    </row>
    <row r="4" spans="1:22" ht="16.05" customHeight="1" x14ac:dyDescent="0.3">
      <c r="A4" s="28">
        <v>1</v>
      </c>
      <c r="B4" s="28" t="s">
        <v>519</v>
      </c>
      <c r="C4" s="28" t="s">
        <v>1026</v>
      </c>
      <c r="D4" s="28" t="s">
        <v>1027</v>
      </c>
      <c r="E4" s="28"/>
      <c r="F4" s="28"/>
      <c r="G4" s="28"/>
      <c r="H4" s="28"/>
      <c r="I4" s="28"/>
      <c r="J4" s="28"/>
      <c r="K4" s="28"/>
      <c r="L4" s="28"/>
      <c r="M4" s="28"/>
      <c r="N4" s="28"/>
      <c r="O4" s="28"/>
      <c r="P4" s="28"/>
      <c r="Q4" s="28"/>
      <c r="R4" s="28"/>
      <c r="S4" s="28"/>
      <c r="T4" s="28"/>
      <c r="U4" s="28"/>
      <c r="V4" s="29" t="str">
        <f>IF(B4=SelectedScope,COUNTIFS($B$4:$B4,SelectedScope),"")</f>
        <v/>
      </c>
    </row>
    <row r="5" spans="1:22" ht="16.05" customHeight="1" x14ac:dyDescent="0.3">
      <c r="A5" s="30">
        <v>2</v>
      </c>
      <c r="B5" s="30" t="s">
        <v>519</v>
      </c>
      <c r="C5" s="30" t="s">
        <v>1028</v>
      </c>
      <c r="D5" s="30" t="s">
        <v>1027</v>
      </c>
      <c r="E5" s="30"/>
      <c r="F5" s="30"/>
      <c r="G5" s="30"/>
      <c r="H5" s="30"/>
      <c r="I5" s="30"/>
      <c r="J5" s="30"/>
      <c r="K5" s="30"/>
      <c r="L5" s="30"/>
      <c r="M5" s="30"/>
      <c r="N5" s="30"/>
      <c r="O5" s="30"/>
      <c r="P5" s="30"/>
      <c r="Q5" s="30"/>
      <c r="R5" s="30"/>
      <c r="S5" s="30"/>
      <c r="T5" s="30"/>
      <c r="U5" s="30"/>
      <c r="V5" s="29" t="str">
        <f>IF(B5=SelectedScope,COUNTIFS($B$4:$B5,SelectedScope),"")</f>
        <v/>
      </c>
    </row>
    <row r="6" spans="1:22" ht="16.05" customHeight="1" x14ac:dyDescent="0.3">
      <c r="A6" s="28">
        <v>3</v>
      </c>
      <c r="B6" s="28" t="s">
        <v>519</v>
      </c>
      <c r="C6" s="28" t="s">
        <v>1029</v>
      </c>
      <c r="D6" s="28" t="s">
        <v>1027</v>
      </c>
      <c r="E6" s="28"/>
      <c r="F6" s="28"/>
      <c r="G6" s="28"/>
      <c r="H6" s="28"/>
      <c r="I6" s="28"/>
      <c r="J6" s="28"/>
      <c r="K6" s="28"/>
      <c r="L6" s="28"/>
      <c r="M6" s="28"/>
      <c r="N6" s="28"/>
      <c r="O6" s="28"/>
      <c r="P6" s="28"/>
      <c r="Q6" s="28"/>
      <c r="R6" s="28"/>
      <c r="S6" s="28"/>
      <c r="T6" s="28"/>
      <c r="U6" s="28"/>
      <c r="V6" s="29" t="str">
        <f>IF(B6=SelectedScope,COUNTIFS($B$4:$B6,SelectedScope),"")</f>
        <v/>
      </c>
    </row>
    <row r="7" spans="1:22" ht="16.05" customHeight="1" x14ac:dyDescent="0.3">
      <c r="A7" s="30">
        <v>4</v>
      </c>
      <c r="B7" s="30" t="s">
        <v>520</v>
      </c>
      <c r="C7" s="30" t="s">
        <v>1030</v>
      </c>
      <c r="D7" s="30" t="s">
        <v>1027</v>
      </c>
      <c r="E7" s="30"/>
      <c r="F7" s="30"/>
      <c r="G7" s="30"/>
      <c r="H7" s="30"/>
      <c r="I7" s="30"/>
      <c r="J7" s="30"/>
      <c r="K7" s="30"/>
      <c r="L7" s="30"/>
      <c r="M7" s="30"/>
      <c r="N7" s="30"/>
      <c r="O7" s="30"/>
      <c r="P7" s="30"/>
      <c r="Q7" s="30"/>
      <c r="R7" s="30"/>
      <c r="S7" s="30"/>
      <c r="T7" s="30"/>
      <c r="U7" s="30"/>
      <c r="V7" s="29" t="str">
        <f>IF(B7=SelectedScope,COUNTIFS($B$4:$B7,SelectedScope),"")</f>
        <v/>
      </c>
    </row>
    <row r="8" spans="1:22" ht="16.05" customHeight="1" x14ac:dyDescent="0.3">
      <c r="A8" s="28">
        <v>5</v>
      </c>
      <c r="B8" s="28" t="s">
        <v>520</v>
      </c>
      <c r="C8" s="28" t="s">
        <v>1031</v>
      </c>
      <c r="D8" s="28" t="s">
        <v>1027</v>
      </c>
      <c r="E8" s="28"/>
      <c r="F8" s="28"/>
      <c r="G8" s="28"/>
      <c r="H8" s="28"/>
      <c r="I8" s="28"/>
      <c r="J8" s="28"/>
      <c r="K8" s="28"/>
      <c r="L8" s="28"/>
      <c r="M8" s="28"/>
      <c r="N8" s="28"/>
      <c r="O8" s="28"/>
      <c r="P8" s="28"/>
      <c r="Q8" s="28"/>
      <c r="R8" s="28"/>
      <c r="S8" s="28"/>
      <c r="T8" s="28"/>
      <c r="U8" s="28"/>
      <c r="V8" s="29" t="str">
        <f>IF(B8=SelectedScope,COUNTIFS($B$4:$B8,SelectedScope),"")</f>
        <v/>
      </c>
    </row>
    <row r="9" spans="1:22" ht="16.05" customHeight="1" x14ac:dyDescent="0.3">
      <c r="A9" s="30">
        <v>6</v>
      </c>
      <c r="B9" s="30" t="s">
        <v>520</v>
      </c>
      <c r="C9" s="30" t="s">
        <v>1032</v>
      </c>
      <c r="D9" s="30" t="s">
        <v>1027</v>
      </c>
      <c r="E9" s="30"/>
      <c r="F9" s="30"/>
      <c r="G9" s="30"/>
      <c r="H9" s="30"/>
      <c r="I9" s="30"/>
      <c r="J9" s="30"/>
      <c r="K9" s="30"/>
      <c r="L9" s="30"/>
      <c r="M9" s="30"/>
      <c r="N9" s="30"/>
      <c r="O9" s="30"/>
      <c r="P9" s="30"/>
      <c r="Q9" s="30"/>
      <c r="R9" s="30"/>
      <c r="S9" s="30"/>
      <c r="T9" s="30"/>
      <c r="U9" s="30"/>
      <c r="V9" s="29" t="str">
        <f>IF(B9=SelectedScope,COUNTIFS($B$4:$B9,SelectedScope),"")</f>
        <v/>
      </c>
    </row>
    <row r="10" spans="1:22" ht="16.05" customHeight="1" x14ac:dyDescent="0.3">
      <c r="A10" s="28">
        <v>7</v>
      </c>
      <c r="B10" s="28" t="s">
        <v>520</v>
      </c>
      <c r="C10" s="28" t="s">
        <v>1033</v>
      </c>
      <c r="D10" s="28" t="s">
        <v>1027</v>
      </c>
      <c r="E10" s="28"/>
      <c r="F10" s="28"/>
      <c r="G10" s="28"/>
      <c r="H10" s="28"/>
      <c r="I10" s="28"/>
      <c r="J10" s="28"/>
      <c r="K10" s="28"/>
      <c r="L10" s="28"/>
      <c r="M10" s="28"/>
      <c r="N10" s="28"/>
      <c r="O10" s="28"/>
      <c r="P10" s="28"/>
      <c r="Q10" s="28"/>
      <c r="R10" s="28"/>
      <c r="S10" s="28"/>
      <c r="T10" s="28"/>
      <c r="U10" s="28"/>
      <c r="V10" s="29" t="str">
        <f>IF(B10=SelectedScope,COUNTIFS($B$4:$B10,SelectedScope),"")</f>
        <v/>
      </c>
    </row>
    <row r="11" spans="1:22" ht="16.05" customHeight="1" x14ac:dyDescent="0.3">
      <c r="A11" s="30">
        <v>8</v>
      </c>
      <c r="B11" s="30" t="s">
        <v>520</v>
      </c>
      <c r="C11" s="30" t="s">
        <v>1034</v>
      </c>
      <c r="D11" s="30" t="s">
        <v>1027</v>
      </c>
      <c r="E11" s="30"/>
      <c r="F11" s="30"/>
      <c r="G11" s="30"/>
      <c r="H11" s="30"/>
      <c r="I11" s="30"/>
      <c r="J11" s="30"/>
      <c r="K11" s="30"/>
      <c r="L11" s="30"/>
      <c r="M11" s="30"/>
      <c r="N11" s="30"/>
      <c r="O11" s="30"/>
      <c r="P11" s="30"/>
      <c r="Q11" s="30"/>
      <c r="R11" s="30"/>
      <c r="S11" s="30"/>
      <c r="T11" s="30"/>
      <c r="U11" s="30"/>
      <c r="V11" s="29" t="str">
        <f>IF(B11=SelectedScope,COUNTIFS($B$4:$B11,SelectedScope),"")</f>
        <v/>
      </c>
    </row>
    <row r="12" spans="1:22" ht="16.05" customHeight="1" x14ac:dyDescent="0.3">
      <c r="A12" s="28">
        <v>9</v>
      </c>
      <c r="B12" s="28" t="s">
        <v>520</v>
      </c>
      <c r="C12" s="28" t="s">
        <v>1035</v>
      </c>
      <c r="D12" s="28" t="s">
        <v>1027</v>
      </c>
      <c r="E12" s="28"/>
      <c r="F12" s="28"/>
      <c r="G12" s="28"/>
      <c r="H12" s="28"/>
      <c r="I12" s="28"/>
      <c r="J12" s="28"/>
      <c r="K12" s="28"/>
      <c r="L12" s="28"/>
      <c r="M12" s="28"/>
      <c r="N12" s="28"/>
      <c r="O12" s="28"/>
      <c r="P12" s="28"/>
      <c r="Q12" s="28"/>
      <c r="R12" s="28"/>
      <c r="S12" s="28"/>
      <c r="T12" s="28"/>
      <c r="U12" s="28"/>
      <c r="V12" s="29" t="str">
        <f>IF(B12=SelectedScope,COUNTIFS($B$4:$B12,SelectedScope),"")</f>
        <v/>
      </c>
    </row>
    <row r="13" spans="1:22" ht="16.05" customHeight="1" x14ac:dyDescent="0.3">
      <c r="A13" s="30">
        <v>10</v>
      </c>
      <c r="B13" s="30" t="s">
        <v>520</v>
      </c>
      <c r="C13" s="30" t="s">
        <v>1036</v>
      </c>
      <c r="D13" s="30" t="s">
        <v>1027</v>
      </c>
      <c r="E13" s="30"/>
      <c r="F13" s="30"/>
      <c r="G13" s="30"/>
      <c r="H13" s="30"/>
      <c r="I13" s="30"/>
      <c r="J13" s="30"/>
      <c r="K13" s="30"/>
      <c r="L13" s="30"/>
      <c r="M13" s="30"/>
      <c r="N13" s="30"/>
      <c r="O13" s="30"/>
      <c r="P13" s="30"/>
      <c r="Q13" s="30"/>
      <c r="R13" s="30"/>
      <c r="S13" s="30"/>
      <c r="T13" s="30"/>
      <c r="U13" s="30"/>
      <c r="V13" s="29" t="str">
        <f>IF(B13=SelectedScope,COUNTIFS($B$4:$B13,SelectedScope),"")</f>
        <v/>
      </c>
    </row>
    <row r="14" spans="1:22" ht="16.05" customHeight="1" x14ac:dyDescent="0.3">
      <c r="A14" s="28">
        <v>11</v>
      </c>
      <c r="B14" s="28" t="s">
        <v>520</v>
      </c>
      <c r="C14" s="28" t="s">
        <v>1037</v>
      </c>
      <c r="D14" s="28" t="s">
        <v>1027</v>
      </c>
      <c r="E14" s="28"/>
      <c r="F14" s="28"/>
      <c r="G14" s="28"/>
      <c r="H14" s="28"/>
      <c r="I14" s="28"/>
      <c r="J14" s="28"/>
      <c r="K14" s="28"/>
      <c r="L14" s="28"/>
      <c r="M14" s="28"/>
      <c r="N14" s="28"/>
      <c r="O14" s="28"/>
      <c r="P14" s="28"/>
      <c r="Q14" s="28"/>
      <c r="R14" s="28"/>
      <c r="S14" s="28"/>
      <c r="T14" s="28"/>
      <c r="U14" s="28"/>
      <c r="V14" s="29" t="str">
        <f>IF(B14=SelectedScope,COUNTIFS($B$4:$B14,SelectedScope),"")</f>
        <v/>
      </c>
    </row>
    <row r="15" spans="1:22" ht="16.05" customHeight="1" x14ac:dyDescent="0.3">
      <c r="A15" s="30">
        <v>12</v>
      </c>
      <c r="B15" s="30" t="s">
        <v>520</v>
      </c>
      <c r="C15" s="30" t="s">
        <v>1038</v>
      </c>
      <c r="D15" s="30" t="s">
        <v>1027</v>
      </c>
      <c r="E15" s="30"/>
      <c r="F15" s="30"/>
      <c r="G15" s="30"/>
      <c r="H15" s="30"/>
      <c r="I15" s="30"/>
      <c r="J15" s="30"/>
      <c r="K15" s="30"/>
      <c r="L15" s="30"/>
      <c r="M15" s="30"/>
      <c r="N15" s="30"/>
      <c r="O15" s="30"/>
      <c r="P15" s="30"/>
      <c r="Q15" s="30"/>
      <c r="R15" s="30"/>
      <c r="S15" s="30"/>
      <c r="T15" s="30"/>
      <c r="U15" s="30"/>
      <c r="V15" s="29" t="str">
        <f>IF(B15=SelectedScope,COUNTIFS($B$4:$B15,SelectedScope),"")</f>
        <v/>
      </c>
    </row>
    <row r="16" spans="1:22" ht="16.05" customHeight="1" x14ac:dyDescent="0.3">
      <c r="A16" s="28">
        <v>13</v>
      </c>
      <c r="B16" s="28" t="s">
        <v>520</v>
      </c>
      <c r="C16" s="28" t="s">
        <v>1039</v>
      </c>
      <c r="D16" s="28" t="s">
        <v>1027</v>
      </c>
      <c r="E16" s="28"/>
      <c r="F16" s="28"/>
      <c r="G16" s="28"/>
      <c r="H16" s="28"/>
      <c r="I16" s="28"/>
      <c r="J16" s="28"/>
      <c r="K16" s="28"/>
      <c r="L16" s="28"/>
      <c r="M16" s="28"/>
      <c r="N16" s="28"/>
      <c r="O16" s="28"/>
      <c r="P16" s="28"/>
      <c r="Q16" s="28"/>
      <c r="R16" s="28"/>
      <c r="S16" s="28"/>
      <c r="T16" s="28"/>
      <c r="U16" s="28"/>
      <c r="V16" s="29" t="str">
        <f>IF(B16=SelectedScope,COUNTIFS($B$4:$B16,SelectedScope),"")</f>
        <v/>
      </c>
    </row>
    <row r="17" spans="1:22" ht="16.05" customHeight="1" x14ac:dyDescent="0.3">
      <c r="A17" s="30">
        <v>14</v>
      </c>
      <c r="B17" s="30" t="s">
        <v>520</v>
      </c>
      <c r="C17" s="30" t="s">
        <v>1040</v>
      </c>
      <c r="D17" s="30" t="s">
        <v>1027</v>
      </c>
      <c r="E17" s="30"/>
      <c r="F17" s="30"/>
      <c r="G17" s="30"/>
      <c r="H17" s="30"/>
      <c r="I17" s="30"/>
      <c r="J17" s="30"/>
      <c r="K17" s="30"/>
      <c r="L17" s="30"/>
      <c r="M17" s="30"/>
      <c r="N17" s="30"/>
      <c r="O17" s="30"/>
      <c r="P17" s="30"/>
      <c r="Q17" s="30"/>
      <c r="R17" s="30"/>
      <c r="S17" s="30"/>
      <c r="T17" s="30"/>
      <c r="U17" s="30"/>
      <c r="V17" s="29" t="str">
        <f>IF(B17=SelectedScope,COUNTIFS($B$4:$B17,SelectedScope),"")</f>
        <v/>
      </c>
    </row>
    <row r="18" spans="1:22" ht="16.05" customHeight="1" x14ac:dyDescent="0.3">
      <c r="A18" s="28">
        <v>15</v>
      </c>
      <c r="B18" s="28" t="s">
        <v>520</v>
      </c>
      <c r="C18" s="28" t="s">
        <v>1041</v>
      </c>
      <c r="D18" s="28" t="s">
        <v>1027</v>
      </c>
      <c r="E18" s="28"/>
      <c r="F18" s="28"/>
      <c r="G18" s="28"/>
      <c r="H18" s="28"/>
      <c r="I18" s="28"/>
      <c r="J18" s="28"/>
      <c r="K18" s="28"/>
      <c r="L18" s="28"/>
      <c r="M18" s="28"/>
      <c r="N18" s="28"/>
      <c r="O18" s="28"/>
      <c r="P18" s="28"/>
      <c r="Q18" s="28"/>
      <c r="R18" s="28"/>
      <c r="S18" s="28"/>
      <c r="T18" s="28"/>
      <c r="U18" s="28"/>
      <c r="V18" s="29" t="str">
        <f>IF(B18=SelectedScope,COUNTIFS($B$4:$B18,SelectedScope),"")</f>
        <v/>
      </c>
    </row>
    <row r="19" spans="1:22" ht="16.05" customHeight="1" x14ac:dyDescent="0.3">
      <c r="A19" s="30">
        <v>16</v>
      </c>
      <c r="B19" s="30" t="s">
        <v>520</v>
      </c>
      <c r="C19" s="30" t="s">
        <v>1042</v>
      </c>
      <c r="D19" s="30" t="s">
        <v>1027</v>
      </c>
      <c r="E19" s="30"/>
      <c r="F19" s="30"/>
      <c r="G19" s="30"/>
      <c r="H19" s="30"/>
      <c r="I19" s="30"/>
      <c r="J19" s="30"/>
      <c r="K19" s="30"/>
      <c r="L19" s="30"/>
      <c r="M19" s="30"/>
      <c r="N19" s="30"/>
      <c r="O19" s="30"/>
      <c r="P19" s="30"/>
      <c r="Q19" s="30"/>
      <c r="R19" s="30"/>
      <c r="S19" s="30"/>
      <c r="T19" s="30"/>
      <c r="U19" s="30"/>
      <c r="V19" s="29" t="str">
        <f>IF(B19=SelectedScope,COUNTIFS($B$4:$B19,SelectedScope),"")</f>
        <v/>
      </c>
    </row>
    <row r="20" spans="1:22" ht="16.05" customHeight="1" x14ac:dyDescent="0.3">
      <c r="A20" s="28">
        <v>17</v>
      </c>
      <c r="B20" s="28" t="s">
        <v>520</v>
      </c>
      <c r="C20" s="28" t="s">
        <v>1043</v>
      </c>
      <c r="D20" s="28" t="s">
        <v>1027</v>
      </c>
      <c r="E20" s="28"/>
      <c r="F20" s="28"/>
      <c r="G20" s="28"/>
      <c r="H20" s="28"/>
      <c r="I20" s="28"/>
      <c r="J20" s="28"/>
      <c r="K20" s="28"/>
      <c r="L20" s="28"/>
      <c r="M20" s="28"/>
      <c r="N20" s="28"/>
      <c r="O20" s="28"/>
      <c r="P20" s="28"/>
      <c r="Q20" s="28"/>
      <c r="R20" s="28"/>
      <c r="S20" s="28"/>
      <c r="T20" s="28"/>
      <c r="U20" s="28"/>
      <c r="V20" s="29" t="str">
        <f>IF(B20=SelectedScope,COUNTIFS($B$4:$B20,SelectedScope),"")</f>
        <v/>
      </c>
    </row>
    <row r="21" spans="1:22" ht="16.05" customHeight="1" x14ac:dyDescent="0.3">
      <c r="A21" s="30">
        <v>18</v>
      </c>
      <c r="B21" s="30" t="s">
        <v>520</v>
      </c>
      <c r="C21" s="30" t="s">
        <v>1044</v>
      </c>
      <c r="D21" s="30" t="s">
        <v>1027</v>
      </c>
      <c r="E21" s="30"/>
      <c r="F21" s="30"/>
      <c r="G21" s="30"/>
      <c r="H21" s="30"/>
      <c r="I21" s="30"/>
      <c r="J21" s="30"/>
      <c r="K21" s="30"/>
      <c r="L21" s="30"/>
      <c r="M21" s="30"/>
      <c r="N21" s="30"/>
      <c r="O21" s="30"/>
      <c r="P21" s="30"/>
      <c r="Q21" s="30"/>
      <c r="R21" s="30"/>
      <c r="S21" s="30"/>
      <c r="T21" s="30"/>
      <c r="U21" s="30"/>
      <c r="V21" s="29" t="str">
        <f>IF(B21=SelectedScope,COUNTIFS($B$4:$B21,SelectedScope),"")</f>
        <v/>
      </c>
    </row>
    <row r="22" spans="1:22" ht="16.05" customHeight="1" x14ac:dyDescent="0.3">
      <c r="A22" s="28">
        <v>19</v>
      </c>
      <c r="B22" s="28" t="s">
        <v>520</v>
      </c>
      <c r="C22" s="28" t="s">
        <v>1045</v>
      </c>
      <c r="D22" s="28" t="s">
        <v>1027</v>
      </c>
      <c r="E22" s="28"/>
      <c r="F22" s="28"/>
      <c r="G22" s="28"/>
      <c r="H22" s="28"/>
      <c r="I22" s="28"/>
      <c r="J22" s="28"/>
      <c r="K22" s="28"/>
      <c r="L22" s="28"/>
      <c r="M22" s="28"/>
      <c r="N22" s="28"/>
      <c r="O22" s="28"/>
      <c r="P22" s="28"/>
      <c r="Q22" s="28"/>
      <c r="R22" s="28"/>
      <c r="S22" s="28"/>
      <c r="T22" s="28"/>
      <c r="U22" s="28"/>
      <c r="V22" s="29" t="str">
        <f>IF(B22=SelectedScope,COUNTIFS($B$4:$B22,SelectedScope),"")</f>
        <v/>
      </c>
    </row>
    <row r="23" spans="1:22" ht="16.05" customHeight="1" x14ac:dyDescent="0.3">
      <c r="A23" s="30">
        <v>20</v>
      </c>
      <c r="B23" s="30" t="s">
        <v>520</v>
      </c>
      <c r="C23" s="30" t="s">
        <v>1046</v>
      </c>
      <c r="D23" s="30" t="s">
        <v>1027</v>
      </c>
      <c r="E23" s="30"/>
      <c r="F23" s="30"/>
      <c r="G23" s="30"/>
      <c r="H23" s="30"/>
      <c r="I23" s="30"/>
      <c r="J23" s="30"/>
      <c r="K23" s="30"/>
      <c r="L23" s="30"/>
      <c r="M23" s="30"/>
      <c r="N23" s="30"/>
      <c r="O23" s="30"/>
      <c r="P23" s="30"/>
      <c r="Q23" s="30"/>
      <c r="R23" s="30"/>
      <c r="S23" s="30"/>
      <c r="T23" s="30"/>
      <c r="U23" s="30"/>
      <c r="V23" s="29" t="str">
        <f>IF(B23=SelectedScope,COUNTIFS($B$4:$B23,SelectedScope),"")</f>
        <v/>
      </c>
    </row>
    <row r="24" spans="1:22" ht="16.05" customHeight="1" x14ac:dyDescent="0.3">
      <c r="A24" s="28">
        <v>21</v>
      </c>
      <c r="B24" s="28" t="s">
        <v>520</v>
      </c>
      <c r="C24" s="28" t="s">
        <v>1047</v>
      </c>
      <c r="D24" s="28" t="s">
        <v>1027</v>
      </c>
      <c r="E24" s="28"/>
      <c r="F24" s="28"/>
      <c r="G24" s="28"/>
      <c r="H24" s="28"/>
      <c r="I24" s="28"/>
      <c r="J24" s="28"/>
      <c r="K24" s="28"/>
      <c r="L24" s="28"/>
      <c r="M24" s="28"/>
      <c r="N24" s="28"/>
      <c r="O24" s="28"/>
      <c r="P24" s="28"/>
      <c r="Q24" s="28"/>
      <c r="R24" s="28"/>
      <c r="S24" s="28"/>
      <c r="T24" s="28"/>
      <c r="U24" s="28"/>
      <c r="V24" s="29" t="str">
        <f>IF(B24=SelectedScope,COUNTIFS($B$4:$B24,SelectedScope),"")</f>
        <v/>
      </c>
    </row>
    <row r="25" spans="1:22" ht="16.05" customHeight="1" x14ac:dyDescent="0.3">
      <c r="A25" s="30">
        <v>22</v>
      </c>
      <c r="B25" s="30" t="s">
        <v>520</v>
      </c>
      <c r="C25" s="30" t="s">
        <v>1048</v>
      </c>
      <c r="D25" s="30" t="s">
        <v>1027</v>
      </c>
      <c r="E25" s="30"/>
      <c r="F25" s="30"/>
      <c r="G25" s="30"/>
      <c r="H25" s="30"/>
      <c r="I25" s="30"/>
      <c r="J25" s="30"/>
      <c r="K25" s="30"/>
      <c r="L25" s="30"/>
      <c r="M25" s="30"/>
      <c r="N25" s="30"/>
      <c r="O25" s="30"/>
      <c r="P25" s="30"/>
      <c r="Q25" s="30"/>
      <c r="R25" s="30"/>
      <c r="S25" s="30"/>
      <c r="T25" s="30"/>
      <c r="U25" s="30"/>
      <c r="V25" s="29" t="str">
        <f>IF(B25=SelectedScope,COUNTIFS($B$4:$B25,SelectedScope),"")</f>
        <v/>
      </c>
    </row>
    <row r="26" spans="1:22" ht="16.05" customHeight="1" x14ac:dyDescent="0.3">
      <c r="A26" s="28">
        <v>23</v>
      </c>
      <c r="B26" s="28" t="s">
        <v>520</v>
      </c>
      <c r="C26" s="28" t="s">
        <v>1049</v>
      </c>
      <c r="D26" s="28" t="s">
        <v>1027</v>
      </c>
      <c r="E26" s="28"/>
      <c r="F26" s="28"/>
      <c r="G26" s="28"/>
      <c r="H26" s="28"/>
      <c r="I26" s="28"/>
      <c r="J26" s="28"/>
      <c r="K26" s="28"/>
      <c r="L26" s="28"/>
      <c r="M26" s="28"/>
      <c r="N26" s="28"/>
      <c r="O26" s="28"/>
      <c r="P26" s="28"/>
      <c r="Q26" s="28"/>
      <c r="R26" s="28"/>
      <c r="S26" s="28"/>
      <c r="T26" s="28"/>
      <c r="U26" s="28"/>
      <c r="V26" s="29" t="str">
        <f>IF(B26=SelectedScope,COUNTIFS($B$4:$B26,SelectedScope),"")</f>
        <v/>
      </c>
    </row>
    <row r="27" spans="1:22" ht="16.05" customHeight="1" x14ac:dyDescent="0.3">
      <c r="A27" s="30">
        <v>24</v>
      </c>
      <c r="B27" s="30" t="s">
        <v>520</v>
      </c>
      <c r="C27" s="30" t="s">
        <v>584</v>
      </c>
      <c r="D27" s="30" t="s">
        <v>1027</v>
      </c>
      <c r="E27" s="30"/>
      <c r="F27" s="30"/>
      <c r="G27" s="30"/>
      <c r="H27" s="30"/>
      <c r="I27" s="30"/>
      <c r="J27" s="30"/>
      <c r="K27" s="30"/>
      <c r="L27" s="30"/>
      <c r="M27" s="30"/>
      <c r="N27" s="30"/>
      <c r="O27" s="30"/>
      <c r="P27" s="30"/>
      <c r="Q27" s="30"/>
      <c r="R27" s="30"/>
      <c r="S27" s="30"/>
      <c r="T27" s="30"/>
      <c r="U27" s="30"/>
      <c r="V27" s="29" t="str">
        <f>IF(B27=SelectedScope,COUNTIFS($B$4:$B27,SelectedScope),"")</f>
        <v/>
      </c>
    </row>
    <row r="28" spans="1:22" ht="16.05" customHeight="1" x14ac:dyDescent="0.3">
      <c r="A28" s="28">
        <v>25</v>
      </c>
      <c r="B28" s="28" t="s">
        <v>521</v>
      </c>
      <c r="C28" s="28" t="s">
        <v>1050</v>
      </c>
      <c r="D28" s="28" t="s">
        <v>1027</v>
      </c>
      <c r="E28" s="28"/>
      <c r="F28" s="28"/>
      <c r="G28" s="28"/>
      <c r="H28" s="28"/>
      <c r="I28" s="28"/>
      <c r="J28" s="28"/>
      <c r="K28" s="28"/>
      <c r="L28" s="28"/>
      <c r="M28" s="28"/>
      <c r="N28" s="28"/>
      <c r="O28" s="28"/>
      <c r="P28" s="28"/>
      <c r="Q28" s="28"/>
      <c r="R28" s="28"/>
      <c r="S28" s="28"/>
      <c r="T28" s="28"/>
      <c r="U28" s="28"/>
      <c r="V28" s="29" t="str">
        <f>IF(B28=SelectedScope,COUNTIFS($B$4:$B28,SelectedScope),"")</f>
        <v/>
      </c>
    </row>
    <row r="29" spans="1:22" ht="16.05" customHeight="1" x14ac:dyDescent="0.3">
      <c r="A29" s="30">
        <v>26</v>
      </c>
      <c r="B29" s="30" t="s">
        <v>521</v>
      </c>
      <c r="C29" s="30" t="s">
        <v>1051</v>
      </c>
      <c r="D29" s="30" t="s">
        <v>1027</v>
      </c>
      <c r="E29" s="30"/>
      <c r="F29" s="30"/>
      <c r="G29" s="30"/>
      <c r="H29" s="30"/>
      <c r="I29" s="30"/>
      <c r="J29" s="30"/>
      <c r="K29" s="30"/>
      <c r="L29" s="30"/>
      <c r="M29" s="30"/>
      <c r="N29" s="30"/>
      <c r="O29" s="30"/>
      <c r="P29" s="30"/>
      <c r="Q29" s="30"/>
      <c r="R29" s="30"/>
      <c r="S29" s="30"/>
      <c r="T29" s="30"/>
      <c r="U29" s="30"/>
      <c r="V29" s="29" t="str">
        <f>IF(B29=SelectedScope,COUNTIFS($B$4:$B29,SelectedScope),"")</f>
        <v/>
      </c>
    </row>
    <row r="30" spans="1:22" ht="16.05" customHeight="1" x14ac:dyDescent="0.3">
      <c r="A30" s="28">
        <v>27</v>
      </c>
      <c r="B30" s="28" t="s">
        <v>521</v>
      </c>
      <c r="C30" s="28" t="s">
        <v>1052</v>
      </c>
      <c r="D30" s="28" t="s">
        <v>1027</v>
      </c>
      <c r="E30" s="28"/>
      <c r="F30" s="28"/>
      <c r="G30" s="28"/>
      <c r="H30" s="28"/>
      <c r="I30" s="28"/>
      <c r="J30" s="28"/>
      <c r="K30" s="28"/>
      <c r="L30" s="28"/>
      <c r="M30" s="28"/>
      <c r="N30" s="28"/>
      <c r="O30" s="28"/>
      <c r="P30" s="28"/>
      <c r="Q30" s="28"/>
      <c r="R30" s="28"/>
      <c r="S30" s="28"/>
      <c r="T30" s="28"/>
      <c r="U30" s="28"/>
      <c r="V30" s="29" t="str">
        <f>IF(B30=SelectedScope,COUNTIFS($B$4:$B30,SelectedScope),"")</f>
        <v/>
      </c>
    </row>
    <row r="31" spans="1:22" ht="16.05" customHeight="1" x14ac:dyDescent="0.3">
      <c r="A31" s="30">
        <v>28</v>
      </c>
      <c r="B31" s="30" t="s">
        <v>521</v>
      </c>
      <c r="C31" s="30" t="s">
        <v>1053</v>
      </c>
      <c r="D31" s="30" t="s">
        <v>1027</v>
      </c>
      <c r="E31" s="30"/>
      <c r="F31" s="30"/>
      <c r="G31" s="30"/>
      <c r="H31" s="30"/>
      <c r="I31" s="30"/>
      <c r="J31" s="30"/>
      <c r="K31" s="30"/>
      <c r="L31" s="30"/>
      <c r="M31" s="30"/>
      <c r="N31" s="30"/>
      <c r="O31" s="30"/>
      <c r="P31" s="30"/>
      <c r="Q31" s="30"/>
      <c r="R31" s="30"/>
      <c r="S31" s="30"/>
      <c r="T31" s="30"/>
      <c r="U31" s="30"/>
      <c r="V31" s="29" t="str">
        <f>IF(B31=SelectedScope,COUNTIFS($B$4:$B31,SelectedScope),"")</f>
        <v/>
      </c>
    </row>
    <row r="32" spans="1:22" ht="16.05" customHeight="1" x14ac:dyDescent="0.3">
      <c r="A32" s="28">
        <v>29</v>
      </c>
      <c r="B32" s="28" t="s">
        <v>521</v>
      </c>
      <c r="C32" s="28" t="s">
        <v>1054</v>
      </c>
      <c r="D32" s="28" t="s">
        <v>1027</v>
      </c>
      <c r="E32" s="28"/>
      <c r="F32" s="28"/>
      <c r="G32" s="28"/>
      <c r="H32" s="28"/>
      <c r="I32" s="28"/>
      <c r="J32" s="28"/>
      <c r="K32" s="28"/>
      <c r="L32" s="28"/>
      <c r="M32" s="28"/>
      <c r="N32" s="28"/>
      <c r="O32" s="28"/>
      <c r="P32" s="28"/>
      <c r="Q32" s="28"/>
      <c r="R32" s="28"/>
      <c r="S32" s="28"/>
      <c r="T32" s="28"/>
      <c r="U32" s="28"/>
      <c r="V32" s="29" t="str">
        <f>IF(B32=SelectedScope,COUNTIFS($B$4:$B32,SelectedScope),"")</f>
        <v/>
      </c>
    </row>
    <row r="33" spans="1:22" ht="16.05" customHeight="1" x14ac:dyDescent="0.3">
      <c r="A33" s="30">
        <v>30</v>
      </c>
      <c r="B33" s="30" t="s">
        <v>521</v>
      </c>
      <c r="C33" s="30" t="s">
        <v>1055</v>
      </c>
      <c r="D33" s="30" t="s">
        <v>1027</v>
      </c>
      <c r="E33" s="30"/>
      <c r="F33" s="30"/>
      <c r="G33" s="30"/>
      <c r="H33" s="30"/>
      <c r="I33" s="30"/>
      <c r="J33" s="30"/>
      <c r="K33" s="30"/>
      <c r="L33" s="30"/>
      <c r="M33" s="30"/>
      <c r="N33" s="30"/>
      <c r="O33" s="30"/>
      <c r="P33" s="30"/>
      <c r="Q33" s="30"/>
      <c r="R33" s="30"/>
      <c r="S33" s="30"/>
      <c r="T33" s="30"/>
      <c r="U33" s="30"/>
      <c r="V33" s="29" t="str">
        <f>IF(B33=SelectedScope,COUNTIFS($B$4:$B33,SelectedScope),"")</f>
        <v/>
      </c>
    </row>
    <row r="34" spans="1:22" ht="16.05" customHeight="1" x14ac:dyDescent="0.3">
      <c r="A34" s="28">
        <v>31</v>
      </c>
      <c r="B34" s="28" t="s">
        <v>521</v>
      </c>
      <c r="C34" s="28" t="s">
        <v>1056</v>
      </c>
      <c r="D34" s="28" t="s">
        <v>1027</v>
      </c>
      <c r="E34" s="28"/>
      <c r="F34" s="28"/>
      <c r="G34" s="28"/>
      <c r="H34" s="28"/>
      <c r="I34" s="28"/>
      <c r="J34" s="28"/>
      <c r="K34" s="28"/>
      <c r="L34" s="28"/>
      <c r="M34" s="28"/>
      <c r="N34" s="28"/>
      <c r="O34" s="28"/>
      <c r="P34" s="28"/>
      <c r="Q34" s="28"/>
      <c r="R34" s="28"/>
      <c r="S34" s="28"/>
      <c r="T34" s="28"/>
      <c r="U34" s="28"/>
      <c r="V34" s="29" t="str">
        <f>IF(B34=SelectedScope,COUNTIFS($B$4:$B34,SelectedScope),"")</f>
        <v/>
      </c>
    </row>
    <row r="35" spans="1:22" ht="16.05" customHeight="1" x14ac:dyDescent="0.3">
      <c r="A35" s="30">
        <v>32</v>
      </c>
      <c r="B35" s="30" t="s">
        <v>521</v>
      </c>
      <c r="C35" s="30" t="s">
        <v>1057</v>
      </c>
      <c r="D35" s="30" t="s">
        <v>1027</v>
      </c>
      <c r="E35" s="30"/>
      <c r="F35" s="30"/>
      <c r="G35" s="30"/>
      <c r="H35" s="30"/>
      <c r="I35" s="30"/>
      <c r="J35" s="30"/>
      <c r="K35" s="30"/>
      <c r="L35" s="30"/>
      <c r="M35" s="30"/>
      <c r="N35" s="30"/>
      <c r="O35" s="30"/>
      <c r="P35" s="30"/>
      <c r="Q35" s="30"/>
      <c r="R35" s="30"/>
      <c r="S35" s="30"/>
      <c r="T35" s="30"/>
      <c r="U35" s="30"/>
      <c r="V35" s="29" t="str">
        <f>IF(B35=SelectedScope,COUNTIFS($B$4:$B35,SelectedScope),"")</f>
        <v/>
      </c>
    </row>
    <row r="36" spans="1:22" ht="16.05" customHeight="1" x14ac:dyDescent="0.3">
      <c r="A36" s="28">
        <v>33</v>
      </c>
      <c r="B36" s="28" t="s">
        <v>521</v>
      </c>
      <c r="C36" s="28" t="s">
        <v>574</v>
      </c>
      <c r="D36" s="28" t="s">
        <v>1027</v>
      </c>
      <c r="E36" s="28"/>
      <c r="F36" s="28"/>
      <c r="G36" s="28"/>
      <c r="H36" s="28"/>
      <c r="I36" s="28"/>
      <c r="J36" s="28"/>
      <c r="K36" s="28"/>
      <c r="L36" s="28"/>
      <c r="M36" s="28"/>
      <c r="N36" s="28"/>
      <c r="O36" s="28"/>
      <c r="P36" s="28"/>
      <c r="Q36" s="28"/>
      <c r="R36" s="28"/>
      <c r="S36" s="28"/>
      <c r="T36" s="28"/>
      <c r="U36" s="28"/>
      <c r="V36" s="29" t="str">
        <f>IF(B36=SelectedScope,COUNTIFS($B$4:$B36,SelectedScope),"")</f>
        <v/>
      </c>
    </row>
    <row r="37" spans="1:22" ht="16.05" customHeight="1" x14ac:dyDescent="0.3">
      <c r="A37" s="30">
        <v>34</v>
      </c>
      <c r="B37" s="30" t="s">
        <v>521</v>
      </c>
      <c r="C37" s="30" t="s">
        <v>1058</v>
      </c>
      <c r="D37" s="30" t="s">
        <v>1027</v>
      </c>
      <c r="E37" s="30"/>
      <c r="F37" s="30"/>
      <c r="G37" s="30"/>
      <c r="H37" s="30"/>
      <c r="I37" s="30"/>
      <c r="J37" s="30"/>
      <c r="K37" s="30"/>
      <c r="L37" s="30"/>
      <c r="M37" s="30"/>
      <c r="N37" s="30"/>
      <c r="O37" s="30"/>
      <c r="P37" s="30"/>
      <c r="Q37" s="30"/>
      <c r="R37" s="30"/>
      <c r="S37" s="30"/>
      <c r="T37" s="30"/>
      <c r="U37" s="30"/>
      <c r="V37" s="29" t="str">
        <f>IF(B37=SelectedScope,COUNTIFS($B$4:$B37,SelectedScope),"")</f>
        <v/>
      </c>
    </row>
    <row r="38" spans="1:22" ht="16.05" customHeight="1" x14ac:dyDescent="0.3">
      <c r="A38" s="28">
        <v>35</v>
      </c>
      <c r="B38" s="28" t="s">
        <v>521</v>
      </c>
      <c r="C38" s="28" t="s">
        <v>1059</v>
      </c>
      <c r="D38" s="28" t="s">
        <v>1027</v>
      </c>
      <c r="E38" s="28"/>
      <c r="F38" s="28"/>
      <c r="G38" s="28"/>
      <c r="H38" s="28"/>
      <c r="I38" s="28"/>
      <c r="J38" s="28"/>
      <c r="K38" s="28"/>
      <c r="L38" s="28"/>
      <c r="M38" s="28"/>
      <c r="N38" s="28"/>
      <c r="O38" s="28"/>
      <c r="P38" s="28"/>
      <c r="Q38" s="28"/>
      <c r="R38" s="28"/>
      <c r="S38" s="28"/>
      <c r="T38" s="28"/>
      <c r="U38" s="28"/>
      <c r="V38" s="29" t="str">
        <f>IF(B38=SelectedScope,COUNTIFS($B$4:$B38,SelectedScope),"")</f>
        <v/>
      </c>
    </row>
    <row r="39" spans="1:22" ht="16.05" customHeight="1" x14ac:dyDescent="0.3">
      <c r="A39" s="30">
        <v>36</v>
      </c>
      <c r="B39" s="30" t="s">
        <v>521</v>
      </c>
      <c r="C39" s="30" t="s">
        <v>1060</v>
      </c>
      <c r="D39" s="30" t="s">
        <v>1027</v>
      </c>
      <c r="E39" s="30"/>
      <c r="F39" s="30"/>
      <c r="G39" s="30"/>
      <c r="H39" s="30"/>
      <c r="I39" s="30"/>
      <c r="J39" s="30"/>
      <c r="K39" s="30"/>
      <c r="L39" s="30"/>
      <c r="M39" s="30"/>
      <c r="N39" s="30"/>
      <c r="O39" s="30"/>
      <c r="P39" s="30"/>
      <c r="Q39" s="30"/>
      <c r="R39" s="30"/>
      <c r="S39" s="30"/>
      <c r="T39" s="30"/>
      <c r="U39" s="30"/>
      <c r="V39" s="29" t="str">
        <f>IF(B39=SelectedScope,COUNTIFS($B$4:$B39,SelectedScope),"")</f>
        <v/>
      </c>
    </row>
    <row r="40" spans="1:22" ht="16.05" customHeight="1" x14ac:dyDescent="0.3">
      <c r="A40" s="28">
        <v>37</v>
      </c>
      <c r="B40" s="28" t="s">
        <v>521</v>
      </c>
      <c r="C40" s="28" t="s">
        <v>1061</v>
      </c>
      <c r="D40" s="28" t="s">
        <v>1027</v>
      </c>
      <c r="E40" s="28"/>
      <c r="F40" s="28"/>
      <c r="G40" s="28"/>
      <c r="H40" s="28"/>
      <c r="I40" s="28"/>
      <c r="J40" s="28"/>
      <c r="K40" s="28"/>
      <c r="L40" s="28"/>
      <c r="M40" s="28"/>
      <c r="N40" s="28"/>
      <c r="O40" s="28"/>
      <c r="P40" s="28"/>
      <c r="Q40" s="28"/>
      <c r="R40" s="28"/>
      <c r="S40" s="28"/>
      <c r="T40" s="28"/>
      <c r="U40" s="28"/>
      <c r="V40" s="29" t="str">
        <f>IF(B40=SelectedScope,COUNTIFS($B$4:$B40,SelectedScope),"")</f>
        <v/>
      </c>
    </row>
    <row r="41" spans="1:22" ht="16.05" customHeight="1" x14ac:dyDescent="0.3">
      <c r="A41" s="30">
        <v>38</v>
      </c>
      <c r="B41" s="30" t="s">
        <v>521</v>
      </c>
      <c r="C41" s="30" t="s">
        <v>1062</v>
      </c>
      <c r="D41" s="30" t="s">
        <v>1027</v>
      </c>
      <c r="E41" s="30"/>
      <c r="F41" s="30"/>
      <c r="G41" s="30"/>
      <c r="H41" s="30"/>
      <c r="I41" s="30"/>
      <c r="J41" s="30"/>
      <c r="K41" s="30"/>
      <c r="L41" s="30"/>
      <c r="M41" s="30"/>
      <c r="N41" s="30"/>
      <c r="O41" s="30"/>
      <c r="P41" s="30"/>
      <c r="Q41" s="30"/>
      <c r="R41" s="30"/>
      <c r="S41" s="30"/>
      <c r="T41" s="30"/>
      <c r="U41" s="30"/>
      <c r="V41" s="29" t="str">
        <f>IF(B41=SelectedScope,COUNTIFS($B$4:$B41,SelectedScope),"")</f>
        <v/>
      </c>
    </row>
    <row r="42" spans="1:22" ht="16.05" customHeight="1" x14ac:dyDescent="0.3">
      <c r="A42" s="28">
        <v>39</v>
      </c>
      <c r="B42" s="28" t="s">
        <v>521</v>
      </c>
      <c r="C42" s="28" t="s">
        <v>1063</v>
      </c>
      <c r="D42" s="28" t="s">
        <v>1027</v>
      </c>
      <c r="E42" s="28"/>
      <c r="F42" s="28"/>
      <c r="G42" s="28"/>
      <c r="H42" s="28"/>
      <c r="I42" s="28"/>
      <c r="J42" s="28"/>
      <c r="K42" s="28"/>
      <c r="L42" s="28"/>
      <c r="M42" s="28"/>
      <c r="N42" s="28"/>
      <c r="O42" s="28"/>
      <c r="P42" s="28"/>
      <c r="Q42" s="28"/>
      <c r="R42" s="28"/>
      <c r="S42" s="28"/>
      <c r="T42" s="28"/>
      <c r="U42" s="28"/>
      <c r="V42" s="29" t="str">
        <f>IF(B42=SelectedScope,COUNTIFS($B$4:$B42,SelectedScope),"")</f>
        <v/>
      </c>
    </row>
    <row r="43" spans="1:22" ht="16.05" customHeight="1" x14ac:dyDescent="0.3">
      <c r="A43" s="30">
        <v>40</v>
      </c>
      <c r="B43" s="30" t="s">
        <v>521</v>
      </c>
      <c r="C43" s="30" t="s">
        <v>1064</v>
      </c>
      <c r="D43" s="30" t="s">
        <v>1027</v>
      </c>
      <c r="E43" s="30"/>
      <c r="F43" s="30"/>
      <c r="G43" s="30"/>
      <c r="H43" s="30"/>
      <c r="I43" s="30"/>
      <c r="J43" s="30"/>
      <c r="K43" s="30"/>
      <c r="L43" s="30"/>
      <c r="M43" s="30"/>
      <c r="N43" s="30"/>
      <c r="O43" s="30"/>
      <c r="P43" s="30"/>
      <c r="Q43" s="30"/>
      <c r="R43" s="30"/>
      <c r="S43" s="30"/>
      <c r="T43" s="30"/>
      <c r="U43" s="30"/>
      <c r="V43" s="29" t="str">
        <f>IF(B43=SelectedScope,COUNTIFS($B$4:$B43,SelectedScope),"")</f>
        <v/>
      </c>
    </row>
    <row r="44" spans="1:22" ht="16.05" customHeight="1" x14ac:dyDescent="0.3">
      <c r="A44" s="28">
        <v>41</v>
      </c>
      <c r="B44" s="28" t="s">
        <v>521</v>
      </c>
      <c r="C44" s="28" t="s">
        <v>1065</v>
      </c>
      <c r="D44" s="28" t="s">
        <v>1027</v>
      </c>
      <c r="E44" s="28"/>
      <c r="F44" s="28"/>
      <c r="G44" s="28"/>
      <c r="H44" s="28"/>
      <c r="I44" s="28"/>
      <c r="J44" s="28"/>
      <c r="K44" s="28"/>
      <c r="L44" s="28"/>
      <c r="M44" s="28"/>
      <c r="N44" s="28"/>
      <c r="O44" s="28"/>
      <c r="P44" s="28"/>
      <c r="Q44" s="28"/>
      <c r="R44" s="28"/>
      <c r="S44" s="28"/>
      <c r="T44" s="28"/>
      <c r="U44" s="28"/>
      <c r="V44" s="29" t="str">
        <f>IF(B44=SelectedScope,COUNTIFS($B$4:$B44,SelectedScope),"")</f>
        <v/>
      </c>
    </row>
    <row r="45" spans="1:22" ht="16.05" customHeight="1" x14ac:dyDescent="0.3">
      <c r="A45" s="30">
        <v>42</v>
      </c>
      <c r="B45" s="30" t="s">
        <v>521</v>
      </c>
      <c r="C45" s="30" t="s">
        <v>1066</v>
      </c>
      <c r="D45" s="30" t="s">
        <v>1027</v>
      </c>
      <c r="E45" s="30"/>
      <c r="F45" s="30"/>
      <c r="G45" s="30"/>
      <c r="H45" s="30"/>
      <c r="I45" s="30"/>
      <c r="J45" s="30"/>
      <c r="K45" s="30"/>
      <c r="L45" s="30"/>
      <c r="M45" s="30"/>
      <c r="N45" s="30"/>
      <c r="O45" s="30"/>
      <c r="P45" s="30"/>
      <c r="Q45" s="30"/>
      <c r="R45" s="30"/>
      <c r="S45" s="30"/>
      <c r="T45" s="30"/>
      <c r="U45" s="30"/>
      <c r="V45" s="29" t="str">
        <f>IF(B45=SelectedScope,COUNTIFS($B$4:$B45,SelectedScope),"")</f>
        <v/>
      </c>
    </row>
    <row r="46" spans="1:22" ht="16.05" customHeight="1" x14ac:dyDescent="0.3">
      <c r="A46" s="28">
        <v>43</v>
      </c>
      <c r="B46" s="28" t="s">
        <v>521</v>
      </c>
      <c r="C46" s="28" t="s">
        <v>1067</v>
      </c>
      <c r="D46" s="28" t="s">
        <v>1027</v>
      </c>
      <c r="E46" s="28"/>
      <c r="F46" s="28"/>
      <c r="G46" s="28"/>
      <c r="H46" s="28"/>
      <c r="I46" s="28"/>
      <c r="J46" s="28"/>
      <c r="K46" s="28"/>
      <c r="L46" s="28"/>
      <c r="M46" s="28"/>
      <c r="N46" s="28"/>
      <c r="O46" s="28"/>
      <c r="P46" s="28"/>
      <c r="Q46" s="28"/>
      <c r="R46" s="28"/>
      <c r="S46" s="28"/>
      <c r="T46" s="28"/>
      <c r="U46" s="28"/>
      <c r="V46" s="29" t="str">
        <f>IF(B46=SelectedScope,COUNTIFS($B$4:$B46,SelectedScope),"")</f>
        <v/>
      </c>
    </row>
    <row r="47" spans="1:22" ht="16.05" customHeight="1" x14ac:dyDescent="0.3">
      <c r="A47" s="30">
        <v>44</v>
      </c>
      <c r="B47" s="30" t="s">
        <v>521</v>
      </c>
      <c r="C47" s="30" t="s">
        <v>1068</v>
      </c>
      <c r="D47" s="30" t="s">
        <v>1027</v>
      </c>
      <c r="E47" s="30"/>
      <c r="F47" s="30"/>
      <c r="G47" s="30"/>
      <c r="H47" s="30"/>
      <c r="I47" s="30"/>
      <c r="J47" s="30"/>
      <c r="K47" s="30"/>
      <c r="L47" s="30"/>
      <c r="M47" s="30"/>
      <c r="N47" s="30"/>
      <c r="O47" s="30"/>
      <c r="P47" s="30"/>
      <c r="Q47" s="30"/>
      <c r="R47" s="30"/>
      <c r="S47" s="30"/>
      <c r="T47" s="30"/>
      <c r="U47" s="30"/>
      <c r="V47" s="29" t="str">
        <f>IF(B47=SelectedScope,COUNTIFS($B$4:$B47,SelectedScope),"")</f>
        <v/>
      </c>
    </row>
    <row r="48" spans="1:22" ht="16.05" customHeight="1" x14ac:dyDescent="0.3">
      <c r="A48" s="28">
        <v>45</v>
      </c>
      <c r="B48" s="28" t="s">
        <v>521</v>
      </c>
      <c r="C48" s="28" t="s">
        <v>1069</v>
      </c>
      <c r="D48" s="28" t="s">
        <v>1027</v>
      </c>
      <c r="E48" s="28"/>
      <c r="F48" s="28"/>
      <c r="G48" s="28"/>
      <c r="H48" s="28"/>
      <c r="I48" s="28"/>
      <c r="J48" s="28"/>
      <c r="K48" s="28"/>
      <c r="L48" s="28"/>
      <c r="M48" s="28"/>
      <c r="N48" s="28"/>
      <c r="O48" s="28"/>
      <c r="P48" s="28"/>
      <c r="Q48" s="28"/>
      <c r="R48" s="28"/>
      <c r="S48" s="28"/>
      <c r="T48" s="28"/>
      <c r="U48" s="28"/>
      <c r="V48" s="29" t="str">
        <f>IF(B48=SelectedScope,COUNTIFS($B$4:$B48,SelectedScope),"")</f>
        <v/>
      </c>
    </row>
    <row r="49" spans="1:22" ht="16.05" customHeight="1" x14ac:dyDescent="0.3">
      <c r="A49" s="30">
        <v>46</v>
      </c>
      <c r="B49" s="30" t="s">
        <v>521</v>
      </c>
      <c r="C49" s="30" t="s">
        <v>1070</v>
      </c>
      <c r="D49" s="30" t="s">
        <v>1027</v>
      </c>
      <c r="E49" s="30"/>
      <c r="F49" s="30"/>
      <c r="G49" s="30"/>
      <c r="H49" s="30"/>
      <c r="I49" s="30"/>
      <c r="J49" s="30"/>
      <c r="K49" s="30"/>
      <c r="L49" s="30"/>
      <c r="M49" s="30"/>
      <c r="N49" s="30"/>
      <c r="O49" s="30"/>
      <c r="P49" s="30"/>
      <c r="Q49" s="30"/>
      <c r="R49" s="30"/>
      <c r="S49" s="30"/>
      <c r="T49" s="30"/>
      <c r="U49" s="30"/>
      <c r="V49" s="29" t="str">
        <f>IF(B49=SelectedScope,COUNTIFS($B$4:$B49,SelectedScope),"")</f>
        <v/>
      </c>
    </row>
    <row r="50" spans="1:22" ht="16.05" customHeight="1" x14ac:dyDescent="0.3">
      <c r="A50" s="28">
        <v>47</v>
      </c>
      <c r="B50" s="28" t="s">
        <v>522</v>
      </c>
      <c r="C50" s="28" t="s">
        <v>1071</v>
      </c>
      <c r="D50" s="28" t="s">
        <v>1027</v>
      </c>
      <c r="E50" s="28"/>
      <c r="F50" s="28"/>
      <c r="G50" s="28"/>
      <c r="H50" s="28"/>
      <c r="I50" s="28"/>
      <c r="J50" s="28"/>
      <c r="K50" s="28"/>
      <c r="L50" s="28"/>
      <c r="M50" s="28"/>
      <c r="N50" s="28"/>
      <c r="O50" s="28"/>
      <c r="P50" s="28"/>
      <c r="Q50" s="28"/>
      <c r="R50" s="28"/>
      <c r="S50" s="28"/>
      <c r="T50" s="28"/>
      <c r="U50" s="28"/>
      <c r="V50" s="29" t="str">
        <f>IF(B50=SelectedScope,COUNTIFS($B$4:$B50,SelectedScope),"")</f>
        <v/>
      </c>
    </row>
    <row r="51" spans="1:22" ht="16.05" customHeight="1" x14ac:dyDescent="0.3">
      <c r="A51" s="30">
        <v>48</v>
      </c>
      <c r="B51" s="30" t="s">
        <v>522</v>
      </c>
      <c r="C51" s="30" t="s">
        <v>1072</v>
      </c>
      <c r="D51" s="30" t="s">
        <v>1027</v>
      </c>
      <c r="E51" s="30"/>
      <c r="F51" s="30"/>
      <c r="G51" s="30"/>
      <c r="H51" s="30"/>
      <c r="I51" s="30"/>
      <c r="J51" s="30"/>
      <c r="K51" s="30"/>
      <c r="L51" s="30"/>
      <c r="M51" s="30"/>
      <c r="N51" s="30"/>
      <c r="O51" s="30"/>
      <c r="P51" s="30"/>
      <c r="Q51" s="30"/>
      <c r="R51" s="30"/>
      <c r="S51" s="30"/>
      <c r="T51" s="30"/>
      <c r="U51" s="30"/>
      <c r="V51" s="29" t="str">
        <f>IF(B51=SelectedScope,COUNTIFS($B$4:$B51,SelectedScope),"")</f>
        <v/>
      </c>
    </row>
    <row r="52" spans="1:22" ht="16.05" customHeight="1" x14ac:dyDescent="0.3">
      <c r="A52" s="28">
        <v>49</v>
      </c>
      <c r="B52" s="28" t="s">
        <v>522</v>
      </c>
      <c r="C52" s="28" t="s">
        <v>1073</v>
      </c>
      <c r="D52" s="28" t="s">
        <v>1027</v>
      </c>
      <c r="E52" s="28"/>
      <c r="F52" s="28"/>
      <c r="G52" s="28"/>
      <c r="H52" s="28"/>
      <c r="I52" s="28"/>
      <c r="J52" s="28"/>
      <c r="K52" s="28"/>
      <c r="L52" s="28"/>
      <c r="M52" s="28"/>
      <c r="N52" s="28"/>
      <c r="O52" s="28"/>
      <c r="P52" s="28"/>
      <c r="Q52" s="28"/>
      <c r="R52" s="28"/>
      <c r="S52" s="28"/>
      <c r="T52" s="28"/>
      <c r="U52" s="28"/>
      <c r="V52" s="29" t="str">
        <f>IF(B52=SelectedScope,COUNTIFS($B$4:$B52,SelectedScope),"")</f>
        <v/>
      </c>
    </row>
    <row r="53" spans="1:22" ht="16.05" customHeight="1" x14ac:dyDescent="0.3">
      <c r="A53" s="30">
        <v>50</v>
      </c>
      <c r="B53" s="30" t="s">
        <v>522</v>
      </c>
      <c r="C53" s="30" t="s">
        <v>1074</v>
      </c>
      <c r="D53" s="30" t="s">
        <v>1027</v>
      </c>
      <c r="E53" s="30"/>
      <c r="F53" s="30"/>
      <c r="G53" s="30"/>
      <c r="H53" s="30"/>
      <c r="I53" s="30"/>
      <c r="J53" s="30"/>
      <c r="K53" s="30"/>
      <c r="L53" s="30"/>
      <c r="M53" s="30"/>
      <c r="N53" s="30"/>
      <c r="O53" s="30"/>
      <c r="P53" s="30"/>
      <c r="Q53" s="30"/>
      <c r="R53" s="30"/>
      <c r="S53" s="30"/>
      <c r="T53" s="30"/>
      <c r="U53" s="30"/>
      <c r="V53" s="29" t="str">
        <f>IF(B53=SelectedScope,COUNTIFS($B$4:$B53,SelectedScope),"")</f>
        <v/>
      </c>
    </row>
    <row r="54" spans="1:22" ht="16.05" customHeight="1" x14ac:dyDescent="0.3">
      <c r="A54" s="28">
        <v>51</v>
      </c>
      <c r="B54" s="28" t="s">
        <v>522</v>
      </c>
      <c r="C54" s="28" t="s">
        <v>1075</v>
      </c>
      <c r="D54" s="28" t="s">
        <v>1027</v>
      </c>
      <c r="E54" s="28"/>
      <c r="F54" s="28"/>
      <c r="G54" s="28"/>
      <c r="H54" s="28"/>
      <c r="I54" s="28"/>
      <c r="J54" s="28"/>
      <c r="K54" s="28"/>
      <c r="L54" s="28"/>
      <c r="M54" s="28"/>
      <c r="N54" s="28"/>
      <c r="O54" s="28"/>
      <c r="P54" s="28"/>
      <c r="Q54" s="28"/>
      <c r="R54" s="28"/>
      <c r="S54" s="28"/>
      <c r="T54" s="28"/>
      <c r="U54" s="28"/>
      <c r="V54" s="29" t="str">
        <f>IF(B54=SelectedScope,COUNTIFS($B$4:$B54,SelectedScope),"")</f>
        <v/>
      </c>
    </row>
    <row r="55" spans="1:22" ht="16.05" customHeight="1" x14ac:dyDescent="0.3">
      <c r="A55" s="30">
        <v>52</v>
      </c>
      <c r="B55" s="30" t="s">
        <v>522</v>
      </c>
      <c r="C55" s="30" t="s">
        <v>1076</v>
      </c>
      <c r="D55" s="30" t="s">
        <v>1027</v>
      </c>
      <c r="E55" s="30"/>
      <c r="F55" s="30"/>
      <c r="G55" s="30"/>
      <c r="H55" s="30"/>
      <c r="I55" s="30"/>
      <c r="J55" s="30"/>
      <c r="K55" s="30"/>
      <c r="L55" s="30"/>
      <c r="M55" s="30"/>
      <c r="N55" s="30"/>
      <c r="O55" s="30"/>
      <c r="P55" s="30"/>
      <c r="Q55" s="30"/>
      <c r="R55" s="30"/>
      <c r="S55" s="30"/>
      <c r="T55" s="30"/>
      <c r="U55" s="30"/>
      <c r="V55" s="29" t="str">
        <f>IF(B55=SelectedScope,COUNTIFS($B$4:$B55,SelectedScope),"")</f>
        <v/>
      </c>
    </row>
    <row r="56" spans="1:22" ht="16.05" customHeight="1" x14ac:dyDescent="0.3">
      <c r="A56" s="28">
        <v>53</v>
      </c>
      <c r="B56" s="28" t="s">
        <v>522</v>
      </c>
      <c r="C56" s="28" t="s">
        <v>1077</v>
      </c>
      <c r="D56" s="28" t="s">
        <v>1027</v>
      </c>
      <c r="E56" s="28"/>
      <c r="F56" s="28"/>
      <c r="G56" s="28"/>
      <c r="H56" s="28"/>
      <c r="I56" s="28"/>
      <c r="J56" s="28"/>
      <c r="K56" s="28"/>
      <c r="L56" s="28"/>
      <c r="M56" s="28"/>
      <c r="N56" s="28"/>
      <c r="O56" s="28"/>
      <c r="P56" s="28"/>
      <c r="Q56" s="28"/>
      <c r="R56" s="28"/>
      <c r="S56" s="28"/>
      <c r="T56" s="28"/>
      <c r="U56" s="28"/>
      <c r="V56" s="29" t="str">
        <f>IF(B56=SelectedScope,COUNTIFS($B$4:$B56,SelectedScope),"")</f>
        <v/>
      </c>
    </row>
    <row r="57" spans="1:22" ht="16.05" customHeight="1" x14ac:dyDescent="0.3">
      <c r="A57" s="30">
        <v>54</v>
      </c>
      <c r="B57" s="30" t="s">
        <v>522</v>
      </c>
      <c r="C57" s="30" t="s">
        <v>1078</v>
      </c>
      <c r="D57" s="30" t="s">
        <v>1027</v>
      </c>
      <c r="E57" s="30"/>
      <c r="F57" s="30"/>
      <c r="G57" s="30"/>
      <c r="H57" s="30"/>
      <c r="I57" s="30"/>
      <c r="J57" s="30"/>
      <c r="K57" s="30"/>
      <c r="L57" s="30"/>
      <c r="M57" s="30"/>
      <c r="N57" s="30"/>
      <c r="O57" s="30"/>
      <c r="P57" s="30"/>
      <c r="Q57" s="30"/>
      <c r="R57" s="30"/>
      <c r="S57" s="30"/>
      <c r="T57" s="30"/>
      <c r="U57" s="30"/>
      <c r="V57" s="29" t="str">
        <f>IF(B57=SelectedScope,COUNTIFS($B$4:$B57,SelectedScope),"")</f>
        <v/>
      </c>
    </row>
    <row r="58" spans="1:22" ht="16.05" customHeight="1" x14ac:dyDescent="0.3">
      <c r="A58" s="28">
        <v>55</v>
      </c>
      <c r="B58" s="28" t="s">
        <v>522</v>
      </c>
      <c r="C58" s="28" t="s">
        <v>1079</v>
      </c>
      <c r="D58" s="28" t="s">
        <v>1027</v>
      </c>
      <c r="E58" s="28"/>
      <c r="F58" s="28"/>
      <c r="G58" s="28"/>
      <c r="H58" s="28"/>
      <c r="I58" s="28"/>
      <c r="J58" s="28"/>
      <c r="K58" s="28"/>
      <c r="L58" s="28"/>
      <c r="M58" s="28"/>
      <c r="N58" s="28"/>
      <c r="O58" s="28"/>
      <c r="P58" s="28"/>
      <c r="Q58" s="28"/>
      <c r="R58" s="28"/>
      <c r="S58" s="28"/>
      <c r="T58" s="28"/>
      <c r="U58" s="28"/>
      <c r="V58" s="29" t="str">
        <f>IF(B58=SelectedScope,COUNTIFS($B$4:$B58,SelectedScope),"")</f>
        <v/>
      </c>
    </row>
    <row r="59" spans="1:22" ht="16.05" customHeight="1" x14ac:dyDescent="0.3">
      <c r="A59" s="30">
        <v>56</v>
      </c>
      <c r="B59" s="30" t="s">
        <v>522</v>
      </c>
      <c r="C59" s="30" t="s">
        <v>1080</v>
      </c>
      <c r="D59" s="30" t="s">
        <v>1027</v>
      </c>
      <c r="E59" s="30"/>
      <c r="F59" s="30"/>
      <c r="G59" s="30"/>
      <c r="H59" s="30"/>
      <c r="I59" s="30"/>
      <c r="J59" s="30"/>
      <c r="K59" s="30"/>
      <c r="L59" s="30"/>
      <c r="M59" s="30"/>
      <c r="N59" s="30"/>
      <c r="O59" s="30"/>
      <c r="P59" s="30"/>
      <c r="Q59" s="30"/>
      <c r="R59" s="30"/>
      <c r="S59" s="30"/>
      <c r="T59" s="30"/>
      <c r="U59" s="30"/>
      <c r="V59" s="29" t="str">
        <f>IF(B59=SelectedScope,COUNTIFS($B$4:$B59,SelectedScope),"")</f>
        <v/>
      </c>
    </row>
    <row r="60" spans="1:22" ht="16.05" customHeight="1" x14ac:dyDescent="0.3">
      <c r="A60" s="28">
        <v>57</v>
      </c>
      <c r="B60" s="28" t="s">
        <v>522</v>
      </c>
      <c r="C60" s="28" t="s">
        <v>1081</v>
      </c>
      <c r="D60" s="28" t="s">
        <v>1027</v>
      </c>
      <c r="E60" s="28"/>
      <c r="F60" s="28"/>
      <c r="G60" s="28"/>
      <c r="H60" s="28"/>
      <c r="I60" s="28"/>
      <c r="J60" s="28"/>
      <c r="K60" s="28"/>
      <c r="L60" s="28"/>
      <c r="M60" s="28"/>
      <c r="N60" s="28"/>
      <c r="O60" s="28"/>
      <c r="P60" s="28"/>
      <c r="Q60" s="28"/>
      <c r="R60" s="28"/>
      <c r="S60" s="28"/>
      <c r="T60" s="28"/>
      <c r="U60" s="28"/>
      <c r="V60" s="29" t="str">
        <f>IF(B60=SelectedScope,COUNTIFS($B$4:$B60,SelectedScope),"")</f>
        <v/>
      </c>
    </row>
    <row r="61" spans="1:22" ht="16.05" customHeight="1" x14ac:dyDescent="0.3">
      <c r="A61" s="30">
        <v>58</v>
      </c>
      <c r="B61" s="30" t="s">
        <v>522</v>
      </c>
      <c r="C61" s="30" t="s">
        <v>1082</v>
      </c>
      <c r="D61" s="30" t="s">
        <v>1027</v>
      </c>
      <c r="E61" s="30"/>
      <c r="F61" s="30"/>
      <c r="G61" s="30"/>
      <c r="H61" s="30"/>
      <c r="I61" s="30"/>
      <c r="J61" s="30"/>
      <c r="K61" s="30"/>
      <c r="L61" s="30"/>
      <c r="M61" s="30"/>
      <c r="N61" s="30"/>
      <c r="O61" s="30"/>
      <c r="P61" s="30"/>
      <c r="Q61" s="30"/>
      <c r="R61" s="30"/>
      <c r="S61" s="30"/>
      <c r="T61" s="30"/>
      <c r="U61" s="30"/>
      <c r="V61" s="29" t="str">
        <f>IF(B61=SelectedScope,COUNTIFS($B$4:$B61,SelectedScope),"")</f>
        <v/>
      </c>
    </row>
    <row r="62" spans="1:22" ht="16.05" customHeight="1" x14ac:dyDescent="0.3">
      <c r="A62" s="28">
        <v>59</v>
      </c>
      <c r="B62" s="28" t="s">
        <v>522</v>
      </c>
      <c r="C62" s="28" t="s">
        <v>1083</v>
      </c>
      <c r="D62" s="28" t="s">
        <v>1027</v>
      </c>
      <c r="E62" s="28"/>
      <c r="F62" s="28"/>
      <c r="G62" s="28"/>
      <c r="H62" s="28"/>
      <c r="I62" s="28"/>
      <c r="J62" s="28"/>
      <c r="K62" s="28"/>
      <c r="L62" s="28"/>
      <c r="M62" s="28"/>
      <c r="N62" s="28"/>
      <c r="O62" s="28"/>
      <c r="P62" s="28"/>
      <c r="Q62" s="28"/>
      <c r="R62" s="28"/>
      <c r="S62" s="28"/>
      <c r="T62" s="28"/>
      <c r="U62" s="28"/>
      <c r="V62" s="29" t="str">
        <f>IF(B62=SelectedScope,COUNTIFS($B$4:$B62,SelectedScope),"")</f>
        <v/>
      </c>
    </row>
    <row r="63" spans="1:22" ht="16.05" customHeight="1" x14ac:dyDescent="0.3">
      <c r="A63" s="30">
        <v>60</v>
      </c>
      <c r="B63" s="30" t="s">
        <v>522</v>
      </c>
      <c r="C63" s="30" t="s">
        <v>1084</v>
      </c>
      <c r="D63" s="30" t="s">
        <v>1027</v>
      </c>
      <c r="E63" s="30"/>
      <c r="F63" s="30"/>
      <c r="G63" s="30"/>
      <c r="H63" s="30"/>
      <c r="I63" s="30"/>
      <c r="J63" s="30"/>
      <c r="K63" s="30"/>
      <c r="L63" s="30"/>
      <c r="M63" s="30"/>
      <c r="N63" s="30"/>
      <c r="O63" s="30"/>
      <c r="P63" s="30"/>
      <c r="Q63" s="30"/>
      <c r="R63" s="30"/>
      <c r="S63" s="30"/>
      <c r="T63" s="30"/>
      <c r="U63" s="30"/>
      <c r="V63" s="29" t="str">
        <f>IF(B63=SelectedScope,COUNTIFS($B$4:$B63,SelectedScope),"")</f>
        <v/>
      </c>
    </row>
    <row r="64" spans="1:22" ht="16.05" customHeight="1" x14ac:dyDescent="0.3">
      <c r="A64" s="28">
        <v>61</v>
      </c>
      <c r="B64" s="28" t="s">
        <v>522</v>
      </c>
      <c r="C64" s="28" t="s">
        <v>1085</v>
      </c>
      <c r="D64" s="28" t="s">
        <v>1027</v>
      </c>
      <c r="E64" s="28"/>
      <c r="F64" s="28"/>
      <c r="G64" s="28"/>
      <c r="H64" s="28"/>
      <c r="I64" s="28"/>
      <c r="J64" s="28"/>
      <c r="K64" s="28"/>
      <c r="L64" s="28"/>
      <c r="M64" s="28"/>
      <c r="N64" s="28"/>
      <c r="O64" s="28"/>
      <c r="P64" s="28"/>
      <c r="Q64" s="28"/>
      <c r="R64" s="28"/>
      <c r="S64" s="28"/>
      <c r="T64" s="28"/>
      <c r="U64" s="28"/>
      <c r="V64" s="29" t="str">
        <f>IF(B64=SelectedScope,COUNTIFS($B$4:$B64,SelectedScope),"")</f>
        <v/>
      </c>
    </row>
    <row r="65" spans="1:22" ht="16.05" customHeight="1" x14ac:dyDescent="0.3">
      <c r="A65" s="30">
        <v>62</v>
      </c>
      <c r="B65" s="30" t="s">
        <v>522</v>
      </c>
      <c r="C65" s="30" t="s">
        <v>1086</v>
      </c>
      <c r="D65" s="30" t="s">
        <v>1027</v>
      </c>
      <c r="E65" s="30"/>
      <c r="F65" s="30"/>
      <c r="G65" s="30"/>
      <c r="H65" s="30"/>
      <c r="I65" s="30"/>
      <c r="J65" s="30"/>
      <c r="K65" s="30"/>
      <c r="L65" s="30"/>
      <c r="M65" s="30"/>
      <c r="N65" s="30"/>
      <c r="O65" s="30"/>
      <c r="P65" s="30"/>
      <c r="Q65" s="30"/>
      <c r="R65" s="30"/>
      <c r="S65" s="30"/>
      <c r="T65" s="30"/>
      <c r="U65" s="30"/>
      <c r="V65" s="29" t="str">
        <f>IF(B65=SelectedScope,COUNTIFS($B$4:$B65,SelectedScope),"")</f>
        <v/>
      </c>
    </row>
    <row r="66" spans="1:22" ht="16.05" customHeight="1" x14ac:dyDescent="0.3">
      <c r="A66" s="28">
        <v>63</v>
      </c>
      <c r="B66" s="28" t="s">
        <v>522</v>
      </c>
      <c r="C66" s="28" t="s">
        <v>1087</v>
      </c>
      <c r="D66" s="28" t="s">
        <v>1027</v>
      </c>
      <c r="E66" s="28"/>
      <c r="F66" s="28"/>
      <c r="G66" s="28"/>
      <c r="H66" s="28"/>
      <c r="I66" s="28"/>
      <c r="J66" s="28"/>
      <c r="K66" s="28"/>
      <c r="L66" s="28"/>
      <c r="M66" s="28"/>
      <c r="N66" s="28"/>
      <c r="O66" s="28"/>
      <c r="P66" s="28"/>
      <c r="Q66" s="28"/>
      <c r="R66" s="28"/>
      <c r="S66" s="28"/>
      <c r="T66" s="28"/>
      <c r="U66" s="28"/>
      <c r="V66" s="29" t="str">
        <f>IF(B66=SelectedScope,COUNTIFS($B$4:$B66,SelectedScope),"")</f>
        <v/>
      </c>
    </row>
    <row r="67" spans="1:22" ht="16.05" customHeight="1" x14ac:dyDescent="0.3">
      <c r="A67" s="30">
        <v>64</v>
      </c>
      <c r="B67" s="30" t="s">
        <v>522</v>
      </c>
      <c r="C67" s="30" t="s">
        <v>567</v>
      </c>
      <c r="D67" s="30" t="s">
        <v>1027</v>
      </c>
      <c r="E67" s="30"/>
      <c r="F67" s="30"/>
      <c r="G67" s="30"/>
      <c r="H67" s="30"/>
      <c r="I67" s="30"/>
      <c r="J67" s="30"/>
      <c r="K67" s="30"/>
      <c r="L67" s="30"/>
      <c r="M67" s="30"/>
      <c r="N67" s="30"/>
      <c r="O67" s="30"/>
      <c r="P67" s="30"/>
      <c r="Q67" s="30"/>
      <c r="R67" s="30"/>
      <c r="S67" s="30"/>
      <c r="T67" s="30"/>
      <c r="U67" s="30"/>
      <c r="V67" s="29" t="str">
        <f>IF(B67=SelectedScope,COUNTIFS($B$4:$B67,SelectedScope),"")</f>
        <v/>
      </c>
    </row>
    <row r="68" spans="1:22" ht="16.05" customHeight="1" x14ac:dyDescent="0.3">
      <c r="A68" s="28">
        <v>65</v>
      </c>
      <c r="B68" s="28" t="s">
        <v>522</v>
      </c>
      <c r="C68" s="28" t="s">
        <v>1088</v>
      </c>
      <c r="D68" s="28" t="s">
        <v>1027</v>
      </c>
      <c r="E68" s="28"/>
      <c r="F68" s="28"/>
      <c r="G68" s="28"/>
      <c r="H68" s="28"/>
      <c r="I68" s="28"/>
      <c r="J68" s="28"/>
      <c r="K68" s="28"/>
      <c r="L68" s="28"/>
      <c r="M68" s="28"/>
      <c r="N68" s="28"/>
      <c r="O68" s="28"/>
      <c r="P68" s="28"/>
      <c r="Q68" s="28"/>
      <c r="R68" s="28"/>
      <c r="S68" s="28"/>
      <c r="T68" s="28"/>
      <c r="U68" s="28"/>
      <c r="V68" s="29" t="str">
        <f>IF(B68=SelectedScope,COUNTIFS($B$4:$B68,SelectedScope),"")</f>
        <v/>
      </c>
    </row>
    <row r="69" spans="1:22" ht="16.05" customHeight="1" x14ac:dyDescent="0.3">
      <c r="A69" s="30">
        <v>66</v>
      </c>
      <c r="B69" s="30" t="s">
        <v>522</v>
      </c>
      <c r="C69" s="30" t="s">
        <v>1089</v>
      </c>
      <c r="D69" s="30" t="s">
        <v>1027</v>
      </c>
      <c r="E69" s="30"/>
      <c r="F69" s="30"/>
      <c r="G69" s="30"/>
      <c r="H69" s="30"/>
      <c r="I69" s="30"/>
      <c r="J69" s="30"/>
      <c r="K69" s="30"/>
      <c r="L69" s="30"/>
      <c r="M69" s="30"/>
      <c r="N69" s="30"/>
      <c r="O69" s="30"/>
      <c r="P69" s="30"/>
      <c r="Q69" s="30"/>
      <c r="R69" s="30"/>
      <c r="S69" s="30"/>
      <c r="T69" s="30"/>
      <c r="U69" s="30"/>
      <c r="V69" s="29" t="str">
        <f>IF(B69=SelectedScope,COUNTIFS($B$4:$B69,SelectedScope),"")</f>
        <v/>
      </c>
    </row>
    <row r="70" spans="1:22" ht="16.05" customHeight="1" x14ac:dyDescent="0.3">
      <c r="A70" s="28">
        <v>67</v>
      </c>
      <c r="B70" s="28" t="s">
        <v>522</v>
      </c>
      <c r="C70" s="28" t="s">
        <v>1090</v>
      </c>
      <c r="D70" s="28" t="s">
        <v>1027</v>
      </c>
      <c r="E70" s="28"/>
      <c r="F70" s="28"/>
      <c r="G70" s="28"/>
      <c r="H70" s="28"/>
      <c r="I70" s="28"/>
      <c r="J70" s="28"/>
      <c r="K70" s="28"/>
      <c r="L70" s="28"/>
      <c r="M70" s="28"/>
      <c r="N70" s="28"/>
      <c r="O70" s="28"/>
      <c r="P70" s="28"/>
      <c r="Q70" s="28"/>
      <c r="R70" s="28"/>
      <c r="S70" s="28"/>
      <c r="T70" s="28"/>
      <c r="U70" s="28"/>
      <c r="V70" s="29" t="str">
        <f>IF(B70=SelectedScope,COUNTIFS($B$4:$B70,SelectedScope),"")</f>
        <v/>
      </c>
    </row>
    <row r="71" spans="1:22" ht="16.05" customHeight="1" x14ac:dyDescent="0.3">
      <c r="A71" s="30">
        <v>68</v>
      </c>
      <c r="B71" s="30" t="s">
        <v>522</v>
      </c>
      <c r="C71" s="30" t="s">
        <v>1091</v>
      </c>
      <c r="D71" s="30" t="s">
        <v>1027</v>
      </c>
      <c r="E71" s="30"/>
      <c r="F71" s="30"/>
      <c r="G71" s="30"/>
      <c r="H71" s="30"/>
      <c r="I71" s="30"/>
      <c r="J71" s="30"/>
      <c r="K71" s="30"/>
      <c r="L71" s="30"/>
      <c r="M71" s="30"/>
      <c r="N71" s="30"/>
      <c r="O71" s="30"/>
      <c r="P71" s="30"/>
      <c r="Q71" s="30"/>
      <c r="R71" s="30"/>
      <c r="S71" s="30"/>
      <c r="T71" s="30"/>
      <c r="U71" s="30"/>
      <c r="V71" s="29" t="str">
        <f>IF(B71=SelectedScope,COUNTIFS($B$4:$B71,SelectedScope),"")</f>
        <v/>
      </c>
    </row>
    <row r="72" spans="1:22" ht="16.05" customHeight="1" x14ac:dyDescent="0.3">
      <c r="A72" s="28">
        <v>69</v>
      </c>
      <c r="B72" s="28" t="s">
        <v>522</v>
      </c>
      <c r="C72" s="28" t="s">
        <v>1092</v>
      </c>
      <c r="D72" s="28" t="s">
        <v>1027</v>
      </c>
      <c r="E72" s="28"/>
      <c r="F72" s="28"/>
      <c r="G72" s="28"/>
      <c r="H72" s="28"/>
      <c r="I72" s="28"/>
      <c r="J72" s="28"/>
      <c r="K72" s="28"/>
      <c r="L72" s="28"/>
      <c r="M72" s="28"/>
      <c r="N72" s="28"/>
      <c r="O72" s="28"/>
      <c r="P72" s="28"/>
      <c r="Q72" s="28"/>
      <c r="R72" s="28"/>
      <c r="S72" s="28"/>
      <c r="T72" s="28"/>
      <c r="U72" s="28"/>
      <c r="V72" s="29" t="str">
        <f>IF(B72=SelectedScope,COUNTIFS($B$4:$B72,SelectedScope),"")</f>
        <v/>
      </c>
    </row>
    <row r="73" spans="1:22" ht="16.05" customHeight="1" x14ac:dyDescent="0.3">
      <c r="A73" s="30">
        <v>70</v>
      </c>
      <c r="B73" s="30" t="s">
        <v>522</v>
      </c>
      <c r="C73" s="30" t="s">
        <v>1093</v>
      </c>
      <c r="D73" s="30" t="s">
        <v>1027</v>
      </c>
      <c r="E73" s="30"/>
      <c r="F73" s="30"/>
      <c r="G73" s="30"/>
      <c r="H73" s="30"/>
      <c r="I73" s="30"/>
      <c r="J73" s="30"/>
      <c r="K73" s="30"/>
      <c r="L73" s="30"/>
      <c r="M73" s="30"/>
      <c r="N73" s="30"/>
      <c r="O73" s="30"/>
      <c r="P73" s="30"/>
      <c r="Q73" s="30"/>
      <c r="R73" s="30"/>
      <c r="S73" s="30"/>
      <c r="T73" s="30"/>
      <c r="U73" s="30"/>
      <c r="V73" s="29" t="str">
        <f>IF(B73=SelectedScope,COUNTIFS($B$4:$B73,SelectedScope),"")</f>
        <v/>
      </c>
    </row>
    <row r="74" spans="1:22" ht="16.05" customHeight="1" x14ac:dyDescent="0.3">
      <c r="A74" s="28">
        <v>71</v>
      </c>
      <c r="B74" s="28" t="s">
        <v>522</v>
      </c>
      <c r="C74" s="28" t="s">
        <v>1094</v>
      </c>
      <c r="D74" s="28" t="s">
        <v>1027</v>
      </c>
      <c r="E74" s="28"/>
      <c r="F74" s="28"/>
      <c r="G74" s="28"/>
      <c r="H74" s="28"/>
      <c r="I74" s="28"/>
      <c r="J74" s="28"/>
      <c r="K74" s="28"/>
      <c r="L74" s="28"/>
      <c r="M74" s="28"/>
      <c r="N74" s="28"/>
      <c r="O74" s="28"/>
      <c r="P74" s="28"/>
      <c r="Q74" s="28"/>
      <c r="R74" s="28"/>
      <c r="S74" s="28"/>
      <c r="T74" s="28"/>
      <c r="U74" s="28"/>
      <c r="V74" s="29" t="str">
        <f>IF(B74=SelectedScope,COUNTIFS($B$4:$B74,SelectedScope),"")</f>
        <v/>
      </c>
    </row>
    <row r="75" spans="1:22" ht="16.05" customHeight="1" x14ac:dyDescent="0.3">
      <c r="A75" s="30">
        <v>72</v>
      </c>
      <c r="B75" s="30" t="s">
        <v>522</v>
      </c>
      <c r="C75" s="30" t="s">
        <v>1095</v>
      </c>
      <c r="D75" s="30" t="s">
        <v>1027</v>
      </c>
      <c r="E75" s="30"/>
      <c r="F75" s="30"/>
      <c r="G75" s="30"/>
      <c r="H75" s="30"/>
      <c r="I75" s="30"/>
      <c r="J75" s="30"/>
      <c r="K75" s="30"/>
      <c r="L75" s="30"/>
      <c r="M75" s="30"/>
      <c r="N75" s="30"/>
      <c r="O75" s="30"/>
      <c r="P75" s="30"/>
      <c r="Q75" s="30"/>
      <c r="R75" s="30"/>
      <c r="S75" s="30"/>
      <c r="T75" s="30"/>
      <c r="U75" s="30"/>
      <c r="V75" s="29" t="str">
        <f>IF(B75=SelectedScope,COUNTIFS($B$4:$B75,SelectedScope),"")</f>
        <v/>
      </c>
    </row>
    <row r="76" spans="1:22" ht="16.05" customHeight="1" x14ac:dyDescent="0.3">
      <c r="A76" s="28">
        <v>73</v>
      </c>
      <c r="B76" s="28" t="s">
        <v>522</v>
      </c>
      <c r="C76" s="28" t="s">
        <v>1096</v>
      </c>
      <c r="D76" s="28" t="s">
        <v>1027</v>
      </c>
      <c r="E76" s="28"/>
      <c r="F76" s="28"/>
      <c r="G76" s="28"/>
      <c r="H76" s="28"/>
      <c r="I76" s="28"/>
      <c r="J76" s="28"/>
      <c r="K76" s="28"/>
      <c r="L76" s="28"/>
      <c r="M76" s="28"/>
      <c r="N76" s="28"/>
      <c r="O76" s="28"/>
      <c r="P76" s="28"/>
      <c r="Q76" s="28"/>
      <c r="R76" s="28"/>
      <c r="S76" s="28"/>
      <c r="T76" s="28"/>
      <c r="U76" s="28"/>
      <c r="V76" s="29" t="str">
        <f>IF(B76=SelectedScope,COUNTIFS($B$4:$B76,SelectedScope),"")</f>
        <v/>
      </c>
    </row>
    <row r="77" spans="1:22" ht="16.05" customHeight="1" x14ac:dyDescent="0.3">
      <c r="A77" s="30">
        <v>74</v>
      </c>
      <c r="B77" s="30" t="s">
        <v>522</v>
      </c>
      <c r="C77" s="30" t="s">
        <v>1097</v>
      </c>
      <c r="D77" s="30" t="s">
        <v>1027</v>
      </c>
      <c r="E77" s="30"/>
      <c r="F77" s="30"/>
      <c r="G77" s="30"/>
      <c r="H77" s="30"/>
      <c r="I77" s="30"/>
      <c r="J77" s="30"/>
      <c r="K77" s="30"/>
      <c r="L77" s="30"/>
      <c r="M77" s="30"/>
      <c r="N77" s="30"/>
      <c r="O77" s="30"/>
      <c r="P77" s="30"/>
      <c r="Q77" s="30"/>
      <c r="R77" s="30"/>
      <c r="S77" s="30"/>
      <c r="T77" s="30"/>
      <c r="U77" s="30"/>
      <c r="V77" s="29" t="str">
        <f>IF(B77=SelectedScope,COUNTIFS($B$4:$B77,SelectedScope),"")</f>
        <v/>
      </c>
    </row>
    <row r="78" spans="1:22" ht="16.05" customHeight="1" x14ac:dyDescent="0.3">
      <c r="A78" s="28">
        <v>75</v>
      </c>
      <c r="B78" s="28" t="s">
        <v>522</v>
      </c>
      <c r="C78" s="28" t="s">
        <v>585</v>
      </c>
      <c r="D78" s="28" t="s">
        <v>1027</v>
      </c>
      <c r="E78" s="28"/>
      <c r="F78" s="28"/>
      <c r="G78" s="28"/>
      <c r="H78" s="28"/>
      <c r="I78" s="28"/>
      <c r="J78" s="28"/>
      <c r="K78" s="28"/>
      <c r="L78" s="28"/>
      <c r="M78" s="28"/>
      <c r="N78" s="28"/>
      <c r="O78" s="28"/>
      <c r="P78" s="28"/>
      <c r="Q78" s="28"/>
      <c r="R78" s="28"/>
      <c r="S78" s="28"/>
      <c r="T78" s="28"/>
      <c r="U78" s="28"/>
      <c r="V78" s="29" t="str">
        <f>IF(B78=SelectedScope,COUNTIFS($B$4:$B78,SelectedScope),"")</f>
        <v/>
      </c>
    </row>
    <row r="79" spans="1:22" ht="16.05" customHeight="1" x14ac:dyDescent="0.3">
      <c r="A79" s="30">
        <v>76</v>
      </c>
      <c r="B79" s="30" t="s">
        <v>523</v>
      </c>
      <c r="C79" s="30" t="s">
        <v>565</v>
      </c>
      <c r="D79" s="30" t="s">
        <v>1027</v>
      </c>
      <c r="E79" s="30"/>
      <c r="F79" s="30"/>
      <c r="G79" s="30"/>
      <c r="H79" s="30"/>
      <c r="I79" s="30"/>
      <c r="J79" s="30"/>
      <c r="K79" s="30"/>
      <c r="L79" s="30"/>
      <c r="M79" s="30"/>
      <c r="N79" s="30"/>
      <c r="O79" s="30"/>
      <c r="P79" s="30"/>
      <c r="Q79" s="30"/>
      <c r="R79" s="30"/>
      <c r="S79" s="30"/>
      <c r="T79" s="30"/>
      <c r="U79" s="30"/>
      <c r="V79" s="29" t="str">
        <f>IF(B79=SelectedScope,COUNTIFS($B$4:$B79,SelectedScope),"")</f>
        <v/>
      </c>
    </row>
    <row r="80" spans="1:22" ht="16.05" customHeight="1" x14ac:dyDescent="0.3">
      <c r="A80" s="28">
        <v>77</v>
      </c>
      <c r="B80" s="28" t="s">
        <v>523</v>
      </c>
      <c r="C80" s="28" t="s">
        <v>1098</v>
      </c>
      <c r="D80" s="28" t="s">
        <v>1027</v>
      </c>
      <c r="E80" s="28"/>
      <c r="F80" s="28"/>
      <c r="G80" s="28"/>
      <c r="H80" s="28"/>
      <c r="I80" s="28"/>
      <c r="J80" s="28"/>
      <c r="K80" s="28"/>
      <c r="L80" s="28"/>
      <c r="M80" s="28"/>
      <c r="N80" s="28"/>
      <c r="O80" s="28"/>
      <c r="P80" s="28"/>
      <c r="Q80" s="28"/>
      <c r="R80" s="28"/>
      <c r="S80" s="28"/>
      <c r="T80" s="28"/>
      <c r="U80" s="28"/>
      <c r="V80" s="29" t="str">
        <f>IF(B80=SelectedScope,COUNTIFS($B$4:$B80,SelectedScope),"")</f>
        <v/>
      </c>
    </row>
    <row r="81" spans="1:22" ht="16.05" customHeight="1" x14ac:dyDescent="0.3">
      <c r="A81" s="30">
        <v>78</v>
      </c>
      <c r="B81" s="30" t="s">
        <v>523</v>
      </c>
      <c r="C81" s="30" t="s">
        <v>1099</v>
      </c>
      <c r="D81" s="30" t="s">
        <v>1027</v>
      </c>
      <c r="E81" s="30"/>
      <c r="F81" s="30"/>
      <c r="G81" s="30"/>
      <c r="H81" s="30"/>
      <c r="I81" s="30"/>
      <c r="J81" s="30"/>
      <c r="K81" s="30"/>
      <c r="L81" s="30"/>
      <c r="M81" s="30"/>
      <c r="N81" s="30"/>
      <c r="O81" s="30"/>
      <c r="P81" s="30"/>
      <c r="Q81" s="30"/>
      <c r="R81" s="30"/>
      <c r="S81" s="30"/>
      <c r="T81" s="30"/>
      <c r="U81" s="30"/>
      <c r="V81" s="29" t="str">
        <f>IF(B81=SelectedScope,COUNTIFS($B$4:$B81,SelectedScope),"")</f>
        <v/>
      </c>
    </row>
    <row r="82" spans="1:22" ht="16.05" customHeight="1" x14ac:dyDescent="0.3">
      <c r="A82" s="28">
        <v>79</v>
      </c>
      <c r="B82" s="28" t="s">
        <v>523</v>
      </c>
      <c r="C82" s="28" t="s">
        <v>1100</v>
      </c>
      <c r="D82" s="28" t="s">
        <v>1027</v>
      </c>
      <c r="E82" s="28"/>
      <c r="F82" s="28"/>
      <c r="G82" s="28"/>
      <c r="H82" s="28"/>
      <c r="I82" s="28"/>
      <c r="J82" s="28"/>
      <c r="K82" s="28"/>
      <c r="L82" s="28"/>
      <c r="M82" s="28"/>
      <c r="N82" s="28"/>
      <c r="O82" s="28"/>
      <c r="P82" s="28"/>
      <c r="Q82" s="28"/>
      <c r="R82" s="28"/>
      <c r="S82" s="28"/>
      <c r="T82" s="28"/>
      <c r="U82" s="28"/>
      <c r="V82" s="29" t="str">
        <f>IF(B82=SelectedScope,COUNTIFS($B$4:$B82,SelectedScope),"")</f>
        <v/>
      </c>
    </row>
    <row r="83" spans="1:22" ht="16.05" customHeight="1" x14ac:dyDescent="0.3">
      <c r="A83" s="30">
        <v>80</v>
      </c>
      <c r="B83" s="30" t="s">
        <v>523</v>
      </c>
      <c r="C83" s="30" t="s">
        <v>586</v>
      </c>
      <c r="D83" s="30" t="s">
        <v>1027</v>
      </c>
      <c r="E83" s="30"/>
      <c r="F83" s="30"/>
      <c r="G83" s="30"/>
      <c r="H83" s="30"/>
      <c r="I83" s="30"/>
      <c r="J83" s="30"/>
      <c r="K83" s="30"/>
      <c r="L83" s="30"/>
      <c r="M83" s="30"/>
      <c r="N83" s="30"/>
      <c r="O83" s="30"/>
      <c r="P83" s="30"/>
      <c r="Q83" s="30"/>
      <c r="R83" s="30"/>
      <c r="S83" s="30"/>
      <c r="T83" s="30"/>
      <c r="U83" s="30"/>
      <c r="V83" s="29" t="str">
        <f>IF(B83=SelectedScope,COUNTIFS($B$4:$B83,SelectedScope),"")</f>
        <v/>
      </c>
    </row>
    <row r="84" spans="1:22" ht="16.05" customHeight="1" x14ac:dyDescent="0.3">
      <c r="A84" s="28">
        <v>81</v>
      </c>
      <c r="B84" s="28" t="s">
        <v>523</v>
      </c>
      <c r="C84" s="28" t="s">
        <v>1101</v>
      </c>
      <c r="D84" s="28" t="s">
        <v>1027</v>
      </c>
      <c r="E84" s="28"/>
      <c r="F84" s="28"/>
      <c r="G84" s="28"/>
      <c r="H84" s="28"/>
      <c r="I84" s="28"/>
      <c r="J84" s="28"/>
      <c r="K84" s="28"/>
      <c r="L84" s="28"/>
      <c r="M84" s="28"/>
      <c r="N84" s="28"/>
      <c r="O84" s="28"/>
      <c r="P84" s="28"/>
      <c r="Q84" s="28"/>
      <c r="R84" s="28"/>
      <c r="S84" s="28"/>
      <c r="T84" s="28"/>
      <c r="U84" s="28"/>
      <c r="V84" s="29" t="str">
        <f>IF(B84=SelectedScope,COUNTIFS($B$4:$B84,SelectedScope),"")</f>
        <v/>
      </c>
    </row>
    <row r="85" spans="1:22" ht="16.05" customHeight="1" x14ac:dyDescent="0.3">
      <c r="A85" s="30">
        <v>82</v>
      </c>
      <c r="B85" s="30" t="s">
        <v>523</v>
      </c>
      <c r="C85" s="30" t="s">
        <v>1102</v>
      </c>
      <c r="D85" s="30" t="s">
        <v>1027</v>
      </c>
      <c r="E85" s="30"/>
      <c r="F85" s="30"/>
      <c r="G85" s="30"/>
      <c r="H85" s="30"/>
      <c r="I85" s="30"/>
      <c r="J85" s="30"/>
      <c r="K85" s="30"/>
      <c r="L85" s="30"/>
      <c r="M85" s="30"/>
      <c r="N85" s="30"/>
      <c r="O85" s="30"/>
      <c r="P85" s="30"/>
      <c r="Q85" s="30"/>
      <c r="R85" s="30"/>
      <c r="S85" s="30"/>
      <c r="T85" s="30"/>
      <c r="U85" s="30"/>
      <c r="V85" s="29" t="str">
        <f>IF(B85=SelectedScope,COUNTIFS($B$4:$B85,SelectedScope),"")</f>
        <v/>
      </c>
    </row>
    <row r="86" spans="1:22" ht="16.05" customHeight="1" x14ac:dyDescent="0.3">
      <c r="A86" s="28">
        <v>83</v>
      </c>
      <c r="B86" s="28" t="s">
        <v>523</v>
      </c>
      <c r="C86" s="28" t="s">
        <v>1103</v>
      </c>
      <c r="D86" s="28" t="s">
        <v>1027</v>
      </c>
      <c r="E86" s="28"/>
      <c r="F86" s="28"/>
      <c r="G86" s="28"/>
      <c r="H86" s="28"/>
      <c r="I86" s="28"/>
      <c r="J86" s="28"/>
      <c r="K86" s="28"/>
      <c r="L86" s="28"/>
      <c r="M86" s="28"/>
      <c r="N86" s="28"/>
      <c r="O86" s="28"/>
      <c r="P86" s="28"/>
      <c r="Q86" s="28"/>
      <c r="R86" s="28"/>
      <c r="S86" s="28"/>
      <c r="T86" s="28"/>
      <c r="U86" s="28"/>
      <c r="V86" s="29" t="str">
        <f>IF(B86=SelectedScope,COUNTIFS($B$4:$B86,SelectedScope),"")</f>
        <v/>
      </c>
    </row>
    <row r="87" spans="1:22" ht="16.05" customHeight="1" x14ac:dyDescent="0.3">
      <c r="A87" s="30">
        <v>84</v>
      </c>
      <c r="B87" s="30" t="s">
        <v>523</v>
      </c>
      <c r="C87" s="30" t="s">
        <v>1104</v>
      </c>
      <c r="D87" s="30" t="s">
        <v>1027</v>
      </c>
      <c r="E87" s="30"/>
      <c r="F87" s="30"/>
      <c r="G87" s="30"/>
      <c r="H87" s="30"/>
      <c r="I87" s="30"/>
      <c r="J87" s="30"/>
      <c r="K87" s="30"/>
      <c r="L87" s="30"/>
      <c r="M87" s="30"/>
      <c r="N87" s="30"/>
      <c r="O87" s="30"/>
      <c r="P87" s="30"/>
      <c r="Q87" s="30"/>
      <c r="R87" s="30"/>
      <c r="S87" s="30"/>
      <c r="T87" s="30"/>
      <c r="U87" s="30"/>
      <c r="V87" s="29" t="str">
        <f>IF(B87=SelectedScope,COUNTIFS($B$4:$B87,SelectedScope),"")</f>
        <v/>
      </c>
    </row>
    <row r="88" spans="1:22" ht="16.05" customHeight="1" x14ac:dyDescent="0.3">
      <c r="A88" s="28">
        <v>85</v>
      </c>
      <c r="B88" s="28" t="s">
        <v>523</v>
      </c>
      <c r="C88" s="28" t="s">
        <v>1105</v>
      </c>
      <c r="D88" s="28" t="s">
        <v>1027</v>
      </c>
      <c r="E88" s="28"/>
      <c r="F88" s="28"/>
      <c r="G88" s="28"/>
      <c r="H88" s="28"/>
      <c r="I88" s="28"/>
      <c r="J88" s="28"/>
      <c r="K88" s="28"/>
      <c r="L88" s="28"/>
      <c r="M88" s="28"/>
      <c r="N88" s="28"/>
      <c r="O88" s="28"/>
      <c r="P88" s="28"/>
      <c r="Q88" s="28"/>
      <c r="R88" s="28"/>
      <c r="S88" s="28"/>
      <c r="T88" s="28"/>
      <c r="U88" s="28"/>
      <c r="V88" s="29" t="str">
        <f>IF(B88=SelectedScope,COUNTIFS($B$4:$B88,SelectedScope),"")</f>
        <v/>
      </c>
    </row>
    <row r="89" spans="1:22" ht="16.05" customHeight="1" x14ac:dyDescent="0.3">
      <c r="A89" s="30">
        <v>86</v>
      </c>
      <c r="B89" s="30" t="s">
        <v>523</v>
      </c>
      <c r="C89" s="30" t="s">
        <v>1106</v>
      </c>
      <c r="D89" s="30" t="s">
        <v>1027</v>
      </c>
      <c r="E89" s="30"/>
      <c r="F89" s="30"/>
      <c r="G89" s="30"/>
      <c r="H89" s="30"/>
      <c r="I89" s="30"/>
      <c r="J89" s="30"/>
      <c r="K89" s="30"/>
      <c r="L89" s="30"/>
      <c r="M89" s="30"/>
      <c r="N89" s="30"/>
      <c r="O89" s="30"/>
      <c r="P89" s="30"/>
      <c r="Q89" s="30"/>
      <c r="R89" s="30"/>
      <c r="S89" s="30"/>
      <c r="T89" s="30"/>
      <c r="U89" s="30"/>
      <c r="V89" s="29" t="str">
        <f>IF(B89=SelectedScope,COUNTIFS($B$4:$B89,SelectedScope),"")</f>
        <v/>
      </c>
    </row>
    <row r="90" spans="1:22" ht="16.05" customHeight="1" x14ac:dyDescent="0.3">
      <c r="A90" s="28">
        <v>87</v>
      </c>
      <c r="B90" s="28" t="s">
        <v>523</v>
      </c>
      <c r="C90" s="28" t="s">
        <v>1107</v>
      </c>
      <c r="D90" s="28" t="s">
        <v>1027</v>
      </c>
      <c r="E90" s="28"/>
      <c r="F90" s="28"/>
      <c r="G90" s="28"/>
      <c r="H90" s="28"/>
      <c r="I90" s="28"/>
      <c r="J90" s="28"/>
      <c r="K90" s="28"/>
      <c r="L90" s="28"/>
      <c r="M90" s="28"/>
      <c r="N90" s="28"/>
      <c r="O90" s="28"/>
      <c r="P90" s="28"/>
      <c r="Q90" s="28"/>
      <c r="R90" s="28"/>
      <c r="S90" s="28"/>
      <c r="T90" s="28"/>
      <c r="U90" s="28"/>
      <c r="V90" s="29" t="str">
        <f>IF(B90=SelectedScope,COUNTIFS($B$4:$B90,SelectedScope),"")</f>
        <v/>
      </c>
    </row>
    <row r="91" spans="1:22" ht="16.05" customHeight="1" x14ac:dyDescent="0.3">
      <c r="A91" s="30">
        <v>88</v>
      </c>
      <c r="B91" s="30" t="s">
        <v>523</v>
      </c>
      <c r="C91" s="30" t="s">
        <v>1108</v>
      </c>
      <c r="D91" s="30" t="s">
        <v>1027</v>
      </c>
      <c r="E91" s="30"/>
      <c r="F91" s="30"/>
      <c r="G91" s="30"/>
      <c r="H91" s="30"/>
      <c r="I91" s="30"/>
      <c r="J91" s="30"/>
      <c r="K91" s="30"/>
      <c r="L91" s="30"/>
      <c r="M91" s="30"/>
      <c r="N91" s="30"/>
      <c r="O91" s="30"/>
      <c r="P91" s="30"/>
      <c r="Q91" s="30"/>
      <c r="R91" s="30"/>
      <c r="S91" s="30"/>
      <c r="T91" s="30"/>
      <c r="U91" s="30"/>
      <c r="V91" s="29" t="str">
        <f>IF(B91=SelectedScope,COUNTIFS($B$4:$B91,SelectedScope),"")</f>
        <v/>
      </c>
    </row>
    <row r="92" spans="1:22" ht="16.05" customHeight="1" x14ac:dyDescent="0.3">
      <c r="A92" s="28">
        <v>89</v>
      </c>
      <c r="B92" s="28" t="s">
        <v>523</v>
      </c>
      <c r="C92" s="28" t="s">
        <v>1109</v>
      </c>
      <c r="D92" s="28" t="s">
        <v>1027</v>
      </c>
      <c r="E92" s="28"/>
      <c r="F92" s="28"/>
      <c r="G92" s="28"/>
      <c r="H92" s="28"/>
      <c r="I92" s="28"/>
      <c r="J92" s="28"/>
      <c r="K92" s="28"/>
      <c r="L92" s="28"/>
      <c r="M92" s="28"/>
      <c r="N92" s="28"/>
      <c r="O92" s="28"/>
      <c r="P92" s="28"/>
      <c r="Q92" s="28"/>
      <c r="R92" s="28"/>
      <c r="S92" s="28"/>
      <c r="T92" s="28"/>
      <c r="U92" s="28"/>
      <c r="V92" s="29" t="str">
        <f>IF(B92=SelectedScope,COUNTIFS($B$4:$B92,SelectedScope),"")</f>
        <v/>
      </c>
    </row>
    <row r="93" spans="1:22" ht="16.05" customHeight="1" x14ac:dyDescent="0.3">
      <c r="A93" s="30">
        <v>90</v>
      </c>
      <c r="B93" s="30" t="s">
        <v>523</v>
      </c>
      <c r="C93" s="30" t="s">
        <v>1110</v>
      </c>
      <c r="D93" s="30" t="s">
        <v>1027</v>
      </c>
      <c r="E93" s="30"/>
      <c r="F93" s="30"/>
      <c r="G93" s="30"/>
      <c r="H93" s="30"/>
      <c r="I93" s="30"/>
      <c r="J93" s="30"/>
      <c r="K93" s="30"/>
      <c r="L93" s="30"/>
      <c r="M93" s="30"/>
      <c r="N93" s="30"/>
      <c r="O93" s="30"/>
      <c r="P93" s="30"/>
      <c r="Q93" s="30"/>
      <c r="R93" s="30"/>
      <c r="S93" s="30"/>
      <c r="T93" s="30"/>
      <c r="U93" s="30"/>
      <c r="V93" s="29" t="str">
        <f>IF(B93=SelectedScope,COUNTIFS($B$4:$B93,SelectedScope),"")</f>
        <v/>
      </c>
    </row>
    <row r="94" spans="1:22" ht="16.05" customHeight="1" x14ac:dyDescent="0.3">
      <c r="A94" s="28">
        <v>91</v>
      </c>
      <c r="B94" s="28" t="s">
        <v>523</v>
      </c>
      <c r="C94" s="28" t="s">
        <v>1111</v>
      </c>
      <c r="D94" s="28" t="s">
        <v>1027</v>
      </c>
      <c r="E94" s="28"/>
      <c r="F94" s="28"/>
      <c r="G94" s="28"/>
      <c r="H94" s="28"/>
      <c r="I94" s="28"/>
      <c r="J94" s="28"/>
      <c r="K94" s="28"/>
      <c r="L94" s="28"/>
      <c r="M94" s="28"/>
      <c r="N94" s="28"/>
      <c r="O94" s="28"/>
      <c r="P94" s="28"/>
      <c r="Q94" s="28"/>
      <c r="R94" s="28"/>
      <c r="S94" s="28"/>
      <c r="T94" s="28"/>
      <c r="U94" s="28"/>
      <c r="V94" s="29" t="str">
        <f>IF(B94=SelectedScope,COUNTIFS($B$4:$B94,SelectedScope),"")</f>
        <v/>
      </c>
    </row>
    <row r="95" spans="1:22" ht="16.05" customHeight="1" x14ac:dyDescent="0.3">
      <c r="A95" s="30">
        <v>92</v>
      </c>
      <c r="B95" s="30" t="s">
        <v>523</v>
      </c>
      <c r="C95" s="30" t="s">
        <v>1112</v>
      </c>
      <c r="D95" s="30" t="s">
        <v>1027</v>
      </c>
      <c r="E95" s="30"/>
      <c r="F95" s="30"/>
      <c r="G95" s="30"/>
      <c r="H95" s="30"/>
      <c r="I95" s="30"/>
      <c r="J95" s="30"/>
      <c r="K95" s="30"/>
      <c r="L95" s="30"/>
      <c r="M95" s="30"/>
      <c r="N95" s="30"/>
      <c r="O95" s="30"/>
      <c r="P95" s="30"/>
      <c r="Q95" s="30"/>
      <c r="R95" s="30"/>
      <c r="S95" s="30"/>
      <c r="T95" s="30"/>
      <c r="U95" s="30"/>
      <c r="V95" s="29" t="str">
        <f>IF(B95=SelectedScope,COUNTIFS($B$4:$B95,SelectedScope),"")</f>
        <v/>
      </c>
    </row>
    <row r="96" spans="1:22" ht="16.05" customHeight="1" x14ac:dyDescent="0.3">
      <c r="A96" s="28">
        <v>93</v>
      </c>
      <c r="B96" s="28" t="s">
        <v>523</v>
      </c>
      <c r="C96" s="28" t="s">
        <v>566</v>
      </c>
      <c r="D96" s="28" t="s">
        <v>1027</v>
      </c>
      <c r="E96" s="28"/>
      <c r="F96" s="28"/>
      <c r="G96" s="28"/>
      <c r="H96" s="28"/>
      <c r="I96" s="28"/>
      <c r="J96" s="28"/>
      <c r="K96" s="28"/>
      <c r="L96" s="28"/>
      <c r="M96" s="28"/>
      <c r="N96" s="28"/>
      <c r="O96" s="28"/>
      <c r="P96" s="28"/>
      <c r="Q96" s="28"/>
      <c r="R96" s="28"/>
      <c r="S96" s="28"/>
      <c r="T96" s="28"/>
      <c r="U96" s="28"/>
      <c r="V96" s="29" t="str">
        <f>IF(B96=SelectedScope,COUNTIFS($B$4:$B96,SelectedScope),"")</f>
        <v/>
      </c>
    </row>
    <row r="97" spans="1:22" ht="16.05" customHeight="1" x14ac:dyDescent="0.3">
      <c r="A97" s="30">
        <v>94</v>
      </c>
      <c r="B97" s="30" t="s">
        <v>523</v>
      </c>
      <c r="C97" s="30" t="s">
        <v>1113</v>
      </c>
      <c r="D97" s="30" t="s">
        <v>1027</v>
      </c>
      <c r="E97" s="30"/>
      <c r="F97" s="30"/>
      <c r="G97" s="30"/>
      <c r="H97" s="30"/>
      <c r="I97" s="30"/>
      <c r="J97" s="30"/>
      <c r="K97" s="30"/>
      <c r="L97" s="30"/>
      <c r="M97" s="30"/>
      <c r="N97" s="30"/>
      <c r="O97" s="30"/>
      <c r="P97" s="30"/>
      <c r="Q97" s="30"/>
      <c r="R97" s="30"/>
      <c r="S97" s="30"/>
      <c r="T97" s="30"/>
      <c r="U97" s="30"/>
      <c r="V97" s="29" t="str">
        <f>IF(B97=SelectedScope,COUNTIFS($B$4:$B97,SelectedScope),"")</f>
        <v/>
      </c>
    </row>
    <row r="98" spans="1:22" ht="16.05" customHeight="1" x14ac:dyDescent="0.3">
      <c r="A98" s="28">
        <v>95</v>
      </c>
      <c r="B98" s="28" t="s">
        <v>523</v>
      </c>
      <c r="C98" s="28" t="s">
        <v>1114</v>
      </c>
      <c r="D98" s="28" t="s">
        <v>1027</v>
      </c>
      <c r="E98" s="28"/>
      <c r="F98" s="28"/>
      <c r="G98" s="28"/>
      <c r="H98" s="28"/>
      <c r="I98" s="28"/>
      <c r="J98" s="28"/>
      <c r="K98" s="28"/>
      <c r="L98" s="28"/>
      <c r="M98" s="28"/>
      <c r="N98" s="28"/>
      <c r="O98" s="28"/>
      <c r="P98" s="28"/>
      <c r="Q98" s="28"/>
      <c r="R98" s="28"/>
      <c r="S98" s="28"/>
      <c r="T98" s="28"/>
      <c r="U98" s="28"/>
      <c r="V98" s="29" t="str">
        <f>IF(B98=SelectedScope,COUNTIFS($B$4:$B98,SelectedScope),"")</f>
        <v/>
      </c>
    </row>
    <row r="99" spans="1:22" ht="16.05" customHeight="1" x14ac:dyDescent="0.3">
      <c r="A99" s="30">
        <v>96</v>
      </c>
      <c r="B99" s="30" t="s">
        <v>523</v>
      </c>
      <c r="C99" s="30" t="s">
        <v>1115</v>
      </c>
      <c r="D99" s="30" t="s">
        <v>1027</v>
      </c>
      <c r="E99" s="30"/>
      <c r="F99" s="30"/>
      <c r="G99" s="30"/>
      <c r="H99" s="30"/>
      <c r="I99" s="30"/>
      <c r="J99" s="30"/>
      <c r="K99" s="30"/>
      <c r="L99" s="30"/>
      <c r="M99" s="30"/>
      <c r="N99" s="30"/>
      <c r="O99" s="30"/>
      <c r="P99" s="30"/>
      <c r="Q99" s="30"/>
      <c r="R99" s="30"/>
      <c r="S99" s="30"/>
      <c r="T99" s="30"/>
      <c r="U99" s="30"/>
      <c r="V99" s="29" t="str">
        <f>IF(B99=SelectedScope,COUNTIFS($B$4:$B99,SelectedScope),"")</f>
        <v/>
      </c>
    </row>
    <row r="100" spans="1:22" ht="16.05" customHeight="1" x14ac:dyDescent="0.3">
      <c r="A100" s="28">
        <v>97</v>
      </c>
      <c r="B100" s="28" t="s">
        <v>523</v>
      </c>
      <c r="C100" s="28" t="s">
        <v>1116</v>
      </c>
      <c r="D100" s="28" t="s">
        <v>1027</v>
      </c>
      <c r="E100" s="28"/>
      <c r="F100" s="28"/>
      <c r="G100" s="28"/>
      <c r="H100" s="28"/>
      <c r="I100" s="28"/>
      <c r="J100" s="28"/>
      <c r="K100" s="28"/>
      <c r="L100" s="28"/>
      <c r="M100" s="28"/>
      <c r="N100" s="28"/>
      <c r="O100" s="28"/>
      <c r="P100" s="28"/>
      <c r="Q100" s="28"/>
      <c r="R100" s="28"/>
      <c r="S100" s="28"/>
      <c r="T100" s="28"/>
      <c r="U100" s="28"/>
      <c r="V100" s="29" t="str">
        <f>IF(B100=SelectedScope,COUNTIFS($B$4:$B100,SelectedScope),"")</f>
        <v/>
      </c>
    </row>
    <row r="101" spans="1:22" ht="16.05" customHeight="1" x14ac:dyDescent="0.3">
      <c r="A101" s="30">
        <v>98</v>
      </c>
      <c r="B101" s="30" t="s">
        <v>523</v>
      </c>
      <c r="C101" s="30" t="s">
        <v>1117</v>
      </c>
      <c r="D101" s="30" t="s">
        <v>1027</v>
      </c>
      <c r="E101" s="30"/>
      <c r="F101" s="30"/>
      <c r="G101" s="30"/>
      <c r="H101" s="30"/>
      <c r="I101" s="30"/>
      <c r="J101" s="30"/>
      <c r="K101" s="30"/>
      <c r="L101" s="30"/>
      <c r="M101" s="30"/>
      <c r="N101" s="30"/>
      <c r="O101" s="30"/>
      <c r="P101" s="30"/>
      <c r="Q101" s="30"/>
      <c r="R101" s="30"/>
      <c r="S101" s="30"/>
      <c r="T101" s="30"/>
      <c r="U101" s="30"/>
      <c r="V101" s="29" t="str">
        <f>IF(B101=SelectedScope,COUNTIFS($B$4:$B101,SelectedScope),"")</f>
        <v/>
      </c>
    </row>
    <row r="102" spans="1:22" ht="16.05" customHeight="1" x14ac:dyDescent="0.3">
      <c r="A102" s="28">
        <v>99</v>
      </c>
      <c r="B102" s="28" t="s">
        <v>523</v>
      </c>
      <c r="C102" s="28" t="s">
        <v>1118</v>
      </c>
      <c r="D102" s="28" t="s">
        <v>1027</v>
      </c>
      <c r="E102" s="28"/>
      <c r="F102" s="28"/>
      <c r="G102" s="28"/>
      <c r="H102" s="28"/>
      <c r="I102" s="28"/>
      <c r="J102" s="28"/>
      <c r="K102" s="28"/>
      <c r="L102" s="28"/>
      <c r="M102" s="28"/>
      <c r="N102" s="28"/>
      <c r="O102" s="28"/>
      <c r="P102" s="28"/>
      <c r="Q102" s="28"/>
      <c r="R102" s="28"/>
      <c r="S102" s="28"/>
      <c r="T102" s="28"/>
      <c r="U102" s="28"/>
      <c r="V102" s="29" t="str">
        <f>IF(B102=SelectedScope,COUNTIFS($B$4:$B102,SelectedScope),"")</f>
        <v/>
      </c>
    </row>
    <row r="103" spans="1:22" ht="16.05" customHeight="1" x14ac:dyDescent="0.3">
      <c r="A103" s="30">
        <v>100</v>
      </c>
      <c r="B103" s="30" t="s">
        <v>523</v>
      </c>
      <c r="C103" s="30" t="s">
        <v>1119</v>
      </c>
      <c r="D103" s="30" t="s">
        <v>1027</v>
      </c>
      <c r="E103" s="30"/>
      <c r="F103" s="30"/>
      <c r="G103" s="30"/>
      <c r="H103" s="30"/>
      <c r="I103" s="30"/>
      <c r="J103" s="30"/>
      <c r="K103" s="30"/>
      <c r="L103" s="30"/>
      <c r="M103" s="30"/>
      <c r="N103" s="30"/>
      <c r="O103" s="30"/>
      <c r="P103" s="30"/>
      <c r="Q103" s="30"/>
      <c r="R103" s="30"/>
      <c r="S103" s="30"/>
      <c r="T103" s="30"/>
      <c r="U103" s="30"/>
      <c r="V103" s="29" t="str">
        <f>IF(B103=SelectedScope,COUNTIFS($B$4:$B103,SelectedScope),"")</f>
        <v/>
      </c>
    </row>
    <row r="104" spans="1:22" ht="16.05" customHeight="1" x14ac:dyDescent="0.3">
      <c r="A104" s="28">
        <v>101</v>
      </c>
      <c r="B104" s="28" t="s">
        <v>523</v>
      </c>
      <c r="C104" s="28" t="s">
        <v>1120</v>
      </c>
      <c r="D104" s="28" t="s">
        <v>1027</v>
      </c>
      <c r="E104" s="28"/>
      <c r="F104" s="28"/>
      <c r="G104" s="28"/>
      <c r="H104" s="28"/>
      <c r="I104" s="28"/>
      <c r="J104" s="28"/>
      <c r="K104" s="28"/>
      <c r="L104" s="28"/>
      <c r="M104" s="28"/>
      <c r="N104" s="28"/>
      <c r="O104" s="28"/>
      <c r="P104" s="28"/>
      <c r="Q104" s="28"/>
      <c r="R104" s="28"/>
      <c r="S104" s="28"/>
      <c r="T104" s="28"/>
      <c r="U104" s="28"/>
      <c r="V104" s="29" t="str">
        <f>IF(B104=SelectedScope,COUNTIFS($B$4:$B104,SelectedScope),"")</f>
        <v/>
      </c>
    </row>
    <row r="105" spans="1:22" ht="16.05" customHeight="1" x14ac:dyDescent="0.3">
      <c r="A105" s="30">
        <v>102</v>
      </c>
      <c r="B105" s="30" t="s">
        <v>523</v>
      </c>
      <c r="C105" s="30" t="s">
        <v>1121</v>
      </c>
      <c r="D105" s="30" t="s">
        <v>1027</v>
      </c>
      <c r="E105" s="30"/>
      <c r="F105" s="30"/>
      <c r="G105" s="30"/>
      <c r="H105" s="30"/>
      <c r="I105" s="30"/>
      <c r="J105" s="30"/>
      <c r="K105" s="30"/>
      <c r="L105" s="30"/>
      <c r="M105" s="30"/>
      <c r="N105" s="30"/>
      <c r="O105" s="30"/>
      <c r="P105" s="30"/>
      <c r="Q105" s="30"/>
      <c r="R105" s="30"/>
      <c r="S105" s="30"/>
      <c r="T105" s="30"/>
      <c r="U105" s="30"/>
      <c r="V105" s="29" t="str">
        <f>IF(B105=SelectedScope,COUNTIFS($B$4:$B105,SelectedScope),"")</f>
        <v/>
      </c>
    </row>
    <row r="106" spans="1:22" ht="16.05" customHeight="1" x14ac:dyDescent="0.3">
      <c r="A106" s="28">
        <v>103</v>
      </c>
      <c r="B106" s="28" t="s">
        <v>523</v>
      </c>
      <c r="C106" s="28" t="s">
        <v>1122</v>
      </c>
      <c r="D106" s="28" t="s">
        <v>1027</v>
      </c>
      <c r="E106" s="28"/>
      <c r="F106" s="28"/>
      <c r="G106" s="28"/>
      <c r="H106" s="28"/>
      <c r="I106" s="28"/>
      <c r="J106" s="28"/>
      <c r="K106" s="28"/>
      <c r="L106" s="28"/>
      <c r="M106" s="28"/>
      <c r="N106" s="28"/>
      <c r="O106" s="28"/>
      <c r="P106" s="28"/>
      <c r="Q106" s="28"/>
      <c r="R106" s="28"/>
      <c r="S106" s="28"/>
      <c r="T106" s="28"/>
      <c r="U106" s="28"/>
      <c r="V106" s="29" t="str">
        <f>IF(B106=SelectedScope,COUNTIFS($B$4:$B106,SelectedScope),"")</f>
        <v/>
      </c>
    </row>
    <row r="107" spans="1:22" ht="16.05" customHeight="1" x14ac:dyDescent="0.3">
      <c r="A107" s="30">
        <v>104</v>
      </c>
      <c r="B107" s="30" t="s">
        <v>523</v>
      </c>
      <c r="C107" s="30" t="s">
        <v>1123</v>
      </c>
      <c r="D107" s="30" t="s">
        <v>1027</v>
      </c>
      <c r="E107" s="30"/>
      <c r="F107" s="30"/>
      <c r="G107" s="30"/>
      <c r="H107" s="30"/>
      <c r="I107" s="30"/>
      <c r="J107" s="30"/>
      <c r="K107" s="30"/>
      <c r="L107" s="30"/>
      <c r="M107" s="30"/>
      <c r="N107" s="30"/>
      <c r="O107" s="30"/>
      <c r="P107" s="30"/>
      <c r="Q107" s="30"/>
      <c r="R107" s="30"/>
      <c r="S107" s="30"/>
      <c r="T107" s="30"/>
      <c r="U107" s="30"/>
      <c r="V107" s="29" t="str">
        <f>IF(B107=SelectedScope,COUNTIFS($B$4:$B107,SelectedScope),"")</f>
        <v/>
      </c>
    </row>
    <row r="108" spans="1:22" ht="16.05" customHeight="1" x14ac:dyDescent="0.3">
      <c r="A108" s="28">
        <v>105</v>
      </c>
      <c r="B108" s="28" t="s">
        <v>523</v>
      </c>
      <c r="C108" s="28" t="s">
        <v>1124</v>
      </c>
      <c r="D108" s="28" t="s">
        <v>1027</v>
      </c>
      <c r="E108" s="28"/>
      <c r="F108" s="28"/>
      <c r="G108" s="28"/>
      <c r="H108" s="28"/>
      <c r="I108" s="28"/>
      <c r="J108" s="28"/>
      <c r="K108" s="28"/>
      <c r="L108" s="28"/>
      <c r="M108" s="28"/>
      <c r="N108" s="28"/>
      <c r="O108" s="28"/>
      <c r="P108" s="28"/>
      <c r="Q108" s="28"/>
      <c r="R108" s="28"/>
      <c r="S108" s="28"/>
      <c r="T108" s="28"/>
      <c r="U108" s="28"/>
      <c r="V108" s="29" t="str">
        <f>IF(B108=SelectedScope,COUNTIFS($B$4:$B108,SelectedScope),"")</f>
        <v/>
      </c>
    </row>
    <row r="109" spans="1:22" ht="16.05" customHeight="1" x14ac:dyDescent="0.3">
      <c r="A109" s="30">
        <v>106</v>
      </c>
      <c r="B109" s="30" t="s">
        <v>523</v>
      </c>
      <c r="C109" s="30" t="s">
        <v>1125</v>
      </c>
      <c r="D109" s="30" t="s">
        <v>1027</v>
      </c>
      <c r="E109" s="30"/>
      <c r="F109" s="30"/>
      <c r="G109" s="30"/>
      <c r="H109" s="30"/>
      <c r="I109" s="30"/>
      <c r="J109" s="30"/>
      <c r="K109" s="30"/>
      <c r="L109" s="30"/>
      <c r="M109" s="30"/>
      <c r="N109" s="30"/>
      <c r="O109" s="30"/>
      <c r="P109" s="30"/>
      <c r="Q109" s="30"/>
      <c r="R109" s="30"/>
      <c r="S109" s="30"/>
      <c r="T109" s="30"/>
      <c r="U109" s="30"/>
      <c r="V109" s="29" t="str">
        <f>IF(B109=SelectedScope,COUNTIFS($B$4:$B109,SelectedScope),"")</f>
        <v/>
      </c>
    </row>
    <row r="110" spans="1:22" ht="16.05" customHeight="1" x14ac:dyDescent="0.3">
      <c r="A110" s="28">
        <v>107</v>
      </c>
      <c r="B110" s="28" t="s">
        <v>523</v>
      </c>
      <c r="C110" s="28" t="s">
        <v>1126</v>
      </c>
      <c r="D110" s="28" t="s">
        <v>1027</v>
      </c>
      <c r="E110" s="28"/>
      <c r="F110" s="28"/>
      <c r="G110" s="28"/>
      <c r="H110" s="28"/>
      <c r="I110" s="28"/>
      <c r="J110" s="28"/>
      <c r="K110" s="28"/>
      <c r="L110" s="28"/>
      <c r="M110" s="28"/>
      <c r="N110" s="28"/>
      <c r="O110" s="28"/>
      <c r="P110" s="28"/>
      <c r="Q110" s="28"/>
      <c r="R110" s="28"/>
      <c r="S110" s="28"/>
      <c r="T110" s="28"/>
      <c r="U110" s="28"/>
      <c r="V110" s="29" t="str">
        <f>IF(B110=SelectedScope,COUNTIFS($B$4:$B110,SelectedScope),"")</f>
        <v/>
      </c>
    </row>
    <row r="111" spans="1:22" ht="16.05" customHeight="1" x14ac:dyDescent="0.3">
      <c r="A111" s="30">
        <v>108</v>
      </c>
      <c r="B111" s="30" t="s">
        <v>523</v>
      </c>
      <c r="C111" s="30" t="s">
        <v>1127</v>
      </c>
      <c r="D111" s="30" t="s">
        <v>1027</v>
      </c>
      <c r="E111" s="30"/>
      <c r="F111" s="30"/>
      <c r="G111" s="30"/>
      <c r="H111" s="30"/>
      <c r="I111" s="30"/>
      <c r="J111" s="30"/>
      <c r="K111" s="30"/>
      <c r="L111" s="30"/>
      <c r="M111" s="30"/>
      <c r="N111" s="30"/>
      <c r="O111" s="30"/>
      <c r="P111" s="30"/>
      <c r="Q111" s="30"/>
      <c r="R111" s="30"/>
      <c r="S111" s="30"/>
      <c r="T111" s="30"/>
      <c r="U111" s="30"/>
      <c r="V111" s="29" t="str">
        <f>IF(B111=SelectedScope,COUNTIFS($B$4:$B111,SelectedScope),"")</f>
        <v/>
      </c>
    </row>
    <row r="112" spans="1:22" ht="16.05" customHeight="1" x14ac:dyDescent="0.3">
      <c r="A112" s="28">
        <v>109</v>
      </c>
      <c r="B112" s="28" t="s">
        <v>523</v>
      </c>
      <c r="C112" s="28" t="s">
        <v>1128</v>
      </c>
      <c r="D112" s="28" t="s">
        <v>1027</v>
      </c>
      <c r="E112" s="28"/>
      <c r="F112" s="28"/>
      <c r="G112" s="28"/>
      <c r="H112" s="28"/>
      <c r="I112" s="28"/>
      <c r="J112" s="28"/>
      <c r="K112" s="28"/>
      <c r="L112" s="28"/>
      <c r="M112" s="28"/>
      <c r="N112" s="28"/>
      <c r="O112" s="28"/>
      <c r="P112" s="28"/>
      <c r="Q112" s="28"/>
      <c r="R112" s="28"/>
      <c r="S112" s="28"/>
      <c r="T112" s="28"/>
      <c r="U112" s="28"/>
      <c r="V112" s="29" t="str">
        <f>IF(B112=SelectedScope,COUNTIFS($B$4:$B112,SelectedScope),"")</f>
        <v/>
      </c>
    </row>
    <row r="113" spans="1:22" ht="16.05" customHeight="1" x14ac:dyDescent="0.3">
      <c r="A113" s="30">
        <v>110</v>
      </c>
      <c r="B113" s="30" t="s">
        <v>523</v>
      </c>
      <c r="C113" s="30" t="s">
        <v>1129</v>
      </c>
      <c r="D113" s="30" t="s">
        <v>1027</v>
      </c>
      <c r="E113" s="30"/>
      <c r="F113" s="30"/>
      <c r="G113" s="30"/>
      <c r="H113" s="30"/>
      <c r="I113" s="30"/>
      <c r="J113" s="30"/>
      <c r="K113" s="30"/>
      <c r="L113" s="30"/>
      <c r="M113" s="30"/>
      <c r="N113" s="30"/>
      <c r="O113" s="30"/>
      <c r="P113" s="30"/>
      <c r="Q113" s="30"/>
      <c r="R113" s="30"/>
      <c r="S113" s="30"/>
      <c r="T113" s="30"/>
      <c r="U113" s="30"/>
      <c r="V113" s="29" t="str">
        <f>IF(B113=SelectedScope,COUNTIFS($B$4:$B113,SelectedScope),"")</f>
        <v/>
      </c>
    </row>
    <row r="114" spans="1:22" ht="16.05" customHeight="1" x14ac:dyDescent="0.3">
      <c r="A114" s="28">
        <v>111</v>
      </c>
      <c r="B114" s="28" t="s">
        <v>523</v>
      </c>
      <c r="C114" s="28" t="s">
        <v>1130</v>
      </c>
      <c r="D114" s="28" t="s">
        <v>1027</v>
      </c>
      <c r="E114" s="28"/>
      <c r="F114" s="28"/>
      <c r="G114" s="28"/>
      <c r="H114" s="28"/>
      <c r="I114" s="28"/>
      <c r="J114" s="28"/>
      <c r="K114" s="28"/>
      <c r="L114" s="28"/>
      <c r="M114" s="28"/>
      <c r="N114" s="28"/>
      <c r="O114" s="28"/>
      <c r="P114" s="28"/>
      <c r="Q114" s="28"/>
      <c r="R114" s="28"/>
      <c r="S114" s="28"/>
      <c r="T114" s="28"/>
      <c r="U114" s="28"/>
      <c r="V114" s="29" t="str">
        <f>IF(B114=SelectedScope,COUNTIFS($B$4:$B114,SelectedScope),"")</f>
        <v/>
      </c>
    </row>
    <row r="115" spans="1:22" ht="16.05" customHeight="1" x14ac:dyDescent="0.3">
      <c r="A115" s="30">
        <v>112</v>
      </c>
      <c r="B115" s="30" t="s">
        <v>523</v>
      </c>
      <c r="C115" s="30" t="s">
        <v>1131</v>
      </c>
      <c r="D115" s="30" t="s">
        <v>1027</v>
      </c>
      <c r="E115" s="30"/>
      <c r="F115" s="30"/>
      <c r="G115" s="30"/>
      <c r="H115" s="30"/>
      <c r="I115" s="30"/>
      <c r="J115" s="30"/>
      <c r="K115" s="30"/>
      <c r="L115" s="30"/>
      <c r="M115" s="30"/>
      <c r="N115" s="30"/>
      <c r="O115" s="30"/>
      <c r="P115" s="30"/>
      <c r="Q115" s="30"/>
      <c r="R115" s="30"/>
      <c r="S115" s="30"/>
      <c r="T115" s="30"/>
      <c r="U115" s="30"/>
      <c r="V115" s="29" t="str">
        <f>IF(B115=SelectedScope,COUNTIFS($B$4:$B115,SelectedScope),"")</f>
        <v/>
      </c>
    </row>
    <row r="116" spans="1:22" ht="16.05" customHeight="1" x14ac:dyDescent="0.3">
      <c r="A116" s="28">
        <v>113</v>
      </c>
      <c r="B116" s="28" t="s">
        <v>523</v>
      </c>
      <c r="C116" s="28" t="s">
        <v>1132</v>
      </c>
      <c r="D116" s="28" t="s">
        <v>1027</v>
      </c>
      <c r="E116" s="28"/>
      <c r="F116" s="28"/>
      <c r="G116" s="28"/>
      <c r="H116" s="28"/>
      <c r="I116" s="28"/>
      <c r="J116" s="28"/>
      <c r="K116" s="28"/>
      <c r="L116" s="28"/>
      <c r="M116" s="28"/>
      <c r="N116" s="28"/>
      <c r="O116" s="28"/>
      <c r="P116" s="28"/>
      <c r="Q116" s="28"/>
      <c r="R116" s="28"/>
      <c r="S116" s="28"/>
      <c r="T116" s="28"/>
      <c r="U116" s="28"/>
      <c r="V116" s="29" t="str">
        <f>IF(B116=SelectedScope,COUNTIFS($B$4:$B116,SelectedScope),"")</f>
        <v/>
      </c>
    </row>
    <row r="117" spans="1:22" ht="16.05" customHeight="1" x14ac:dyDescent="0.3">
      <c r="A117" s="30">
        <v>114</v>
      </c>
      <c r="B117" s="30" t="s">
        <v>524</v>
      </c>
      <c r="C117" s="30" t="s">
        <v>524</v>
      </c>
      <c r="D117" s="30" t="s">
        <v>1027</v>
      </c>
      <c r="E117" s="30"/>
      <c r="F117" s="30"/>
      <c r="G117" s="30"/>
      <c r="H117" s="30"/>
      <c r="I117" s="30"/>
      <c r="J117" s="30"/>
      <c r="K117" s="30"/>
      <c r="L117" s="30"/>
      <c r="M117" s="30"/>
      <c r="N117" s="30"/>
      <c r="O117" s="30"/>
      <c r="P117" s="30"/>
      <c r="Q117" s="30"/>
      <c r="R117" s="30"/>
      <c r="S117" s="30"/>
      <c r="T117" s="30"/>
      <c r="U117" s="30"/>
      <c r="V117" s="29" t="str">
        <f>IF(B117=SelectedScope,COUNTIFS($B$4:$B117,SelectedScope),"")</f>
        <v/>
      </c>
    </row>
    <row r="118" spans="1:22" ht="16.05" customHeight="1" x14ac:dyDescent="0.3">
      <c r="A118" s="28">
        <v>115</v>
      </c>
      <c r="B118" s="28" t="s">
        <v>525</v>
      </c>
      <c r="C118" s="28" t="s">
        <v>1133</v>
      </c>
      <c r="D118" s="28" t="s">
        <v>1027</v>
      </c>
      <c r="E118" s="28"/>
      <c r="F118" s="28"/>
      <c r="G118" s="28"/>
      <c r="H118" s="28"/>
      <c r="I118" s="28"/>
      <c r="J118" s="28"/>
      <c r="K118" s="28"/>
      <c r="L118" s="28"/>
      <c r="M118" s="28"/>
      <c r="N118" s="28"/>
      <c r="O118" s="28"/>
      <c r="P118" s="28"/>
      <c r="Q118" s="28"/>
      <c r="R118" s="28"/>
      <c r="S118" s="28"/>
      <c r="T118" s="28"/>
      <c r="U118" s="28"/>
      <c r="V118" s="29" t="str">
        <f>IF(B118=SelectedScope,COUNTIFS($B$4:$B118,SelectedScope),"")</f>
        <v/>
      </c>
    </row>
    <row r="119" spans="1:22" ht="16.05" customHeight="1" x14ac:dyDescent="0.3">
      <c r="A119" s="30">
        <v>116</v>
      </c>
      <c r="B119" s="30" t="s">
        <v>525</v>
      </c>
      <c r="C119" s="30" t="s">
        <v>1134</v>
      </c>
      <c r="D119" s="30" t="s">
        <v>1027</v>
      </c>
      <c r="E119" s="30"/>
      <c r="F119" s="30"/>
      <c r="G119" s="30"/>
      <c r="H119" s="30"/>
      <c r="I119" s="30"/>
      <c r="J119" s="30"/>
      <c r="K119" s="30"/>
      <c r="L119" s="30"/>
      <c r="M119" s="30"/>
      <c r="N119" s="30"/>
      <c r="O119" s="30"/>
      <c r="P119" s="30"/>
      <c r="Q119" s="30"/>
      <c r="R119" s="30"/>
      <c r="S119" s="30"/>
      <c r="T119" s="30"/>
      <c r="U119" s="30"/>
      <c r="V119" s="29" t="str">
        <f>IF(B119=SelectedScope,COUNTIFS($B$4:$B119,SelectedScope),"")</f>
        <v/>
      </c>
    </row>
    <row r="120" spans="1:22" ht="16.05" customHeight="1" x14ac:dyDescent="0.3">
      <c r="A120" s="28">
        <v>117</v>
      </c>
      <c r="B120" s="28" t="s">
        <v>525</v>
      </c>
      <c r="C120" s="28" t="s">
        <v>1135</v>
      </c>
      <c r="D120" s="28" t="s">
        <v>1027</v>
      </c>
      <c r="E120" s="28"/>
      <c r="F120" s="28"/>
      <c r="G120" s="28"/>
      <c r="H120" s="28"/>
      <c r="I120" s="28"/>
      <c r="J120" s="28"/>
      <c r="K120" s="28"/>
      <c r="L120" s="28"/>
      <c r="M120" s="28"/>
      <c r="N120" s="28"/>
      <c r="O120" s="28"/>
      <c r="P120" s="28"/>
      <c r="Q120" s="28"/>
      <c r="R120" s="28"/>
      <c r="S120" s="28"/>
      <c r="T120" s="28"/>
      <c r="U120" s="28"/>
      <c r="V120" s="29" t="str">
        <f>IF(B120=SelectedScope,COUNTIFS($B$4:$B120,SelectedScope),"")</f>
        <v/>
      </c>
    </row>
    <row r="121" spans="1:22" ht="16.05" customHeight="1" x14ac:dyDescent="0.3">
      <c r="A121" s="30">
        <v>118</v>
      </c>
      <c r="B121" s="30" t="s">
        <v>525</v>
      </c>
      <c r="C121" s="30" t="s">
        <v>1136</v>
      </c>
      <c r="D121" s="30" t="s">
        <v>1027</v>
      </c>
      <c r="E121" s="30"/>
      <c r="F121" s="30"/>
      <c r="G121" s="30"/>
      <c r="H121" s="30"/>
      <c r="I121" s="30"/>
      <c r="J121" s="30"/>
      <c r="K121" s="30"/>
      <c r="L121" s="30"/>
      <c r="M121" s="30"/>
      <c r="N121" s="30"/>
      <c r="O121" s="30"/>
      <c r="P121" s="30"/>
      <c r="Q121" s="30"/>
      <c r="R121" s="30"/>
      <c r="S121" s="30"/>
      <c r="T121" s="30"/>
      <c r="U121" s="30"/>
      <c r="V121" s="29" t="str">
        <f>IF(B121=SelectedScope,COUNTIFS($B$4:$B121,SelectedScope),"")</f>
        <v/>
      </c>
    </row>
    <row r="122" spans="1:22" ht="16.05" customHeight="1" x14ac:dyDescent="0.3">
      <c r="A122" s="28">
        <v>119</v>
      </c>
      <c r="B122" s="28" t="s">
        <v>525</v>
      </c>
      <c r="C122" s="28" t="s">
        <v>1137</v>
      </c>
      <c r="D122" s="28" t="s">
        <v>1027</v>
      </c>
      <c r="E122" s="28"/>
      <c r="F122" s="28"/>
      <c r="G122" s="28"/>
      <c r="H122" s="28"/>
      <c r="I122" s="28"/>
      <c r="J122" s="28"/>
      <c r="K122" s="28"/>
      <c r="L122" s="28"/>
      <c r="M122" s="28"/>
      <c r="N122" s="28"/>
      <c r="O122" s="28"/>
      <c r="P122" s="28"/>
      <c r="Q122" s="28"/>
      <c r="R122" s="28"/>
      <c r="S122" s="28"/>
      <c r="T122" s="28"/>
      <c r="U122" s="28"/>
      <c r="V122" s="29" t="str">
        <f>IF(B122=SelectedScope,COUNTIFS($B$4:$B122,SelectedScope),"")</f>
        <v/>
      </c>
    </row>
    <row r="123" spans="1:22" ht="16.05" customHeight="1" x14ac:dyDescent="0.3">
      <c r="A123" s="30">
        <v>120</v>
      </c>
      <c r="B123" s="30" t="s">
        <v>525</v>
      </c>
      <c r="C123" s="30" t="s">
        <v>587</v>
      </c>
      <c r="D123" s="30" t="s">
        <v>1027</v>
      </c>
      <c r="E123" s="30"/>
      <c r="F123" s="30"/>
      <c r="G123" s="30"/>
      <c r="H123" s="30"/>
      <c r="I123" s="30"/>
      <c r="J123" s="30"/>
      <c r="K123" s="30"/>
      <c r="L123" s="30"/>
      <c r="M123" s="30"/>
      <c r="N123" s="30"/>
      <c r="O123" s="30"/>
      <c r="P123" s="30"/>
      <c r="Q123" s="30"/>
      <c r="R123" s="30"/>
      <c r="S123" s="30"/>
      <c r="T123" s="30"/>
      <c r="U123" s="30"/>
      <c r="V123" s="29" t="str">
        <f>IF(B123=SelectedScope,COUNTIFS($B$4:$B123,SelectedScope),"")</f>
        <v/>
      </c>
    </row>
    <row r="124" spans="1:22" ht="16.05" customHeight="1" x14ac:dyDescent="0.3">
      <c r="A124" s="28">
        <v>121</v>
      </c>
      <c r="B124" s="28" t="s">
        <v>525</v>
      </c>
      <c r="C124" s="28" t="s">
        <v>1138</v>
      </c>
      <c r="D124" s="28" t="s">
        <v>1027</v>
      </c>
      <c r="E124" s="28"/>
      <c r="F124" s="28"/>
      <c r="G124" s="28"/>
      <c r="H124" s="28"/>
      <c r="I124" s="28"/>
      <c r="J124" s="28"/>
      <c r="K124" s="28"/>
      <c r="L124" s="28"/>
      <c r="M124" s="28"/>
      <c r="N124" s="28"/>
      <c r="O124" s="28"/>
      <c r="P124" s="28"/>
      <c r="Q124" s="28"/>
      <c r="R124" s="28"/>
      <c r="S124" s="28"/>
      <c r="T124" s="28"/>
      <c r="U124" s="28"/>
      <c r="V124" s="29" t="str">
        <f>IF(B124=SelectedScope,COUNTIFS($B$4:$B124,SelectedScope),"")</f>
        <v/>
      </c>
    </row>
    <row r="125" spans="1:22" ht="16.05" customHeight="1" x14ac:dyDescent="0.3">
      <c r="A125" s="30">
        <v>122</v>
      </c>
      <c r="B125" s="30" t="s">
        <v>525</v>
      </c>
      <c r="C125" s="30" t="s">
        <v>588</v>
      </c>
      <c r="D125" s="30" t="s">
        <v>1027</v>
      </c>
      <c r="E125" s="30"/>
      <c r="F125" s="30"/>
      <c r="G125" s="30"/>
      <c r="H125" s="30"/>
      <c r="I125" s="30"/>
      <c r="J125" s="30"/>
      <c r="K125" s="30"/>
      <c r="L125" s="30"/>
      <c r="M125" s="30"/>
      <c r="N125" s="30"/>
      <c r="O125" s="30"/>
      <c r="P125" s="30"/>
      <c r="Q125" s="30"/>
      <c r="R125" s="30"/>
      <c r="S125" s="30"/>
      <c r="T125" s="30"/>
      <c r="U125" s="30"/>
      <c r="V125" s="29" t="str">
        <f>IF(B125=SelectedScope,COUNTIFS($B$4:$B125,SelectedScope),"")</f>
        <v/>
      </c>
    </row>
    <row r="126" spans="1:22" ht="16.05" customHeight="1" x14ac:dyDescent="0.3">
      <c r="A126" s="28">
        <v>123</v>
      </c>
      <c r="B126" s="28" t="s">
        <v>525</v>
      </c>
      <c r="C126" s="28" t="s">
        <v>1139</v>
      </c>
      <c r="D126" s="28" t="s">
        <v>1027</v>
      </c>
      <c r="E126" s="28"/>
      <c r="F126" s="28"/>
      <c r="G126" s="28"/>
      <c r="H126" s="28"/>
      <c r="I126" s="28"/>
      <c r="J126" s="28"/>
      <c r="K126" s="28"/>
      <c r="L126" s="28"/>
      <c r="M126" s="28"/>
      <c r="N126" s="28"/>
      <c r="O126" s="28"/>
      <c r="P126" s="28"/>
      <c r="Q126" s="28"/>
      <c r="R126" s="28"/>
      <c r="S126" s="28"/>
      <c r="T126" s="28"/>
      <c r="U126" s="28"/>
      <c r="V126" s="29" t="str">
        <f>IF(B126=SelectedScope,COUNTIFS($B$4:$B126,SelectedScope),"")</f>
        <v/>
      </c>
    </row>
    <row r="127" spans="1:22" ht="16.05" customHeight="1" x14ac:dyDescent="0.3">
      <c r="A127" s="30">
        <v>124</v>
      </c>
      <c r="B127" s="30" t="s">
        <v>525</v>
      </c>
      <c r="C127" s="30" t="s">
        <v>1140</v>
      </c>
      <c r="D127" s="30" t="s">
        <v>1027</v>
      </c>
      <c r="E127" s="30"/>
      <c r="F127" s="30"/>
      <c r="G127" s="30"/>
      <c r="H127" s="30"/>
      <c r="I127" s="30"/>
      <c r="J127" s="30"/>
      <c r="K127" s="30"/>
      <c r="L127" s="30"/>
      <c r="M127" s="30"/>
      <c r="N127" s="30"/>
      <c r="O127" s="30"/>
      <c r="P127" s="30"/>
      <c r="Q127" s="30"/>
      <c r="R127" s="30"/>
      <c r="S127" s="30"/>
      <c r="T127" s="30"/>
      <c r="U127" s="30"/>
      <c r="V127" s="29" t="str">
        <f>IF(B127=SelectedScope,COUNTIFS($B$4:$B127,SelectedScope),"")</f>
        <v/>
      </c>
    </row>
    <row r="128" spans="1:22" ht="16.05" customHeight="1" x14ac:dyDescent="0.3">
      <c r="A128" s="28">
        <v>125</v>
      </c>
      <c r="B128" s="28" t="s">
        <v>525</v>
      </c>
      <c r="C128" s="28" t="s">
        <v>1141</v>
      </c>
      <c r="D128" s="28" t="s">
        <v>1027</v>
      </c>
      <c r="E128" s="28"/>
      <c r="F128" s="28"/>
      <c r="G128" s="28"/>
      <c r="H128" s="28"/>
      <c r="I128" s="28"/>
      <c r="J128" s="28"/>
      <c r="K128" s="28"/>
      <c r="L128" s="28"/>
      <c r="M128" s="28"/>
      <c r="N128" s="28"/>
      <c r="O128" s="28"/>
      <c r="P128" s="28"/>
      <c r="Q128" s="28"/>
      <c r="R128" s="28"/>
      <c r="S128" s="28"/>
      <c r="T128" s="28"/>
      <c r="U128" s="28"/>
      <c r="V128" s="29" t="str">
        <f>IF(B128=SelectedScope,COUNTIFS($B$4:$B128,SelectedScope),"")</f>
        <v/>
      </c>
    </row>
    <row r="129" spans="1:22" ht="16.05" customHeight="1" x14ac:dyDescent="0.3">
      <c r="A129" s="30">
        <v>126</v>
      </c>
      <c r="B129" s="30" t="s">
        <v>525</v>
      </c>
      <c r="C129" s="30" t="s">
        <v>1142</v>
      </c>
      <c r="D129" s="30" t="s">
        <v>1027</v>
      </c>
      <c r="E129" s="30"/>
      <c r="F129" s="30"/>
      <c r="G129" s="30"/>
      <c r="H129" s="30"/>
      <c r="I129" s="30"/>
      <c r="J129" s="30"/>
      <c r="K129" s="30"/>
      <c r="L129" s="30"/>
      <c r="M129" s="30"/>
      <c r="N129" s="30"/>
      <c r="O129" s="30"/>
      <c r="P129" s="30"/>
      <c r="Q129" s="30"/>
      <c r="R129" s="30"/>
      <c r="S129" s="30"/>
      <c r="T129" s="30"/>
      <c r="U129" s="30"/>
      <c r="V129" s="29" t="str">
        <f>IF(B129=SelectedScope,COUNTIFS($B$4:$B129,SelectedScope),"")</f>
        <v/>
      </c>
    </row>
    <row r="130" spans="1:22" ht="16.05" customHeight="1" x14ac:dyDescent="0.3">
      <c r="A130" s="28">
        <v>127</v>
      </c>
      <c r="B130" s="28" t="s">
        <v>525</v>
      </c>
      <c r="C130" s="28" t="s">
        <v>1143</v>
      </c>
      <c r="D130" s="28" t="s">
        <v>1027</v>
      </c>
      <c r="E130" s="28"/>
      <c r="F130" s="28"/>
      <c r="G130" s="28"/>
      <c r="H130" s="28"/>
      <c r="I130" s="28"/>
      <c r="J130" s="28"/>
      <c r="K130" s="28"/>
      <c r="L130" s="28"/>
      <c r="M130" s="28"/>
      <c r="N130" s="28"/>
      <c r="O130" s="28"/>
      <c r="P130" s="28"/>
      <c r="Q130" s="28"/>
      <c r="R130" s="28"/>
      <c r="S130" s="28"/>
      <c r="T130" s="28"/>
      <c r="U130" s="28"/>
      <c r="V130" s="29" t="str">
        <f>IF(B130=SelectedScope,COUNTIFS($B$4:$B130,SelectedScope),"")</f>
        <v/>
      </c>
    </row>
    <row r="131" spans="1:22" ht="16.05" customHeight="1" x14ac:dyDescent="0.3">
      <c r="A131" s="30">
        <v>128</v>
      </c>
      <c r="B131" s="30" t="s">
        <v>525</v>
      </c>
      <c r="C131" s="30" t="s">
        <v>1144</v>
      </c>
      <c r="D131" s="30" t="s">
        <v>1027</v>
      </c>
      <c r="E131" s="30"/>
      <c r="F131" s="30"/>
      <c r="G131" s="30"/>
      <c r="H131" s="30"/>
      <c r="I131" s="30"/>
      <c r="J131" s="30"/>
      <c r="K131" s="30"/>
      <c r="L131" s="30"/>
      <c r="M131" s="30"/>
      <c r="N131" s="30"/>
      <c r="O131" s="30"/>
      <c r="P131" s="30"/>
      <c r="Q131" s="30"/>
      <c r="R131" s="30"/>
      <c r="S131" s="30"/>
      <c r="T131" s="30"/>
      <c r="U131" s="30"/>
      <c r="V131" s="29" t="str">
        <f>IF(B131=SelectedScope,COUNTIFS($B$4:$B131,SelectedScope),"")</f>
        <v/>
      </c>
    </row>
    <row r="132" spans="1:22" ht="16.05" customHeight="1" x14ac:dyDescent="0.3">
      <c r="A132" s="28">
        <v>129</v>
      </c>
      <c r="B132" s="28" t="s">
        <v>525</v>
      </c>
      <c r="C132" s="28" t="s">
        <v>1145</v>
      </c>
      <c r="D132" s="28" t="s">
        <v>1027</v>
      </c>
      <c r="E132" s="28"/>
      <c r="F132" s="28"/>
      <c r="G132" s="28"/>
      <c r="H132" s="28"/>
      <c r="I132" s="28"/>
      <c r="J132" s="28"/>
      <c r="K132" s="28"/>
      <c r="L132" s="28"/>
      <c r="M132" s="28"/>
      <c r="N132" s="28"/>
      <c r="O132" s="28"/>
      <c r="P132" s="28"/>
      <c r="Q132" s="28"/>
      <c r="R132" s="28"/>
      <c r="S132" s="28"/>
      <c r="T132" s="28"/>
      <c r="U132" s="28"/>
      <c r="V132" s="29" t="str">
        <f>IF(B132=SelectedScope,COUNTIFS($B$4:$B132,SelectedScope),"")</f>
        <v/>
      </c>
    </row>
    <row r="133" spans="1:22" ht="16.05" customHeight="1" x14ac:dyDescent="0.3">
      <c r="A133" s="30">
        <v>130</v>
      </c>
      <c r="B133" s="30" t="s">
        <v>525</v>
      </c>
      <c r="C133" s="30" t="s">
        <v>589</v>
      </c>
      <c r="D133" s="30" t="s">
        <v>1027</v>
      </c>
      <c r="E133" s="30"/>
      <c r="F133" s="30"/>
      <c r="G133" s="30"/>
      <c r="H133" s="30"/>
      <c r="I133" s="30"/>
      <c r="J133" s="30"/>
      <c r="K133" s="30"/>
      <c r="L133" s="30"/>
      <c r="M133" s="30"/>
      <c r="N133" s="30"/>
      <c r="O133" s="30"/>
      <c r="P133" s="30"/>
      <c r="Q133" s="30"/>
      <c r="R133" s="30"/>
      <c r="S133" s="30"/>
      <c r="T133" s="30"/>
      <c r="U133" s="30"/>
      <c r="V133" s="29" t="str">
        <f>IF(B133=SelectedScope,COUNTIFS($B$4:$B133,SelectedScope),"")</f>
        <v/>
      </c>
    </row>
    <row r="134" spans="1:22" ht="16.05" customHeight="1" x14ac:dyDescent="0.3">
      <c r="A134" s="28">
        <v>131</v>
      </c>
      <c r="B134" s="28" t="s">
        <v>525</v>
      </c>
      <c r="C134" s="28" t="s">
        <v>1146</v>
      </c>
      <c r="D134" s="28" t="s">
        <v>1027</v>
      </c>
      <c r="E134" s="28"/>
      <c r="F134" s="28"/>
      <c r="G134" s="28"/>
      <c r="H134" s="28"/>
      <c r="I134" s="28"/>
      <c r="J134" s="28"/>
      <c r="K134" s="28"/>
      <c r="L134" s="28"/>
      <c r="M134" s="28"/>
      <c r="N134" s="28"/>
      <c r="O134" s="28"/>
      <c r="P134" s="28"/>
      <c r="Q134" s="28"/>
      <c r="R134" s="28"/>
      <c r="S134" s="28"/>
      <c r="T134" s="28"/>
      <c r="U134" s="28"/>
      <c r="V134" s="29" t="str">
        <f>IF(B134=SelectedScope,COUNTIFS($B$4:$B134,SelectedScope),"")</f>
        <v/>
      </c>
    </row>
    <row r="135" spans="1:22" ht="16.05" customHeight="1" x14ac:dyDescent="0.3">
      <c r="A135" s="30">
        <v>132</v>
      </c>
      <c r="B135" s="30" t="s">
        <v>525</v>
      </c>
      <c r="C135" s="30" t="s">
        <v>1147</v>
      </c>
      <c r="D135" s="30" t="s">
        <v>1027</v>
      </c>
      <c r="E135" s="30"/>
      <c r="F135" s="30"/>
      <c r="G135" s="30"/>
      <c r="H135" s="30"/>
      <c r="I135" s="30"/>
      <c r="J135" s="30"/>
      <c r="K135" s="30"/>
      <c r="L135" s="30"/>
      <c r="M135" s="30"/>
      <c r="N135" s="30"/>
      <c r="O135" s="30"/>
      <c r="P135" s="30"/>
      <c r="Q135" s="30"/>
      <c r="R135" s="30"/>
      <c r="S135" s="30"/>
      <c r="T135" s="30"/>
      <c r="U135" s="30"/>
      <c r="V135" s="29" t="str">
        <f>IF(B135=SelectedScope,COUNTIFS($B$4:$B135,SelectedScope),"")</f>
        <v/>
      </c>
    </row>
    <row r="136" spans="1:22" ht="16.05" customHeight="1" x14ac:dyDescent="0.3">
      <c r="A136" s="28">
        <v>133</v>
      </c>
      <c r="B136" s="28" t="s">
        <v>525</v>
      </c>
      <c r="C136" s="28" t="s">
        <v>1148</v>
      </c>
      <c r="D136" s="28" t="s">
        <v>1027</v>
      </c>
      <c r="E136" s="28"/>
      <c r="F136" s="28"/>
      <c r="G136" s="28"/>
      <c r="H136" s="28"/>
      <c r="I136" s="28"/>
      <c r="J136" s="28"/>
      <c r="K136" s="28"/>
      <c r="L136" s="28"/>
      <c r="M136" s="28"/>
      <c r="N136" s="28"/>
      <c r="O136" s="28"/>
      <c r="P136" s="28"/>
      <c r="Q136" s="28"/>
      <c r="R136" s="28"/>
      <c r="S136" s="28"/>
      <c r="T136" s="28"/>
      <c r="U136" s="28"/>
      <c r="V136" s="29" t="str">
        <f>IF(B136=SelectedScope,COUNTIFS($B$4:$B136,SelectedScope),"")</f>
        <v/>
      </c>
    </row>
    <row r="137" spans="1:22" ht="16.05" customHeight="1" x14ac:dyDescent="0.3">
      <c r="A137" s="30">
        <v>134</v>
      </c>
      <c r="B137" s="30" t="s">
        <v>525</v>
      </c>
      <c r="C137" s="30" t="s">
        <v>1149</v>
      </c>
      <c r="D137" s="30" t="s">
        <v>1027</v>
      </c>
      <c r="E137" s="30"/>
      <c r="F137" s="30"/>
      <c r="G137" s="30"/>
      <c r="H137" s="30"/>
      <c r="I137" s="30"/>
      <c r="J137" s="30"/>
      <c r="K137" s="30"/>
      <c r="L137" s="30"/>
      <c r="M137" s="30"/>
      <c r="N137" s="30"/>
      <c r="O137" s="30"/>
      <c r="P137" s="30"/>
      <c r="Q137" s="30"/>
      <c r="R137" s="30"/>
      <c r="S137" s="30"/>
      <c r="T137" s="30"/>
      <c r="U137" s="30"/>
      <c r="V137" s="29" t="str">
        <f>IF(B137=SelectedScope,COUNTIFS($B$4:$B137,SelectedScope),"")</f>
        <v/>
      </c>
    </row>
    <row r="138" spans="1:22" ht="16.05" customHeight="1" x14ac:dyDescent="0.3">
      <c r="A138" s="28">
        <v>135</v>
      </c>
      <c r="B138" s="28" t="s">
        <v>525</v>
      </c>
      <c r="C138" s="28" t="s">
        <v>1150</v>
      </c>
      <c r="D138" s="28" t="s">
        <v>1027</v>
      </c>
      <c r="E138" s="28"/>
      <c r="F138" s="28"/>
      <c r="G138" s="28"/>
      <c r="H138" s="28"/>
      <c r="I138" s="28"/>
      <c r="J138" s="28"/>
      <c r="K138" s="28"/>
      <c r="L138" s="28"/>
      <c r="M138" s="28"/>
      <c r="N138" s="28"/>
      <c r="O138" s="28"/>
      <c r="P138" s="28"/>
      <c r="Q138" s="28"/>
      <c r="R138" s="28"/>
      <c r="S138" s="28"/>
      <c r="T138" s="28"/>
      <c r="U138" s="28"/>
      <c r="V138" s="29" t="str">
        <f>IF(B138=SelectedScope,COUNTIFS($B$4:$B138,SelectedScope),"")</f>
        <v/>
      </c>
    </row>
    <row r="139" spans="1:22" ht="16.05" customHeight="1" x14ac:dyDescent="0.3">
      <c r="A139" s="30">
        <v>136</v>
      </c>
      <c r="B139" s="30" t="s">
        <v>525</v>
      </c>
      <c r="C139" s="30" t="s">
        <v>1151</v>
      </c>
      <c r="D139" s="30" t="s">
        <v>1027</v>
      </c>
      <c r="E139" s="30"/>
      <c r="F139" s="30"/>
      <c r="G139" s="30"/>
      <c r="H139" s="30"/>
      <c r="I139" s="30"/>
      <c r="J139" s="30"/>
      <c r="K139" s="30"/>
      <c r="L139" s="30"/>
      <c r="M139" s="30"/>
      <c r="N139" s="30"/>
      <c r="O139" s="30"/>
      <c r="P139" s="30"/>
      <c r="Q139" s="30"/>
      <c r="R139" s="30"/>
      <c r="S139" s="30"/>
      <c r="T139" s="30"/>
      <c r="U139" s="30"/>
      <c r="V139" s="29" t="str">
        <f>IF(B139=SelectedScope,COUNTIFS($B$4:$B139,SelectedScope),"")</f>
        <v/>
      </c>
    </row>
    <row r="140" spans="1:22" ht="16.05" customHeight="1" x14ac:dyDescent="0.3">
      <c r="A140" s="28">
        <v>137</v>
      </c>
      <c r="B140" s="28" t="s">
        <v>525</v>
      </c>
      <c r="C140" s="28" t="s">
        <v>1152</v>
      </c>
      <c r="D140" s="28" t="s">
        <v>1027</v>
      </c>
      <c r="E140" s="28"/>
      <c r="F140" s="28"/>
      <c r="G140" s="28"/>
      <c r="H140" s="28"/>
      <c r="I140" s="28"/>
      <c r="J140" s="28"/>
      <c r="K140" s="28"/>
      <c r="L140" s="28"/>
      <c r="M140" s="28"/>
      <c r="N140" s="28"/>
      <c r="O140" s="28"/>
      <c r="P140" s="28"/>
      <c r="Q140" s="28"/>
      <c r="R140" s="28"/>
      <c r="S140" s="28"/>
      <c r="T140" s="28"/>
      <c r="U140" s="28"/>
      <c r="V140" s="29" t="str">
        <f>IF(B140=SelectedScope,COUNTIFS($B$4:$B140,SelectedScope),"")</f>
        <v/>
      </c>
    </row>
    <row r="141" spans="1:22" ht="16.05" customHeight="1" x14ac:dyDescent="0.3">
      <c r="A141" s="30">
        <v>138</v>
      </c>
      <c r="B141" s="30" t="s">
        <v>525</v>
      </c>
      <c r="C141" s="30" t="s">
        <v>1153</v>
      </c>
      <c r="D141" s="30" t="s">
        <v>1027</v>
      </c>
      <c r="E141" s="30"/>
      <c r="F141" s="30"/>
      <c r="G141" s="30"/>
      <c r="H141" s="30"/>
      <c r="I141" s="30"/>
      <c r="J141" s="30"/>
      <c r="K141" s="30"/>
      <c r="L141" s="30"/>
      <c r="M141" s="30"/>
      <c r="N141" s="30"/>
      <c r="O141" s="30"/>
      <c r="P141" s="30"/>
      <c r="Q141" s="30"/>
      <c r="R141" s="30"/>
      <c r="S141" s="30"/>
      <c r="T141" s="30"/>
      <c r="U141" s="30"/>
      <c r="V141" s="29" t="str">
        <f>IF(B141=SelectedScope,COUNTIFS($B$4:$B141,SelectedScope),"")</f>
        <v/>
      </c>
    </row>
    <row r="142" spans="1:22" ht="16.05" customHeight="1" x14ac:dyDescent="0.3">
      <c r="A142" s="28">
        <v>139</v>
      </c>
      <c r="B142" s="28" t="s">
        <v>525</v>
      </c>
      <c r="C142" s="28" t="s">
        <v>570</v>
      </c>
      <c r="D142" s="28" t="s">
        <v>1027</v>
      </c>
      <c r="E142" s="28"/>
      <c r="F142" s="28"/>
      <c r="G142" s="28"/>
      <c r="H142" s="28"/>
      <c r="I142" s="28"/>
      <c r="J142" s="28"/>
      <c r="K142" s="28"/>
      <c r="L142" s="28"/>
      <c r="M142" s="28"/>
      <c r="N142" s="28"/>
      <c r="O142" s="28"/>
      <c r="P142" s="28"/>
      <c r="Q142" s="28"/>
      <c r="R142" s="28"/>
      <c r="S142" s="28"/>
      <c r="T142" s="28"/>
      <c r="U142" s="28"/>
      <c r="V142" s="29" t="str">
        <f>IF(B142=SelectedScope,COUNTIFS($B$4:$B142,SelectedScope),"")</f>
        <v/>
      </c>
    </row>
    <row r="143" spans="1:22" ht="16.05" customHeight="1" x14ac:dyDescent="0.3">
      <c r="A143" s="30">
        <v>140</v>
      </c>
      <c r="B143" s="30" t="s">
        <v>525</v>
      </c>
      <c r="C143" s="30" t="s">
        <v>1154</v>
      </c>
      <c r="D143" s="30" t="s">
        <v>1027</v>
      </c>
      <c r="E143" s="30"/>
      <c r="F143" s="30"/>
      <c r="G143" s="30"/>
      <c r="H143" s="30"/>
      <c r="I143" s="30"/>
      <c r="J143" s="30"/>
      <c r="K143" s="30"/>
      <c r="L143" s="30"/>
      <c r="M143" s="30"/>
      <c r="N143" s="30"/>
      <c r="O143" s="30"/>
      <c r="P143" s="30"/>
      <c r="Q143" s="30"/>
      <c r="R143" s="30"/>
      <c r="S143" s="30"/>
      <c r="T143" s="30"/>
      <c r="U143" s="30"/>
      <c r="V143" s="29" t="str">
        <f>IF(B143=SelectedScope,COUNTIFS($B$4:$B143,SelectedScope),"")</f>
        <v/>
      </c>
    </row>
    <row r="144" spans="1:22" ht="16.05" customHeight="1" x14ac:dyDescent="0.3">
      <c r="A144" s="28">
        <v>141</v>
      </c>
      <c r="B144" s="28" t="s">
        <v>525</v>
      </c>
      <c r="C144" s="28" t="s">
        <v>1155</v>
      </c>
      <c r="D144" s="28" t="s">
        <v>1027</v>
      </c>
      <c r="E144" s="28"/>
      <c r="F144" s="28"/>
      <c r="G144" s="28"/>
      <c r="H144" s="28"/>
      <c r="I144" s="28"/>
      <c r="J144" s="28"/>
      <c r="K144" s="28"/>
      <c r="L144" s="28"/>
      <c r="M144" s="28"/>
      <c r="N144" s="28"/>
      <c r="O144" s="28"/>
      <c r="P144" s="28"/>
      <c r="Q144" s="28"/>
      <c r="R144" s="28"/>
      <c r="S144" s="28"/>
      <c r="T144" s="28"/>
      <c r="U144" s="28"/>
      <c r="V144" s="29" t="str">
        <f>IF(B144=SelectedScope,COUNTIFS($B$4:$B144,SelectedScope),"")</f>
        <v/>
      </c>
    </row>
    <row r="145" spans="1:22" ht="16.05" customHeight="1" x14ac:dyDescent="0.3">
      <c r="A145" s="30">
        <v>142</v>
      </c>
      <c r="B145" s="30" t="s">
        <v>526</v>
      </c>
      <c r="C145" s="30" t="s">
        <v>1156</v>
      </c>
      <c r="D145" s="30" t="s">
        <v>1027</v>
      </c>
      <c r="E145" s="30"/>
      <c r="F145" s="30"/>
      <c r="G145" s="30"/>
      <c r="H145" s="30"/>
      <c r="I145" s="30"/>
      <c r="J145" s="30"/>
      <c r="K145" s="30"/>
      <c r="L145" s="30"/>
      <c r="M145" s="30"/>
      <c r="N145" s="30"/>
      <c r="O145" s="30"/>
      <c r="P145" s="30"/>
      <c r="Q145" s="30"/>
      <c r="R145" s="30"/>
      <c r="S145" s="30"/>
      <c r="T145" s="30"/>
      <c r="U145" s="30"/>
      <c r="V145" s="29" t="str">
        <f>IF(B145=SelectedScope,COUNTIFS($B$4:$B145,SelectedScope),"")</f>
        <v/>
      </c>
    </row>
    <row r="146" spans="1:22" ht="16.05" customHeight="1" x14ac:dyDescent="0.3">
      <c r="A146" s="28">
        <v>143</v>
      </c>
      <c r="B146" s="28" t="s">
        <v>526</v>
      </c>
      <c r="C146" s="28" t="s">
        <v>1157</v>
      </c>
      <c r="D146" s="28" t="s">
        <v>1027</v>
      </c>
      <c r="E146" s="28"/>
      <c r="F146" s="28"/>
      <c r="G146" s="28"/>
      <c r="H146" s="28"/>
      <c r="I146" s="28"/>
      <c r="J146" s="28"/>
      <c r="K146" s="28"/>
      <c r="L146" s="28"/>
      <c r="M146" s="28"/>
      <c r="N146" s="28"/>
      <c r="O146" s="28"/>
      <c r="P146" s="28"/>
      <c r="Q146" s="28"/>
      <c r="R146" s="28"/>
      <c r="S146" s="28"/>
      <c r="T146" s="28"/>
      <c r="U146" s="28"/>
      <c r="V146" s="29" t="str">
        <f>IF(B146=SelectedScope,COUNTIFS($B$4:$B146,SelectedScope),"")</f>
        <v/>
      </c>
    </row>
    <row r="147" spans="1:22" ht="16.05" customHeight="1" x14ac:dyDescent="0.3">
      <c r="A147" s="30">
        <v>144</v>
      </c>
      <c r="B147" s="30" t="s">
        <v>526</v>
      </c>
      <c r="C147" s="30" t="s">
        <v>1158</v>
      </c>
      <c r="D147" s="30" t="s">
        <v>1027</v>
      </c>
      <c r="E147" s="30"/>
      <c r="F147" s="30"/>
      <c r="G147" s="30"/>
      <c r="H147" s="30"/>
      <c r="I147" s="30"/>
      <c r="J147" s="30"/>
      <c r="K147" s="30"/>
      <c r="L147" s="30"/>
      <c r="M147" s="30"/>
      <c r="N147" s="30"/>
      <c r="O147" s="30"/>
      <c r="P147" s="30"/>
      <c r="Q147" s="30"/>
      <c r="R147" s="30"/>
      <c r="S147" s="30"/>
      <c r="T147" s="30"/>
      <c r="U147" s="30"/>
      <c r="V147" s="29" t="str">
        <f>IF(B147=SelectedScope,COUNTIFS($B$4:$B147,SelectedScope),"")</f>
        <v/>
      </c>
    </row>
    <row r="148" spans="1:22" ht="16.05" customHeight="1" x14ac:dyDescent="0.3">
      <c r="A148" s="28">
        <v>145</v>
      </c>
      <c r="B148" s="28" t="s">
        <v>527</v>
      </c>
      <c r="C148" s="28" t="s">
        <v>1159</v>
      </c>
      <c r="D148" s="28" t="s">
        <v>1027</v>
      </c>
      <c r="E148" s="28"/>
      <c r="F148" s="28"/>
      <c r="G148" s="28"/>
      <c r="H148" s="28"/>
      <c r="I148" s="28"/>
      <c r="J148" s="28"/>
      <c r="K148" s="28"/>
      <c r="L148" s="28"/>
      <c r="M148" s="28"/>
      <c r="N148" s="28"/>
      <c r="O148" s="28"/>
      <c r="P148" s="28"/>
      <c r="Q148" s="28"/>
      <c r="R148" s="28"/>
      <c r="S148" s="28"/>
      <c r="T148" s="28"/>
      <c r="U148" s="28"/>
      <c r="V148" s="29" t="str">
        <f>IF(B148=SelectedScope,COUNTIFS($B$4:$B148,SelectedScope),"")</f>
        <v/>
      </c>
    </row>
    <row r="149" spans="1:22" ht="16.05" customHeight="1" x14ac:dyDescent="0.3">
      <c r="A149" s="30">
        <v>146</v>
      </c>
      <c r="B149" s="30" t="s">
        <v>527</v>
      </c>
      <c r="C149" s="30" t="s">
        <v>1160</v>
      </c>
      <c r="D149" s="30" t="s">
        <v>1027</v>
      </c>
      <c r="E149" s="30"/>
      <c r="F149" s="30"/>
      <c r="G149" s="30"/>
      <c r="H149" s="30"/>
      <c r="I149" s="30"/>
      <c r="J149" s="30"/>
      <c r="K149" s="30"/>
      <c r="L149" s="30"/>
      <c r="M149" s="30"/>
      <c r="N149" s="30"/>
      <c r="O149" s="30"/>
      <c r="P149" s="30"/>
      <c r="Q149" s="30"/>
      <c r="R149" s="30"/>
      <c r="S149" s="30"/>
      <c r="T149" s="30"/>
      <c r="U149" s="30"/>
      <c r="V149" s="29" t="str">
        <f>IF(B149=SelectedScope,COUNTIFS($B$4:$B149,SelectedScope),"")</f>
        <v/>
      </c>
    </row>
    <row r="150" spans="1:22" ht="16.05" customHeight="1" x14ac:dyDescent="0.3">
      <c r="A150" s="28">
        <v>147</v>
      </c>
      <c r="B150" s="28" t="s">
        <v>527</v>
      </c>
      <c r="C150" s="28" t="s">
        <v>1161</v>
      </c>
      <c r="D150" s="28" t="s">
        <v>1027</v>
      </c>
      <c r="E150" s="28"/>
      <c r="F150" s="28"/>
      <c r="G150" s="28"/>
      <c r="H150" s="28"/>
      <c r="I150" s="28"/>
      <c r="J150" s="28"/>
      <c r="K150" s="28"/>
      <c r="L150" s="28"/>
      <c r="M150" s="28"/>
      <c r="N150" s="28"/>
      <c r="O150" s="28"/>
      <c r="P150" s="28"/>
      <c r="Q150" s="28"/>
      <c r="R150" s="28"/>
      <c r="S150" s="28"/>
      <c r="T150" s="28"/>
      <c r="U150" s="28"/>
      <c r="V150" s="29" t="str">
        <f>IF(B150=SelectedScope,COUNTIFS($B$4:$B150,SelectedScope),"")</f>
        <v/>
      </c>
    </row>
    <row r="151" spans="1:22" ht="16.05" customHeight="1" x14ac:dyDescent="0.3">
      <c r="A151" s="30">
        <v>148</v>
      </c>
      <c r="B151" s="30" t="s">
        <v>527</v>
      </c>
      <c r="C151" s="30" t="s">
        <v>1162</v>
      </c>
      <c r="D151" s="30" t="s">
        <v>1027</v>
      </c>
      <c r="E151" s="30"/>
      <c r="F151" s="30"/>
      <c r="G151" s="30"/>
      <c r="H151" s="30"/>
      <c r="I151" s="30"/>
      <c r="J151" s="30"/>
      <c r="K151" s="30"/>
      <c r="L151" s="30"/>
      <c r="M151" s="30"/>
      <c r="N151" s="30"/>
      <c r="O151" s="30"/>
      <c r="P151" s="30"/>
      <c r="Q151" s="30"/>
      <c r="R151" s="30"/>
      <c r="S151" s="30"/>
      <c r="T151" s="30"/>
      <c r="U151" s="30"/>
      <c r="V151" s="29" t="str">
        <f>IF(B151=SelectedScope,COUNTIFS($B$4:$B151,SelectedScope),"")</f>
        <v/>
      </c>
    </row>
    <row r="152" spans="1:22" ht="16.05" customHeight="1" x14ac:dyDescent="0.3">
      <c r="A152" s="28">
        <v>149</v>
      </c>
      <c r="B152" s="28" t="s">
        <v>527</v>
      </c>
      <c r="C152" s="28" t="s">
        <v>1163</v>
      </c>
      <c r="D152" s="28" t="s">
        <v>1027</v>
      </c>
      <c r="E152" s="28"/>
      <c r="F152" s="28"/>
      <c r="G152" s="28"/>
      <c r="H152" s="28"/>
      <c r="I152" s="28"/>
      <c r="J152" s="28"/>
      <c r="K152" s="28"/>
      <c r="L152" s="28"/>
      <c r="M152" s="28"/>
      <c r="N152" s="28"/>
      <c r="O152" s="28"/>
      <c r="P152" s="28"/>
      <c r="Q152" s="28"/>
      <c r="R152" s="28"/>
      <c r="S152" s="28"/>
      <c r="T152" s="28"/>
      <c r="U152" s="28"/>
      <c r="V152" s="29" t="str">
        <f>IF(B152=SelectedScope,COUNTIFS($B$4:$B152,SelectedScope),"")</f>
        <v/>
      </c>
    </row>
    <row r="153" spans="1:22" ht="16.05" customHeight="1" x14ac:dyDescent="0.3">
      <c r="A153" s="30">
        <v>150</v>
      </c>
      <c r="B153" s="30" t="s">
        <v>527</v>
      </c>
      <c r="C153" s="30" t="s">
        <v>1164</v>
      </c>
      <c r="D153" s="30" t="s">
        <v>1027</v>
      </c>
      <c r="E153" s="30"/>
      <c r="F153" s="30"/>
      <c r="G153" s="30"/>
      <c r="H153" s="30"/>
      <c r="I153" s="30"/>
      <c r="J153" s="30"/>
      <c r="K153" s="30"/>
      <c r="L153" s="30"/>
      <c r="M153" s="30"/>
      <c r="N153" s="30"/>
      <c r="O153" s="30"/>
      <c r="P153" s="30"/>
      <c r="Q153" s="30"/>
      <c r="R153" s="30"/>
      <c r="S153" s="30"/>
      <c r="T153" s="30"/>
      <c r="U153" s="30"/>
      <c r="V153" s="29" t="str">
        <f>IF(B153=SelectedScope,COUNTIFS($B$4:$B153,SelectedScope),"")</f>
        <v/>
      </c>
    </row>
    <row r="154" spans="1:22" ht="16.05" customHeight="1" x14ac:dyDescent="0.3">
      <c r="A154" s="28">
        <v>151</v>
      </c>
      <c r="B154" s="28" t="s">
        <v>527</v>
      </c>
      <c r="C154" s="28" t="s">
        <v>1165</v>
      </c>
      <c r="D154" s="28" t="s">
        <v>1027</v>
      </c>
      <c r="E154" s="28"/>
      <c r="F154" s="28"/>
      <c r="G154" s="28"/>
      <c r="H154" s="28"/>
      <c r="I154" s="28"/>
      <c r="J154" s="28"/>
      <c r="K154" s="28"/>
      <c r="L154" s="28"/>
      <c r="M154" s="28"/>
      <c r="N154" s="28"/>
      <c r="O154" s="28"/>
      <c r="P154" s="28"/>
      <c r="Q154" s="28"/>
      <c r="R154" s="28"/>
      <c r="S154" s="28"/>
      <c r="T154" s="28"/>
      <c r="U154" s="28"/>
      <c r="V154" s="29" t="str">
        <f>IF(B154=SelectedScope,COUNTIFS($B$4:$B154,SelectedScope),"")</f>
        <v/>
      </c>
    </row>
    <row r="155" spans="1:22" ht="16.05" customHeight="1" x14ac:dyDescent="0.3">
      <c r="A155" s="30">
        <v>152</v>
      </c>
      <c r="B155" s="30" t="s">
        <v>527</v>
      </c>
      <c r="C155" s="30" t="s">
        <v>1166</v>
      </c>
      <c r="D155" s="30" t="s">
        <v>1027</v>
      </c>
      <c r="E155" s="30"/>
      <c r="F155" s="30"/>
      <c r="G155" s="30"/>
      <c r="H155" s="30"/>
      <c r="I155" s="30"/>
      <c r="J155" s="30"/>
      <c r="K155" s="30"/>
      <c r="L155" s="30"/>
      <c r="M155" s="30"/>
      <c r="N155" s="30"/>
      <c r="O155" s="30"/>
      <c r="P155" s="30"/>
      <c r="Q155" s="30"/>
      <c r="R155" s="30"/>
      <c r="S155" s="30"/>
      <c r="T155" s="30"/>
      <c r="U155" s="30"/>
      <c r="V155" s="29" t="str">
        <f>IF(B155=SelectedScope,COUNTIFS($B$4:$B155,SelectedScope),"")</f>
        <v/>
      </c>
    </row>
    <row r="156" spans="1:22" ht="16.05" customHeight="1" x14ac:dyDescent="0.3">
      <c r="A156" s="28">
        <v>153</v>
      </c>
      <c r="B156" s="28" t="s">
        <v>527</v>
      </c>
      <c r="C156" s="28" t="s">
        <v>1167</v>
      </c>
      <c r="D156" s="28" t="s">
        <v>1027</v>
      </c>
      <c r="E156" s="28"/>
      <c r="F156" s="28"/>
      <c r="G156" s="28"/>
      <c r="H156" s="28"/>
      <c r="I156" s="28"/>
      <c r="J156" s="28"/>
      <c r="K156" s="28"/>
      <c r="L156" s="28"/>
      <c r="M156" s="28"/>
      <c r="N156" s="28"/>
      <c r="O156" s="28"/>
      <c r="P156" s="28"/>
      <c r="Q156" s="28"/>
      <c r="R156" s="28"/>
      <c r="S156" s="28"/>
      <c r="T156" s="28"/>
      <c r="U156" s="28"/>
      <c r="V156" s="29" t="str">
        <f>IF(B156=SelectedScope,COUNTIFS($B$4:$B156,SelectedScope),"")</f>
        <v/>
      </c>
    </row>
    <row r="157" spans="1:22" ht="16.05" customHeight="1" x14ac:dyDescent="0.3">
      <c r="A157" s="30">
        <v>154</v>
      </c>
      <c r="B157" s="30" t="s">
        <v>527</v>
      </c>
      <c r="C157" s="30" t="s">
        <v>1168</v>
      </c>
      <c r="D157" s="30" t="s">
        <v>1027</v>
      </c>
      <c r="E157" s="30"/>
      <c r="F157" s="30"/>
      <c r="G157" s="30"/>
      <c r="H157" s="30"/>
      <c r="I157" s="30"/>
      <c r="J157" s="30"/>
      <c r="K157" s="30"/>
      <c r="L157" s="30"/>
      <c r="M157" s="30"/>
      <c r="N157" s="30"/>
      <c r="O157" s="30"/>
      <c r="P157" s="30"/>
      <c r="Q157" s="30"/>
      <c r="R157" s="30"/>
      <c r="S157" s="30"/>
      <c r="T157" s="30"/>
      <c r="U157" s="30"/>
      <c r="V157" s="29" t="str">
        <f>IF(B157=SelectedScope,COUNTIFS($B$4:$B157,SelectedScope),"")</f>
        <v/>
      </c>
    </row>
    <row r="158" spans="1:22" ht="16.05" customHeight="1" x14ac:dyDescent="0.3">
      <c r="A158" s="28">
        <v>155</v>
      </c>
      <c r="B158" s="28" t="s">
        <v>527</v>
      </c>
      <c r="C158" s="28" t="s">
        <v>1169</v>
      </c>
      <c r="D158" s="28" t="s">
        <v>1027</v>
      </c>
      <c r="E158" s="28"/>
      <c r="F158" s="28"/>
      <c r="G158" s="28"/>
      <c r="H158" s="28"/>
      <c r="I158" s="28"/>
      <c r="J158" s="28"/>
      <c r="K158" s="28"/>
      <c r="L158" s="28"/>
      <c r="M158" s="28"/>
      <c r="N158" s="28"/>
      <c r="O158" s="28"/>
      <c r="P158" s="28"/>
      <c r="Q158" s="28"/>
      <c r="R158" s="28"/>
      <c r="S158" s="28"/>
      <c r="T158" s="28"/>
      <c r="U158" s="28"/>
      <c r="V158" s="29" t="str">
        <f>IF(B158=SelectedScope,COUNTIFS($B$4:$B158,SelectedScope),"")</f>
        <v/>
      </c>
    </row>
    <row r="159" spans="1:22" ht="16.05" customHeight="1" x14ac:dyDescent="0.3">
      <c r="A159" s="30">
        <v>156</v>
      </c>
      <c r="B159" s="30" t="s">
        <v>528</v>
      </c>
      <c r="C159" s="30" t="s">
        <v>1170</v>
      </c>
      <c r="D159" s="30" t="s">
        <v>1027</v>
      </c>
      <c r="E159" s="30"/>
      <c r="F159" s="30"/>
      <c r="G159" s="30"/>
      <c r="H159" s="30"/>
      <c r="I159" s="30"/>
      <c r="J159" s="30"/>
      <c r="K159" s="30"/>
      <c r="L159" s="30"/>
      <c r="M159" s="30"/>
      <c r="N159" s="30"/>
      <c r="O159" s="30"/>
      <c r="P159" s="30"/>
      <c r="Q159" s="30"/>
      <c r="R159" s="30"/>
      <c r="S159" s="30"/>
      <c r="T159" s="30"/>
      <c r="U159" s="30"/>
      <c r="V159" s="29" t="str">
        <f>IF(B159=SelectedScope,COUNTIFS($B$4:$B159,SelectedScope),"")</f>
        <v/>
      </c>
    </row>
    <row r="160" spans="1:22" ht="16.05" customHeight="1" x14ac:dyDescent="0.3">
      <c r="A160" s="28">
        <v>157</v>
      </c>
      <c r="B160" s="28" t="s">
        <v>528</v>
      </c>
      <c r="C160" s="28" t="s">
        <v>1171</v>
      </c>
      <c r="D160" s="28" t="s">
        <v>1027</v>
      </c>
      <c r="E160" s="28"/>
      <c r="F160" s="28"/>
      <c r="G160" s="28"/>
      <c r="H160" s="28"/>
      <c r="I160" s="28"/>
      <c r="J160" s="28"/>
      <c r="K160" s="28"/>
      <c r="L160" s="28"/>
      <c r="M160" s="28"/>
      <c r="N160" s="28"/>
      <c r="O160" s="28"/>
      <c r="P160" s="28"/>
      <c r="Q160" s="28"/>
      <c r="R160" s="28"/>
      <c r="S160" s="28"/>
      <c r="T160" s="28"/>
      <c r="U160" s="28"/>
      <c r="V160" s="29" t="str">
        <f>IF(B160=SelectedScope,COUNTIFS($B$4:$B160,SelectedScope),"")</f>
        <v/>
      </c>
    </row>
    <row r="161" spans="1:22" ht="16.05" customHeight="1" x14ac:dyDescent="0.3">
      <c r="A161" s="30">
        <v>158</v>
      </c>
      <c r="B161" s="30" t="s">
        <v>529</v>
      </c>
      <c r="C161" s="30" t="s">
        <v>1172</v>
      </c>
      <c r="D161" s="30" t="s">
        <v>1027</v>
      </c>
      <c r="E161" s="30"/>
      <c r="F161" s="30"/>
      <c r="G161" s="30"/>
      <c r="H161" s="30"/>
      <c r="I161" s="30"/>
      <c r="J161" s="30"/>
      <c r="K161" s="30"/>
      <c r="L161" s="30"/>
      <c r="M161" s="30"/>
      <c r="N161" s="30"/>
      <c r="O161" s="30"/>
      <c r="P161" s="30"/>
      <c r="Q161" s="30"/>
      <c r="R161" s="30"/>
      <c r="S161" s="30"/>
      <c r="T161" s="30"/>
      <c r="U161" s="30"/>
      <c r="V161" s="29" t="str">
        <f>IF(B161=SelectedScope,COUNTIFS($B$4:$B161,SelectedScope),"")</f>
        <v/>
      </c>
    </row>
    <row r="162" spans="1:22" ht="16.05" customHeight="1" x14ac:dyDescent="0.3">
      <c r="A162" s="28">
        <v>159</v>
      </c>
      <c r="B162" s="28" t="s">
        <v>529</v>
      </c>
      <c r="C162" s="28" t="s">
        <v>1173</v>
      </c>
      <c r="D162" s="28" t="s">
        <v>1027</v>
      </c>
      <c r="E162" s="28"/>
      <c r="F162" s="28"/>
      <c r="G162" s="28"/>
      <c r="H162" s="28"/>
      <c r="I162" s="28"/>
      <c r="J162" s="28"/>
      <c r="K162" s="28"/>
      <c r="L162" s="28"/>
      <c r="M162" s="28"/>
      <c r="N162" s="28"/>
      <c r="O162" s="28"/>
      <c r="P162" s="28"/>
      <c r="Q162" s="28"/>
      <c r="R162" s="28"/>
      <c r="S162" s="28"/>
      <c r="T162" s="28"/>
      <c r="U162" s="28"/>
      <c r="V162" s="29" t="str">
        <f>IF(B162=SelectedScope,COUNTIFS($B$4:$B162,SelectedScope),"")</f>
        <v/>
      </c>
    </row>
    <row r="163" spans="1:22" ht="16.05" customHeight="1" x14ac:dyDescent="0.3">
      <c r="A163" s="30">
        <v>160</v>
      </c>
      <c r="B163" s="30" t="s">
        <v>529</v>
      </c>
      <c r="C163" s="30" t="s">
        <v>1174</v>
      </c>
      <c r="D163" s="30" t="s">
        <v>1027</v>
      </c>
      <c r="E163" s="30"/>
      <c r="F163" s="30"/>
      <c r="G163" s="30"/>
      <c r="H163" s="30"/>
      <c r="I163" s="30"/>
      <c r="J163" s="30"/>
      <c r="K163" s="30"/>
      <c r="L163" s="30"/>
      <c r="M163" s="30"/>
      <c r="N163" s="30"/>
      <c r="O163" s="30"/>
      <c r="P163" s="30"/>
      <c r="Q163" s="30"/>
      <c r="R163" s="30"/>
      <c r="S163" s="30"/>
      <c r="T163" s="30"/>
      <c r="U163" s="30"/>
      <c r="V163" s="29" t="str">
        <f>IF(B163=SelectedScope,COUNTIFS($B$4:$B163,SelectedScope),"")</f>
        <v/>
      </c>
    </row>
    <row r="164" spans="1:22" ht="16.05" customHeight="1" x14ac:dyDescent="0.3">
      <c r="A164" s="28">
        <v>161</v>
      </c>
      <c r="B164" s="28" t="s">
        <v>529</v>
      </c>
      <c r="C164" s="28" t="s">
        <v>1175</v>
      </c>
      <c r="D164" s="28" t="s">
        <v>1027</v>
      </c>
      <c r="E164" s="28"/>
      <c r="F164" s="28"/>
      <c r="G164" s="28"/>
      <c r="H164" s="28"/>
      <c r="I164" s="28"/>
      <c r="J164" s="28"/>
      <c r="K164" s="28"/>
      <c r="L164" s="28"/>
      <c r="M164" s="28"/>
      <c r="N164" s="28"/>
      <c r="O164" s="28"/>
      <c r="P164" s="28"/>
      <c r="Q164" s="28"/>
      <c r="R164" s="28"/>
      <c r="S164" s="28"/>
      <c r="T164" s="28"/>
      <c r="U164" s="28"/>
      <c r="V164" s="29" t="str">
        <f>IF(B164=SelectedScope,COUNTIFS($B$4:$B164,SelectedScope),"")</f>
        <v/>
      </c>
    </row>
    <row r="165" spans="1:22" ht="16.05" customHeight="1" x14ac:dyDescent="0.3">
      <c r="A165" s="30">
        <v>162</v>
      </c>
      <c r="B165" s="30" t="s">
        <v>529</v>
      </c>
      <c r="C165" s="30" t="s">
        <v>1176</v>
      </c>
      <c r="D165" s="30" t="s">
        <v>1027</v>
      </c>
      <c r="E165" s="30"/>
      <c r="F165" s="30"/>
      <c r="G165" s="30"/>
      <c r="H165" s="30"/>
      <c r="I165" s="30"/>
      <c r="J165" s="30"/>
      <c r="K165" s="30"/>
      <c r="L165" s="30"/>
      <c r="M165" s="30"/>
      <c r="N165" s="30"/>
      <c r="O165" s="30"/>
      <c r="P165" s="30"/>
      <c r="Q165" s="30"/>
      <c r="R165" s="30"/>
      <c r="S165" s="30"/>
      <c r="T165" s="30"/>
      <c r="U165" s="30"/>
      <c r="V165" s="29" t="str">
        <f>IF(B165=SelectedScope,COUNTIFS($B$4:$B165,SelectedScope),"")</f>
        <v/>
      </c>
    </row>
    <row r="166" spans="1:22" ht="16.05" customHeight="1" x14ac:dyDescent="0.3">
      <c r="A166" s="28">
        <v>163</v>
      </c>
      <c r="B166" s="28" t="s">
        <v>529</v>
      </c>
      <c r="C166" s="28" t="s">
        <v>1177</v>
      </c>
      <c r="D166" s="28" t="s">
        <v>1027</v>
      </c>
      <c r="E166" s="28"/>
      <c r="F166" s="28"/>
      <c r="G166" s="28"/>
      <c r="H166" s="28"/>
      <c r="I166" s="28"/>
      <c r="J166" s="28"/>
      <c r="K166" s="28"/>
      <c r="L166" s="28"/>
      <c r="M166" s="28"/>
      <c r="N166" s="28"/>
      <c r="O166" s="28"/>
      <c r="P166" s="28"/>
      <c r="Q166" s="28"/>
      <c r="R166" s="28"/>
      <c r="S166" s="28"/>
      <c r="T166" s="28"/>
      <c r="U166" s="28"/>
      <c r="V166" s="29" t="str">
        <f>IF(B166=SelectedScope,COUNTIFS($B$4:$B166,SelectedScope),"")</f>
        <v/>
      </c>
    </row>
    <row r="167" spans="1:22" ht="16.05" customHeight="1" x14ac:dyDescent="0.3">
      <c r="A167" s="30">
        <v>164</v>
      </c>
      <c r="B167" s="30" t="s">
        <v>529</v>
      </c>
      <c r="C167" s="30" t="s">
        <v>1178</v>
      </c>
      <c r="D167" s="30" t="s">
        <v>1027</v>
      </c>
      <c r="E167" s="30"/>
      <c r="F167" s="30"/>
      <c r="G167" s="30"/>
      <c r="H167" s="30"/>
      <c r="I167" s="30"/>
      <c r="J167" s="30"/>
      <c r="K167" s="30"/>
      <c r="L167" s="30"/>
      <c r="M167" s="30"/>
      <c r="N167" s="30"/>
      <c r="O167" s="30"/>
      <c r="P167" s="30"/>
      <c r="Q167" s="30"/>
      <c r="R167" s="30"/>
      <c r="S167" s="30"/>
      <c r="T167" s="30"/>
      <c r="U167" s="30"/>
      <c r="V167" s="29" t="str">
        <f>IF(B167=SelectedScope,COUNTIFS($B$4:$B167,SelectedScope),"")</f>
        <v/>
      </c>
    </row>
    <row r="168" spans="1:22" ht="16.05" customHeight="1" x14ac:dyDescent="0.3">
      <c r="A168" s="28">
        <v>165</v>
      </c>
      <c r="B168" s="28" t="s">
        <v>529</v>
      </c>
      <c r="C168" s="28" t="s">
        <v>1179</v>
      </c>
      <c r="D168" s="28" t="s">
        <v>1027</v>
      </c>
      <c r="E168" s="28"/>
      <c r="F168" s="28"/>
      <c r="G168" s="28"/>
      <c r="H168" s="28"/>
      <c r="I168" s="28"/>
      <c r="J168" s="28"/>
      <c r="K168" s="28"/>
      <c r="L168" s="28"/>
      <c r="M168" s="28"/>
      <c r="N168" s="28"/>
      <c r="O168" s="28"/>
      <c r="P168" s="28"/>
      <c r="Q168" s="28"/>
      <c r="R168" s="28"/>
      <c r="S168" s="28"/>
      <c r="T168" s="28"/>
      <c r="U168" s="28"/>
      <c r="V168" s="29" t="str">
        <f>IF(B168=SelectedScope,COUNTIFS($B$4:$B168,SelectedScope),"")</f>
        <v/>
      </c>
    </row>
    <row r="169" spans="1:22" ht="16.05" customHeight="1" x14ac:dyDescent="0.3">
      <c r="A169" s="30">
        <v>166</v>
      </c>
      <c r="B169" s="30" t="s">
        <v>529</v>
      </c>
      <c r="C169" s="30" t="s">
        <v>1180</v>
      </c>
      <c r="D169" s="30" t="s">
        <v>1027</v>
      </c>
      <c r="E169" s="30"/>
      <c r="F169" s="30"/>
      <c r="G169" s="30"/>
      <c r="H169" s="30"/>
      <c r="I169" s="30"/>
      <c r="J169" s="30"/>
      <c r="K169" s="30"/>
      <c r="L169" s="30"/>
      <c r="M169" s="30"/>
      <c r="N169" s="30"/>
      <c r="O169" s="30"/>
      <c r="P169" s="30"/>
      <c r="Q169" s="30"/>
      <c r="R169" s="30"/>
      <c r="S169" s="30"/>
      <c r="T169" s="30"/>
      <c r="U169" s="30"/>
      <c r="V169" s="29" t="str">
        <f>IF(B169=SelectedScope,COUNTIFS($B$4:$B169,SelectedScope),"")</f>
        <v/>
      </c>
    </row>
    <row r="170" spans="1:22" ht="16.05" customHeight="1" x14ac:dyDescent="0.3">
      <c r="A170" s="28">
        <v>167</v>
      </c>
      <c r="B170" s="28" t="s">
        <v>529</v>
      </c>
      <c r="C170" s="28" t="s">
        <v>1181</v>
      </c>
      <c r="D170" s="28" t="s">
        <v>1027</v>
      </c>
      <c r="E170" s="28"/>
      <c r="F170" s="28"/>
      <c r="G170" s="28"/>
      <c r="H170" s="28"/>
      <c r="I170" s="28"/>
      <c r="J170" s="28"/>
      <c r="K170" s="28"/>
      <c r="L170" s="28"/>
      <c r="M170" s="28"/>
      <c r="N170" s="28"/>
      <c r="O170" s="28"/>
      <c r="P170" s="28"/>
      <c r="Q170" s="28"/>
      <c r="R170" s="28"/>
      <c r="S170" s="28"/>
      <c r="T170" s="28"/>
      <c r="U170" s="28"/>
      <c r="V170" s="29" t="str">
        <f>IF(B170=SelectedScope,COUNTIFS($B$4:$B170,SelectedScope),"")</f>
        <v/>
      </c>
    </row>
    <row r="171" spans="1:22" ht="16.05" customHeight="1" x14ac:dyDescent="0.3">
      <c r="A171" s="30">
        <v>168</v>
      </c>
      <c r="B171" s="30" t="s">
        <v>529</v>
      </c>
      <c r="C171" s="30" t="s">
        <v>590</v>
      </c>
      <c r="D171" s="30" t="s">
        <v>1027</v>
      </c>
      <c r="E171" s="30"/>
      <c r="F171" s="30"/>
      <c r="G171" s="30"/>
      <c r="H171" s="30"/>
      <c r="I171" s="30"/>
      <c r="J171" s="30"/>
      <c r="K171" s="30"/>
      <c r="L171" s="30"/>
      <c r="M171" s="30"/>
      <c r="N171" s="30"/>
      <c r="O171" s="30"/>
      <c r="P171" s="30"/>
      <c r="Q171" s="30"/>
      <c r="R171" s="30"/>
      <c r="S171" s="30"/>
      <c r="T171" s="30"/>
      <c r="U171" s="30"/>
      <c r="V171" s="29" t="str">
        <f>IF(B171=SelectedScope,COUNTIFS($B$4:$B171,SelectedScope),"")</f>
        <v/>
      </c>
    </row>
    <row r="172" spans="1:22" ht="16.05" customHeight="1" x14ac:dyDescent="0.3">
      <c r="A172" s="28">
        <v>169</v>
      </c>
      <c r="B172" s="28" t="s">
        <v>529</v>
      </c>
      <c r="C172" s="28" t="s">
        <v>1182</v>
      </c>
      <c r="D172" s="28" t="s">
        <v>1027</v>
      </c>
      <c r="E172" s="28"/>
      <c r="F172" s="28"/>
      <c r="G172" s="28"/>
      <c r="H172" s="28"/>
      <c r="I172" s="28"/>
      <c r="J172" s="28"/>
      <c r="K172" s="28"/>
      <c r="L172" s="28"/>
      <c r="M172" s="28"/>
      <c r="N172" s="28"/>
      <c r="O172" s="28"/>
      <c r="P172" s="28"/>
      <c r="Q172" s="28"/>
      <c r="R172" s="28"/>
      <c r="S172" s="28"/>
      <c r="T172" s="28"/>
      <c r="U172" s="28"/>
      <c r="V172" s="29" t="str">
        <f>IF(B172=SelectedScope,COUNTIFS($B$4:$B172,SelectedScope),"")</f>
        <v/>
      </c>
    </row>
    <row r="173" spans="1:22" ht="16.05" customHeight="1" x14ac:dyDescent="0.3">
      <c r="A173" s="30">
        <v>170</v>
      </c>
      <c r="B173" s="30" t="s">
        <v>529</v>
      </c>
      <c r="C173" s="30" t="s">
        <v>1183</v>
      </c>
      <c r="D173" s="30" t="s">
        <v>1027</v>
      </c>
      <c r="E173" s="30"/>
      <c r="F173" s="30"/>
      <c r="G173" s="30"/>
      <c r="H173" s="30"/>
      <c r="I173" s="30"/>
      <c r="J173" s="30"/>
      <c r="K173" s="30"/>
      <c r="L173" s="30"/>
      <c r="M173" s="30"/>
      <c r="N173" s="30"/>
      <c r="O173" s="30"/>
      <c r="P173" s="30"/>
      <c r="Q173" s="30"/>
      <c r="R173" s="30"/>
      <c r="S173" s="30"/>
      <c r="T173" s="30"/>
      <c r="U173" s="30"/>
      <c r="V173" s="29" t="str">
        <f>IF(B173=SelectedScope,COUNTIFS($B$4:$B173,SelectedScope),"")</f>
        <v/>
      </c>
    </row>
    <row r="174" spans="1:22" ht="16.05" customHeight="1" x14ac:dyDescent="0.3">
      <c r="A174" s="28">
        <v>171</v>
      </c>
      <c r="B174" s="28" t="s">
        <v>529</v>
      </c>
      <c r="C174" s="28" t="s">
        <v>1184</v>
      </c>
      <c r="D174" s="28" t="s">
        <v>1027</v>
      </c>
      <c r="E174" s="28"/>
      <c r="F174" s="28"/>
      <c r="G174" s="28"/>
      <c r="H174" s="28"/>
      <c r="I174" s="28"/>
      <c r="J174" s="28"/>
      <c r="K174" s="28"/>
      <c r="L174" s="28"/>
      <c r="M174" s="28"/>
      <c r="N174" s="28"/>
      <c r="O174" s="28"/>
      <c r="P174" s="28"/>
      <c r="Q174" s="28"/>
      <c r="R174" s="28"/>
      <c r="S174" s="28"/>
      <c r="T174" s="28"/>
      <c r="U174" s="28"/>
      <c r="V174" s="29" t="str">
        <f>IF(B174=SelectedScope,COUNTIFS($B$4:$B174,SelectedScope),"")</f>
        <v/>
      </c>
    </row>
    <row r="175" spans="1:22" ht="16.05" customHeight="1" x14ac:dyDescent="0.3">
      <c r="A175" s="30">
        <v>172</v>
      </c>
      <c r="B175" s="30" t="s">
        <v>529</v>
      </c>
      <c r="C175" s="30" t="s">
        <v>1185</v>
      </c>
      <c r="D175" s="30" t="s">
        <v>1027</v>
      </c>
      <c r="E175" s="30"/>
      <c r="F175" s="30"/>
      <c r="G175" s="30"/>
      <c r="H175" s="30"/>
      <c r="I175" s="30"/>
      <c r="J175" s="30"/>
      <c r="K175" s="30"/>
      <c r="L175" s="30"/>
      <c r="M175" s="30"/>
      <c r="N175" s="30"/>
      <c r="O175" s="30"/>
      <c r="P175" s="30"/>
      <c r="Q175" s="30"/>
      <c r="R175" s="30"/>
      <c r="S175" s="30"/>
      <c r="T175" s="30"/>
      <c r="U175" s="30"/>
      <c r="V175" s="29" t="str">
        <f>IF(B175=SelectedScope,COUNTIFS($B$4:$B175,SelectedScope),"")</f>
        <v/>
      </c>
    </row>
    <row r="176" spans="1:22" ht="16.05" customHeight="1" x14ac:dyDescent="0.3">
      <c r="A176" s="28">
        <v>173</v>
      </c>
      <c r="B176" s="28" t="s">
        <v>529</v>
      </c>
      <c r="C176" s="28" t="s">
        <v>1186</v>
      </c>
      <c r="D176" s="28" t="s">
        <v>1027</v>
      </c>
      <c r="E176" s="28"/>
      <c r="F176" s="28"/>
      <c r="G176" s="28"/>
      <c r="H176" s="28"/>
      <c r="I176" s="28"/>
      <c r="J176" s="28"/>
      <c r="K176" s="28"/>
      <c r="L176" s="28"/>
      <c r="M176" s="28"/>
      <c r="N176" s="28"/>
      <c r="O176" s="28"/>
      <c r="P176" s="28"/>
      <c r="Q176" s="28"/>
      <c r="R176" s="28"/>
      <c r="S176" s="28"/>
      <c r="T176" s="28"/>
      <c r="U176" s="28"/>
      <c r="V176" s="29" t="str">
        <f>IF(B176=SelectedScope,COUNTIFS($B$4:$B176,SelectedScope),"")</f>
        <v/>
      </c>
    </row>
    <row r="177" spans="1:22" ht="16.05" customHeight="1" x14ac:dyDescent="0.3">
      <c r="A177" s="30">
        <v>174</v>
      </c>
      <c r="B177" s="30" t="s">
        <v>529</v>
      </c>
      <c r="C177" s="30" t="s">
        <v>1187</v>
      </c>
      <c r="D177" s="30" t="s">
        <v>1027</v>
      </c>
      <c r="E177" s="30"/>
      <c r="F177" s="30"/>
      <c r="G177" s="30"/>
      <c r="H177" s="30"/>
      <c r="I177" s="30"/>
      <c r="J177" s="30"/>
      <c r="K177" s="30"/>
      <c r="L177" s="30"/>
      <c r="M177" s="30"/>
      <c r="N177" s="30"/>
      <c r="O177" s="30"/>
      <c r="P177" s="30"/>
      <c r="Q177" s="30"/>
      <c r="R177" s="30"/>
      <c r="S177" s="30"/>
      <c r="T177" s="30"/>
      <c r="U177" s="30"/>
      <c r="V177" s="29" t="str">
        <f>IF(B177=SelectedScope,COUNTIFS($B$4:$B177,SelectedScope),"")</f>
        <v/>
      </c>
    </row>
    <row r="178" spans="1:22" ht="16.05" customHeight="1" x14ac:dyDescent="0.3">
      <c r="A178" s="28">
        <v>175</v>
      </c>
      <c r="B178" s="28" t="s">
        <v>529</v>
      </c>
      <c r="C178" s="28" t="s">
        <v>1188</v>
      </c>
      <c r="D178" s="28" t="s">
        <v>1027</v>
      </c>
      <c r="E178" s="28"/>
      <c r="F178" s="28"/>
      <c r="G178" s="28"/>
      <c r="H178" s="28"/>
      <c r="I178" s="28"/>
      <c r="J178" s="28"/>
      <c r="K178" s="28"/>
      <c r="L178" s="28"/>
      <c r="M178" s="28"/>
      <c r="N178" s="28"/>
      <c r="O178" s="28"/>
      <c r="P178" s="28"/>
      <c r="Q178" s="28"/>
      <c r="R178" s="28"/>
      <c r="S178" s="28"/>
      <c r="T178" s="28"/>
      <c r="U178" s="28"/>
      <c r="V178" s="29" t="str">
        <f>IF(B178=SelectedScope,COUNTIFS($B$4:$B178,SelectedScope),"")</f>
        <v/>
      </c>
    </row>
    <row r="179" spans="1:22" ht="16.05" customHeight="1" x14ac:dyDescent="0.3">
      <c r="A179" s="30">
        <v>176</v>
      </c>
      <c r="B179" s="30" t="s">
        <v>529</v>
      </c>
      <c r="C179" s="30" t="s">
        <v>1189</v>
      </c>
      <c r="D179" s="30" t="s">
        <v>1027</v>
      </c>
      <c r="E179" s="30"/>
      <c r="F179" s="30"/>
      <c r="G179" s="30"/>
      <c r="H179" s="30"/>
      <c r="I179" s="30"/>
      <c r="J179" s="30"/>
      <c r="K179" s="30"/>
      <c r="L179" s="30"/>
      <c r="M179" s="30"/>
      <c r="N179" s="30"/>
      <c r="O179" s="30"/>
      <c r="P179" s="30"/>
      <c r="Q179" s="30"/>
      <c r="R179" s="30"/>
      <c r="S179" s="30"/>
      <c r="T179" s="30"/>
      <c r="U179" s="30"/>
      <c r="V179" s="29" t="str">
        <f>IF(B179=SelectedScope,COUNTIFS($B$4:$B179,SelectedScope),"")</f>
        <v/>
      </c>
    </row>
    <row r="180" spans="1:22" ht="16.05" customHeight="1" x14ac:dyDescent="0.3">
      <c r="A180" s="28">
        <v>177</v>
      </c>
      <c r="B180" s="28" t="s">
        <v>529</v>
      </c>
      <c r="C180" s="28" t="s">
        <v>1190</v>
      </c>
      <c r="D180" s="28" t="s">
        <v>1027</v>
      </c>
      <c r="E180" s="28"/>
      <c r="F180" s="28"/>
      <c r="G180" s="28"/>
      <c r="H180" s="28"/>
      <c r="I180" s="28"/>
      <c r="J180" s="28"/>
      <c r="K180" s="28"/>
      <c r="L180" s="28"/>
      <c r="M180" s="28"/>
      <c r="N180" s="28"/>
      <c r="O180" s="28"/>
      <c r="P180" s="28"/>
      <c r="Q180" s="28"/>
      <c r="R180" s="28"/>
      <c r="S180" s="28"/>
      <c r="T180" s="28"/>
      <c r="U180" s="28"/>
      <c r="V180" s="29" t="str">
        <f>IF(B180=SelectedScope,COUNTIFS($B$4:$B180,SelectedScope),"")</f>
        <v/>
      </c>
    </row>
    <row r="181" spans="1:22" ht="16.05" customHeight="1" x14ac:dyDescent="0.3">
      <c r="A181" s="30">
        <v>178</v>
      </c>
      <c r="B181" s="30" t="s">
        <v>529</v>
      </c>
      <c r="C181" s="30" t="s">
        <v>1191</v>
      </c>
      <c r="D181" s="30" t="s">
        <v>1027</v>
      </c>
      <c r="E181" s="30"/>
      <c r="F181" s="30"/>
      <c r="G181" s="30"/>
      <c r="H181" s="30"/>
      <c r="I181" s="30"/>
      <c r="J181" s="30"/>
      <c r="K181" s="30"/>
      <c r="L181" s="30"/>
      <c r="M181" s="30"/>
      <c r="N181" s="30"/>
      <c r="O181" s="30"/>
      <c r="P181" s="30"/>
      <c r="Q181" s="30"/>
      <c r="R181" s="30"/>
      <c r="S181" s="30"/>
      <c r="T181" s="30"/>
      <c r="U181" s="30"/>
      <c r="V181" s="29" t="str">
        <f>IF(B181=SelectedScope,COUNTIFS($B$4:$B181,SelectedScope),"")</f>
        <v/>
      </c>
    </row>
    <row r="182" spans="1:22" ht="16.05" customHeight="1" x14ac:dyDescent="0.3">
      <c r="A182" s="28">
        <v>179</v>
      </c>
      <c r="B182" s="28" t="s">
        <v>529</v>
      </c>
      <c r="C182" s="28" t="s">
        <v>1192</v>
      </c>
      <c r="D182" s="28" t="s">
        <v>1027</v>
      </c>
      <c r="E182" s="28"/>
      <c r="F182" s="28"/>
      <c r="G182" s="28"/>
      <c r="H182" s="28"/>
      <c r="I182" s="28"/>
      <c r="J182" s="28"/>
      <c r="K182" s="28"/>
      <c r="L182" s="28"/>
      <c r="M182" s="28"/>
      <c r="N182" s="28"/>
      <c r="O182" s="28"/>
      <c r="P182" s="28"/>
      <c r="Q182" s="28"/>
      <c r="R182" s="28"/>
      <c r="S182" s="28"/>
      <c r="T182" s="28"/>
      <c r="U182" s="28"/>
      <c r="V182" s="29" t="str">
        <f>IF(B182=SelectedScope,COUNTIFS($B$4:$B182,SelectedScope),"")</f>
        <v/>
      </c>
    </row>
    <row r="183" spans="1:22" ht="16.05" customHeight="1" x14ac:dyDescent="0.3">
      <c r="A183" s="30">
        <v>180</v>
      </c>
      <c r="B183" s="30" t="s">
        <v>529</v>
      </c>
      <c r="C183" s="30" t="s">
        <v>1193</v>
      </c>
      <c r="D183" s="30" t="s">
        <v>1027</v>
      </c>
      <c r="E183" s="30"/>
      <c r="F183" s="30"/>
      <c r="G183" s="30"/>
      <c r="H183" s="30"/>
      <c r="I183" s="30"/>
      <c r="J183" s="30"/>
      <c r="K183" s="30"/>
      <c r="L183" s="30"/>
      <c r="M183" s="30"/>
      <c r="N183" s="30"/>
      <c r="O183" s="30"/>
      <c r="P183" s="30"/>
      <c r="Q183" s="30"/>
      <c r="R183" s="30"/>
      <c r="S183" s="30"/>
      <c r="T183" s="30"/>
      <c r="U183" s="30"/>
      <c r="V183" s="29" t="str">
        <f>IF(B183=SelectedScope,COUNTIFS($B$4:$B183,SelectedScope),"")</f>
        <v/>
      </c>
    </row>
    <row r="184" spans="1:22" ht="16.05" customHeight="1" x14ac:dyDescent="0.3">
      <c r="A184" s="28">
        <v>181</v>
      </c>
      <c r="B184" s="28" t="s">
        <v>529</v>
      </c>
      <c r="C184" s="28" t="s">
        <v>1194</v>
      </c>
      <c r="D184" s="28" t="s">
        <v>1027</v>
      </c>
      <c r="E184" s="28"/>
      <c r="F184" s="28"/>
      <c r="G184" s="28"/>
      <c r="H184" s="28"/>
      <c r="I184" s="28"/>
      <c r="J184" s="28"/>
      <c r="K184" s="28"/>
      <c r="L184" s="28"/>
      <c r="M184" s="28"/>
      <c r="N184" s="28"/>
      <c r="O184" s="28"/>
      <c r="P184" s="28"/>
      <c r="Q184" s="28"/>
      <c r="R184" s="28"/>
      <c r="S184" s="28"/>
      <c r="T184" s="28"/>
      <c r="U184" s="28"/>
      <c r="V184" s="29" t="str">
        <f>IF(B184=SelectedScope,COUNTIFS($B$4:$B184,SelectedScope),"")</f>
        <v/>
      </c>
    </row>
    <row r="185" spans="1:22" ht="16.05" customHeight="1" x14ac:dyDescent="0.3">
      <c r="A185" s="30">
        <v>182</v>
      </c>
      <c r="B185" s="30" t="s">
        <v>529</v>
      </c>
      <c r="C185" s="30" t="s">
        <v>1195</v>
      </c>
      <c r="D185" s="30" t="s">
        <v>1027</v>
      </c>
      <c r="E185" s="30"/>
      <c r="F185" s="30"/>
      <c r="G185" s="30"/>
      <c r="H185" s="30"/>
      <c r="I185" s="30"/>
      <c r="J185" s="30"/>
      <c r="K185" s="30"/>
      <c r="L185" s="30"/>
      <c r="M185" s="30"/>
      <c r="N185" s="30"/>
      <c r="O185" s="30"/>
      <c r="P185" s="30"/>
      <c r="Q185" s="30"/>
      <c r="R185" s="30"/>
      <c r="S185" s="30"/>
      <c r="T185" s="30"/>
      <c r="U185" s="30"/>
      <c r="V185" s="29" t="str">
        <f>IF(B185=SelectedScope,COUNTIFS($B$4:$B185,SelectedScope),"")</f>
        <v/>
      </c>
    </row>
    <row r="186" spans="1:22" ht="16.05" customHeight="1" x14ac:dyDescent="0.3">
      <c r="A186" s="28">
        <v>183</v>
      </c>
      <c r="B186" s="28" t="s">
        <v>529</v>
      </c>
      <c r="C186" s="28" t="s">
        <v>1196</v>
      </c>
      <c r="D186" s="28" t="s">
        <v>1027</v>
      </c>
      <c r="E186" s="28"/>
      <c r="F186" s="28"/>
      <c r="G186" s="28"/>
      <c r="H186" s="28"/>
      <c r="I186" s="28"/>
      <c r="J186" s="28"/>
      <c r="K186" s="28"/>
      <c r="L186" s="28"/>
      <c r="M186" s="28"/>
      <c r="N186" s="28"/>
      <c r="O186" s="28"/>
      <c r="P186" s="28"/>
      <c r="Q186" s="28"/>
      <c r="R186" s="28"/>
      <c r="S186" s="28"/>
      <c r="T186" s="28"/>
      <c r="U186" s="28"/>
      <c r="V186" s="29" t="str">
        <f>IF(B186=SelectedScope,COUNTIFS($B$4:$B186,SelectedScope),"")</f>
        <v/>
      </c>
    </row>
    <row r="187" spans="1:22" ht="16.05" customHeight="1" x14ac:dyDescent="0.3">
      <c r="A187" s="30">
        <v>184</v>
      </c>
      <c r="B187" s="30" t="s">
        <v>529</v>
      </c>
      <c r="C187" s="30" t="s">
        <v>1197</v>
      </c>
      <c r="D187" s="30" t="s">
        <v>1027</v>
      </c>
      <c r="E187" s="30"/>
      <c r="F187" s="30"/>
      <c r="G187" s="30"/>
      <c r="H187" s="30"/>
      <c r="I187" s="30"/>
      <c r="J187" s="30"/>
      <c r="K187" s="30"/>
      <c r="L187" s="30"/>
      <c r="M187" s="30"/>
      <c r="N187" s="30"/>
      <c r="O187" s="30"/>
      <c r="P187" s="30"/>
      <c r="Q187" s="30"/>
      <c r="R187" s="30"/>
      <c r="S187" s="30"/>
      <c r="T187" s="30"/>
      <c r="U187" s="30"/>
      <c r="V187" s="29" t="str">
        <f>IF(B187=SelectedScope,COUNTIFS($B$4:$B187,SelectedScope),"")</f>
        <v/>
      </c>
    </row>
    <row r="188" spans="1:22" ht="16.05" customHeight="1" x14ac:dyDescent="0.3">
      <c r="A188" s="28">
        <v>185</v>
      </c>
      <c r="B188" s="28" t="s">
        <v>529</v>
      </c>
      <c r="C188" s="28" t="s">
        <v>1198</v>
      </c>
      <c r="D188" s="28" t="s">
        <v>1027</v>
      </c>
      <c r="E188" s="28"/>
      <c r="F188" s="28"/>
      <c r="G188" s="28"/>
      <c r="H188" s="28"/>
      <c r="I188" s="28"/>
      <c r="J188" s="28"/>
      <c r="K188" s="28"/>
      <c r="L188" s="28"/>
      <c r="M188" s="28"/>
      <c r="N188" s="28"/>
      <c r="O188" s="28"/>
      <c r="P188" s="28"/>
      <c r="Q188" s="28"/>
      <c r="R188" s="28"/>
      <c r="S188" s="28"/>
      <c r="T188" s="28"/>
      <c r="U188" s="28"/>
      <c r="V188" s="29" t="str">
        <f>IF(B188=SelectedScope,COUNTIFS($B$4:$B188,SelectedScope),"")</f>
        <v/>
      </c>
    </row>
    <row r="189" spans="1:22" ht="16.05" customHeight="1" x14ac:dyDescent="0.3">
      <c r="A189" s="30">
        <v>186</v>
      </c>
      <c r="B189" s="30" t="s">
        <v>529</v>
      </c>
      <c r="C189" s="30" t="s">
        <v>1199</v>
      </c>
      <c r="D189" s="30" t="s">
        <v>1027</v>
      </c>
      <c r="E189" s="30"/>
      <c r="F189" s="30"/>
      <c r="G189" s="30"/>
      <c r="H189" s="30"/>
      <c r="I189" s="30"/>
      <c r="J189" s="30"/>
      <c r="K189" s="30"/>
      <c r="L189" s="30"/>
      <c r="M189" s="30"/>
      <c r="N189" s="30"/>
      <c r="O189" s="30"/>
      <c r="P189" s="30"/>
      <c r="Q189" s="30"/>
      <c r="R189" s="30"/>
      <c r="S189" s="30"/>
      <c r="T189" s="30"/>
      <c r="U189" s="30"/>
      <c r="V189" s="29" t="str">
        <f>IF(B189=SelectedScope,COUNTIFS($B$4:$B189,SelectedScope),"")</f>
        <v/>
      </c>
    </row>
    <row r="190" spans="1:22" ht="16.05" customHeight="1" x14ac:dyDescent="0.3">
      <c r="A190" s="28">
        <v>187</v>
      </c>
      <c r="B190" s="28" t="s">
        <v>529</v>
      </c>
      <c r="C190" s="28" t="s">
        <v>1200</v>
      </c>
      <c r="D190" s="28" t="s">
        <v>1027</v>
      </c>
      <c r="E190" s="28"/>
      <c r="F190" s="28"/>
      <c r="G190" s="28"/>
      <c r="H190" s="28"/>
      <c r="I190" s="28"/>
      <c r="J190" s="28"/>
      <c r="K190" s="28"/>
      <c r="L190" s="28"/>
      <c r="M190" s="28"/>
      <c r="N190" s="28"/>
      <c r="O190" s="28"/>
      <c r="P190" s="28"/>
      <c r="Q190" s="28"/>
      <c r="R190" s="28"/>
      <c r="S190" s="28"/>
      <c r="T190" s="28"/>
      <c r="U190" s="28"/>
      <c r="V190" s="29" t="str">
        <f>IF(B190=SelectedScope,COUNTIFS($B$4:$B190,SelectedScope),"")</f>
        <v/>
      </c>
    </row>
    <row r="191" spans="1:22" ht="16.05" customHeight="1" x14ac:dyDescent="0.3">
      <c r="A191" s="30">
        <v>188</v>
      </c>
      <c r="B191" s="30" t="s">
        <v>529</v>
      </c>
      <c r="C191" s="30" t="s">
        <v>1201</v>
      </c>
      <c r="D191" s="30" t="s">
        <v>1027</v>
      </c>
      <c r="E191" s="30"/>
      <c r="F191" s="30"/>
      <c r="G191" s="30"/>
      <c r="H191" s="30"/>
      <c r="I191" s="30"/>
      <c r="J191" s="30"/>
      <c r="K191" s="30"/>
      <c r="L191" s="30"/>
      <c r="M191" s="30"/>
      <c r="N191" s="30"/>
      <c r="O191" s="30"/>
      <c r="P191" s="30"/>
      <c r="Q191" s="30"/>
      <c r="R191" s="30"/>
      <c r="S191" s="30"/>
      <c r="T191" s="30"/>
      <c r="U191" s="30"/>
      <c r="V191" s="29" t="str">
        <f>IF(B191=SelectedScope,COUNTIFS($B$4:$B191,SelectedScope),"")</f>
        <v/>
      </c>
    </row>
    <row r="192" spans="1:22" ht="16.05" customHeight="1" x14ac:dyDescent="0.3">
      <c r="A192" s="28">
        <v>189</v>
      </c>
      <c r="B192" s="28" t="s">
        <v>529</v>
      </c>
      <c r="C192" s="28" t="s">
        <v>1202</v>
      </c>
      <c r="D192" s="28" t="s">
        <v>1027</v>
      </c>
      <c r="E192" s="28"/>
      <c r="F192" s="28"/>
      <c r="G192" s="28"/>
      <c r="H192" s="28"/>
      <c r="I192" s="28"/>
      <c r="J192" s="28"/>
      <c r="K192" s="28"/>
      <c r="L192" s="28"/>
      <c r="M192" s="28"/>
      <c r="N192" s="28"/>
      <c r="O192" s="28"/>
      <c r="P192" s="28"/>
      <c r="Q192" s="28"/>
      <c r="R192" s="28"/>
      <c r="S192" s="28"/>
      <c r="T192" s="28"/>
      <c r="U192" s="28"/>
      <c r="V192" s="29" t="str">
        <f>IF(B192=SelectedScope,COUNTIFS($B$4:$B192,SelectedScope),"")</f>
        <v/>
      </c>
    </row>
    <row r="193" spans="1:22" ht="16.05" customHeight="1" x14ac:dyDescent="0.3">
      <c r="A193" s="30">
        <v>190</v>
      </c>
      <c r="B193" s="30" t="s">
        <v>529</v>
      </c>
      <c r="C193" s="30" t="s">
        <v>1203</v>
      </c>
      <c r="D193" s="30" t="s">
        <v>1027</v>
      </c>
      <c r="E193" s="30"/>
      <c r="F193" s="30"/>
      <c r="G193" s="30"/>
      <c r="H193" s="30"/>
      <c r="I193" s="30"/>
      <c r="J193" s="30"/>
      <c r="K193" s="30"/>
      <c r="L193" s="30"/>
      <c r="M193" s="30"/>
      <c r="N193" s="30"/>
      <c r="O193" s="30"/>
      <c r="P193" s="30"/>
      <c r="Q193" s="30"/>
      <c r="R193" s="30"/>
      <c r="S193" s="30"/>
      <c r="T193" s="30"/>
      <c r="U193" s="30"/>
      <c r="V193" s="29" t="str">
        <f>IF(B193=SelectedScope,COUNTIFS($B$4:$B193,SelectedScope),"")</f>
        <v/>
      </c>
    </row>
    <row r="194" spans="1:22" ht="16.05" customHeight="1" x14ac:dyDescent="0.3">
      <c r="A194" s="28">
        <v>191</v>
      </c>
      <c r="B194" s="28" t="s">
        <v>530</v>
      </c>
      <c r="C194" s="28" t="s">
        <v>1204</v>
      </c>
      <c r="D194" s="28" t="s">
        <v>1027</v>
      </c>
      <c r="E194" s="28"/>
      <c r="F194" s="28"/>
      <c r="G194" s="28"/>
      <c r="H194" s="28"/>
      <c r="I194" s="28"/>
      <c r="J194" s="28"/>
      <c r="K194" s="28"/>
      <c r="L194" s="28"/>
      <c r="M194" s="28"/>
      <c r="N194" s="28"/>
      <c r="O194" s="28"/>
      <c r="P194" s="28"/>
      <c r="Q194" s="28"/>
      <c r="R194" s="28"/>
      <c r="S194" s="28"/>
      <c r="T194" s="28"/>
      <c r="U194" s="28"/>
      <c r="V194" s="29" t="str">
        <f>IF(B194=SelectedScope,COUNTIFS($B$4:$B194,SelectedScope),"")</f>
        <v/>
      </c>
    </row>
    <row r="195" spans="1:22" ht="16.05" customHeight="1" x14ac:dyDescent="0.3">
      <c r="A195" s="30">
        <v>192</v>
      </c>
      <c r="B195" s="30" t="s">
        <v>530</v>
      </c>
      <c r="C195" s="30" t="s">
        <v>1205</v>
      </c>
      <c r="D195" s="30" t="s">
        <v>1027</v>
      </c>
      <c r="E195" s="30"/>
      <c r="F195" s="30"/>
      <c r="G195" s="30"/>
      <c r="H195" s="30"/>
      <c r="I195" s="30"/>
      <c r="J195" s="30"/>
      <c r="K195" s="30"/>
      <c r="L195" s="30"/>
      <c r="M195" s="30"/>
      <c r="N195" s="30"/>
      <c r="O195" s="30"/>
      <c r="P195" s="30"/>
      <c r="Q195" s="30"/>
      <c r="R195" s="30"/>
      <c r="S195" s="30"/>
      <c r="T195" s="30"/>
      <c r="U195" s="30"/>
      <c r="V195" s="29" t="str">
        <f>IF(B195=SelectedScope,COUNTIFS($B$4:$B195,SelectedScope),"")</f>
        <v/>
      </c>
    </row>
    <row r="196" spans="1:22" ht="16.05" customHeight="1" x14ac:dyDescent="0.3">
      <c r="A196" s="28">
        <v>193</v>
      </c>
      <c r="B196" s="28" t="s">
        <v>530</v>
      </c>
      <c r="C196" s="28" t="s">
        <v>1206</v>
      </c>
      <c r="D196" s="28" t="s">
        <v>1027</v>
      </c>
      <c r="E196" s="28"/>
      <c r="F196" s="28"/>
      <c r="G196" s="28"/>
      <c r="H196" s="28"/>
      <c r="I196" s="28"/>
      <c r="J196" s="28"/>
      <c r="K196" s="28"/>
      <c r="L196" s="28"/>
      <c r="M196" s="28"/>
      <c r="N196" s="28"/>
      <c r="O196" s="28"/>
      <c r="P196" s="28"/>
      <c r="Q196" s="28"/>
      <c r="R196" s="28"/>
      <c r="S196" s="28"/>
      <c r="T196" s="28"/>
      <c r="U196" s="28"/>
      <c r="V196" s="29" t="str">
        <f>IF(B196=SelectedScope,COUNTIFS($B$4:$B196,SelectedScope),"")</f>
        <v/>
      </c>
    </row>
    <row r="197" spans="1:22" ht="16.05" customHeight="1" x14ac:dyDescent="0.3">
      <c r="A197" s="30">
        <v>194</v>
      </c>
      <c r="B197" s="30" t="s">
        <v>530</v>
      </c>
      <c r="C197" s="30" t="s">
        <v>1207</v>
      </c>
      <c r="D197" s="30" t="s">
        <v>1027</v>
      </c>
      <c r="E197" s="30"/>
      <c r="F197" s="30"/>
      <c r="G197" s="30"/>
      <c r="H197" s="30"/>
      <c r="I197" s="30"/>
      <c r="J197" s="30"/>
      <c r="K197" s="30"/>
      <c r="L197" s="30"/>
      <c r="M197" s="30"/>
      <c r="N197" s="30"/>
      <c r="O197" s="30"/>
      <c r="P197" s="30"/>
      <c r="Q197" s="30"/>
      <c r="R197" s="30"/>
      <c r="S197" s="30"/>
      <c r="T197" s="30"/>
      <c r="U197" s="30"/>
      <c r="V197" s="29" t="str">
        <f>IF(B197=SelectedScope,COUNTIFS($B$4:$B197,SelectedScope),"")</f>
        <v/>
      </c>
    </row>
    <row r="198" spans="1:22" ht="16.05" customHeight="1" x14ac:dyDescent="0.3">
      <c r="A198" s="28">
        <v>195</v>
      </c>
      <c r="B198" s="28" t="s">
        <v>530</v>
      </c>
      <c r="C198" s="28" t="s">
        <v>1208</v>
      </c>
      <c r="D198" s="28" t="s">
        <v>1027</v>
      </c>
      <c r="E198" s="28"/>
      <c r="F198" s="28"/>
      <c r="G198" s="28"/>
      <c r="H198" s="28"/>
      <c r="I198" s="28"/>
      <c r="J198" s="28"/>
      <c r="K198" s="28"/>
      <c r="L198" s="28"/>
      <c r="M198" s="28"/>
      <c r="N198" s="28"/>
      <c r="O198" s="28"/>
      <c r="P198" s="28"/>
      <c r="Q198" s="28"/>
      <c r="R198" s="28"/>
      <c r="S198" s="28"/>
      <c r="T198" s="28"/>
      <c r="U198" s="28"/>
      <c r="V198" s="29" t="str">
        <f>IF(B198=SelectedScope,COUNTIFS($B$4:$B198,SelectedScope),"")</f>
        <v/>
      </c>
    </row>
    <row r="199" spans="1:22" ht="16.05" customHeight="1" x14ac:dyDescent="0.3">
      <c r="A199" s="30">
        <v>196</v>
      </c>
      <c r="B199" s="30" t="s">
        <v>530</v>
      </c>
      <c r="C199" s="30" t="s">
        <v>1209</v>
      </c>
      <c r="D199" s="30" t="s">
        <v>1027</v>
      </c>
      <c r="E199" s="30"/>
      <c r="F199" s="30"/>
      <c r="G199" s="30"/>
      <c r="H199" s="30"/>
      <c r="I199" s="30"/>
      <c r="J199" s="30"/>
      <c r="K199" s="30"/>
      <c r="L199" s="30"/>
      <c r="M199" s="30"/>
      <c r="N199" s="30"/>
      <c r="O199" s="30"/>
      <c r="P199" s="30"/>
      <c r="Q199" s="30"/>
      <c r="R199" s="30"/>
      <c r="S199" s="30"/>
      <c r="T199" s="30"/>
      <c r="U199" s="30"/>
      <c r="V199" s="29" t="str">
        <f>IF(B199=SelectedScope,COUNTIFS($B$4:$B199,SelectedScope),"")</f>
        <v/>
      </c>
    </row>
    <row r="200" spans="1:22" ht="16.05" customHeight="1" x14ac:dyDescent="0.3">
      <c r="A200" s="28">
        <v>197</v>
      </c>
      <c r="B200" s="28" t="s">
        <v>530</v>
      </c>
      <c r="C200" s="28" t="s">
        <v>1210</v>
      </c>
      <c r="D200" s="28" t="s">
        <v>1027</v>
      </c>
      <c r="E200" s="28"/>
      <c r="F200" s="28"/>
      <c r="G200" s="28"/>
      <c r="H200" s="28"/>
      <c r="I200" s="28"/>
      <c r="J200" s="28"/>
      <c r="K200" s="28"/>
      <c r="L200" s="28"/>
      <c r="M200" s="28"/>
      <c r="N200" s="28"/>
      <c r="O200" s="28"/>
      <c r="P200" s="28"/>
      <c r="Q200" s="28"/>
      <c r="R200" s="28"/>
      <c r="S200" s="28"/>
      <c r="T200" s="28"/>
      <c r="U200" s="28"/>
      <c r="V200" s="29" t="str">
        <f>IF(B200=SelectedScope,COUNTIFS($B$4:$B200,SelectedScope),"")</f>
        <v/>
      </c>
    </row>
    <row r="201" spans="1:22" ht="16.05" customHeight="1" x14ac:dyDescent="0.3">
      <c r="A201" s="30">
        <v>198</v>
      </c>
      <c r="B201" s="30" t="s">
        <v>530</v>
      </c>
      <c r="C201" s="30" t="s">
        <v>1211</v>
      </c>
      <c r="D201" s="30" t="s">
        <v>1027</v>
      </c>
      <c r="E201" s="30"/>
      <c r="F201" s="30"/>
      <c r="G201" s="30"/>
      <c r="H201" s="30"/>
      <c r="I201" s="30"/>
      <c r="J201" s="30"/>
      <c r="K201" s="30"/>
      <c r="L201" s="30"/>
      <c r="M201" s="30"/>
      <c r="N201" s="30"/>
      <c r="O201" s="30"/>
      <c r="P201" s="30"/>
      <c r="Q201" s="30"/>
      <c r="R201" s="30"/>
      <c r="S201" s="30"/>
      <c r="T201" s="30"/>
      <c r="U201" s="30"/>
      <c r="V201" s="29" t="str">
        <f>IF(B201=SelectedScope,COUNTIFS($B$4:$B201,SelectedScope),"")</f>
        <v/>
      </c>
    </row>
    <row r="202" spans="1:22" ht="16.05" customHeight="1" x14ac:dyDescent="0.3">
      <c r="A202" s="28">
        <v>199</v>
      </c>
      <c r="B202" s="28" t="s">
        <v>530</v>
      </c>
      <c r="C202" s="28" t="s">
        <v>1212</v>
      </c>
      <c r="D202" s="28" t="s">
        <v>1027</v>
      </c>
      <c r="E202" s="28"/>
      <c r="F202" s="28"/>
      <c r="G202" s="28"/>
      <c r="H202" s="28"/>
      <c r="I202" s="28"/>
      <c r="J202" s="28"/>
      <c r="K202" s="28"/>
      <c r="L202" s="28"/>
      <c r="M202" s="28"/>
      <c r="N202" s="28"/>
      <c r="O202" s="28"/>
      <c r="P202" s="28"/>
      <c r="Q202" s="28"/>
      <c r="R202" s="28"/>
      <c r="S202" s="28"/>
      <c r="T202" s="28"/>
      <c r="U202" s="28"/>
      <c r="V202" s="29" t="str">
        <f>IF(B202=SelectedScope,COUNTIFS($B$4:$B202,SelectedScope),"")</f>
        <v/>
      </c>
    </row>
    <row r="203" spans="1:22" ht="16.05" customHeight="1" x14ac:dyDescent="0.3">
      <c r="A203" s="30">
        <v>200</v>
      </c>
      <c r="B203" s="30" t="s">
        <v>530</v>
      </c>
      <c r="C203" s="30" t="s">
        <v>1213</v>
      </c>
      <c r="D203" s="30" t="s">
        <v>1027</v>
      </c>
      <c r="E203" s="30"/>
      <c r="F203" s="30"/>
      <c r="G203" s="30"/>
      <c r="H203" s="30"/>
      <c r="I203" s="30"/>
      <c r="J203" s="30"/>
      <c r="K203" s="30"/>
      <c r="L203" s="30"/>
      <c r="M203" s="30"/>
      <c r="N203" s="30"/>
      <c r="O203" s="30"/>
      <c r="P203" s="30"/>
      <c r="Q203" s="30"/>
      <c r="R203" s="30"/>
      <c r="S203" s="30"/>
      <c r="T203" s="30"/>
      <c r="U203" s="30"/>
      <c r="V203" s="29" t="str">
        <f>IF(B203=SelectedScope,COUNTIFS($B$4:$B203,SelectedScope),"")</f>
        <v/>
      </c>
    </row>
    <row r="204" spans="1:22" ht="16.05" customHeight="1" x14ac:dyDescent="0.3">
      <c r="A204" s="28">
        <v>201</v>
      </c>
      <c r="B204" s="28" t="s">
        <v>530</v>
      </c>
      <c r="C204" s="28" t="s">
        <v>1214</v>
      </c>
      <c r="D204" s="28" t="s">
        <v>1027</v>
      </c>
      <c r="E204" s="28"/>
      <c r="F204" s="28"/>
      <c r="G204" s="28"/>
      <c r="H204" s="28"/>
      <c r="I204" s="28"/>
      <c r="J204" s="28"/>
      <c r="K204" s="28"/>
      <c r="L204" s="28"/>
      <c r="M204" s="28"/>
      <c r="N204" s="28"/>
      <c r="O204" s="28"/>
      <c r="P204" s="28"/>
      <c r="Q204" s="28"/>
      <c r="R204" s="28"/>
      <c r="S204" s="28"/>
      <c r="T204" s="28"/>
      <c r="U204" s="28"/>
      <c r="V204" s="29" t="str">
        <f>IF(B204=SelectedScope,COUNTIFS($B$4:$B204,SelectedScope),"")</f>
        <v/>
      </c>
    </row>
    <row r="205" spans="1:22" ht="16.05" customHeight="1" x14ac:dyDescent="0.3">
      <c r="A205" s="30">
        <v>202</v>
      </c>
      <c r="B205" s="30" t="s">
        <v>530</v>
      </c>
      <c r="C205" s="30" t="s">
        <v>1215</v>
      </c>
      <c r="D205" s="30" t="s">
        <v>1027</v>
      </c>
      <c r="E205" s="30"/>
      <c r="F205" s="30"/>
      <c r="G205" s="30"/>
      <c r="H205" s="30"/>
      <c r="I205" s="30"/>
      <c r="J205" s="30"/>
      <c r="K205" s="30"/>
      <c r="L205" s="30"/>
      <c r="M205" s="30"/>
      <c r="N205" s="30"/>
      <c r="O205" s="30"/>
      <c r="P205" s="30"/>
      <c r="Q205" s="30"/>
      <c r="R205" s="30"/>
      <c r="S205" s="30"/>
      <c r="T205" s="30"/>
      <c r="U205" s="30"/>
      <c r="V205" s="29" t="str">
        <f>IF(B205=SelectedScope,COUNTIFS($B$4:$B205,SelectedScope),"")</f>
        <v/>
      </c>
    </row>
    <row r="206" spans="1:22" ht="16.05" customHeight="1" x14ac:dyDescent="0.3">
      <c r="A206" s="28">
        <v>203</v>
      </c>
      <c r="B206" s="28" t="s">
        <v>530</v>
      </c>
      <c r="C206" s="28" t="s">
        <v>1216</v>
      </c>
      <c r="D206" s="28" t="s">
        <v>1027</v>
      </c>
      <c r="E206" s="28"/>
      <c r="F206" s="28"/>
      <c r="G206" s="28"/>
      <c r="H206" s="28"/>
      <c r="I206" s="28"/>
      <c r="J206" s="28"/>
      <c r="K206" s="28"/>
      <c r="L206" s="28"/>
      <c r="M206" s="28"/>
      <c r="N206" s="28"/>
      <c r="O206" s="28"/>
      <c r="P206" s="28"/>
      <c r="Q206" s="28"/>
      <c r="R206" s="28"/>
      <c r="S206" s="28"/>
      <c r="T206" s="28"/>
      <c r="U206" s="28"/>
      <c r="V206" s="29" t="str">
        <f>IF(B206=SelectedScope,COUNTIFS($B$4:$B206,SelectedScope),"")</f>
        <v/>
      </c>
    </row>
    <row r="207" spans="1:22" ht="16.05" customHeight="1" x14ac:dyDescent="0.3">
      <c r="A207" s="30">
        <v>204</v>
      </c>
      <c r="B207" s="30" t="s">
        <v>530</v>
      </c>
      <c r="C207" s="30" t="s">
        <v>1217</v>
      </c>
      <c r="D207" s="30" t="s">
        <v>1027</v>
      </c>
      <c r="E207" s="30"/>
      <c r="F207" s="30"/>
      <c r="G207" s="30"/>
      <c r="H207" s="30"/>
      <c r="I207" s="30"/>
      <c r="J207" s="30"/>
      <c r="K207" s="30"/>
      <c r="L207" s="30"/>
      <c r="M207" s="30"/>
      <c r="N207" s="30"/>
      <c r="O207" s="30"/>
      <c r="P207" s="30"/>
      <c r="Q207" s="30"/>
      <c r="R207" s="30"/>
      <c r="S207" s="30"/>
      <c r="T207" s="30"/>
      <c r="U207" s="30"/>
      <c r="V207" s="29" t="str">
        <f>IF(B207=SelectedScope,COUNTIFS($B$4:$B207,SelectedScope),"")</f>
        <v/>
      </c>
    </row>
    <row r="208" spans="1:22" ht="16.05" customHeight="1" x14ac:dyDescent="0.3">
      <c r="A208" s="28">
        <v>205</v>
      </c>
      <c r="B208" s="28" t="s">
        <v>530</v>
      </c>
      <c r="C208" s="28" t="s">
        <v>1218</v>
      </c>
      <c r="D208" s="28" t="s">
        <v>1027</v>
      </c>
      <c r="E208" s="28"/>
      <c r="F208" s="28"/>
      <c r="G208" s="28"/>
      <c r="H208" s="28"/>
      <c r="I208" s="28"/>
      <c r="J208" s="28"/>
      <c r="K208" s="28"/>
      <c r="L208" s="28"/>
      <c r="M208" s="28"/>
      <c r="N208" s="28"/>
      <c r="O208" s="28"/>
      <c r="P208" s="28"/>
      <c r="Q208" s="28"/>
      <c r="R208" s="28"/>
      <c r="S208" s="28"/>
      <c r="T208" s="28"/>
      <c r="U208" s="28"/>
      <c r="V208" s="29" t="str">
        <f>IF(B208=SelectedScope,COUNTIFS($B$4:$B208,SelectedScope),"")</f>
        <v/>
      </c>
    </row>
    <row r="209" spans="1:22" ht="16.05" customHeight="1" x14ac:dyDescent="0.3">
      <c r="A209" s="30">
        <v>206</v>
      </c>
      <c r="B209" s="30" t="s">
        <v>530</v>
      </c>
      <c r="C209" s="30" t="s">
        <v>1219</v>
      </c>
      <c r="D209" s="30" t="s">
        <v>1027</v>
      </c>
      <c r="E209" s="30"/>
      <c r="F209" s="30"/>
      <c r="G209" s="30"/>
      <c r="H209" s="30"/>
      <c r="I209" s="30"/>
      <c r="J209" s="30"/>
      <c r="K209" s="30"/>
      <c r="L209" s="30"/>
      <c r="M209" s="30"/>
      <c r="N209" s="30"/>
      <c r="O209" s="30"/>
      <c r="P209" s="30"/>
      <c r="Q209" s="30"/>
      <c r="R209" s="30"/>
      <c r="S209" s="30"/>
      <c r="T209" s="30"/>
      <c r="U209" s="30"/>
      <c r="V209" s="29" t="str">
        <f>IF(B209=SelectedScope,COUNTIFS($B$4:$B209,SelectedScope),"")</f>
        <v/>
      </c>
    </row>
    <row r="210" spans="1:22" ht="16.05" customHeight="1" x14ac:dyDescent="0.3">
      <c r="A210" s="28">
        <v>207</v>
      </c>
      <c r="B210" s="28" t="s">
        <v>530</v>
      </c>
      <c r="C210" s="28" t="s">
        <v>1220</v>
      </c>
      <c r="D210" s="28" t="s">
        <v>1027</v>
      </c>
      <c r="E210" s="28"/>
      <c r="F210" s="28"/>
      <c r="G210" s="28"/>
      <c r="H210" s="28"/>
      <c r="I210" s="28"/>
      <c r="J210" s="28"/>
      <c r="K210" s="28"/>
      <c r="L210" s="28"/>
      <c r="M210" s="28"/>
      <c r="N210" s="28"/>
      <c r="O210" s="28"/>
      <c r="P210" s="28"/>
      <c r="Q210" s="28"/>
      <c r="R210" s="28"/>
      <c r="S210" s="28"/>
      <c r="T210" s="28"/>
      <c r="U210" s="28"/>
      <c r="V210" s="29" t="str">
        <f>IF(B210=SelectedScope,COUNTIFS($B$4:$B210,SelectedScope),"")</f>
        <v/>
      </c>
    </row>
    <row r="211" spans="1:22" ht="16.05" customHeight="1" x14ac:dyDescent="0.3">
      <c r="A211" s="30">
        <v>208</v>
      </c>
      <c r="B211" s="30" t="s">
        <v>530</v>
      </c>
      <c r="C211" s="30" t="s">
        <v>1221</v>
      </c>
      <c r="D211" s="30" t="s">
        <v>1027</v>
      </c>
      <c r="E211" s="30"/>
      <c r="F211" s="30"/>
      <c r="G211" s="30"/>
      <c r="H211" s="30"/>
      <c r="I211" s="30"/>
      <c r="J211" s="30"/>
      <c r="K211" s="30"/>
      <c r="L211" s="30"/>
      <c r="M211" s="30"/>
      <c r="N211" s="30"/>
      <c r="O211" s="30"/>
      <c r="P211" s="30"/>
      <c r="Q211" s="30"/>
      <c r="R211" s="30"/>
      <c r="S211" s="30"/>
      <c r="T211" s="30"/>
      <c r="U211" s="30"/>
      <c r="V211" s="29" t="str">
        <f>IF(B211=SelectedScope,COUNTIFS($B$4:$B211,SelectedScope),"")</f>
        <v/>
      </c>
    </row>
    <row r="212" spans="1:22" ht="16.05" customHeight="1" x14ac:dyDescent="0.3">
      <c r="A212" s="28">
        <v>209</v>
      </c>
      <c r="B212" s="28" t="s">
        <v>530</v>
      </c>
      <c r="C212" s="28" t="s">
        <v>1222</v>
      </c>
      <c r="D212" s="28" t="s">
        <v>1027</v>
      </c>
      <c r="E212" s="28"/>
      <c r="F212" s="28"/>
      <c r="G212" s="28"/>
      <c r="H212" s="28"/>
      <c r="I212" s="28"/>
      <c r="J212" s="28"/>
      <c r="K212" s="28"/>
      <c r="L212" s="28"/>
      <c r="M212" s="28"/>
      <c r="N212" s="28"/>
      <c r="O212" s="28"/>
      <c r="P212" s="28"/>
      <c r="Q212" s="28"/>
      <c r="R212" s="28"/>
      <c r="S212" s="28"/>
      <c r="T212" s="28"/>
      <c r="U212" s="28"/>
      <c r="V212" s="29" t="str">
        <f>IF(B212=SelectedScope,COUNTIFS($B$4:$B212,SelectedScope),"")</f>
        <v/>
      </c>
    </row>
    <row r="213" spans="1:22" ht="16.05" customHeight="1" x14ac:dyDescent="0.3">
      <c r="A213" s="30">
        <v>210</v>
      </c>
      <c r="B213" s="30" t="s">
        <v>530</v>
      </c>
      <c r="C213" s="30" t="s">
        <v>1223</v>
      </c>
      <c r="D213" s="30" t="s">
        <v>1027</v>
      </c>
      <c r="E213" s="30"/>
      <c r="F213" s="30"/>
      <c r="G213" s="30"/>
      <c r="H213" s="30"/>
      <c r="I213" s="30"/>
      <c r="J213" s="30"/>
      <c r="K213" s="30"/>
      <c r="L213" s="30"/>
      <c r="M213" s="30"/>
      <c r="N213" s="30"/>
      <c r="O213" s="30"/>
      <c r="P213" s="30"/>
      <c r="Q213" s="30"/>
      <c r="R213" s="30"/>
      <c r="S213" s="30"/>
      <c r="T213" s="30"/>
      <c r="U213" s="30"/>
      <c r="V213" s="29" t="str">
        <f>IF(B213=SelectedScope,COUNTIFS($B$4:$B213,SelectedScope),"")</f>
        <v/>
      </c>
    </row>
    <row r="214" spans="1:22" ht="16.05" customHeight="1" x14ac:dyDescent="0.3">
      <c r="A214" s="28">
        <v>211</v>
      </c>
      <c r="B214" s="28" t="s">
        <v>530</v>
      </c>
      <c r="C214" s="28" t="s">
        <v>1224</v>
      </c>
      <c r="D214" s="28" t="s">
        <v>1027</v>
      </c>
      <c r="E214" s="28"/>
      <c r="F214" s="28"/>
      <c r="G214" s="28"/>
      <c r="H214" s="28"/>
      <c r="I214" s="28"/>
      <c r="J214" s="28"/>
      <c r="K214" s="28"/>
      <c r="L214" s="28"/>
      <c r="M214" s="28"/>
      <c r="N214" s="28"/>
      <c r="O214" s="28"/>
      <c r="P214" s="28"/>
      <c r="Q214" s="28"/>
      <c r="R214" s="28"/>
      <c r="S214" s="28"/>
      <c r="T214" s="28"/>
      <c r="U214" s="28"/>
      <c r="V214" s="29" t="str">
        <f>IF(B214=SelectedScope,COUNTIFS($B$4:$B214,SelectedScope),"")</f>
        <v/>
      </c>
    </row>
    <row r="215" spans="1:22" ht="16.05" customHeight="1" x14ac:dyDescent="0.3">
      <c r="A215" s="30">
        <v>212</v>
      </c>
      <c r="B215" s="30" t="s">
        <v>530</v>
      </c>
      <c r="C215" s="30" t="s">
        <v>1225</v>
      </c>
      <c r="D215" s="30" t="s">
        <v>1027</v>
      </c>
      <c r="E215" s="30"/>
      <c r="F215" s="30"/>
      <c r="G215" s="30"/>
      <c r="H215" s="30"/>
      <c r="I215" s="30"/>
      <c r="J215" s="30"/>
      <c r="K215" s="30"/>
      <c r="L215" s="30"/>
      <c r="M215" s="30"/>
      <c r="N215" s="30"/>
      <c r="O215" s="30"/>
      <c r="P215" s="30"/>
      <c r="Q215" s="30"/>
      <c r="R215" s="30"/>
      <c r="S215" s="30"/>
      <c r="T215" s="30"/>
      <c r="U215" s="30"/>
      <c r="V215" s="29" t="str">
        <f>IF(B215=SelectedScope,COUNTIFS($B$4:$B215,SelectedScope),"")</f>
        <v/>
      </c>
    </row>
    <row r="216" spans="1:22" ht="16.05" customHeight="1" x14ac:dyDescent="0.3">
      <c r="A216" s="28">
        <v>213</v>
      </c>
      <c r="B216" s="28" t="s">
        <v>531</v>
      </c>
      <c r="C216" s="28" t="s">
        <v>1138</v>
      </c>
      <c r="D216" s="28" t="s">
        <v>1027</v>
      </c>
      <c r="E216" s="28"/>
      <c r="F216" s="28"/>
      <c r="G216" s="28"/>
      <c r="H216" s="28"/>
      <c r="I216" s="28"/>
      <c r="J216" s="28"/>
      <c r="K216" s="28"/>
      <c r="L216" s="28"/>
      <c r="M216" s="28"/>
      <c r="N216" s="28"/>
      <c r="O216" s="28"/>
      <c r="P216" s="28"/>
      <c r="Q216" s="28"/>
      <c r="R216" s="28"/>
      <c r="S216" s="28"/>
      <c r="T216" s="28"/>
      <c r="U216" s="28"/>
      <c r="V216" s="29" t="str">
        <f>IF(B216=SelectedScope,COUNTIFS($B$4:$B216,SelectedScope),"")</f>
        <v/>
      </c>
    </row>
    <row r="217" spans="1:22" ht="16.05" customHeight="1" x14ac:dyDescent="0.3">
      <c r="A217" s="30">
        <v>214</v>
      </c>
      <c r="B217" s="30" t="s">
        <v>531</v>
      </c>
      <c r="C217" s="30" t="s">
        <v>591</v>
      </c>
      <c r="D217" s="30" t="s">
        <v>1027</v>
      </c>
      <c r="E217" s="30"/>
      <c r="F217" s="30"/>
      <c r="G217" s="30"/>
      <c r="H217" s="30"/>
      <c r="I217" s="30"/>
      <c r="J217" s="30"/>
      <c r="K217" s="30"/>
      <c r="L217" s="30"/>
      <c r="M217" s="30"/>
      <c r="N217" s="30"/>
      <c r="O217" s="30"/>
      <c r="P217" s="30"/>
      <c r="Q217" s="30"/>
      <c r="R217" s="30"/>
      <c r="S217" s="30"/>
      <c r="T217" s="30"/>
      <c r="U217" s="30"/>
      <c r="V217" s="29" t="str">
        <f>IF(B217=SelectedScope,COUNTIFS($B$4:$B217,SelectedScope),"")</f>
        <v/>
      </c>
    </row>
    <row r="218" spans="1:22" ht="16.05" customHeight="1" x14ac:dyDescent="0.3">
      <c r="A218" s="28">
        <v>215</v>
      </c>
      <c r="B218" s="28" t="s">
        <v>531</v>
      </c>
      <c r="C218" s="28" t="s">
        <v>1226</v>
      </c>
      <c r="D218" s="28" t="s">
        <v>1027</v>
      </c>
      <c r="E218" s="28"/>
      <c r="F218" s="28"/>
      <c r="G218" s="28"/>
      <c r="H218" s="28"/>
      <c r="I218" s="28"/>
      <c r="J218" s="28"/>
      <c r="K218" s="28"/>
      <c r="L218" s="28"/>
      <c r="M218" s="28"/>
      <c r="N218" s="28"/>
      <c r="O218" s="28"/>
      <c r="P218" s="28"/>
      <c r="Q218" s="28"/>
      <c r="R218" s="28"/>
      <c r="S218" s="28"/>
      <c r="T218" s="28"/>
      <c r="U218" s="28"/>
      <c r="V218" s="29" t="str">
        <f>IF(B218=SelectedScope,COUNTIFS($B$4:$B218,SelectedScope),"")</f>
        <v/>
      </c>
    </row>
    <row r="219" spans="1:22" ht="16.05" customHeight="1" x14ac:dyDescent="0.3">
      <c r="A219" s="30">
        <v>216</v>
      </c>
      <c r="B219" s="30" t="s">
        <v>531</v>
      </c>
      <c r="C219" s="30" t="s">
        <v>1227</v>
      </c>
      <c r="D219" s="30" t="s">
        <v>1027</v>
      </c>
      <c r="E219" s="30"/>
      <c r="F219" s="30"/>
      <c r="G219" s="30"/>
      <c r="H219" s="30"/>
      <c r="I219" s="30"/>
      <c r="J219" s="30"/>
      <c r="K219" s="30"/>
      <c r="L219" s="30"/>
      <c r="M219" s="30"/>
      <c r="N219" s="30"/>
      <c r="O219" s="30"/>
      <c r="P219" s="30"/>
      <c r="Q219" s="30"/>
      <c r="R219" s="30"/>
      <c r="S219" s="30"/>
      <c r="T219" s="30"/>
      <c r="U219" s="30"/>
      <c r="V219" s="29" t="str">
        <f>IF(B219=SelectedScope,COUNTIFS($B$4:$B219,SelectedScope),"")</f>
        <v/>
      </c>
    </row>
    <row r="220" spans="1:22" ht="16.05" customHeight="1" x14ac:dyDescent="0.3">
      <c r="A220" s="28">
        <v>217</v>
      </c>
      <c r="B220" s="28" t="s">
        <v>531</v>
      </c>
      <c r="C220" s="28" t="s">
        <v>1228</v>
      </c>
      <c r="D220" s="28" t="s">
        <v>1027</v>
      </c>
      <c r="E220" s="28"/>
      <c r="F220" s="28"/>
      <c r="G220" s="28"/>
      <c r="H220" s="28"/>
      <c r="I220" s="28"/>
      <c r="J220" s="28"/>
      <c r="K220" s="28"/>
      <c r="L220" s="28"/>
      <c r="M220" s="28"/>
      <c r="N220" s="28"/>
      <c r="O220" s="28"/>
      <c r="P220" s="28"/>
      <c r="Q220" s="28"/>
      <c r="R220" s="28"/>
      <c r="S220" s="28"/>
      <c r="T220" s="28"/>
      <c r="U220" s="28"/>
      <c r="V220" s="29" t="str">
        <f>IF(B220=SelectedScope,COUNTIFS($B$4:$B220,SelectedScope),"")</f>
        <v/>
      </c>
    </row>
    <row r="221" spans="1:22" ht="16.05" customHeight="1" x14ac:dyDescent="0.3">
      <c r="A221" s="30">
        <v>218</v>
      </c>
      <c r="B221" s="30" t="s">
        <v>531</v>
      </c>
      <c r="C221" s="30" t="s">
        <v>1229</v>
      </c>
      <c r="D221" s="30" t="s">
        <v>1027</v>
      </c>
      <c r="E221" s="30"/>
      <c r="F221" s="30"/>
      <c r="G221" s="30"/>
      <c r="H221" s="30"/>
      <c r="I221" s="30"/>
      <c r="J221" s="30"/>
      <c r="K221" s="30"/>
      <c r="L221" s="30"/>
      <c r="M221" s="30"/>
      <c r="N221" s="30"/>
      <c r="O221" s="30"/>
      <c r="P221" s="30"/>
      <c r="Q221" s="30"/>
      <c r="R221" s="30"/>
      <c r="S221" s="30"/>
      <c r="T221" s="30"/>
      <c r="U221" s="30"/>
      <c r="V221" s="29" t="str">
        <f>IF(B221=SelectedScope,COUNTIFS($B$4:$B221,SelectedScope),"")</f>
        <v/>
      </c>
    </row>
    <row r="222" spans="1:22" ht="16.05" customHeight="1" x14ac:dyDescent="0.3">
      <c r="A222" s="28">
        <v>219</v>
      </c>
      <c r="B222" s="28" t="s">
        <v>531</v>
      </c>
      <c r="C222" s="28" t="s">
        <v>1230</v>
      </c>
      <c r="D222" s="28" t="s">
        <v>1027</v>
      </c>
      <c r="E222" s="28"/>
      <c r="F222" s="28"/>
      <c r="G222" s="28"/>
      <c r="H222" s="28"/>
      <c r="I222" s="28"/>
      <c r="J222" s="28"/>
      <c r="K222" s="28"/>
      <c r="L222" s="28"/>
      <c r="M222" s="28"/>
      <c r="N222" s="28"/>
      <c r="O222" s="28"/>
      <c r="P222" s="28"/>
      <c r="Q222" s="28"/>
      <c r="R222" s="28"/>
      <c r="S222" s="28"/>
      <c r="T222" s="28"/>
      <c r="U222" s="28"/>
      <c r="V222" s="29" t="str">
        <f>IF(B222=SelectedScope,COUNTIFS($B$4:$B222,SelectedScope),"")</f>
        <v/>
      </c>
    </row>
    <row r="223" spans="1:22" ht="16.05" customHeight="1" x14ac:dyDescent="0.3">
      <c r="A223" s="30">
        <v>220</v>
      </c>
      <c r="B223" s="30" t="s">
        <v>531</v>
      </c>
      <c r="C223" s="30" t="s">
        <v>1231</v>
      </c>
      <c r="D223" s="30" t="s">
        <v>1027</v>
      </c>
      <c r="E223" s="30"/>
      <c r="F223" s="30"/>
      <c r="G223" s="30"/>
      <c r="H223" s="30"/>
      <c r="I223" s="30"/>
      <c r="J223" s="30"/>
      <c r="K223" s="30"/>
      <c r="L223" s="30"/>
      <c r="M223" s="30"/>
      <c r="N223" s="30"/>
      <c r="O223" s="30"/>
      <c r="P223" s="30"/>
      <c r="Q223" s="30"/>
      <c r="R223" s="30"/>
      <c r="S223" s="30"/>
      <c r="T223" s="30"/>
      <c r="U223" s="30"/>
      <c r="V223" s="29" t="str">
        <f>IF(B223=SelectedScope,COUNTIFS($B$4:$B223,SelectedScope),"")</f>
        <v/>
      </c>
    </row>
    <row r="224" spans="1:22" ht="16.05" customHeight="1" x14ac:dyDescent="0.3">
      <c r="A224" s="28">
        <v>221</v>
      </c>
      <c r="B224" s="28" t="s">
        <v>531</v>
      </c>
      <c r="C224" s="28" t="s">
        <v>1232</v>
      </c>
      <c r="D224" s="28" t="s">
        <v>1027</v>
      </c>
      <c r="E224" s="28"/>
      <c r="F224" s="28"/>
      <c r="G224" s="28"/>
      <c r="H224" s="28"/>
      <c r="I224" s="28"/>
      <c r="J224" s="28"/>
      <c r="K224" s="28"/>
      <c r="L224" s="28"/>
      <c r="M224" s="28"/>
      <c r="N224" s="28"/>
      <c r="O224" s="28"/>
      <c r="P224" s="28"/>
      <c r="Q224" s="28"/>
      <c r="R224" s="28"/>
      <c r="S224" s="28"/>
      <c r="T224" s="28"/>
      <c r="U224" s="28"/>
      <c r="V224" s="29" t="str">
        <f>IF(B224=SelectedScope,COUNTIFS($B$4:$B224,SelectedScope),"")</f>
        <v/>
      </c>
    </row>
    <row r="225" spans="1:22" ht="16.05" customHeight="1" x14ac:dyDescent="0.3">
      <c r="A225" s="30">
        <v>222</v>
      </c>
      <c r="B225" s="30" t="s">
        <v>531</v>
      </c>
      <c r="C225" s="30" t="s">
        <v>1233</v>
      </c>
      <c r="D225" s="30" t="s">
        <v>1027</v>
      </c>
      <c r="E225" s="30"/>
      <c r="F225" s="30"/>
      <c r="G225" s="30"/>
      <c r="H225" s="30"/>
      <c r="I225" s="30"/>
      <c r="J225" s="30"/>
      <c r="K225" s="30"/>
      <c r="L225" s="30"/>
      <c r="M225" s="30"/>
      <c r="N225" s="30"/>
      <c r="O225" s="30"/>
      <c r="P225" s="30"/>
      <c r="Q225" s="30"/>
      <c r="R225" s="30"/>
      <c r="S225" s="30"/>
      <c r="T225" s="30"/>
      <c r="U225" s="30"/>
      <c r="V225" s="29" t="str">
        <f>IF(B225=SelectedScope,COUNTIFS($B$4:$B225,SelectedScope),"")</f>
        <v/>
      </c>
    </row>
    <row r="226" spans="1:22" ht="16.05" customHeight="1" x14ac:dyDescent="0.3">
      <c r="A226" s="28">
        <v>223</v>
      </c>
      <c r="B226" s="28" t="s">
        <v>531</v>
      </c>
      <c r="C226" s="28" t="s">
        <v>1234</v>
      </c>
      <c r="D226" s="28" t="s">
        <v>1027</v>
      </c>
      <c r="E226" s="28"/>
      <c r="F226" s="28"/>
      <c r="G226" s="28"/>
      <c r="H226" s="28"/>
      <c r="I226" s="28"/>
      <c r="J226" s="28"/>
      <c r="K226" s="28"/>
      <c r="L226" s="28"/>
      <c r="M226" s="28"/>
      <c r="N226" s="28"/>
      <c r="O226" s="28"/>
      <c r="P226" s="28"/>
      <c r="Q226" s="28"/>
      <c r="R226" s="28"/>
      <c r="S226" s="28"/>
      <c r="T226" s="28"/>
      <c r="U226" s="28"/>
      <c r="V226" s="29" t="str">
        <f>IF(B226=SelectedScope,COUNTIFS($B$4:$B226,SelectedScope),"")</f>
        <v/>
      </c>
    </row>
    <row r="227" spans="1:22" ht="16.05" customHeight="1" x14ac:dyDescent="0.3">
      <c r="A227" s="30">
        <v>224</v>
      </c>
      <c r="B227" s="30" t="s">
        <v>531</v>
      </c>
      <c r="C227" s="30" t="s">
        <v>1235</v>
      </c>
      <c r="D227" s="30" t="s">
        <v>1027</v>
      </c>
      <c r="E227" s="30"/>
      <c r="F227" s="30"/>
      <c r="G227" s="30"/>
      <c r="H227" s="30"/>
      <c r="I227" s="30"/>
      <c r="J227" s="30"/>
      <c r="K227" s="30"/>
      <c r="L227" s="30"/>
      <c r="M227" s="30"/>
      <c r="N227" s="30"/>
      <c r="O227" s="30"/>
      <c r="P227" s="30"/>
      <c r="Q227" s="30"/>
      <c r="R227" s="30"/>
      <c r="S227" s="30"/>
      <c r="T227" s="30"/>
      <c r="U227" s="30"/>
      <c r="V227" s="29" t="str">
        <f>IF(B227=SelectedScope,COUNTIFS($B$4:$B227,SelectedScope),"")</f>
        <v/>
      </c>
    </row>
    <row r="228" spans="1:22" ht="16.05" customHeight="1" x14ac:dyDescent="0.3">
      <c r="A228" s="28">
        <v>225</v>
      </c>
      <c r="B228" s="28" t="s">
        <v>532</v>
      </c>
      <c r="C228" s="28" t="s">
        <v>1236</v>
      </c>
      <c r="D228" s="28" t="s">
        <v>1027</v>
      </c>
      <c r="E228" s="28"/>
      <c r="F228" s="28"/>
      <c r="G228" s="28"/>
      <c r="H228" s="28"/>
      <c r="I228" s="28"/>
      <c r="J228" s="28"/>
      <c r="K228" s="28"/>
      <c r="L228" s="28"/>
      <c r="M228" s="28"/>
      <c r="N228" s="28"/>
      <c r="O228" s="28"/>
      <c r="P228" s="28"/>
      <c r="Q228" s="28"/>
      <c r="R228" s="28"/>
      <c r="S228" s="28"/>
      <c r="T228" s="28"/>
      <c r="U228" s="28"/>
      <c r="V228" s="29" t="str">
        <f>IF(B228=SelectedScope,COUNTIFS($B$4:$B228,SelectedScope),"")</f>
        <v/>
      </c>
    </row>
    <row r="229" spans="1:22" ht="16.05" customHeight="1" x14ac:dyDescent="0.3">
      <c r="A229" s="30">
        <v>226</v>
      </c>
      <c r="B229" s="30" t="s">
        <v>532</v>
      </c>
      <c r="C229" s="30" t="s">
        <v>1237</v>
      </c>
      <c r="D229" s="30" t="s">
        <v>1027</v>
      </c>
      <c r="E229" s="30"/>
      <c r="F229" s="30"/>
      <c r="G229" s="30"/>
      <c r="H229" s="30"/>
      <c r="I229" s="30"/>
      <c r="J229" s="30"/>
      <c r="K229" s="30"/>
      <c r="L229" s="30"/>
      <c r="M229" s="30"/>
      <c r="N229" s="30"/>
      <c r="O229" s="30"/>
      <c r="P229" s="30"/>
      <c r="Q229" s="30"/>
      <c r="R229" s="30"/>
      <c r="S229" s="30"/>
      <c r="T229" s="30"/>
      <c r="U229" s="30"/>
      <c r="V229" s="29" t="str">
        <f>IF(B229=SelectedScope,COUNTIFS($B$4:$B229,SelectedScope),"")</f>
        <v/>
      </c>
    </row>
    <row r="230" spans="1:22" ht="16.05" customHeight="1" x14ac:dyDescent="0.3">
      <c r="A230" s="28">
        <v>227</v>
      </c>
      <c r="B230" s="28" t="s">
        <v>532</v>
      </c>
      <c r="C230" s="28" t="s">
        <v>1238</v>
      </c>
      <c r="D230" s="28" t="s">
        <v>1027</v>
      </c>
      <c r="E230" s="28"/>
      <c r="F230" s="28"/>
      <c r="G230" s="28"/>
      <c r="H230" s="28"/>
      <c r="I230" s="28"/>
      <c r="J230" s="28"/>
      <c r="K230" s="28"/>
      <c r="L230" s="28"/>
      <c r="M230" s="28"/>
      <c r="N230" s="28"/>
      <c r="O230" s="28"/>
      <c r="P230" s="28"/>
      <c r="Q230" s="28"/>
      <c r="R230" s="28"/>
      <c r="S230" s="28"/>
      <c r="T230" s="28"/>
      <c r="U230" s="28"/>
      <c r="V230" s="29" t="str">
        <f>IF(B230=SelectedScope,COUNTIFS($B$4:$B230,SelectedScope),"")</f>
        <v/>
      </c>
    </row>
    <row r="231" spans="1:22" ht="16.05" customHeight="1" x14ac:dyDescent="0.3">
      <c r="A231" s="30">
        <v>228</v>
      </c>
      <c r="B231" s="30" t="s">
        <v>532</v>
      </c>
      <c r="C231" s="30" t="s">
        <v>1239</v>
      </c>
      <c r="D231" s="30" t="s">
        <v>1027</v>
      </c>
      <c r="E231" s="30"/>
      <c r="F231" s="30"/>
      <c r="G231" s="30"/>
      <c r="H231" s="30"/>
      <c r="I231" s="30"/>
      <c r="J231" s="30"/>
      <c r="K231" s="30"/>
      <c r="L231" s="30"/>
      <c r="M231" s="30"/>
      <c r="N231" s="30"/>
      <c r="O231" s="30"/>
      <c r="P231" s="30"/>
      <c r="Q231" s="30"/>
      <c r="R231" s="30"/>
      <c r="S231" s="30"/>
      <c r="T231" s="30"/>
      <c r="U231" s="30"/>
      <c r="V231" s="29" t="str">
        <f>IF(B231=SelectedScope,COUNTIFS($B$4:$B231,SelectedScope),"")</f>
        <v/>
      </c>
    </row>
    <row r="232" spans="1:22" ht="16.05" customHeight="1" x14ac:dyDescent="0.3">
      <c r="A232" s="28">
        <v>229</v>
      </c>
      <c r="B232" s="28" t="s">
        <v>532</v>
      </c>
      <c r="C232" s="28" t="s">
        <v>1240</v>
      </c>
      <c r="D232" s="28" t="s">
        <v>1027</v>
      </c>
      <c r="E232" s="28"/>
      <c r="F232" s="28"/>
      <c r="G232" s="28"/>
      <c r="H232" s="28"/>
      <c r="I232" s="28"/>
      <c r="J232" s="28"/>
      <c r="K232" s="28"/>
      <c r="L232" s="28"/>
      <c r="M232" s="28"/>
      <c r="N232" s="28"/>
      <c r="O232" s="28"/>
      <c r="P232" s="28"/>
      <c r="Q232" s="28"/>
      <c r="R232" s="28"/>
      <c r="S232" s="28"/>
      <c r="T232" s="28"/>
      <c r="U232" s="28"/>
      <c r="V232" s="29" t="str">
        <f>IF(B232=SelectedScope,COUNTIFS($B$4:$B232,SelectedScope),"")</f>
        <v/>
      </c>
    </row>
    <row r="233" spans="1:22" ht="16.05" customHeight="1" x14ac:dyDescent="0.3">
      <c r="A233" s="30">
        <v>230</v>
      </c>
      <c r="B233" s="30" t="s">
        <v>532</v>
      </c>
      <c r="C233" s="30" t="s">
        <v>1241</v>
      </c>
      <c r="D233" s="30" t="s">
        <v>1027</v>
      </c>
      <c r="E233" s="30"/>
      <c r="F233" s="30"/>
      <c r="G233" s="30"/>
      <c r="H233" s="30"/>
      <c r="I233" s="30"/>
      <c r="J233" s="30"/>
      <c r="K233" s="30"/>
      <c r="L233" s="30"/>
      <c r="M233" s="30"/>
      <c r="N233" s="30"/>
      <c r="O233" s="30"/>
      <c r="P233" s="30"/>
      <c r="Q233" s="30"/>
      <c r="R233" s="30"/>
      <c r="S233" s="30"/>
      <c r="T233" s="30"/>
      <c r="U233" s="30"/>
      <c r="V233" s="29" t="str">
        <f>IF(B233=SelectedScope,COUNTIFS($B$4:$B233,SelectedScope),"")</f>
        <v/>
      </c>
    </row>
    <row r="234" spans="1:22" ht="16.05" customHeight="1" x14ac:dyDescent="0.3">
      <c r="A234" s="28">
        <v>231</v>
      </c>
      <c r="B234" s="28" t="s">
        <v>532</v>
      </c>
      <c r="C234" s="28" t="s">
        <v>1242</v>
      </c>
      <c r="D234" s="28" t="s">
        <v>1027</v>
      </c>
      <c r="E234" s="28"/>
      <c r="F234" s="28"/>
      <c r="G234" s="28"/>
      <c r="H234" s="28"/>
      <c r="I234" s="28"/>
      <c r="J234" s="28"/>
      <c r="K234" s="28"/>
      <c r="L234" s="28"/>
      <c r="M234" s="28"/>
      <c r="N234" s="28"/>
      <c r="O234" s="28"/>
      <c r="P234" s="28"/>
      <c r="Q234" s="28"/>
      <c r="R234" s="28"/>
      <c r="S234" s="28"/>
      <c r="T234" s="28"/>
      <c r="U234" s="28"/>
      <c r="V234" s="29" t="str">
        <f>IF(B234=SelectedScope,COUNTIFS($B$4:$B234,SelectedScope),"")</f>
        <v/>
      </c>
    </row>
    <row r="235" spans="1:22" ht="16.05" customHeight="1" x14ac:dyDescent="0.3">
      <c r="A235" s="30">
        <v>232</v>
      </c>
      <c r="B235" s="30" t="s">
        <v>532</v>
      </c>
      <c r="C235" s="30" t="s">
        <v>1243</v>
      </c>
      <c r="D235" s="30" t="s">
        <v>1027</v>
      </c>
      <c r="E235" s="30"/>
      <c r="F235" s="30"/>
      <c r="G235" s="30"/>
      <c r="H235" s="30"/>
      <c r="I235" s="30"/>
      <c r="J235" s="30"/>
      <c r="K235" s="30"/>
      <c r="L235" s="30"/>
      <c r="M235" s="30"/>
      <c r="N235" s="30"/>
      <c r="O235" s="30"/>
      <c r="P235" s="30"/>
      <c r="Q235" s="30"/>
      <c r="R235" s="30"/>
      <c r="S235" s="30"/>
      <c r="T235" s="30"/>
      <c r="U235" s="30"/>
      <c r="V235" s="29" t="str">
        <f>IF(B235=SelectedScope,COUNTIFS($B$4:$B235,SelectedScope),"")</f>
        <v/>
      </c>
    </row>
    <row r="236" spans="1:22" ht="16.05" customHeight="1" x14ac:dyDescent="0.3">
      <c r="A236" s="28">
        <v>233</v>
      </c>
      <c r="B236" s="28" t="s">
        <v>532</v>
      </c>
      <c r="C236" s="28" t="s">
        <v>1244</v>
      </c>
      <c r="D236" s="28" t="s">
        <v>1027</v>
      </c>
      <c r="E236" s="28"/>
      <c r="F236" s="28"/>
      <c r="G236" s="28"/>
      <c r="H236" s="28"/>
      <c r="I236" s="28"/>
      <c r="J236" s="28"/>
      <c r="K236" s="28"/>
      <c r="L236" s="28"/>
      <c r="M236" s="28"/>
      <c r="N236" s="28"/>
      <c r="O236" s="28"/>
      <c r="P236" s="28"/>
      <c r="Q236" s="28"/>
      <c r="R236" s="28"/>
      <c r="S236" s="28"/>
      <c r="T236" s="28"/>
      <c r="U236" s="28"/>
      <c r="V236" s="29" t="str">
        <f>IF(B236=SelectedScope,COUNTIFS($B$4:$B236,SelectedScope),"")</f>
        <v/>
      </c>
    </row>
    <row r="237" spans="1:22" ht="16.05" customHeight="1" x14ac:dyDescent="0.3">
      <c r="A237" s="30">
        <v>234</v>
      </c>
      <c r="B237" s="30" t="s">
        <v>532</v>
      </c>
      <c r="C237" s="30" t="s">
        <v>1245</v>
      </c>
      <c r="D237" s="30" t="s">
        <v>1027</v>
      </c>
      <c r="E237" s="30"/>
      <c r="F237" s="30"/>
      <c r="G237" s="30"/>
      <c r="H237" s="30"/>
      <c r="I237" s="30"/>
      <c r="J237" s="30"/>
      <c r="K237" s="30"/>
      <c r="L237" s="30"/>
      <c r="M237" s="30"/>
      <c r="N237" s="30"/>
      <c r="O237" s="30"/>
      <c r="P237" s="30"/>
      <c r="Q237" s="30"/>
      <c r="R237" s="30"/>
      <c r="S237" s="30"/>
      <c r="T237" s="30"/>
      <c r="U237" s="30"/>
      <c r="V237" s="29" t="str">
        <f>IF(B237=SelectedScope,COUNTIFS($B$4:$B237,SelectedScope),"")</f>
        <v/>
      </c>
    </row>
    <row r="238" spans="1:22" ht="16.05" customHeight="1" x14ac:dyDescent="0.3">
      <c r="A238" s="28">
        <v>235</v>
      </c>
      <c r="B238" s="28" t="s">
        <v>532</v>
      </c>
      <c r="C238" s="28" t="s">
        <v>1246</v>
      </c>
      <c r="D238" s="28" t="s">
        <v>1027</v>
      </c>
      <c r="E238" s="28"/>
      <c r="F238" s="28"/>
      <c r="G238" s="28"/>
      <c r="H238" s="28"/>
      <c r="I238" s="28"/>
      <c r="J238" s="28"/>
      <c r="K238" s="28"/>
      <c r="L238" s="28"/>
      <c r="M238" s="28"/>
      <c r="N238" s="28"/>
      <c r="O238" s="28"/>
      <c r="P238" s="28"/>
      <c r="Q238" s="28"/>
      <c r="R238" s="28"/>
      <c r="S238" s="28"/>
      <c r="T238" s="28"/>
      <c r="U238" s="28"/>
      <c r="V238" s="29" t="str">
        <f>IF(B238=SelectedScope,COUNTIFS($B$4:$B238,SelectedScope),"")</f>
        <v/>
      </c>
    </row>
    <row r="239" spans="1:22" ht="16.05" customHeight="1" x14ac:dyDescent="0.3">
      <c r="A239" s="30">
        <v>236</v>
      </c>
      <c r="B239" s="30" t="s">
        <v>532</v>
      </c>
      <c r="C239" s="30" t="s">
        <v>1247</v>
      </c>
      <c r="D239" s="30" t="s">
        <v>1027</v>
      </c>
      <c r="E239" s="30"/>
      <c r="F239" s="30"/>
      <c r="G239" s="30"/>
      <c r="H239" s="30"/>
      <c r="I239" s="30"/>
      <c r="J239" s="30"/>
      <c r="K239" s="30"/>
      <c r="L239" s="30"/>
      <c r="M239" s="30"/>
      <c r="N239" s="30"/>
      <c r="O239" s="30"/>
      <c r="P239" s="30"/>
      <c r="Q239" s="30"/>
      <c r="R239" s="30"/>
      <c r="S239" s="30"/>
      <c r="T239" s="30"/>
      <c r="U239" s="30"/>
      <c r="V239" s="29" t="str">
        <f>IF(B239=SelectedScope,COUNTIFS($B$4:$B239,SelectedScope),"")</f>
        <v/>
      </c>
    </row>
    <row r="240" spans="1:22" ht="16.05" customHeight="1" x14ac:dyDescent="0.3">
      <c r="A240" s="28">
        <v>237</v>
      </c>
      <c r="B240" s="28" t="s">
        <v>532</v>
      </c>
      <c r="C240" s="28" t="s">
        <v>1248</v>
      </c>
      <c r="D240" s="28" t="s">
        <v>1027</v>
      </c>
      <c r="E240" s="28"/>
      <c r="F240" s="28"/>
      <c r="G240" s="28"/>
      <c r="H240" s="28"/>
      <c r="I240" s="28"/>
      <c r="J240" s="28"/>
      <c r="K240" s="28"/>
      <c r="L240" s="28"/>
      <c r="M240" s="28"/>
      <c r="N240" s="28"/>
      <c r="O240" s="28"/>
      <c r="P240" s="28"/>
      <c r="Q240" s="28"/>
      <c r="R240" s="28"/>
      <c r="S240" s="28"/>
      <c r="T240" s="28"/>
      <c r="U240" s="28"/>
      <c r="V240" s="29" t="str">
        <f>IF(B240=SelectedScope,COUNTIFS($B$4:$B240,SelectedScope),"")</f>
        <v/>
      </c>
    </row>
    <row r="241" spans="1:22" ht="16.05" customHeight="1" x14ac:dyDescent="0.3">
      <c r="A241" s="30">
        <v>238</v>
      </c>
      <c r="B241" s="30" t="s">
        <v>532</v>
      </c>
      <c r="C241" s="30" t="s">
        <v>1249</v>
      </c>
      <c r="D241" s="30" t="s">
        <v>1027</v>
      </c>
      <c r="E241" s="30"/>
      <c r="F241" s="30"/>
      <c r="G241" s="30"/>
      <c r="H241" s="30"/>
      <c r="I241" s="30"/>
      <c r="J241" s="30"/>
      <c r="K241" s="30"/>
      <c r="L241" s="30"/>
      <c r="M241" s="30"/>
      <c r="N241" s="30"/>
      <c r="O241" s="30"/>
      <c r="P241" s="30"/>
      <c r="Q241" s="30"/>
      <c r="R241" s="30"/>
      <c r="S241" s="30"/>
      <c r="T241" s="30"/>
      <c r="U241" s="30"/>
      <c r="V241" s="29" t="str">
        <f>IF(B241=SelectedScope,COUNTIFS($B$4:$B241,SelectedScope),"")</f>
        <v/>
      </c>
    </row>
    <row r="242" spans="1:22" ht="16.05" customHeight="1" x14ac:dyDescent="0.3">
      <c r="A242" s="28">
        <v>239</v>
      </c>
      <c r="B242" s="28" t="s">
        <v>532</v>
      </c>
      <c r="C242" s="28" t="s">
        <v>1250</v>
      </c>
      <c r="D242" s="28" t="s">
        <v>1027</v>
      </c>
      <c r="E242" s="28"/>
      <c r="F242" s="28"/>
      <c r="G242" s="28"/>
      <c r="H242" s="28"/>
      <c r="I242" s="28"/>
      <c r="J242" s="28"/>
      <c r="K242" s="28"/>
      <c r="L242" s="28"/>
      <c r="M242" s="28"/>
      <c r="N242" s="28"/>
      <c r="O242" s="28"/>
      <c r="P242" s="28"/>
      <c r="Q242" s="28"/>
      <c r="R242" s="28"/>
      <c r="S242" s="28"/>
      <c r="T242" s="28"/>
      <c r="U242" s="28"/>
      <c r="V242" s="29" t="str">
        <f>IF(B242=SelectedScope,COUNTIFS($B$4:$B242,SelectedScope),"")</f>
        <v/>
      </c>
    </row>
    <row r="243" spans="1:22" ht="16.05" customHeight="1" x14ac:dyDescent="0.3">
      <c r="A243" s="30">
        <v>240</v>
      </c>
      <c r="B243" s="30" t="s">
        <v>532</v>
      </c>
      <c r="C243" s="30" t="s">
        <v>1251</v>
      </c>
      <c r="D243" s="30" t="s">
        <v>1027</v>
      </c>
      <c r="E243" s="30"/>
      <c r="F243" s="30"/>
      <c r="G243" s="30"/>
      <c r="H243" s="30"/>
      <c r="I243" s="30"/>
      <c r="J243" s="30"/>
      <c r="K243" s="30"/>
      <c r="L243" s="30"/>
      <c r="M243" s="30"/>
      <c r="N243" s="30"/>
      <c r="O243" s="30"/>
      <c r="P243" s="30"/>
      <c r="Q243" s="30"/>
      <c r="R243" s="30"/>
      <c r="S243" s="30"/>
      <c r="T243" s="30"/>
      <c r="U243" s="30"/>
      <c r="V243" s="29" t="str">
        <f>IF(B243=SelectedScope,COUNTIFS($B$4:$B243,SelectedScope),"")</f>
        <v/>
      </c>
    </row>
    <row r="244" spans="1:22" ht="16.05" customHeight="1" x14ac:dyDescent="0.3">
      <c r="A244" s="28">
        <v>241</v>
      </c>
      <c r="B244" s="28" t="s">
        <v>532</v>
      </c>
      <c r="C244" s="28" t="s">
        <v>1252</v>
      </c>
      <c r="D244" s="28" t="s">
        <v>1027</v>
      </c>
      <c r="E244" s="28"/>
      <c r="F244" s="28"/>
      <c r="G244" s="28"/>
      <c r="H244" s="28"/>
      <c r="I244" s="28"/>
      <c r="J244" s="28"/>
      <c r="K244" s="28"/>
      <c r="L244" s="28"/>
      <c r="M244" s="28"/>
      <c r="N244" s="28"/>
      <c r="O244" s="28"/>
      <c r="P244" s="28"/>
      <c r="Q244" s="28"/>
      <c r="R244" s="28"/>
      <c r="S244" s="28"/>
      <c r="T244" s="28"/>
      <c r="U244" s="28"/>
      <c r="V244" s="29" t="str">
        <f>IF(B244=SelectedScope,COUNTIFS($B$4:$B244,SelectedScope),"")</f>
        <v/>
      </c>
    </row>
    <row r="245" spans="1:22" ht="16.05" customHeight="1" x14ac:dyDescent="0.3">
      <c r="A245" s="30">
        <v>242</v>
      </c>
      <c r="B245" s="30" t="s">
        <v>532</v>
      </c>
      <c r="C245" s="30" t="s">
        <v>1253</v>
      </c>
      <c r="D245" s="30" t="s">
        <v>1027</v>
      </c>
      <c r="E245" s="30"/>
      <c r="F245" s="30"/>
      <c r="G245" s="30"/>
      <c r="H245" s="30"/>
      <c r="I245" s="30"/>
      <c r="J245" s="30"/>
      <c r="K245" s="30"/>
      <c r="L245" s="30"/>
      <c r="M245" s="30"/>
      <c r="N245" s="30"/>
      <c r="O245" s="30"/>
      <c r="P245" s="30"/>
      <c r="Q245" s="30"/>
      <c r="R245" s="30"/>
      <c r="S245" s="30"/>
      <c r="T245" s="30"/>
      <c r="U245" s="30"/>
      <c r="V245" s="29" t="str">
        <f>IF(B245=SelectedScope,COUNTIFS($B$4:$B245,SelectedScope),"")</f>
        <v/>
      </c>
    </row>
    <row r="246" spans="1:22" ht="16.05" customHeight="1" x14ac:dyDescent="0.3">
      <c r="A246" s="28">
        <v>243</v>
      </c>
      <c r="B246" s="28" t="s">
        <v>532</v>
      </c>
      <c r="C246" s="28" t="s">
        <v>1254</v>
      </c>
      <c r="D246" s="28" t="s">
        <v>1027</v>
      </c>
      <c r="E246" s="28"/>
      <c r="F246" s="28"/>
      <c r="G246" s="28"/>
      <c r="H246" s="28"/>
      <c r="I246" s="28"/>
      <c r="J246" s="28"/>
      <c r="K246" s="28"/>
      <c r="L246" s="28"/>
      <c r="M246" s="28"/>
      <c r="N246" s="28"/>
      <c r="O246" s="28"/>
      <c r="P246" s="28"/>
      <c r="Q246" s="28"/>
      <c r="R246" s="28"/>
      <c r="S246" s="28"/>
      <c r="T246" s="28"/>
      <c r="U246" s="28"/>
      <c r="V246" s="29" t="str">
        <f>IF(B246=SelectedScope,COUNTIFS($B$4:$B246,SelectedScope),"")</f>
        <v/>
      </c>
    </row>
    <row r="247" spans="1:22" ht="16.05" customHeight="1" x14ac:dyDescent="0.3">
      <c r="A247" s="30">
        <v>244</v>
      </c>
      <c r="B247" s="30" t="s">
        <v>532</v>
      </c>
      <c r="C247" s="30" t="s">
        <v>1255</v>
      </c>
      <c r="D247" s="30" t="s">
        <v>1027</v>
      </c>
      <c r="E247" s="30"/>
      <c r="F247" s="30"/>
      <c r="G247" s="30"/>
      <c r="H247" s="30"/>
      <c r="I247" s="30"/>
      <c r="J247" s="30"/>
      <c r="K247" s="30"/>
      <c r="L247" s="30"/>
      <c r="M247" s="30"/>
      <c r="N247" s="30"/>
      <c r="O247" s="30"/>
      <c r="P247" s="30"/>
      <c r="Q247" s="30"/>
      <c r="R247" s="30"/>
      <c r="S247" s="30"/>
      <c r="T247" s="30"/>
      <c r="U247" s="30"/>
      <c r="V247" s="29" t="str">
        <f>IF(B247=SelectedScope,COUNTIFS($B$4:$B247,SelectedScope),"")</f>
        <v/>
      </c>
    </row>
    <row r="248" spans="1:22" ht="16.05" customHeight="1" x14ac:dyDescent="0.3">
      <c r="A248" s="28">
        <v>245</v>
      </c>
      <c r="B248" s="28" t="s">
        <v>533</v>
      </c>
      <c r="C248" s="28" t="s">
        <v>1256</v>
      </c>
      <c r="D248" s="28" t="s">
        <v>1027</v>
      </c>
      <c r="E248" s="28"/>
      <c r="F248" s="28"/>
      <c r="G248" s="28"/>
      <c r="H248" s="28"/>
      <c r="I248" s="28"/>
      <c r="J248" s="28"/>
      <c r="K248" s="28"/>
      <c r="L248" s="28"/>
      <c r="M248" s="28"/>
      <c r="N248" s="28"/>
      <c r="O248" s="28"/>
      <c r="P248" s="28"/>
      <c r="Q248" s="28"/>
      <c r="R248" s="28"/>
      <c r="S248" s="28"/>
      <c r="T248" s="28"/>
      <c r="U248" s="28"/>
      <c r="V248" s="29" t="str">
        <f>IF(B248=SelectedScope,COUNTIFS($B$4:$B248,SelectedScope),"")</f>
        <v/>
      </c>
    </row>
    <row r="249" spans="1:22" ht="16.05" customHeight="1" x14ac:dyDescent="0.3">
      <c r="A249" s="30">
        <v>246</v>
      </c>
      <c r="B249" s="30" t="s">
        <v>533</v>
      </c>
      <c r="C249" s="30" t="s">
        <v>1257</v>
      </c>
      <c r="D249" s="30" t="s">
        <v>1027</v>
      </c>
      <c r="E249" s="30"/>
      <c r="F249" s="30"/>
      <c r="G249" s="30"/>
      <c r="H249" s="30"/>
      <c r="I249" s="30"/>
      <c r="J249" s="30"/>
      <c r="K249" s="30"/>
      <c r="L249" s="30"/>
      <c r="M249" s="30"/>
      <c r="N249" s="30"/>
      <c r="O249" s="30"/>
      <c r="P249" s="30"/>
      <c r="Q249" s="30"/>
      <c r="R249" s="30"/>
      <c r="S249" s="30"/>
      <c r="T249" s="30"/>
      <c r="U249" s="30"/>
      <c r="V249" s="29" t="str">
        <f>IF(B249=SelectedScope,COUNTIFS($B$4:$B249,SelectedScope),"")</f>
        <v/>
      </c>
    </row>
    <row r="250" spans="1:22" ht="16.05" customHeight="1" x14ac:dyDescent="0.3">
      <c r="A250" s="28">
        <v>247</v>
      </c>
      <c r="B250" s="28" t="s">
        <v>533</v>
      </c>
      <c r="C250" s="28" t="s">
        <v>1258</v>
      </c>
      <c r="D250" s="28" t="s">
        <v>1027</v>
      </c>
      <c r="E250" s="28"/>
      <c r="F250" s="28"/>
      <c r="G250" s="28"/>
      <c r="H250" s="28"/>
      <c r="I250" s="28"/>
      <c r="J250" s="28"/>
      <c r="K250" s="28"/>
      <c r="L250" s="28"/>
      <c r="M250" s="28"/>
      <c r="N250" s="28"/>
      <c r="O250" s="28"/>
      <c r="P250" s="28"/>
      <c r="Q250" s="28"/>
      <c r="R250" s="28"/>
      <c r="S250" s="28"/>
      <c r="T250" s="28"/>
      <c r="U250" s="28"/>
      <c r="V250" s="29" t="str">
        <f>IF(B250=SelectedScope,COUNTIFS($B$4:$B250,SelectedScope),"")</f>
        <v/>
      </c>
    </row>
    <row r="251" spans="1:22" ht="16.05" customHeight="1" x14ac:dyDescent="0.3">
      <c r="A251" s="30">
        <v>248</v>
      </c>
      <c r="B251" s="30" t="s">
        <v>533</v>
      </c>
      <c r="C251" s="30" t="s">
        <v>1259</v>
      </c>
      <c r="D251" s="30" t="s">
        <v>1027</v>
      </c>
      <c r="E251" s="30"/>
      <c r="F251" s="30"/>
      <c r="G251" s="30"/>
      <c r="H251" s="30"/>
      <c r="I251" s="30"/>
      <c r="J251" s="30"/>
      <c r="K251" s="30"/>
      <c r="L251" s="30"/>
      <c r="M251" s="30"/>
      <c r="N251" s="30"/>
      <c r="O251" s="30"/>
      <c r="P251" s="30"/>
      <c r="Q251" s="30"/>
      <c r="R251" s="30"/>
      <c r="S251" s="30"/>
      <c r="T251" s="30"/>
      <c r="U251" s="30"/>
      <c r="V251" s="29" t="str">
        <f>IF(B251=SelectedScope,COUNTIFS($B$4:$B251,SelectedScope),"")</f>
        <v/>
      </c>
    </row>
    <row r="252" spans="1:22" ht="16.05" customHeight="1" x14ac:dyDescent="0.3">
      <c r="A252" s="28">
        <v>249</v>
      </c>
      <c r="B252" s="28" t="s">
        <v>533</v>
      </c>
      <c r="C252" s="28" t="s">
        <v>1260</v>
      </c>
      <c r="D252" s="28" t="s">
        <v>1027</v>
      </c>
      <c r="E252" s="28"/>
      <c r="F252" s="28"/>
      <c r="G252" s="28"/>
      <c r="H252" s="28"/>
      <c r="I252" s="28"/>
      <c r="J252" s="28"/>
      <c r="K252" s="28"/>
      <c r="L252" s="28"/>
      <c r="M252" s="28"/>
      <c r="N252" s="28"/>
      <c r="O252" s="28"/>
      <c r="P252" s="28"/>
      <c r="Q252" s="28"/>
      <c r="R252" s="28"/>
      <c r="S252" s="28"/>
      <c r="T252" s="28"/>
      <c r="U252" s="28"/>
      <c r="V252" s="29" t="str">
        <f>IF(B252=SelectedScope,COUNTIFS($B$4:$B252,SelectedScope),"")</f>
        <v/>
      </c>
    </row>
    <row r="253" spans="1:22" ht="16.05" customHeight="1" x14ac:dyDescent="0.3">
      <c r="A253" s="30">
        <v>250</v>
      </c>
      <c r="B253" s="30" t="s">
        <v>533</v>
      </c>
      <c r="C253" s="30" t="s">
        <v>1261</v>
      </c>
      <c r="D253" s="30" t="s">
        <v>1027</v>
      </c>
      <c r="E253" s="30"/>
      <c r="F253" s="30"/>
      <c r="G253" s="30"/>
      <c r="H253" s="30"/>
      <c r="I253" s="30"/>
      <c r="J253" s="30"/>
      <c r="K253" s="30"/>
      <c r="L253" s="30"/>
      <c r="M253" s="30"/>
      <c r="N253" s="30"/>
      <c r="O253" s="30"/>
      <c r="P253" s="30"/>
      <c r="Q253" s="30"/>
      <c r="R253" s="30"/>
      <c r="S253" s="30"/>
      <c r="T253" s="30"/>
      <c r="U253" s="30"/>
      <c r="V253" s="29" t="str">
        <f>IF(B253=SelectedScope,COUNTIFS($B$4:$B253,SelectedScope),"")</f>
        <v/>
      </c>
    </row>
    <row r="254" spans="1:22" ht="16.05" customHeight="1" x14ac:dyDescent="0.3">
      <c r="A254" s="28">
        <v>251</v>
      </c>
      <c r="B254" s="28" t="s">
        <v>533</v>
      </c>
      <c r="C254" s="28" t="s">
        <v>1262</v>
      </c>
      <c r="D254" s="28" t="s">
        <v>1027</v>
      </c>
      <c r="E254" s="28"/>
      <c r="F254" s="28"/>
      <c r="G254" s="28"/>
      <c r="H254" s="28"/>
      <c r="I254" s="28"/>
      <c r="J254" s="28"/>
      <c r="K254" s="28"/>
      <c r="L254" s="28"/>
      <c r="M254" s="28"/>
      <c r="N254" s="28"/>
      <c r="O254" s="28"/>
      <c r="P254" s="28"/>
      <c r="Q254" s="28"/>
      <c r="R254" s="28"/>
      <c r="S254" s="28"/>
      <c r="T254" s="28"/>
      <c r="U254" s="28"/>
      <c r="V254" s="29" t="str">
        <f>IF(B254=SelectedScope,COUNTIFS($B$4:$B254,SelectedScope),"")</f>
        <v/>
      </c>
    </row>
    <row r="255" spans="1:22" ht="16.05" customHeight="1" x14ac:dyDescent="0.3">
      <c r="A255" s="30">
        <v>252</v>
      </c>
      <c r="B255" s="30" t="s">
        <v>533</v>
      </c>
      <c r="C255" s="30" t="s">
        <v>1263</v>
      </c>
      <c r="D255" s="30" t="s">
        <v>1027</v>
      </c>
      <c r="E255" s="30"/>
      <c r="F255" s="30"/>
      <c r="G255" s="30"/>
      <c r="H255" s="30"/>
      <c r="I255" s="30"/>
      <c r="J255" s="30"/>
      <c r="K255" s="30"/>
      <c r="L255" s="30"/>
      <c r="M255" s="30"/>
      <c r="N255" s="30"/>
      <c r="O255" s="30"/>
      <c r="P255" s="30"/>
      <c r="Q255" s="30"/>
      <c r="R255" s="30"/>
      <c r="S255" s="30"/>
      <c r="T255" s="30"/>
      <c r="U255" s="30"/>
      <c r="V255" s="29" t="str">
        <f>IF(B255=SelectedScope,COUNTIFS($B$4:$B255,SelectedScope),"")</f>
        <v/>
      </c>
    </row>
    <row r="256" spans="1:22" ht="16.05" customHeight="1" x14ac:dyDescent="0.3">
      <c r="A256" s="28">
        <v>253</v>
      </c>
      <c r="B256" s="28" t="s">
        <v>533</v>
      </c>
      <c r="C256" s="28" t="s">
        <v>1264</v>
      </c>
      <c r="D256" s="28" t="s">
        <v>1027</v>
      </c>
      <c r="E256" s="28"/>
      <c r="F256" s="28"/>
      <c r="G256" s="28"/>
      <c r="H256" s="28"/>
      <c r="I256" s="28"/>
      <c r="J256" s="28"/>
      <c r="K256" s="28"/>
      <c r="L256" s="28"/>
      <c r="M256" s="28"/>
      <c r="N256" s="28"/>
      <c r="O256" s="28"/>
      <c r="P256" s="28"/>
      <c r="Q256" s="28"/>
      <c r="R256" s="28"/>
      <c r="S256" s="28"/>
      <c r="T256" s="28"/>
      <c r="U256" s="28"/>
      <c r="V256" s="29" t="str">
        <f>IF(B256=SelectedScope,COUNTIFS($B$4:$B256,SelectedScope),"")</f>
        <v/>
      </c>
    </row>
    <row r="257" spans="1:22" ht="16.05" customHeight="1" x14ac:dyDescent="0.3">
      <c r="A257" s="30">
        <v>254</v>
      </c>
      <c r="B257" s="30" t="s">
        <v>533</v>
      </c>
      <c r="C257" s="30" t="s">
        <v>1265</v>
      </c>
      <c r="D257" s="30" t="s">
        <v>1027</v>
      </c>
      <c r="E257" s="30"/>
      <c r="F257" s="30"/>
      <c r="G257" s="30"/>
      <c r="H257" s="30"/>
      <c r="I257" s="30"/>
      <c r="J257" s="30"/>
      <c r="K257" s="30"/>
      <c r="L257" s="30"/>
      <c r="M257" s="30"/>
      <c r="N257" s="30"/>
      <c r="O257" s="30"/>
      <c r="P257" s="30"/>
      <c r="Q257" s="30"/>
      <c r="R257" s="30"/>
      <c r="S257" s="30"/>
      <c r="T257" s="30"/>
      <c r="U257" s="30"/>
      <c r="V257" s="29" t="str">
        <f>IF(B257=SelectedScope,COUNTIFS($B$4:$B257,SelectedScope),"")</f>
        <v/>
      </c>
    </row>
    <row r="258" spans="1:22" ht="16.05" customHeight="1" x14ac:dyDescent="0.3">
      <c r="A258" s="28">
        <v>255</v>
      </c>
      <c r="B258" s="28" t="s">
        <v>533</v>
      </c>
      <c r="C258" s="28" t="s">
        <v>1266</v>
      </c>
      <c r="D258" s="28" t="s">
        <v>1027</v>
      </c>
      <c r="E258" s="28"/>
      <c r="F258" s="28"/>
      <c r="G258" s="28"/>
      <c r="H258" s="28"/>
      <c r="I258" s="28"/>
      <c r="J258" s="28"/>
      <c r="K258" s="28"/>
      <c r="L258" s="28"/>
      <c r="M258" s="28"/>
      <c r="N258" s="28"/>
      <c r="O258" s="28"/>
      <c r="P258" s="28"/>
      <c r="Q258" s="28"/>
      <c r="R258" s="28"/>
      <c r="S258" s="28"/>
      <c r="T258" s="28"/>
      <c r="U258" s="28"/>
      <c r="V258" s="29" t="str">
        <f>IF(B258=SelectedScope,COUNTIFS($B$4:$B258,SelectedScope),"")</f>
        <v/>
      </c>
    </row>
    <row r="259" spans="1:22" ht="16.05" customHeight="1" x14ac:dyDescent="0.3">
      <c r="A259" s="30">
        <v>256</v>
      </c>
      <c r="B259" s="30" t="s">
        <v>533</v>
      </c>
      <c r="C259" s="30" t="s">
        <v>1267</v>
      </c>
      <c r="D259" s="30" t="s">
        <v>1027</v>
      </c>
      <c r="E259" s="30"/>
      <c r="F259" s="30"/>
      <c r="G259" s="30"/>
      <c r="H259" s="30"/>
      <c r="I259" s="30"/>
      <c r="J259" s="30"/>
      <c r="K259" s="30"/>
      <c r="L259" s="30"/>
      <c r="M259" s="30"/>
      <c r="N259" s="30"/>
      <c r="O259" s="30"/>
      <c r="P259" s="30"/>
      <c r="Q259" s="30"/>
      <c r="R259" s="30"/>
      <c r="S259" s="30"/>
      <c r="T259" s="30"/>
      <c r="U259" s="30"/>
      <c r="V259" s="29" t="str">
        <f>IF(B259=SelectedScope,COUNTIFS($B$4:$B259,SelectedScope),"")</f>
        <v/>
      </c>
    </row>
    <row r="260" spans="1:22" ht="16.05" customHeight="1" x14ac:dyDescent="0.3">
      <c r="A260" s="28">
        <v>257</v>
      </c>
      <c r="B260" s="28" t="s">
        <v>533</v>
      </c>
      <c r="C260" s="28" t="s">
        <v>592</v>
      </c>
      <c r="D260" s="28" t="s">
        <v>1027</v>
      </c>
      <c r="E260" s="28"/>
      <c r="F260" s="28"/>
      <c r="G260" s="28"/>
      <c r="H260" s="28"/>
      <c r="I260" s="28"/>
      <c r="J260" s="28"/>
      <c r="K260" s="28"/>
      <c r="L260" s="28"/>
      <c r="M260" s="28"/>
      <c r="N260" s="28"/>
      <c r="O260" s="28"/>
      <c r="P260" s="28"/>
      <c r="Q260" s="28"/>
      <c r="R260" s="28"/>
      <c r="S260" s="28"/>
      <c r="T260" s="28"/>
      <c r="U260" s="28"/>
      <c r="V260" s="29" t="str">
        <f>IF(B260=SelectedScope,COUNTIFS($B$4:$B260,SelectedScope),"")</f>
        <v/>
      </c>
    </row>
    <row r="261" spans="1:22" ht="16.05" customHeight="1" x14ac:dyDescent="0.3">
      <c r="A261" s="30">
        <v>258</v>
      </c>
      <c r="B261" s="30" t="s">
        <v>533</v>
      </c>
      <c r="C261" s="30" t="s">
        <v>1268</v>
      </c>
      <c r="D261" s="30" t="s">
        <v>1027</v>
      </c>
      <c r="E261" s="30"/>
      <c r="F261" s="30"/>
      <c r="G261" s="30"/>
      <c r="H261" s="30"/>
      <c r="I261" s="30"/>
      <c r="J261" s="30"/>
      <c r="K261" s="30"/>
      <c r="L261" s="30"/>
      <c r="M261" s="30"/>
      <c r="N261" s="30"/>
      <c r="O261" s="30"/>
      <c r="P261" s="30"/>
      <c r="Q261" s="30"/>
      <c r="R261" s="30"/>
      <c r="S261" s="30"/>
      <c r="T261" s="30"/>
      <c r="U261" s="30"/>
      <c r="V261" s="29" t="str">
        <f>IF(B261=SelectedScope,COUNTIFS($B$4:$B261,SelectedScope),"")</f>
        <v/>
      </c>
    </row>
    <row r="262" spans="1:22" ht="16.05" customHeight="1" x14ac:dyDescent="0.3">
      <c r="A262" s="28">
        <v>259</v>
      </c>
      <c r="B262" s="28" t="s">
        <v>533</v>
      </c>
      <c r="C262" s="28" t="s">
        <v>1269</v>
      </c>
      <c r="D262" s="28" t="s">
        <v>1027</v>
      </c>
      <c r="E262" s="28"/>
      <c r="F262" s="28"/>
      <c r="G262" s="28"/>
      <c r="H262" s="28"/>
      <c r="I262" s="28"/>
      <c r="J262" s="28"/>
      <c r="K262" s="28"/>
      <c r="L262" s="28"/>
      <c r="M262" s="28"/>
      <c r="N262" s="28"/>
      <c r="O262" s="28"/>
      <c r="P262" s="28"/>
      <c r="Q262" s="28"/>
      <c r="R262" s="28"/>
      <c r="S262" s="28"/>
      <c r="T262" s="28"/>
      <c r="U262" s="28"/>
      <c r="V262" s="29" t="str">
        <f>IF(B262=SelectedScope,COUNTIFS($B$4:$B262,SelectedScope),"")</f>
        <v/>
      </c>
    </row>
    <row r="263" spans="1:22" ht="16.05" customHeight="1" x14ac:dyDescent="0.3">
      <c r="A263" s="30">
        <v>260</v>
      </c>
      <c r="B263" s="30" t="s">
        <v>533</v>
      </c>
      <c r="C263" s="30" t="s">
        <v>1270</v>
      </c>
      <c r="D263" s="30" t="s">
        <v>1027</v>
      </c>
      <c r="E263" s="30"/>
      <c r="F263" s="30"/>
      <c r="G263" s="30"/>
      <c r="H263" s="30"/>
      <c r="I263" s="30"/>
      <c r="J263" s="30"/>
      <c r="K263" s="30"/>
      <c r="L263" s="30"/>
      <c r="M263" s="30"/>
      <c r="N263" s="30"/>
      <c r="O263" s="30"/>
      <c r="P263" s="30"/>
      <c r="Q263" s="30"/>
      <c r="R263" s="30"/>
      <c r="S263" s="30"/>
      <c r="T263" s="30"/>
      <c r="U263" s="30"/>
      <c r="V263" s="29" t="str">
        <f>IF(B263=SelectedScope,COUNTIFS($B$4:$B263,SelectedScope),"")</f>
        <v/>
      </c>
    </row>
    <row r="264" spans="1:22" ht="16.05" customHeight="1" x14ac:dyDescent="0.3">
      <c r="A264" s="28">
        <v>261</v>
      </c>
      <c r="B264" s="28" t="s">
        <v>533</v>
      </c>
      <c r="C264" s="28" t="s">
        <v>593</v>
      </c>
      <c r="D264" s="28" t="s">
        <v>1027</v>
      </c>
      <c r="E264" s="28"/>
      <c r="F264" s="28"/>
      <c r="G264" s="28"/>
      <c r="H264" s="28"/>
      <c r="I264" s="28"/>
      <c r="J264" s="28"/>
      <c r="K264" s="28"/>
      <c r="L264" s="28"/>
      <c r="M264" s="28"/>
      <c r="N264" s="28"/>
      <c r="O264" s="28"/>
      <c r="P264" s="28"/>
      <c r="Q264" s="28"/>
      <c r="R264" s="28"/>
      <c r="S264" s="28"/>
      <c r="T264" s="28"/>
      <c r="U264" s="28"/>
      <c r="V264" s="29" t="str">
        <f>IF(B264=SelectedScope,COUNTIFS($B$4:$B264,SelectedScope),"")</f>
        <v/>
      </c>
    </row>
    <row r="265" spans="1:22" ht="16.05" customHeight="1" x14ac:dyDescent="0.3">
      <c r="A265" s="30">
        <v>262</v>
      </c>
      <c r="B265" s="30" t="s">
        <v>533</v>
      </c>
      <c r="C265" s="30" t="s">
        <v>1271</v>
      </c>
      <c r="D265" s="30" t="s">
        <v>1027</v>
      </c>
      <c r="E265" s="30"/>
      <c r="F265" s="30"/>
      <c r="G265" s="30"/>
      <c r="H265" s="30"/>
      <c r="I265" s="30"/>
      <c r="J265" s="30"/>
      <c r="K265" s="30"/>
      <c r="L265" s="30"/>
      <c r="M265" s="30"/>
      <c r="N265" s="30"/>
      <c r="O265" s="30"/>
      <c r="P265" s="30"/>
      <c r="Q265" s="30"/>
      <c r="R265" s="30"/>
      <c r="S265" s="30"/>
      <c r="T265" s="30"/>
      <c r="U265" s="30"/>
      <c r="V265" s="29" t="str">
        <f>IF(B265=SelectedScope,COUNTIFS($B$4:$B265,SelectedScope),"")</f>
        <v/>
      </c>
    </row>
    <row r="266" spans="1:22" ht="16.05" customHeight="1" x14ac:dyDescent="0.3">
      <c r="A266" s="28">
        <v>263</v>
      </c>
      <c r="B266" s="28" t="s">
        <v>533</v>
      </c>
      <c r="C266" s="28" t="s">
        <v>1272</v>
      </c>
      <c r="D266" s="28" t="s">
        <v>1027</v>
      </c>
      <c r="E266" s="28"/>
      <c r="F266" s="28"/>
      <c r="G266" s="28"/>
      <c r="H266" s="28"/>
      <c r="I266" s="28"/>
      <c r="J266" s="28"/>
      <c r="K266" s="28"/>
      <c r="L266" s="28"/>
      <c r="M266" s="28"/>
      <c r="N266" s="28"/>
      <c r="O266" s="28"/>
      <c r="P266" s="28"/>
      <c r="Q266" s="28"/>
      <c r="R266" s="28"/>
      <c r="S266" s="28"/>
      <c r="T266" s="28"/>
      <c r="U266" s="28"/>
      <c r="V266" s="29" t="str">
        <f>IF(B266=SelectedScope,COUNTIFS($B$4:$B266,SelectedScope),"")</f>
        <v/>
      </c>
    </row>
    <row r="267" spans="1:22" ht="16.05" customHeight="1" x14ac:dyDescent="0.3">
      <c r="A267" s="30">
        <v>264</v>
      </c>
      <c r="B267" s="30" t="s">
        <v>533</v>
      </c>
      <c r="C267" s="30" t="s">
        <v>1273</v>
      </c>
      <c r="D267" s="30" t="s">
        <v>1027</v>
      </c>
      <c r="E267" s="30"/>
      <c r="F267" s="30"/>
      <c r="G267" s="30"/>
      <c r="H267" s="30"/>
      <c r="I267" s="30"/>
      <c r="J267" s="30"/>
      <c r="K267" s="30"/>
      <c r="L267" s="30"/>
      <c r="M267" s="30"/>
      <c r="N267" s="30"/>
      <c r="O267" s="30"/>
      <c r="P267" s="30"/>
      <c r="Q267" s="30"/>
      <c r="R267" s="30"/>
      <c r="S267" s="30"/>
      <c r="T267" s="30"/>
      <c r="U267" s="30"/>
      <c r="V267" s="29" t="str">
        <f>IF(B267=SelectedScope,COUNTIFS($B$4:$B267,SelectedScope),"")</f>
        <v/>
      </c>
    </row>
    <row r="268" spans="1:22" ht="16.05" customHeight="1" x14ac:dyDescent="0.3">
      <c r="A268" s="28">
        <v>265</v>
      </c>
      <c r="B268" s="28" t="s">
        <v>533</v>
      </c>
      <c r="C268" s="28" t="s">
        <v>1274</v>
      </c>
      <c r="D268" s="28" t="s">
        <v>1027</v>
      </c>
      <c r="E268" s="28"/>
      <c r="F268" s="28"/>
      <c r="G268" s="28"/>
      <c r="H268" s="28"/>
      <c r="I268" s="28"/>
      <c r="J268" s="28"/>
      <c r="K268" s="28"/>
      <c r="L268" s="28"/>
      <c r="M268" s="28"/>
      <c r="N268" s="28"/>
      <c r="O268" s="28"/>
      <c r="P268" s="28"/>
      <c r="Q268" s="28"/>
      <c r="R268" s="28"/>
      <c r="S268" s="28"/>
      <c r="T268" s="28"/>
      <c r="U268" s="28"/>
      <c r="V268" s="29" t="str">
        <f>IF(B268=SelectedScope,COUNTIFS($B$4:$B268,SelectedScope),"")</f>
        <v/>
      </c>
    </row>
    <row r="269" spans="1:22" ht="16.05" customHeight="1" x14ac:dyDescent="0.3">
      <c r="A269" s="30">
        <v>266</v>
      </c>
      <c r="B269" s="30" t="s">
        <v>533</v>
      </c>
      <c r="C269" s="30" t="s">
        <v>1275</v>
      </c>
      <c r="D269" s="30" t="s">
        <v>1027</v>
      </c>
      <c r="E269" s="30"/>
      <c r="F269" s="30"/>
      <c r="G269" s="30"/>
      <c r="H269" s="30"/>
      <c r="I269" s="30"/>
      <c r="J269" s="30"/>
      <c r="K269" s="30"/>
      <c r="L269" s="30"/>
      <c r="M269" s="30"/>
      <c r="N269" s="30"/>
      <c r="O269" s="30"/>
      <c r="P269" s="30"/>
      <c r="Q269" s="30"/>
      <c r="R269" s="30"/>
      <c r="S269" s="30"/>
      <c r="T269" s="30"/>
      <c r="U269" s="30"/>
      <c r="V269" s="29" t="str">
        <f>IF(B269=SelectedScope,COUNTIFS($B$4:$B269,SelectedScope),"")</f>
        <v/>
      </c>
    </row>
    <row r="270" spans="1:22" ht="16.05" customHeight="1" x14ac:dyDescent="0.3">
      <c r="A270" s="28">
        <v>267</v>
      </c>
      <c r="B270" s="28" t="s">
        <v>533</v>
      </c>
      <c r="C270" s="28" t="s">
        <v>1276</v>
      </c>
      <c r="D270" s="28" t="s">
        <v>1027</v>
      </c>
      <c r="E270" s="28"/>
      <c r="F270" s="28"/>
      <c r="G270" s="28"/>
      <c r="H270" s="28"/>
      <c r="I270" s="28"/>
      <c r="J270" s="28"/>
      <c r="K270" s="28"/>
      <c r="L270" s="28"/>
      <c r="M270" s="28"/>
      <c r="N270" s="28"/>
      <c r="O270" s="28"/>
      <c r="P270" s="28"/>
      <c r="Q270" s="28"/>
      <c r="R270" s="28"/>
      <c r="S270" s="28"/>
      <c r="T270" s="28"/>
      <c r="U270" s="28"/>
      <c r="V270" s="29" t="str">
        <f>IF(B270=SelectedScope,COUNTIFS($B$4:$B270,SelectedScope),"")</f>
        <v/>
      </c>
    </row>
    <row r="271" spans="1:22" ht="16.05" customHeight="1" x14ac:dyDescent="0.3">
      <c r="A271" s="30">
        <v>268</v>
      </c>
      <c r="B271" s="30" t="s">
        <v>533</v>
      </c>
      <c r="C271" s="30" t="s">
        <v>568</v>
      </c>
      <c r="D271" s="30" t="s">
        <v>1027</v>
      </c>
      <c r="E271" s="30"/>
      <c r="F271" s="30"/>
      <c r="G271" s="30"/>
      <c r="H271" s="30"/>
      <c r="I271" s="30"/>
      <c r="J271" s="30"/>
      <c r="K271" s="30"/>
      <c r="L271" s="30"/>
      <c r="M271" s="30"/>
      <c r="N271" s="30"/>
      <c r="O271" s="30"/>
      <c r="P271" s="30"/>
      <c r="Q271" s="30"/>
      <c r="R271" s="30"/>
      <c r="S271" s="30"/>
      <c r="T271" s="30"/>
      <c r="U271" s="30"/>
      <c r="V271" s="29" t="str">
        <f>IF(B271=SelectedScope,COUNTIFS($B$4:$B271,SelectedScope),"")</f>
        <v/>
      </c>
    </row>
    <row r="272" spans="1:22" ht="16.05" customHeight="1" x14ac:dyDescent="0.3">
      <c r="A272" s="28">
        <v>269</v>
      </c>
      <c r="B272" s="28" t="s">
        <v>534</v>
      </c>
      <c r="C272" s="28" t="s">
        <v>1277</v>
      </c>
      <c r="D272" s="28" t="s">
        <v>1027</v>
      </c>
      <c r="E272" s="28"/>
      <c r="F272" s="28"/>
      <c r="G272" s="28"/>
      <c r="H272" s="28"/>
      <c r="I272" s="28"/>
      <c r="J272" s="28"/>
      <c r="K272" s="28"/>
      <c r="L272" s="28"/>
      <c r="M272" s="28"/>
      <c r="N272" s="28"/>
      <c r="O272" s="28"/>
      <c r="P272" s="28"/>
      <c r="Q272" s="28"/>
      <c r="R272" s="28"/>
      <c r="S272" s="28"/>
      <c r="T272" s="28"/>
      <c r="U272" s="28"/>
      <c r="V272" s="29" t="str">
        <f>IF(B272=SelectedScope,COUNTIFS($B$4:$B272,SelectedScope),"")</f>
        <v/>
      </c>
    </row>
    <row r="273" spans="1:22" ht="16.05" customHeight="1" x14ac:dyDescent="0.3">
      <c r="A273" s="30">
        <v>270</v>
      </c>
      <c r="B273" s="30" t="s">
        <v>534</v>
      </c>
      <c r="C273" s="30" t="s">
        <v>1278</v>
      </c>
      <c r="D273" s="30" t="s">
        <v>1027</v>
      </c>
      <c r="E273" s="30"/>
      <c r="F273" s="30"/>
      <c r="G273" s="30"/>
      <c r="H273" s="30"/>
      <c r="I273" s="30"/>
      <c r="J273" s="30"/>
      <c r="K273" s="30"/>
      <c r="L273" s="30"/>
      <c r="M273" s="30"/>
      <c r="N273" s="30"/>
      <c r="O273" s="30"/>
      <c r="P273" s="30"/>
      <c r="Q273" s="30"/>
      <c r="R273" s="30"/>
      <c r="S273" s="30"/>
      <c r="T273" s="30"/>
      <c r="U273" s="30"/>
      <c r="V273" s="29" t="str">
        <f>IF(B273=SelectedScope,COUNTIFS($B$4:$B273,SelectedScope),"")</f>
        <v/>
      </c>
    </row>
    <row r="274" spans="1:22" ht="16.05" customHeight="1" x14ac:dyDescent="0.3">
      <c r="A274" s="28">
        <v>271</v>
      </c>
      <c r="B274" s="28" t="s">
        <v>534</v>
      </c>
      <c r="C274" s="28" t="s">
        <v>1279</v>
      </c>
      <c r="D274" s="28" t="s">
        <v>1027</v>
      </c>
      <c r="E274" s="28"/>
      <c r="F274" s="28"/>
      <c r="G274" s="28"/>
      <c r="H274" s="28"/>
      <c r="I274" s="28"/>
      <c r="J274" s="28"/>
      <c r="K274" s="28"/>
      <c r="L274" s="28"/>
      <c r="M274" s="28"/>
      <c r="N274" s="28"/>
      <c r="O274" s="28"/>
      <c r="P274" s="28"/>
      <c r="Q274" s="28"/>
      <c r="R274" s="28"/>
      <c r="S274" s="28"/>
      <c r="T274" s="28"/>
      <c r="U274" s="28"/>
      <c r="V274" s="29" t="str">
        <f>IF(B274=SelectedScope,COUNTIFS($B$4:$B274,SelectedScope),"")</f>
        <v/>
      </c>
    </row>
    <row r="275" spans="1:22" ht="16.05" customHeight="1" x14ac:dyDescent="0.3">
      <c r="A275" s="30">
        <v>272</v>
      </c>
      <c r="B275" s="30" t="s">
        <v>534</v>
      </c>
      <c r="C275" s="30" t="s">
        <v>1280</v>
      </c>
      <c r="D275" s="30" t="s">
        <v>1027</v>
      </c>
      <c r="E275" s="30"/>
      <c r="F275" s="30"/>
      <c r="G275" s="30"/>
      <c r="H275" s="30"/>
      <c r="I275" s="30"/>
      <c r="J275" s="30"/>
      <c r="K275" s="30"/>
      <c r="L275" s="30"/>
      <c r="M275" s="30"/>
      <c r="N275" s="30"/>
      <c r="O275" s="30"/>
      <c r="P275" s="30"/>
      <c r="Q275" s="30"/>
      <c r="R275" s="30"/>
      <c r="S275" s="30"/>
      <c r="T275" s="30"/>
      <c r="U275" s="30"/>
      <c r="V275" s="29" t="str">
        <f>IF(B275=SelectedScope,COUNTIFS($B$4:$B275,SelectedScope),"")</f>
        <v/>
      </c>
    </row>
    <row r="276" spans="1:22" ht="16.05" customHeight="1" x14ac:dyDescent="0.3">
      <c r="A276" s="28">
        <v>273</v>
      </c>
      <c r="B276" s="28" t="s">
        <v>534</v>
      </c>
      <c r="C276" s="28" t="s">
        <v>1281</v>
      </c>
      <c r="D276" s="28" t="s">
        <v>1027</v>
      </c>
      <c r="E276" s="28"/>
      <c r="F276" s="28"/>
      <c r="G276" s="28"/>
      <c r="H276" s="28"/>
      <c r="I276" s="28"/>
      <c r="J276" s="28"/>
      <c r="K276" s="28"/>
      <c r="L276" s="28"/>
      <c r="M276" s="28"/>
      <c r="N276" s="28"/>
      <c r="O276" s="28"/>
      <c r="P276" s="28"/>
      <c r="Q276" s="28"/>
      <c r="R276" s="28"/>
      <c r="S276" s="28"/>
      <c r="T276" s="28"/>
      <c r="U276" s="28"/>
      <c r="V276" s="29" t="str">
        <f>IF(B276=SelectedScope,COUNTIFS($B$4:$B276,SelectedScope),"")</f>
        <v/>
      </c>
    </row>
    <row r="277" spans="1:22" ht="16.05" customHeight="1" x14ac:dyDescent="0.3">
      <c r="A277" s="30">
        <v>274</v>
      </c>
      <c r="B277" s="30" t="s">
        <v>534</v>
      </c>
      <c r="C277" s="30" t="s">
        <v>1282</v>
      </c>
      <c r="D277" s="30" t="s">
        <v>1027</v>
      </c>
      <c r="E277" s="30"/>
      <c r="F277" s="30"/>
      <c r="G277" s="30"/>
      <c r="H277" s="30"/>
      <c r="I277" s="30"/>
      <c r="J277" s="30"/>
      <c r="K277" s="30"/>
      <c r="L277" s="30"/>
      <c r="M277" s="30"/>
      <c r="N277" s="30"/>
      <c r="O277" s="30"/>
      <c r="P277" s="30"/>
      <c r="Q277" s="30"/>
      <c r="R277" s="30"/>
      <c r="S277" s="30"/>
      <c r="T277" s="30"/>
      <c r="U277" s="30"/>
      <c r="V277" s="29" t="str">
        <f>IF(B277=SelectedScope,COUNTIFS($B$4:$B277,SelectedScope),"")</f>
        <v/>
      </c>
    </row>
    <row r="278" spans="1:22" ht="16.05" customHeight="1" x14ac:dyDescent="0.3">
      <c r="A278" s="28">
        <v>275</v>
      </c>
      <c r="B278" s="28" t="s">
        <v>534</v>
      </c>
      <c r="C278" s="28" t="s">
        <v>1283</v>
      </c>
      <c r="D278" s="28" t="s">
        <v>1027</v>
      </c>
      <c r="E278" s="28"/>
      <c r="F278" s="28"/>
      <c r="G278" s="28"/>
      <c r="H278" s="28"/>
      <c r="I278" s="28"/>
      <c r="J278" s="28"/>
      <c r="K278" s="28"/>
      <c r="L278" s="28"/>
      <c r="M278" s="28"/>
      <c r="N278" s="28"/>
      <c r="O278" s="28"/>
      <c r="P278" s="28"/>
      <c r="Q278" s="28"/>
      <c r="R278" s="28"/>
      <c r="S278" s="28"/>
      <c r="T278" s="28"/>
      <c r="U278" s="28"/>
      <c r="V278" s="29" t="str">
        <f>IF(B278=SelectedScope,COUNTIFS($B$4:$B278,SelectedScope),"")</f>
        <v/>
      </c>
    </row>
    <row r="279" spans="1:22" ht="16.05" customHeight="1" x14ac:dyDescent="0.3">
      <c r="A279" s="30">
        <v>276</v>
      </c>
      <c r="B279" s="30" t="s">
        <v>534</v>
      </c>
      <c r="C279" s="30" t="s">
        <v>1284</v>
      </c>
      <c r="D279" s="30" t="s">
        <v>1027</v>
      </c>
      <c r="E279" s="30"/>
      <c r="F279" s="30"/>
      <c r="G279" s="30"/>
      <c r="H279" s="30"/>
      <c r="I279" s="30"/>
      <c r="J279" s="30"/>
      <c r="K279" s="30"/>
      <c r="L279" s="30"/>
      <c r="M279" s="30"/>
      <c r="N279" s="30"/>
      <c r="O279" s="30"/>
      <c r="P279" s="30"/>
      <c r="Q279" s="30"/>
      <c r="R279" s="30"/>
      <c r="S279" s="30"/>
      <c r="T279" s="30"/>
      <c r="U279" s="30"/>
      <c r="V279" s="29" t="str">
        <f>IF(B279=SelectedScope,COUNTIFS($B$4:$B279,SelectedScope),"")</f>
        <v/>
      </c>
    </row>
    <row r="280" spans="1:22" ht="16.05" customHeight="1" x14ac:dyDescent="0.3">
      <c r="A280" s="28">
        <v>277</v>
      </c>
      <c r="B280" s="28" t="s">
        <v>534</v>
      </c>
      <c r="C280" s="28" t="s">
        <v>1285</v>
      </c>
      <c r="D280" s="28" t="s">
        <v>1027</v>
      </c>
      <c r="E280" s="28"/>
      <c r="F280" s="28"/>
      <c r="G280" s="28"/>
      <c r="H280" s="28"/>
      <c r="I280" s="28"/>
      <c r="J280" s="28"/>
      <c r="K280" s="28"/>
      <c r="L280" s="28"/>
      <c r="M280" s="28"/>
      <c r="N280" s="28"/>
      <c r="O280" s="28"/>
      <c r="P280" s="28"/>
      <c r="Q280" s="28"/>
      <c r="R280" s="28"/>
      <c r="S280" s="28"/>
      <c r="T280" s="28"/>
      <c r="U280" s="28"/>
      <c r="V280" s="29" t="str">
        <f>IF(B280=SelectedScope,COUNTIFS($B$4:$B280,SelectedScope),"")</f>
        <v/>
      </c>
    </row>
    <row r="281" spans="1:22" ht="16.05" customHeight="1" x14ac:dyDescent="0.3">
      <c r="A281" s="30">
        <v>278</v>
      </c>
      <c r="B281" s="30" t="s">
        <v>534</v>
      </c>
      <c r="C281" s="30" t="s">
        <v>1286</v>
      </c>
      <c r="D281" s="30" t="s">
        <v>1027</v>
      </c>
      <c r="E281" s="30"/>
      <c r="F281" s="30"/>
      <c r="G281" s="30"/>
      <c r="H281" s="30"/>
      <c r="I281" s="30"/>
      <c r="J281" s="30"/>
      <c r="K281" s="30"/>
      <c r="L281" s="30"/>
      <c r="M281" s="30"/>
      <c r="N281" s="30"/>
      <c r="O281" s="30"/>
      <c r="P281" s="30"/>
      <c r="Q281" s="30"/>
      <c r="R281" s="30"/>
      <c r="S281" s="30"/>
      <c r="T281" s="30"/>
      <c r="U281" s="30"/>
      <c r="V281" s="29" t="str">
        <f>IF(B281=SelectedScope,COUNTIFS($B$4:$B281,SelectedScope),"")</f>
        <v/>
      </c>
    </row>
    <row r="282" spans="1:22" ht="16.05" customHeight="1" x14ac:dyDescent="0.3">
      <c r="A282" s="28">
        <v>279</v>
      </c>
      <c r="B282" s="28" t="s">
        <v>534</v>
      </c>
      <c r="C282" s="28" t="s">
        <v>1287</v>
      </c>
      <c r="D282" s="28" t="s">
        <v>1027</v>
      </c>
      <c r="E282" s="28"/>
      <c r="F282" s="28"/>
      <c r="G282" s="28"/>
      <c r="H282" s="28"/>
      <c r="I282" s="28"/>
      <c r="J282" s="28"/>
      <c r="K282" s="28"/>
      <c r="L282" s="28"/>
      <c r="M282" s="28"/>
      <c r="N282" s="28"/>
      <c r="O282" s="28"/>
      <c r="P282" s="28"/>
      <c r="Q282" s="28"/>
      <c r="R282" s="28"/>
      <c r="S282" s="28"/>
      <c r="T282" s="28"/>
      <c r="U282" s="28"/>
      <c r="V282" s="29" t="str">
        <f>IF(B282=SelectedScope,COUNTIFS($B$4:$B282,SelectedScope),"")</f>
        <v/>
      </c>
    </row>
    <row r="283" spans="1:22" ht="16.05" customHeight="1" x14ac:dyDescent="0.3">
      <c r="A283" s="30">
        <v>280</v>
      </c>
      <c r="B283" s="30" t="s">
        <v>534</v>
      </c>
      <c r="C283" s="30" t="s">
        <v>1288</v>
      </c>
      <c r="D283" s="30" t="s">
        <v>1027</v>
      </c>
      <c r="E283" s="30"/>
      <c r="F283" s="30"/>
      <c r="G283" s="30"/>
      <c r="H283" s="30"/>
      <c r="I283" s="30"/>
      <c r="J283" s="30"/>
      <c r="K283" s="30"/>
      <c r="L283" s="30"/>
      <c r="M283" s="30"/>
      <c r="N283" s="30"/>
      <c r="O283" s="30"/>
      <c r="P283" s="30"/>
      <c r="Q283" s="30"/>
      <c r="R283" s="30"/>
      <c r="S283" s="30"/>
      <c r="T283" s="30"/>
      <c r="U283" s="30"/>
      <c r="V283" s="29" t="str">
        <f>IF(B283=SelectedScope,COUNTIFS($B$4:$B283,SelectedScope),"")</f>
        <v/>
      </c>
    </row>
    <row r="284" spans="1:22" ht="16.05" customHeight="1" x14ac:dyDescent="0.3">
      <c r="A284" s="28">
        <v>281</v>
      </c>
      <c r="B284" s="28" t="s">
        <v>534</v>
      </c>
      <c r="C284" s="28" t="s">
        <v>1289</v>
      </c>
      <c r="D284" s="28" t="s">
        <v>1027</v>
      </c>
      <c r="E284" s="28"/>
      <c r="F284" s="28"/>
      <c r="G284" s="28"/>
      <c r="H284" s="28"/>
      <c r="I284" s="28"/>
      <c r="J284" s="28"/>
      <c r="K284" s="28"/>
      <c r="L284" s="28"/>
      <c r="M284" s="28"/>
      <c r="N284" s="28"/>
      <c r="O284" s="28"/>
      <c r="P284" s="28"/>
      <c r="Q284" s="28"/>
      <c r="R284" s="28"/>
      <c r="S284" s="28"/>
      <c r="T284" s="28"/>
      <c r="U284" s="28"/>
      <c r="V284" s="29" t="str">
        <f>IF(B284=SelectedScope,COUNTIFS($B$4:$B284,SelectedScope),"")</f>
        <v/>
      </c>
    </row>
    <row r="285" spans="1:22" ht="16.05" customHeight="1" x14ac:dyDescent="0.3">
      <c r="A285" s="30">
        <v>282</v>
      </c>
      <c r="B285" s="30" t="s">
        <v>534</v>
      </c>
      <c r="C285" s="30" t="s">
        <v>1290</v>
      </c>
      <c r="D285" s="30" t="s">
        <v>1027</v>
      </c>
      <c r="E285" s="30"/>
      <c r="F285" s="30"/>
      <c r="G285" s="30"/>
      <c r="H285" s="30"/>
      <c r="I285" s="30"/>
      <c r="J285" s="30"/>
      <c r="K285" s="30"/>
      <c r="L285" s="30"/>
      <c r="M285" s="30"/>
      <c r="N285" s="30"/>
      <c r="O285" s="30"/>
      <c r="P285" s="30"/>
      <c r="Q285" s="30"/>
      <c r="R285" s="30"/>
      <c r="S285" s="30"/>
      <c r="T285" s="30"/>
      <c r="U285" s="30"/>
      <c r="V285" s="29" t="str">
        <f>IF(B285=SelectedScope,COUNTIFS($B$4:$B285,SelectedScope),"")</f>
        <v/>
      </c>
    </row>
    <row r="286" spans="1:22" ht="16.05" customHeight="1" x14ac:dyDescent="0.3">
      <c r="A286" s="28">
        <v>283</v>
      </c>
      <c r="B286" s="28" t="s">
        <v>534</v>
      </c>
      <c r="C286" s="28" t="s">
        <v>1291</v>
      </c>
      <c r="D286" s="28" t="s">
        <v>1027</v>
      </c>
      <c r="E286" s="28"/>
      <c r="F286" s="28"/>
      <c r="G286" s="28"/>
      <c r="H286" s="28"/>
      <c r="I286" s="28"/>
      <c r="J286" s="28"/>
      <c r="K286" s="28"/>
      <c r="L286" s="28"/>
      <c r="M286" s="28"/>
      <c r="N286" s="28"/>
      <c r="O286" s="28"/>
      <c r="P286" s="28"/>
      <c r="Q286" s="28"/>
      <c r="R286" s="28"/>
      <c r="S286" s="28"/>
      <c r="T286" s="28"/>
      <c r="U286" s="28"/>
      <c r="V286" s="29" t="str">
        <f>IF(B286=SelectedScope,COUNTIFS($B$4:$B286,SelectedScope),"")</f>
        <v/>
      </c>
    </row>
    <row r="287" spans="1:22" ht="16.05" customHeight="1" x14ac:dyDescent="0.3">
      <c r="A287" s="30">
        <v>284</v>
      </c>
      <c r="B287" s="30" t="s">
        <v>534</v>
      </c>
      <c r="C287" s="30" t="s">
        <v>1292</v>
      </c>
      <c r="D287" s="30" t="s">
        <v>1027</v>
      </c>
      <c r="E287" s="30"/>
      <c r="F287" s="30"/>
      <c r="G287" s="30"/>
      <c r="H287" s="30"/>
      <c r="I287" s="30"/>
      <c r="J287" s="30"/>
      <c r="K287" s="30"/>
      <c r="L287" s="30"/>
      <c r="M287" s="30"/>
      <c r="N287" s="30"/>
      <c r="O287" s="30"/>
      <c r="P287" s="30"/>
      <c r="Q287" s="30"/>
      <c r="R287" s="30"/>
      <c r="S287" s="30"/>
      <c r="T287" s="30"/>
      <c r="U287" s="30"/>
      <c r="V287" s="29" t="str">
        <f>IF(B287=SelectedScope,COUNTIFS($B$4:$B287,SelectedScope),"")</f>
        <v/>
      </c>
    </row>
    <row r="288" spans="1:22" ht="16.05" customHeight="1" x14ac:dyDescent="0.3">
      <c r="A288" s="28">
        <v>285</v>
      </c>
      <c r="B288" s="28" t="s">
        <v>534</v>
      </c>
      <c r="C288" s="28" t="s">
        <v>1293</v>
      </c>
      <c r="D288" s="28" t="s">
        <v>1027</v>
      </c>
      <c r="E288" s="28"/>
      <c r="F288" s="28"/>
      <c r="G288" s="28"/>
      <c r="H288" s="28"/>
      <c r="I288" s="28"/>
      <c r="J288" s="28"/>
      <c r="K288" s="28"/>
      <c r="L288" s="28"/>
      <c r="M288" s="28"/>
      <c r="N288" s="28"/>
      <c r="O288" s="28"/>
      <c r="P288" s="28"/>
      <c r="Q288" s="28"/>
      <c r="R288" s="28"/>
      <c r="S288" s="28"/>
      <c r="T288" s="28"/>
      <c r="U288" s="28"/>
      <c r="V288" s="29" t="str">
        <f>IF(B288=SelectedScope,COUNTIFS($B$4:$B288,SelectedScope),"")</f>
        <v/>
      </c>
    </row>
    <row r="289" spans="1:22" ht="16.05" customHeight="1" x14ac:dyDescent="0.3">
      <c r="A289" s="30">
        <v>286</v>
      </c>
      <c r="B289" s="30" t="s">
        <v>534</v>
      </c>
      <c r="C289" s="30" t="s">
        <v>1294</v>
      </c>
      <c r="D289" s="30" t="s">
        <v>1027</v>
      </c>
      <c r="E289" s="30"/>
      <c r="F289" s="30"/>
      <c r="G289" s="30"/>
      <c r="H289" s="30"/>
      <c r="I289" s="30"/>
      <c r="J289" s="30"/>
      <c r="K289" s="30"/>
      <c r="L289" s="30"/>
      <c r="M289" s="30"/>
      <c r="N289" s="30"/>
      <c r="O289" s="30"/>
      <c r="P289" s="30"/>
      <c r="Q289" s="30"/>
      <c r="R289" s="30"/>
      <c r="S289" s="30"/>
      <c r="T289" s="30"/>
      <c r="U289" s="30"/>
      <c r="V289" s="29" t="str">
        <f>IF(B289=SelectedScope,COUNTIFS($B$4:$B289,SelectedScope),"")</f>
        <v/>
      </c>
    </row>
    <row r="290" spans="1:22" ht="16.05" customHeight="1" x14ac:dyDescent="0.3">
      <c r="A290" s="28">
        <v>287</v>
      </c>
      <c r="B290" s="28" t="s">
        <v>534</v>
      </c>
      <c r="C290" s="28" t="s">
        <v>1295</v>
      </c>
      <c r="D290" s="28" t="s">
        <v>1027</v>
      </c>
      <c r="E290" s="28"/>
      <c r="F290" s="28"/>
      <c r="G290" s="28"/>
      <c r="H290" s="28"/>
      <c r="I290" s="28"/>
      <c r="J290" s="28"/>
      <c r="K290" s="28"/>
      <c r="L290" s="28"/>
      <c r="M290" s="28"/>
      <c r="N290" s="28"/>
      <c r="O290" s="28"/>
      <c r="P290" s="28"/>
      <c r="Q290" s="28"/>
      <c r="R290" s="28"/>
      <c r="S290" s="28"/>
      <c r="T290" s="28"/>
      <c r="U290" s="28"/>
      <c r="V290" s="29" t="str">
        <f>IF(B290=SelectedScope,COUNTIFS($B$4:$B290,SelectedScope),"")</f>
        <v/>
      </c>
    </row>
    <row r="291" spans="1:22" ht="16.05" customHeight="1" x14ac:dyDescent="0.3">
      <c r="A291" s="30">
        <v>288</v>
      </c>
      <c r="B291" s="30" t="s">
        <v>534</v>
      </c>
      <c r="C291" s="30" t="s">
        <v>1296</v>
      </c>
      <c r="D291" s="30" t="s">
        <v>1027</v>
      </c>
      <c r="E291" s="30"/>
      <c r="F291" s="30"/>
      <c r="G291" s="30"/>
      <c r="H291" s="30"/>
      <c r="I291" s="30"/>
      <c r="J291" s="30"/>
      <c r="K291" s="30"/>
      <c r="L291" s="30"/>
      <c r="M291" s="30"/>
      <c r="N291" s="30"/>
      <c r="O291" s="30"/>
      <c r="P291" s="30"/>
      <c r="Q291" s="30"/>
      <c r="R291" s="30"/>
      <c r="S291" s="30"/>
      <c r="T291" s="30"/>
      <c r="U291" s="30"/>
      <c r="V291" s="29" t="str">
        <f>IF(B291=SelectedScope,COUNTIFS($B$4:$B291,SelectedScope),"")</f>
        <v/>
      </c>
    </row>
    <row r="292" spans="1:22" ht="16.05" customHeight="1" x14ac:dyDescent="0.3">
      <c r="A292" s="28">
        <v>289</v>
      </c>
      <c r="B292" s="28" t="s">
        <v>534</v>
      </c>
      <c r="C292" s="28" t="s">
        <v>1297</v>
      </c>
      <c r="D292" s="28" t="s">
        <v>1027</v>
      </c>
      <c r="E292" s="28"/>
      <c r="F292" s="28"/>
      <c r="G292" s="28"/>
      <c r="H292" s="28"/>
      <c r="I292" s="28"/>
      <c r="J292" s="28"/>
      <c r="K292" s="28"/>
      <c r="L292" s="28"/>
      <c r="M292" s="28"/>
      <c r="N292" s="28"/>
      <c r="O292" s="28"/>
      <c r="P292" s="28"/>
      <c r="Q292" s="28"/>
      <c r="R292" s="28"/>
      <c r="S292" s="28"/>
      <c r="T292" s="28"/>
      <c r="U292" s="28"/>
      <c r="V292" s="29" t="str">
        <f>IF(B292=SelectedScope,COUNTIFS($B$4:$B292,SelectedScope),"")</f>
        <v/>
      </c>
    </row>
    <row r="293" spans="1:22" ht="16.05" customHeight="1" x14ac:dyDescent="0.3">
      <c r="A293" s="30">
        <v>290</v>
      </c>
      <c r="B293" s="30" t="s">
        <v>534</v>
      </c>
      <c r="C293" s="30" t="s">
        <v>1298</v>
      </c>
      <c r="D293" s="30" t="s">
        <v>1027</v>
      </c>
      <c r="E293" s="30"/>
      <c r="F293" s="30"/>
      <c r="G293" s="30"/>
      <c r="H293" s="30"/>
      <c r="I293" s="30"/>
      <c r="J293" s="30"/>
      <c r="K293" s="30"/>
      <c r="L293" s="30"/>
      <c r="M293" s="30"/>
      <c r="N293" s="30"/>
      <c r="O293" s="30"/>
      <c r="P293" s="30"/>
      <c r="Q293" s="30"/>
      <c r="R293" s="30"/>
      <c r="S293" s="30"/>
      <c r="T293" s="30"/>
      <c r="U293" s="30"/>
      <c r="V293" s="29" t="str">
        <f>IF(B293=SelectedScope,COUNTIFS($B$4:$B293,SelectedScope),"")</f>
        <v/>
      </c>
    </row>
    <row r="294" spans="1:22" ht="16.05" customHeight="1" x14ac:dyDescent="0.3">
      <c r="A294" s="28">
        <v>291</v>
      </c>
      <c r="B294" s="28" t="s">
        <v>534</v>
      </c>
      <c r="C294" s="28" t="s">
        <v>594</v>
      </c>
      <c r="D294" s="28" t="s">
        <v>1027</v>
      </c>
      <c r="E294" s="28"/>
      <c r="F294" s="28"/>
      <c r="G294" s="28"/>
      <c r="H294" s="28"/>
      <c r="I294" s="28"/>
      <c r="J294" s="28"/>
      <c r="K294" s="28"/>
      <c r="L294" s="28"/>
      <c r="M294" s="28"/>
      <c r="N294" s="28"/>
      <c r="O294" s="28"/>
      <c r="P294" s="28"/>
      <c r="Q294" s="28"/>
      <c r="R294" s="28"/>
      <c r="S294" s="28"/>
      <c r="T294" s="28"/>
      <c r="U294" s="28"/>
      <c r="V294" s="29" t="str">
        <f>IF(B294=SelectedScope,COUNTIFS($B$4:$B294,SelectedScope),"")</f>
        <v/>
      </c>
    </row>
    <row r="295" spans="1:22" ht="16.05" customHeight="1" x14ac:dyDescent="0.3">
      <c r="A295" s="30">
        <v>292</v>
      </c>
      <c r="B295" s="30" t="s">
        <v>534</v>
      </c>
      <c r="C295" s="30" t="s">
        <v>1299</v>
      </c>
      <c r="D295" s="30" t="s">
        <v>1027</v>
      </c>
      <c r="E295" s="30"/>
      <c r="F295" s="30"/>
      <c r="G295" s="30"/>
      <c r="H295" s="30"/>
      <c r="I295" s="30"/>
      <c r="J295" s="30"/>
      <c r="K295" s="30"/>
      <c r="L295" s="30"/>
      <c r="M295" s="30"/>
      <c r="N295" s="30"/>
      <c r="O295" s="30"/>
      <c r="P295" s="30"/>
      <c r="Q295" s="30"/>
      <c r="R295" s="30"/>
      <c r="S295" s="30"/>
      <c r="T295" s="30"/>
      <c r="U295" s="30"/>
      <c r="V295" s="29" t="str">
        <f>IF(B295=SelectedScope,COUNTIFS($B$4:$B295,SelectedScope),"")</f>
        <v/>
      </c>
    </row>
    <row r="296" spans="1:22" ht="16.05" customHeight="1" x14ac:dyDescent="0.3">
      <c r="A296" s="28">
        <v>293</v>
      </c>
      <c r="B296" s="28" t="s">
        <v>534</v>
      </c>
      <c r="C296" s="28" t="s">
        <v>1300</v>
      </c>
      <c r="D296" s="28" t="s">
        <v>1027</v>
      </c>
      <c r="E296" s="28"/>
      <c r="F296" s="28"/>
      <c r="G296" s="28"/>
      <c r="H296" s="28"/>
      <c r="I296" s="28"/>
      <c r="J296" s="28"/>
      <c r="K296" s="28"/>
      <c r="L296" s="28"/>
      <c r="M296" s="28"/>
      <c r="N296" s="28"/>
      <c r="O296" s="28"/>
      <c r="P296" s="28"/>
      <c r="Q296" s="28"/>
      <c r="R296" s="28"/>
      <c r="S296" s="28"/>
      <c r="T296" s="28"/>
      <c r="U296" s="28"/>
      <c r="V296" s="29" t="str">
        <f>IF(B296=SelectedScope,COUNTIFS($B$4:$B296,SelectedScope),"")</f>
        <v/>
      </c>
    </row>
    <row r="297" spans="1:22" ht="16.05" customHeight="1" x14ac:dyDescent="0.3">
      <c r="A297" s="30">
        <v>294</v>
      </c>
      <c r="B297" s="30" t="s">
        <v>534</v>
      </c>
      <c r="C297" s="30" t="s">
        <v>1301</v>
      </c>
      <c r="D297" s="30" t="s">
        <v>1027</v>
      </c>
      <c r="E297" s="30"/>
      <c r="F297" s="30"/>
      <c r="G297" s="30"/>
      <c r="H297" s="30"/>
      <c r="I297" s="30"/>
      <c r="J297" s="30"/>
      <c r="K297" s="30"/>
      <c r="L297" s="30"/>
      <c r="M297" s="30"/>
      <c r="N297" s="30"/>
      <c r="O297" s="30"/>
      <c r="P297" s="30"/>
      <c r="Q297" s="30"/>
      <c r="R297" s="30"/>
      <c r="S297" s="30"/>
      <c r="T297" s="30"/>
      <c r="U297" s="30"/>
      <c r="V297" s="29" t="str">
        <f>IF(B297=SelectedScope,COUNTIFS($B$4:$B297,SelectedScope),"")</f>
        <v/>
      </c>
    </row>
    <row r="298" spans="1:22" ht="16.05" customHeight="1" x14ac:dyDescent="0.3">
      <c r="A298" s="28">
        <v>295</v>
      </c>
      <c r="B298" s="28" t="s">
        <v>534</v>
      </c>
      <c r="C298" s="28" t="s">
        <v>1302</v>
      </c>
      <c r="D298" s="28" t="s">
        <v>1027</v>
      </c>
      <c r="E298" s="28"/>
      <c r="F298" s="28"/>
      <c r="G298" s="28"/>
      <c r="H298" s="28"/>
      <c r="I298" s="28"/>
      <c r="J298" s="28"/>
      <c r="K298" s="28"/>
      <c r="L298" s="28"/>
      <c r="M298" s="28"/>
      <c r="N298" s="28"/>
      <c r="O298" s="28"/>
      <c r="P298" s="28"/>
      <c r="Q298" s="28"/>
      <c r="R298" s="28"/>
      <c r="S298" s="28"/>
      <c r="T298" s="28"/>
      <c r="U298" s="28"/>
      <c r="V298" s="29" t="str">
        <f>IF(B298=SelectedScope,COUNTIFS($B$4:$B298,SelectedScope),"")</f>
        <v/>
      </c>
    </row>
    <row r="299" spans="1:22" ht="16.05" customHeight="1" x14ac:dyDescent="0.3">
      <c r="A299" s="30">
        <v>296</v>
      </c>
      <c r="B299" s="30" t="s">
        <v>534</v>
      </c>
      <c r="C299" s="30" t="s">
        <v>1303</v>
      </c>
      <c r="D299" s="30" t="s">
        <v>1027</v>
      </c>
      <c r="E299" s="30"/>
      <c r="F299" s="30"/>
      <c r="G299" s="30"/>
      <c r="H299" s="30"/>
      <c r="I299" s="30"/>
      <c r="J299" s="30"/>
      <c r="K299" s="30"/>
      <c r="L299" s="30"/>
      <c r="M299" s="30"/>
      <c r="N299" s="30"/>
      <c r="O299" s="30"/>
      <c r="P299" s="30"/>
      <c r="Q299" s="30"/>
      <c r="R299" s="30"/>
      <c r="S299" s="30"/>
      <c r="T299" s="30"/>
      <c r="U299" s="30"/>
      <c r="V299" s="29" t="str">
        <f>IF(B299=SelectedScope,COUNTIFS($B$4:$B299,SelectedScope),"")</f>
        <v/>
      </c>
    </row>
    <row r="300" spans="1:22" ht="16.05" customHeight="1" x14ac:dyDescent="0.3">
      <c r="A300" s="28">
        <v>297</v>
      </c>
      <c r="B300" s="28" t="s">
        <v>534</v>
      </c>
      <c r="C300" s="28" t="s">
        <v>1304</v>
      </c>
      <c r="D300" s="28" t="s">
        <v>1027</v>
      </c>
      <c r="E300" s="28"/>
      <c r="F300" s="28"/>
      <c r="G300" s="28"/>
      <c r="H300" s="28"/>
      <c r="I300" s="28"/>
      <c r="J300" s="28"/>
      <c r="K300" s="28"/>
      <c r="L300" s="28"/>
      <c r="M300" s="28"/>
      <c r="N300" s="28"/>
      <c r="O300" s="28"/>
      <c r="P300" s="28"/>
      <c r="Q300" s="28"/>
      <c r="R300" s="28"/>
      <c r="S300" s="28"/>
      <c r="T300" s="28"/>
      <c r="U300" s="28"/>
      <c r="V300" s="29" t="str">
        <f>IF(B300=SelectedScope,COUNTIFS($B$4:$B300,SelectedScope),"")</f>
        <v/>
      </c>
    </row>
    <row r="301" spans="1:22" ht="16.05" customHeight="1" x14ac:dyDescent="0.3">
      <c r="A301" s="30">
        <v>298</v>
      </c>
      <c r="B301" s="30" t="s">
        <v>534</v>
      </c>
      <c r="C301" s="30" t="s">
        <v>1305</v>
      </c>
      <c r="D301" s="30" t="s">
        <v>1027</v>
      </c>
      <c r="E301" s="30"/>
      <c r="F301" s="30"/>
      <c r="G301" s="30"/>
      <c r="H301" s="30"/>
      <c r="I301" s="30"/>
      <c r="J301" s="30"/>
      <c r="K301" s="30"/>
      <c r="L301" s="30"/>
      <c r="M301" s="30"/>
      <c r="N301" s="30"/>
      <c r="O301" s="30"/>
      <c r="P301" s="30"/>
      <c r="Q301" s="30"/>
      <c r="R301" s="30"/>
      <c r="S301" s="30"/>
      <c r="T301" s="30"/>
      <c r="U301" s="30"/>
      <c r="V301" s="29" t="str">
        <f>IF(B301=SelectedScope,COUNTIFS($B$4:$B301,SelectedScope),"")</f>
        <v/>
      </c>
    </row>
    <row r="302" spans="1:22" ht="16.05" customHeight="1" x14ac:dyDescent="0.3">
      <c r="A302" s="28">
        <v>299</v>
      </c>
      <c r="B302" s="28" t="s">
        <v>534</v>
      </c>
      <c r="C302" s="28" t="s">
        <v>595</v>
      </c>
      <c r="D302" s="28" t="s">
        <v>1027</v>
      </c>
      <c r="E302" s="28"/>
      <c r="F302" s="28"/>
      <c r="G302" s="28"/>
      <c r="H302" s="28"/>
      <c r="I302" s="28"/>
      <c r="J302" s="28"/>
      <c r="K302" s="28"/>
      <c r="L302" s="28"/>
      <c r="M302" s="28"/>
      <c r="N302" s="28"/>
      <c r="O302" s="28"/>
      <c r="P302" s="28"/>
      <c r="Q302" s="28"/>
      <c r="R302" s="28"/>
      <c r="S302" s="28"/>
      <c r="T302" s="28"/>
      <c r="U302" s="28"/>
      <c r="V302" s="29" t="str">
        <f>IF(B302=SelectedScope,COUNTIFS($B$4:$B302,SelectedScope),"")</f>
        <v/>
      </c>
    </row>
    <row r="303" spans="1:22" ht="16.05" customHeight="1" x14ac:dyDescent="0.3">
      <c r="A303" s="30">
        <v>300</v>
      </c>
      <c r="B303" s="30" t="s">
        <v>535</v>
      </c>
      <c r="C303" s="30" t="s">
        <v>1306</v>
      </c>
      <c r="D303" s="30" t="s">
        <v>1027</v>
      </c>
      <c r="E303" s="30"/>
      <c r="F303" s="30"/>
      <c r="G303" s="30"/>
      <c r="H303" s="30"/>
      <c r="I303" s="30"/>
      <c r="J303" s="30"/>
      <c r="K303" s="30"/>
      <c r="L303" s="30"/>
      <c r="M303" s="30"/>
      <c r="N303" s="30"/>
      <c r="O303" s="30"/>
      <c r="P303" s="30"/>
      <c r="Q303" s="30"/>
      <c r="R303" s="30"/>
      <c r="S303" s="30"/>
      <c r="T303" s="30"/>
      <c r="U303" s="30"/>
      <c r="V303" s="29" t="str">
        <f>IF(B303=SelectedScope,COUNTIFS($B$4:$B303,SelectedScope),"")</f>
        <v/>
      </c>
    </row>
    <row r="304" spans="1:22" ht="16.05" customHeight="1" x14ac:dyDescent="0.3">
      <c r="A304" s="28">
        <v>301</v>
      </c>
      <c r="B304" s="28" t="s">
        <v>535</v>
      </c>
      <c r="C304" s="28" t="s">
        <v>1307</v>
      </c>
      <c r="D304" s="28" t="s">
        <v>1027</v>
      </c>
      <c r="E304" s="28"/>
      <c r="F304" s="28"/>
      <c r="G304" s="28"/>
      <c r="H304" s="28"/>
      <c r="I304" s="28"/>
      <c r="J304" s="28"/>
      <c r="K304" s="28"/>
      <c r="L304" s="28"/>
      <c r="M304" s="28"/>
      <c r="N304" s="28"/>
      <c r="O304" s="28"/>
      <c r="P304" s="28"/>
      <c r="Q304" s="28"/>
      <c r="R304" s="28"/>
      <c r="S304" s="28"/>
      <c r="T304" s="28"/>
      <c r="U304" s="28"/>
      <c r="V304" s="29" t="str">
        <f>IF(B304=SelectedScope,COUNTIFS($B$4:$B304,SelectedScope),"")</f>
        <v/>
      </c>
    </row>
    <row r="305" spans="1:22" ht="16.05" customHeight="1" x14ac:dyDescent="0.3">
      <c r="A305" s="30">
        <v>302</v>
      </c>
      <c r="B305" s="30" t="s">
        <v>535</v>
      </c>
      <c r="C305" s="30" t="s">
        <v>1308</v>
      </c>
      <c r="D305" s="30" t="s">
        <v>1027</v>
      </c>
      <c r="E305" s="30"/>
      <c r="F305" s="30"/>
      <c r="G305" s="30"/>
      <c r="H305" s="30"/>
      <c r="I305" s="30"/>
      <c r="J305" s="30"/>
      <c r="K305" s="30"/>
      <c r="L305" s="30"/>
      <c r="M305" s="30"/>
      <c r="N305" s="30"/>
      <c r="O305" s="30"/>
      <c r="P305" s="30"/>
      <c r="Q305" s="30"/>
      <c r="R305" s="30"/>
      <c r="S305" s="30"/>
      <c r="T305" s="30"/>
      <c r="U305" s="30"/>
      <c r="V305" s="29" t="str">
        <f>IF(B305=SelectedScope,COUNTIFS($B$4:$B305,SelectedScope),"")</f>
        <v/>
      </c>
    </row>
    <row r="306" spans="1:22" ht="16.05" customHeight="1" x14ac:dyDescent="0.3">
      <c r="A306" s="28">
        <v>303</v>
      </c>
      <c r="B306" s="28" t="s">
        <v>535</v>
      </c>
      <c r="C306" s="28" t="s">
        <v>1309</v>
      </c>
      <c r="D306" s="28" t="s">
        <v>1027</v>
      </c>
      <c r="E306" s="28"/>
      <c r="F306" s="28"/>
      <c r="G306" s="28"/>
      <c r="H306" s="28"/>
      <c r="I306" s="28"/>
      <c r="J306" s="28"/>
      <c r="K306" s="28"/>
      <c r="L306" s="28"/>
      <c r="M306" s="28"/>
      <c r="N306" s="28"/>
      <c r="O306" s="28"/>
      <c r="P306" s="28"/>
      <c r="Q306" s="28"/>
      <c r="R306" s="28"/>
      <c r="S306" s="28"/>
      <c r="T306" s="28"/>
      <c r="U306" s="28"/>
      <c r="V306" s="29" t="str">
        <f>IF(B306=SelectedScope,COUNTIFS($B$4:$B306,SelectedScope),"")</f>
        <v/>
      </c>
    </row>
    <row r="307" spans="1:22" ht="16.05" customHeight="1" x14ac:dyDescent="0.3">
      <c r="A307" s="30">
        <v>304</v>
      </c>
      <c r="B307" s="30" t="s">
        <v>535</v>
      </c>
      <c r="C307" s="30" t="s">
        <v>1310</v>
      </c>
      <c r="D307" s="30" t="s">
        <v>1027</v>
      </c>
      <c r="E307" s="30"/>
      <c r="F307" s="30"/>
      <c r="G307" s="30"/>
      <c r="H307" s="30"/>
      <c r="I307" s="30"/>
      <c r="J307" s="30"/>
      <c r="K307" s="30"/>
      <c r="L307" s="30"/>
      <c r="M307" s="30"/>
      <c r="N307" s="30"/>
      <c r="O307" s="30"/>
      <c r="P307" s="30"/>
      <c r="Q307" s="30"/>
      <c r="R307" s="30"/>
      <c r="S307" s="30"/>
      <c r="T307" s="30"/>
      <c r="U307" s="30"/>
      <c r="V307" s="29" t="str">
        <f>IF(B307=SelectedScope,COUNTIFS($B$4:$B307,SelectedScope),"")</f>
        <v/>
      </c>
    </row>
    <row r="308" spans="1:22" ht="16.05" customHeight="1" x14ac:dyDescent="0.3">
      <c r="A308" s="28">
        <v>305</v>
      </c>
      <c r="B308" s="28" t="s">
        <v>535</v>
      </c>
      <c r="C308" s="28" t="s">
        <v>1311</v>
      </c>
      <c r="D308" s="28" t="s">
        <v>1027</v>
      </c>
      <c r="E308" s="28"/>
      <c r="F308" s="28"/>
      <c r="G308" s="28"/>
      <c r="H308" s="28"/>
      <c r="I308" s="28"/>
      <c r="J308" s="28"/>
      <c r="K308" s="28"/>
      <c r="L308" s="28"/>
      <c r="M308" s="28"/>
      <c r="N308" s="28"/>
      <c r="O308" s="28"/>
      <c r="P308" s="28"/>
      <c r="Q308" s="28"/>
      <c r="R308" s="28"/>
      <c r="S308" s="28"/>
      <c r="T308" s="28"/>
      <c r="U308" s="28"/>
      <c r="V308" s="29" t="str">
        <f>IF(B308=SelectedScope,COUNTIFS($B$4:$B308,SelectedScope),"")</f>
        <v/>
      </c>
    </row>
    <row r="309" spans="1:22" ht="16.05" customHeight="1" x14ac:dyDescent="0.3">
      <c r="A309" s="30">
        <v>306</v>
      </c>
      <c r="B309" s="30" t="s">
        <v>535</v>
      </c>
      <c r="C309" s="30" t="s">
        <v>1312</v>
      </c>
      <c r="D309" s="30" t="s">
        <v>1027</v>
      </c>
      <c r="E309" s="30"/>
      <c r="F309" s="30"/>
      <c r="G309" s="30"/>
      <c r="H309" s="30"/>
      <c r="I309" s="30"/>
      <c r="J309" s="30"/>
      <c r="K309" s="30"/>
      <c r="L309" s="30"/>
      <c r="M309" s="30"/>
      <c r="N309" s="30"/>
      <c r="O309" s="30"/>
      <c r="P309" s="30"/>
      <c r="Q309" s="30"/>
      <c r="R309" s="30"/>
      <c r="S309" s="30"/>
      <c r="T309" s="30"/>
      <c r="U309" s="30"/>
      <c r="V309" s="29" t="str">
        <f>IF(B309=SelectedScope,COUNTIFS($B$4:$B309,SelectedScope),"")</f>
        <v/>
      </c>
    </row>
    <row r="310" spans="1:22" ht="16.05" customHeight="1" x14ac:dyDescent="0.3">
      <c r="A310" s="28">
        <v>307</v>
      </c>
      <c r="B310" s="28" t="s">
        <v>535</v>
      </c>
      <c r="C310" s="28" t="s">
        <v>1313</v>
      </c>
      <c r="D310" s="28" t="s">
        <v>1027</v>
      </c>
      <c r="E310" s="28"/>
      <c r="F310" s="28"/>
      <c r="G310" s="28"/>
      <c r="H310" s="28"/>
      <c r="I310" s="28"/>
      <c r="J310" s="28"/>
      <c r="K310" s="28"/>
      <c r="L310" s="28"/>
      <c r="M310" s="28"/>
      <c r="N310" s="28"/>
      <c r="O310" s="28"/>
      <c r="P310" s="28"/>
      <c r="Q310" s="28"/>
      <c r="R310" s="28"/>
      <c r="S310" s="28"/>
      <c r="T310" s="28"/>
      <c r="U310" s="28"/>
      <c r="V310" s="29" t="str">
        <f>IF(B310=SelectedScope,COUNTIFS($B$4:$B310,SelectedScope),"")</f>
        <v/>
      </c>
    </row>
    <row r="311" spans="1:22" ht="16.05" customHeight="1" x14ac:dyDescent="0.3">
      <c r="A311" s="30">
        <v>308</v>
      </c>
      <c r="B311" s="30" t="s">
        <v>535</v>
      </c>
      <c r="C311" s="30" t="s">
        <v>1314</v>
      </c>
      <c r="D311" s="30" t="s">
        <v>1027</v>
      </c>
      <c r="E311" s="30"/>
      <c r="F311" s="30"/>
      <c r="G311" s="30"/>
      <c r="H311" s="30"/>
      <c r="I311" s="30"/>
      <c r="J311" s="30"/>
      <c r="K311" s="30"/>
      <c r="L311" s="30"/>
      <c r="M311" s="30"/>
      <c r="N311" s="30"/>
      <c r="O311" s="30"/>
      <c r="P311" s="30"/>
      <c r="Q311" s="30"/>
      <c r="R311" s="30"/>
      <c r="S311" s="30"/>
      <c r="T311" s="30"/>
      <c r="U311" s="30"/>
      <c r="V311" s="29" t="str">
        <f>IF(B311=SelectedScope,COUNTIFS($B$4:$B311,SelectedScope),"")</f>
        <v/>
      </c>
    </row>
    <row r="312" spans="1:22" ht="16.05" customHeight="1" x14ac:dyDescent="0.3">
      <c r="A312" s="28">
        <v>309</v>
      </c>
      <c r="B312" s="28" t="s">
        <v>535</v>
      </c>
      <c r="C312" s="28" t="s">
        <v>1315</v>
      </c>
      <c r="D312" s="28" t="s">
        <v>1027</v>
      </c>
      <c r="E312" s="28"/>
      <c r="F312" s="28"/>
      <c r="G312" s="28"/>
      <c r="H312" s="28"/>
      <c r="I312" s="28"/>
      <c r="J312" s="28"/>
      <c r="K312" s="28"/>
      <c r="L312" s="28"/>
      <c r="M312" s="28"/>
      <c r="N312" s="28"/>
      <c r="O312" s="28"/>
      <c r="P312" s="28"/>
      <c r="Q312" s="28"/>
      <c r="R312" s="28"/>
      <c r="S312" s="28"/>
      <c r="T312" s="28"/>
      <c r="U312" s="28"/>
      <c r="V312" s="29" t="str">
        <f>IF(B312=SelectedScope,COUNTIFS($B$4:$B312,SelectedScope),"")</f>
        <v/>
      </c>
    </row>
    <row r="313" spans="1:22" ht="16.05" customHeight="1" x14ac:dyDescent="0.3">
      <c r="A313" s="30">
        <v>310</v>
      </c>
      <c r="B313" s="30" t="s">
        <v>535</v>
      </c>
      <c r="C313" s="30" t="s">
        <v>1316</v>
      </c>
      <c r="D313" s="30" t="s">
        <v>1027</v>
      </c>
      <c r="E313" s="30"/>
      <c r="F313" s="30"/>
      <c r="G313" s="30"/>
      <c r="H313" s="30"/>
      <c r="I313" s="30"/>
      <c r="J313" s="30"/>
      <c r="K313" s="30"/>
      <c r="L313" s="30"/>
      <c r="M313" s="30"/>
      <c r="N313" s="30"/>
      <c r="O313" s="30"/>
      <c r="P313" s="30"/>
      <c r="Q313" s="30"/>
      <c r="R313" s="30"/>
      <c r="S313" s="30"/>
      <c r="T313" s="30"/>
      <c r="U313" s="30"/>
      <c r="V313" s="29" t="str">
        <f>IF(B313=SelectedScope,COUNTIFS($B$4:$B313,SelectedScope),"")</f>
        <v/>
      </c>
    </row>
    <row r="314" spans="1:22" ht="16.05" customHeight="1" x14ac:dyDescent="0.3">
      <c r="A314" s="28">
        <v>311</v>
      </c>
      <c r="B314" s="28" t="s">
        <v>535</v>
      </c>
      <c r="C314" s="28" t="s">
        <v>1317</v>
      </c>
      <c r="D314" s="28" t="s">
        <v>1027</v>
      </c>
      <c r="E314" s="28"/>
      <c r="F314" s="28"/>
      <c r="G314" s="28"/>
      <c r="H314" s="28"/>
      <c r="I314" s="28"/>
      <c r="J314" s="28"/>
      <c r="K314" s="28"/>
      <c r="L314" s="28"/>
      <c r="M314" s="28"/>
      <c r="N314" s="28"/>
      <c r="O314" s="28"/>
      <c r="P314" s="28"/>
      <c r="Q314" s="28"/>
      <c r="R314" s="28"/>
      <c r="S314" s="28"/>
      <c r="T314" s="28"/>
      <c r="U314" s="28"/>
      <c r="V314" s="29" t="str">
        <f>IF(B314=SelectedScope,COUNTIFS($B$4:$B314,SelectedScope),"")</f>
        <v/>
      </c>
    </row>
    <row r="315" spans="1:22" ht="16.05" customHeight="1" x14ac:dyDescent="0.3">
      <c r="A315" s="30">
        <v>312</v>
      </c>
      <c r="B315" s="30" t="s">
        <v>535</v>
      </c>
      <c r="C315" s="30" t="s">
        <v>1318</v>
      </c>
      <c r="D315" s="30" t="s">
        <v>1027</v>
      </c>
      <c r="E315" s="30"/>
      <c r="F315" s="30"/>
      <c r="G315" s="30"/>
      <c r="H315" s="30"/>
      <c r="I315" s="30"/>
      <c r="J315" s="30"/>
      <c r="K315" s="30"/>
      <c r="L315" s="30"/>
      <c r="M315" s="30"/>
      <c r="N315" s="30"/>
      <c r="O315" s="30"/>
      <c r="P315" s="30"/>
      <c r="Q315" s="30"/>
      <c r="R315" s="30"/>
      <c r="S315" s="30"/>
      <c r="T315" s="30"/>
      <c r="U315" s="30"/>
      <c r="V315" s="29" t="str">
        <f>IF(B315=SelectedScope,COUNTIFS($B$4:$B315,SelectedScope),"")</f>
        <v/>
      </c>
    </row>
    <row r="316" spans="1:22" ht="16.05" customHeight="1" x14ac:dyDescent="0.3">
      <c r="A316" s="28">
        <v>313</v>
      </c>
      <c r="B316" s="28" t="s">
        <v>535</v>
      </c>
      <c r="C316" s="28" t="s">
        <v>1319</v>
      </c>
      <c r="D316" s="28" t="s">
        <v>1027</v>
      </c>
      <c r="E316" s="28"/>
      <c r="F316" s="28"/>
      <c r="G316" s="28"/>
      <c r="H316" s="28"/>
      <c r="I316" s="28"/>
      <c r="J316" s="28"/>
      <c r="K316" s="28"/>
      <c r="L316" s="28"/>
      <c r="M316" s="28"/>
      <c r="N316" s="28"/>
      <c r="O316" s="28"/>
      <c r="P316" s="28"/>
      <c r="Q316" s="28"/>
      <c r="R316" s="28"/>
      <c r="S316" s="28"/>
      <c r="T316" s="28"/>
      <c r="U316" s="28"/>
      <c r="V316" s="29" t="str">
        <f>IF(B316=SelectedScope,COUNTIFS($B$4:$B316,SelectedScope),"")</f>
        <v/>
      </c>
    </row>
    <row r="317" spans="1:22" ht="16.05" customHeight="1" x14ac:dyDescent="0.3">
      <c r="A317" s="30">
        <v>314</v>
      </c>
      <c r="B317" s="30" t="s">
        <v>536</v>
      </c>
      <c r="C317" s="30" t="s">
        <v>1320</v>
      </c>
      <c r="D317" s="30" t="s">
        <v>1027</v>
      </c>
      <c r="E317" s="30"/>
      <c r="F317" s="30"/>
      <c r="G317" s="30"/>
      <c r="H317" s="30"/>
      <c r="I317" s="30"/>
      <c r="J317" s="30"/>
      <c r="K317" s="30"/>
      <c r="L317" s="30"/>
      <c r="M317" s="30"/>
      <c r="N317" s="30"/>
      <c r="O317" s="30"/>
      <c r="P317" s="30"/>
      <c r="Q317" s="30"/>
      <c r="R317" s="30"/>
      <c r="S317" s="30"/>
      <c r="T317" s="30"/>
      <c r="U317" s="30"/>
      <c r="V317" s="29" t="str">
        <f>IF(B317=SelectedScope,COUNTIFS($B$4:$B317,SelectedScope),"")</f>
        <v/>
      </c>
    </row>
    <row r="318" spans="1:22" ht="16.05" customHeight="1" x14ac:dyDescent="0.3">
      <c r="A318" s="28">
        <v>315</v>
      </c>
      <c r="B318" s="28" t="s">
        <v>536</v>
      </c>
      <c r="C318" s="28" t="s">
        <v>1321</v>
      </c>
      <c r="D318" s="28" t="s">
        <v>1027</v>
      </c>
      <c r="E318" s="28"/>
      <c r="F318" s="28"/>
      <c r="G318" s="28"/>
      <c r="H318" s="28"/>
      <c r="I318" s="28"/>
      <c r="J318" s="28"/>
      <c r="K318" s="28"/>
      <c r="L318" s="28"/>
      <c r="M318" s="28"/>
      <c r="N318" s="28"/>
      <c r="O318" s="28"/>
      <c r="P318" s="28"/>
      <c r="Q318" s="28"/>
      <c r="R318" s="28"/>
      <c r="S318" s="28"/>
      <c r="T318" s="28"/>
      <c r="U318" s="28"/>
      <c r="V318" s="29" t="str">
        <f>IF(B318=SelectedScope,COUNTIFS($B$4:$B318,SelectedScope),"")</f>
        <v/>
      </c>
    </row>
    <row r="319" spans="1:22" ht="16.05" customHeight="1" x14ac:dyDescent="0.3">
      <c r="A319" s="30">
        <v>316</v>
      </c>
      <c r="B319" s="30" t="s">
        <v>537</v>
      </c>
      <c r="C319" s="30" t="s">
        <v>537</v>
      </c>
      <c r="D319" s="30" t="s">
        <v>1027</v>
      </c>
      <c r="E319" s="30"/>
      <c r="F319" s="30"/>
      <c r="G319" s="30"/>
      <c r="H319" s="30"/>
      <c r="I319" s="30"/>
      <c r="J319" s="30"/>
      <c r="K319" s="30"/>
      <c r="L319" s="30"/>
      <c r="M319" s="30"/>
      <c r="N319" s="30"/>
      <c r="O319" s="30"/>
      <c r="P319" s="30"/>
      <c r="Q319" s="30"/>
      <c r="R319" s="30"/>
      <c r="S319" s="30"/>
      <c r="T319" s="30"/>
      <c r="U319" s="30"/>
      <c r="V319" s="29" t="str">
        <f>IF(B319=SelectedScope,COUNTIFS($B$4:$B319,SelectedScope),"")</f>
        <v/>
      </c>
    </row>
    <row r="320" spans="1:22" ht="16.05" customHeight="1" x14ac:dyDescent="0.3">
      <c r="A320" s="28">
        <v>317</v>
      </c>
      <c r="B320" s="28" t="s">
        <v>538</v>
      </c>
      <c r="C320" s="28" t="s">
        <v>1322</v>
      </c>
      <c r="D320" s="28" t="s">
        <v>1027</v>
      </c>
      <c r="E320" s="28"/>
      <c r="F320" s="28"/>
      <c r="G320" s="28"/>
      <c r="H320" s="28"/>
      <c r="I320" s="28"/>
      <c r="J320" s="28"/>
      <c r="K320" s="28"/>
      <c r="L320" s="28"/>
      <c r="M320" s="28"/>
      <c r="N320" s="28"/>
      <c r="O320" s="28"/>
      <c r="P320" s="28"/>
      <c r="Q320" s="28"/>
      <c r="R320" s="28"/>
      <c r="S320" s="28"/>
      <c r="T320" s="28"/>
      <c r="U320" s="28"/>
      <c r="V320" s="29" t="str">
        <f>IF(B320=SelectedScope,COUNTIFS($B$4:$B320,SelectedScope),"")</f>
        <v/>
      </c>
    </row>
    <row r="321" spans="1:22" ht="16.05" customHeight="1" x14ac:dyDescent="0.3">
      <c r="A321" s="30">
        <v>318</v>
      </c>
      <c r="B321" s="30" t="s">
        <v>538</v>
      </c>
      <c r="C321" s="30" t="s">
        <v>571</v>
      </c>
      <c r="D321" s="30" t="s">
        <v>1027</v>
      </c>
      <c r="E321" s="30"/>
      <c r="F321" s="30"/>
      <c r="G321" s="30"/>
      <c r="H321" s="30"/>
      <c r="I321" s="30"/>
      <c r="J321" s="30"/>
      <c r="K321" s="30"/>
      <c r="L321" s="30"/>
      <c r="M321" s="30"/>
      <c r="N321" s="30"/>
      <c r="O321" s="30"/>
      <c r="P321" s="30"/>
      <c r="Q321" s="30"/>
      <c r="R321" s="30"/>
      <c r="S321" s="30"/>
      <c r="T321" s="30"/>
      <c r="U321" s="30"/>
      <c r="V321" s="29" t="str">
        <f>IF(B321=SelectedScope,COUNTIFS($B$4:$B321,SelectedScope),"")</f>
        <v/>
      </c>
    </row>
    <row r="322" spans="1:22" ht="16.05" customHeight="1" x14ac:dyDescent="0.3">
      <c r="A322" s="28">
        <v>319</v>
      </c>
      <c r="B322" s="28" t="s">
        <v>538</v>
      </c>
      <c r="C322" s="28" t="s">
        <v>1323</v>
      </c>
      <c r="D322" s="28" t="s">
        <v>1027</v>
      </c>
      <c r="E322" s="28"/>
      <c r="F322" s="28"/>
      <c r="G322" s="28"/>
      <c r="H322" s="28"/>
      <c r="I322" s="28"/>
      <c r="J322" s="28"/>
      <c r="K322" s="28"/>
      <c r="L322" s="28"/>
      <c r="M322" s="28"/>
      <c r="N322" s="28"/>
      <c r="O322" s="28"/>
      <c r="P322" s="28"/>
      <c r="Q322" s="28"/>
      <c r="R322" s="28"/>
      <c r="S322" s="28"/>
      <c r="T322" s="28"/>
      <c r="U322" s="28"/>
      <c r="V322" s="29" t="str">
        <f>IF(B322=SelectedScope,COUNTIFS($B$4:$B322,SelectedScope),"")</f>
        <v/>
      </c>
    </row>
    <row r="323" spans="1:22" ht="16.05" customHeight="1" x14ac:dyDescent="0.3">
      <c r="A323" s="30">
        <v>320</v>
      </c>
      <c r="B323" s="30" t="s">
        <v>538</v>
      </c>
      <c r="C323" s="30" t="s">
        <v>1324</v>
      </c>
      <c r="D323" s="30" t="s">
        <v>1027</v>
      </c>
      <c r="E323" s="30"/>
      <c r="F323" s="30"/>
      <c r="G323" s="30"/>
      <c r="H323" s="30"/>
      <c r="I323" s="30"/>
      <c r="J323" s="30"/>
      <c r="K323" s="30"/>
      <c r="L323" s="30"/>
      <c r="M323" s="30"/>
      <c r="N323" s="30"/>
      <c r="O323" s="30"/>
      <c r="P323" s="30"/>
      <c r="Q323" s="30"/>
      <c r="R323" s="30"/>
      <c r="S323" s="30"/>
      <c r="T323" s="30"/>
      <c r="U323" s="30"/>
      <c r="V323" s="29" t="str">
        <f>IF(B323=SelectedScope,COUNTIFS($B$4:$B323,SelectedScope),"")</f>
        <v/>
      </c>
    </row>
    <row r="324" spans="1:22" ht="16.05" customHeight="1" x14ac:dyDescent="0.3">
      <c r="A324" s="28">
        <v>321</v>
      </c>
      <c r="B324" s="28" t="s">
        <v>538</v>
      </c>
      <c r="C324" s="28" t="s">
        <v>1325</v>
      </c>
      <c r="D324" s="28" t="s">
        <v>1027</v>
      </c>
      <c r="E324" s="28"/>
      <c r="F324" s="28"/>
      <c r="G324" s="28"/>
      <c r="H324" s="28"/>
      <c r="I324" s="28"/>
      <c r="J324" s="28"/>
      <c r="K324" s="28"/>
      <c r="L324" s="28"/>
      <c r="M324" s="28"/>
      <c r="N324" s="28"/>
      <c r="O324" s="28"/>
      <c r="P324" s="28"/>
      <c r="Q324" s="28"/>
      <c r="R324" s="28"/>
      <c r="S324" s="28"/>
      <c r="T324" s="28"/>
      <c r="U324" s="28"/>
      <c r="V324" s="29" t="str">
        <f>IF(B324=SelectedScope,COUNTIFS($B$4:$B324,SelectedScope),"")</f>
        <v/>
      </c>
    </row>
    <row r="325" spans="1:22" ht="16.05" customHeight="1" x14ac:dyDescent="0.3">
      <c r="A325" s="30">
        <v>322</v>
      </c>
      <c r="B325" s="30" t="s">
        <v>538</v>
      </c>
      <c r="C325" s="30" t="s">
        <v>597</v>
      </c>
      <c r="D325" s="30" t="s">
        <v>1027</v>
      </c>
      <c r="E325" s="30"/>
      <c r="F325" s="30"/>
      <c r="G325" s="30"/>
      <c r="H325" s="30"/>
      <c r="I325" s="30"/>
      <c r="J325" s="30"/>
      <c r="K325" s="30"/>
      <c r="L325" s="30"/>
      <c r="M325" s="30"/>
      <c r="N325" s="30"/>
      <c r="O325" s="30"/>
      <c r="P325" s="30"/>
      <c r="Q325" s="30"/>
      <c r="R325" s="30"/>
      <c r="S325" s="30"/>
      <c r="T325" s="30"/>
      <c r="U325" s="30"/>
      <c r="V325" s="29" t="str">
        <f>IF(B325=SelectedScope,COUNTIFS($B$4:$B325,SelectedScope),"")</f>
        <v/>
      </c>
    </row>
    <row r="326" spans="1:22" ht="16.05" customHeight="1" x14ac:dyDescent="0.3">
      <c r="A326" s="28">
        <v>323</v>
      </c>
      <c r="B326" s="28" t="s">
        <v>538</v>
      </c>
      <c r="C326" s="28" t="s">
        <v>1326</v>
      </c>
      <c r="D326" s="28" t="s">
        <v>1027</v>
      </c>
      <c r="E326" s="28"/>
      <c r="F326" s="28"/>
      <c r="G326" s="28"/>
      <c r="H326" s="28"/>
      <c r="I326" s="28"/>
      <c r="J326" s="28"/>
      <c r="K326" s="28"/>
      <c r="L326" s="28"/>
      <c r="M326" s="28"/>
      <c r="N326" s="28"/>
      <c r="O326" s="28"/>
      <c r="P326" s="28"/>
      <c r="Q326" s="28"/>
      <c r="R326" s="28"/>
      <c r="S326" s="28"/>
      <c r="T326" s="28"/>
      <c r="U326" s="28"/>
      <c r="V326" s="29" t="str">
        <f>IF(B326=SelectedScope,COUNTIFS($B$4:$B326,SelectedScope),"")</f>
        <v/>
      </c>
    </row>
    <row r="327" spans="1:22" ht="16.05" customHeight="1" x14ac:dyDescent="0.3">
      <c r="A327" s="30">
        <v>324</v>
      </c>
      <c r="B327" s="30" t="s">
        <v>538</v>
      </c>
      <c r="C327" s="30" t="s">
        <v>1327</v>
      </c>
      <c r="D327" s="30" t="s">
        <v>1027</v>
      </c>
      <c r="E327" s="30"/>
      <c r="F327" s="30"/>
      <c r="G327" s="30"/>
      <c r="H327" s="30"/>
      <c r="I327" s="30"/>
      <c r="J327" s="30"/>
      <c r="K327" s="30"/>
      <c r="L327" s="30"/>
      <c r="M327" s="30"/>
      <c r="N327" s="30"/>
      <c r="O327" s="30"/>
      <c r="P327" s="30"/>
      <c r="Q327" s="30"/>
      <c r="R327" s="30"/>
      <c r="S327" s="30"/>
      <c r="T327" s="30"/>
      <c r="U327" s="30"/>
      <c r="V327" s="29" t="str">
        <f>IF(B327=SelectedScope,COUNTIFS($B$4:$B327,SelectedScope),"")</f>
        <v/>
      </c>
    </row>
    <row r="328" spans="1:22" ht="16.05" customHeight="1" x14ac:dyDescent="0.3">
      <c r="A328" s="28">
        <v>325</v>
      </c>
      <c r="B328" s="28" t="s">
        <v>538</v>
      </c>
      <c r="C328" s="28" t="s">
        <v>1328</v>
      </c>
      <c r="D328" s="28" t="s">
        <v>1027</v>
      </c>
      <c r="E328" s="28"/>
      <c r="F328" s="28"/>
      <c r="G328" s="28"/>
      <c r="H328" s="28"/>
      <c r="I328" s="28"/>
      <c r="J328" s="28"/>
      <c r="K328" s="28"/>
      <c r="L328" s="28"/>
      <c r="M328" s="28"/>
      <c r="N328" s="28"/>
      <c r="O328" s="28"/>
      <c r="P328" s="28"/>
      <c r="Q328" s="28"/>
      <c r="R328" s="28"/>
      <c r="S328" s="28"/>
      <c r="T328" s="28"/>
      <c r="U328" s="28"/>
      <c r="V328" s="29" t="str">
        <f>IF(B328=SelectedScope,COUNTIFS($B$4:$B328,SelectedScope),"")</f>
        <v/>
      </c>
    </row>
    <row r="329" spans="1:22" ht="16.05" customHeight="1" x14ac:dyDescent="0.3">
      <c r="A329" s="30">
        <v>326</v>
      </c>
      <c r="B329" s="30" t="s">
        <v>538</v>
      </c>
      <c r="C329" s="30" t="s">
        <v>1329</v>
      </c>
      <c r="D329" s="30" t="s">
        <v>1027</v>
      </c>
      <c r="E329" s="30"/>
      <c r="F329" s="30"/>
      <c r="G329" s="30"/>
      <c r="H329" s="30"/>
      <c r="I329" s="30"/>
      <c r="J329" s="30"/>
      <c r="K329" s="30"/>
      <c r="L329" s="30"/>
      <c r="M329" s="30"/>
      <c r="N329" s="30"/>
      <c r="O329" s="30"/>
      <c r="P329" s="30"/>
      <c r="Q329" s="30"/>
      <c r="R329" s="30"/>
      <c r="S329" s="30"/>
      <c r="T329" s="30"/>
      <c r="U329" s="30"/>
      <c r="V329" s="29" t="str">
        <f>IF(B329=SelectedScope,COUNTIFS($B$4:$B329,SelectedScope),"")</f>
        <v/>
      </c>
    </row>
    <row r="330" spans="1:22" ht="16.05" customHeight="1" x14ac:dyDescent="0.3">
      <c r="A330" s="28">
        <v>327</v>
      </c>
      <c r="B330" s="28" t="s">
        <v>538</v>
      </c>
      <c r="C330" s="28" t="s">
        <v>1330</v>
      </c>
      <c r="D330" s="28" t="s">
        <v>1027</v>
      </c>
      <c r="E330" s="28"/>
      <c r="F330" s="28"/>
      <c r="G330" s="28"/>
      <c r="H330" s="28"/>
      <c r="I330" s="28"/>
      <c r="J330" s="28"/>
      <c r="K330" s="28"/>
      <c r="L330" s="28"/>
      <c r="M330" s="28"/>
      <c r="N330" s="28"/>
      <c r="O330" s="28"/>
      <c r="P330" s="28"/>
      <c r="Q330" s="28"/>
      <c r="R330" s="28"/>
      <c r="S330" s="28"/>
      <c r="T330" s="28"/>
      <c r="U330" s="28"/>
      <c r="V330" s="29" t="str">
        <f>IF(B330=SelectedScope,COUNTIFS($B$4:$B330,SelectedScope),"")</f>
        <v/>
      </c>
    </row>
    <row r="331" spans="1:22" ht="16.05" customHeight="1" x14ac:dyDescent="0.3">
      <c r="A331" s="30">
        <v>328</v>
      </c>
      <c r="B331" s="30" t="s">
        <v>538</v>
      </c>
      <c r="C331" s="30" t="s">
        <v>1331</v>
      </c>
      <c r="D331" s="30" t="s">
        <v>1027</v>
      </c>
      <c r="E331" s="30"/>
      <c r="F331" s="30"/>
      <c r="G331" s="30"/>
      <c r="H331" s="30"/>
      <c r="I331" s="30"/>
      <c r="J331" s="30"/>
      <c r="K331" s="30"/>
      <c r="L331" s="30"/>
      <c r="M331" s="30"/>
      <c r="N331" s="30"/>
      <c r="O331" s="30"/>
      <c r="P331" s="30"/>
      <c r="Q331" s="30"/>
      <c r="R331" s="30"/>
      <c r="S331" s="30"/>
      <c r="T331" s="30"/>
      <c r="U331" s="30"/>
      <c r="V331" s="29" t="str">
        <f>IF(B331=SelectedScope,COUNTIFS($B$4:$B331,SelectedScope),"")</f>
        <v/>
      </c>
    </row>
    <row r="332" spans="1:22" ht="16.05" customHeight="1" x14ac:dyDescent="0.3">
      <c r="A332" s="28">
        <v>329</v>
      </c>
      <c r="B332" s="28" t="s">
        <v>538</v>
      </c>
      <c r="C332" s="28" t="s">
        <v>1332</v>
      </c>
      <c r="D332" s="28" t="s">
        <v>1027</v>
      </c>
      <c r="E332" s="28"/>
      <c r="F332" s="28"/>
      <c r="G332" s="28"/>
      <c r="H332" s="28"/>
      <c r="I332" s="28"/>
      <c r="J332" s="28"/>
      <c r="K332" s="28"/>
      <c r="L332" s="28"/>
      <c r="M332" s="28"/>
      <c r="N332" s="28"/>
      <c r="O332" s="28"/>
      <c r="P332" s="28"/>
      <c r="Q332" s="28"/>
      <c r="R332" s="28"/>
      <c r="S332" s="28"/>
      <c r="T332" s="28"/>
      <c r="U332" s="28"/>
      <c r="V332" s="29" t="str">
        <f>IF(B332=SelectedScope,COUNTIFS($B$4:$B332,SelectedScope),"")</f>
        <v/>
      </c>
    </row>
    <row r="333" spans="1:22" ht="16.05" customHeight="1" x14ac:dyDescent="0.3">
      <c r="A333" s="30">
        <v>330</v>
      </c>
      <c r="B333" s="30" t="s">
        <v>538</v>
      </c>
      <c r="C333" s="30" t="s">
        <v>1333</v>
      </c>
      <c r="D333" s="30" t="s">
        <v>1027</v>
      </c>
      <c r="E333" s="30"/>
      <c r="F333" s="30"/>
      <c r="G333" s="30"/>
      <c r="H333" s="30"/>
      <c r="I333" s="30"/>
      <c r="J333" s="30"/>
      <c r="K333" s="30"/>
      <c r="L333" s="30"/>
      <c r="M333" s="30"/>
      <c r="N333" s="30"/>
      <c r="O333" s="30"/>
      <c r="P333" s="30"/>
      <c r="Q333" s="30"/>
      <c r="R333" s="30"/>
      <c r="S333" s="30"/>
      <c r="T333" s="30"/>
      <c r="U333" s="30"/>
      <c r="V333" s="29" t="str">
        <f>IF(B333=SelectedScope,COUNTIFS($B$4:$B333,SelectedScope),"")</f>
        <v/>
      </c>
    </row>
    <row r="334" spans="1:22" ht="16.05" customHeight="1" x14ac:dyDescent="0.3">
      <c r="A334" s="28">
        <v>331</v>
      </c>
      <c r="B334" s="28" t="s">
        <v>538</v>
      </c>
      <c r="C334" s="28" t="s">
        <v>1334</v>
      </c>
      <c r="D334" s="28" t="s">
        <v>1027</v>
      </c>
      <c r="E334" s="28"/>
      <c r="F334" s="28"/>
      <c r="G334" s="28"/>
      <c r="H334" s="28"/>
      <c r="I334" s="28"/>
      <c r="J334" s="28"/>
      <c r="K334" s="28"/>
      <c r="L334" s="28"/>
      <c r="M334" s="28"/>
      <c r="N334" s="28"/>
      <c r="O334" s="28"/>
      <c r="P334" s="28"/>
      <c r="Q334" s="28"/>
      <c r="R334" s="28"/>
      <c r="S334" s="28"/>
      <c r="T334" s="28"/>
      <c r="U334" s="28"/>
      <c r="V334" s="29" t="str">
        <f>IF(B334=SelectedScope,COUNTIFS($B$4:$B334,SelectedScope),"")</f>
        <v/>
      </c>
    </row>
    <row r="335" spans="1:22" ht="16.05" customHeight="1" x14ac:dyDescent="0.3">
      <c r="A335" s="30">
        <v>332</v>
      </c>
      <c r="B335" s="30" t="s">
        <v>538</v>
      </c>
      <c r="C335" s="30" t="s">
        <v>1335</v>
      </c>
      <c r="D335" s="30" t="s">
        <v>1027</v>
      </c>
      <c r="E335" s="30"/>
      <c r="F335" s="30"/>
      <c r="G335" s="30"/>
      <c r="H335" s="30"/>
      <c r="I335" s="30"/>
      <c r="J335" s="30"/>
      <c r="K335" s="30"/>
      <c r="L335" s="30"/>
      <c r="M335" s="30"/>
      <c r="N335" s="30"/>
      <c r="O335" s="30"/>
      <c r="P335" s="30"/>
      <c r="Q335" s="30"/>
      <c r="R335" s="30"/>
      <c r="S335" s="30"/>
      <c r="T335" s="30"/>
      <c r="U335" s="30"/>
      <c r="V335" s="29" t="str">
        <f>IF(B335=SelectedScope,COUNTIFS($B$4:$B335,SelectedScope),"")</f>
        <v/>
      </c>
    </row>
    <row r="336" spans="1:22" ht="16.05" customHeight="1" x14ac:dyDescent="0.3">
      <c r="A336" s="28">
        <v>333</v>
      </c>
      <c r="B336" s="28" t="s">
        <v>538</v>
      </c>
      <c r="C336" s="28" t="s">
        <v>1336</v>
      </c>
      <c r="D336" s="28" t="s">
        <v>1027</v>
      </c>
      <c r="E336" s="28"/>
      <c r="F336" s="28"/>
      <c r="G336" s="28"/>
      <c r="H336" s="28"/>
      <c r="I336" s="28"/>
      <c r="J336" s="28"/>
      <c r="K336" s="28"/>
      <c r="L336" s="28"/>
      <c r="M336" s="28"/>
      <c r="N336" s="28"/>
      <c r="O336" s="28"/>
      <c r="P336" s="28"/>
      <c r="Q336" s="28"/>
      <c r="R336" s="28"/>
      <c r="S336" s="28"/>
      <c r="T336" s="28"/>
      <c r="U336" s="28"/>
      <c r="V336" s="29" t="str">
        <f>IF(B336=SelectedScope,COUNTIFS($B$4:$B336,SelectedScope),"")</f>
        <v/>
      </c>
    </row>
    <row r="337" spans="1:22" ht="16.05" customHeight="1" x14ac:dyDescent="0.3">
      <c r="A337" s="30">
        <v>334</v>
      </c>
      <c r="B337" s="30" t="s">
        <v>538</v>
      </c>
      <c r="C337" s="30" t="s">
        <v>1337</v>
      </c>
      <c r="D337" s="30" t="s">
        <v>1027</v>
      </c>
      <c r="E337" s="30"/>
      <c r="F337" s="30"/>
      <c r="G337" s="30"/>
      <c r="H337" s="30"/>
      <c r="I337" s="30"/>
      <c r="J337" s="30"/>
      <c r="K337" s="30"/>
      <c r="L337" s="30"/>
      <c r="M337" s="30"/>
      <c r="N337" s="30"/>
      <c r="O337" s="30"/>
      <c r="P337" s="30"/>
      <c r="Q337" s="30"/>
      <c r="R337" s="30"/>
      <c r="S337" s="30"/>
      <c r="T337" s="30"/>
      <c r="U337" s="30"/>
      <c r="V337" s="29" t="str">
        <f>IF(B337=SelectedScope,COUNTIFS($B$4:$B337,SelectedScope),"")</f>
        <v/>
      </c>
    </row>
    <row r="338" spans="1:22" ht="16.05" customHeight="1" x14ac:dyDescent="0.3">
      <c r="A338" s="28">
        <v>335</v>
      </c>
      <c r="B338" s="28" t="s">
        <v>538</v>
      </c>
      <c r="C338" s="28" t="s">
        <v>1338</v>
      </c>
      <c r="D338" s="28" t="s">
        <v>1027</v>
      </c>
      <c r="E338" s="28"/>
      <c r="F338" s="28"/>
      <c r="G338" s="28"/>
      <c r="H338" s="28"/>
      <c r="I338" s="28"/>
      <c r="J338" s="28"/>
      <c r="K338" s="28"/>
      <c r="L338" s="28"/>
      <c r="M338" s="28"/>
      <c r="N338" s="28"/>
      <c r="O338" s="28"/>
      <c r="P338" s="28"/>
      <c r="Q338" s="28"/>
      <c r="R338" s="28"/>
      <c r="S338" s="28"/>
      <c r="T338" s="28"/>
      <c r="U338" s="28"/>
      <c r="V338" s="29" t="str">
        <f>IF(B338=SelectedScope,COUNTIFS($B$4:$B338,SelectedScope),"")</f>
        <v/>
      </c>
    </row>
    <row r="339" spans="1:22" ht="16.05" customHeight="1" x14ac:dyDescent="0.3">
      <c r="A339" s="30">
        <v>336</v>
      </c>
      <c r="B339" s="30" t="s">
        <v>538</v>
      </c>
      <c r="C339" s="30" t="s">
        <v>1339</v>
      </c>
      <c r="D339" s="30" t="s">
        <v>1027</v>
      </c>
      <c r="E339" s="30"/>
      <c r="F339" s="30"/>
      <c r="G339" s="30"/>
      <c r="H339" s="30"/>
      <c r="I339" s="30"/>
      <c r="J339" s="30"/>
      <c r="K339" s="30"/>
      <c r="L339" s="30"/>
      <c r="M339" s="30"/>
      <c r="N339" s="30"/>
      <c r="O339" s="30"/>
      <c r="P339" s="30"/>
      <c r="Q339" s="30"/>
      <c r="R339" s="30"/>
      <c r="S339" s="30"/>
      <c r="T339" s="30"/>
      <c r="U339" s="30"/>
      <c r="V339" s="29" t="str">
        <f>IF(B339=SelectedScope,COUNTIFS($B$4:$B339,SelectedScope),"")</f>
        <v/>
      </c>
    </row>
    <row r="340" spans="1:22" ht="16.05" customHeight="1" x14ac:dyDescent="0.3">
      <c r="A340" s="28">
        <v>337</v>
      </c>
      <c r="B340" s="28" t="s">
        <v>538</v>
      </c>
      <c r="C340" s="28" t="s">
        <v>1340</v>
      </c>
      <c r="D340" s="28" t="s">
        <v>1027</v>
      </c>
      <c r="E340" s="28"/>
      <c r="F340" s="28"/>
      <c r="G340" s="28"/>
      <c r="H340" s="28"/>
      <c r="I340" s="28"/>
      <c r="J340" s="28"/>
      <c r="K340" s="28"/>
      <c r="L340" s="28"/>
      <c r="M340" s="28"/>
      <c r="N340" s="28"/>
      <c r="O340" s="28"/>
      <c r="P340" s="28"/>
      <c r="Q340" s="28"/>
      <c r="R340" s="28"/>
      <c r="S340" s="28"/>
      <c r="T340" s="28"/>
      <c r="U340" s="28"/>
      <c r="V340" s="29" t="str">
        <f>IF(B340=SelectedScope,COUNTIFS($B$4:$B340,SelectedScope),"")</f>
        <v/>
      </c>
    </row>
    <row r="341" spans="1:22" ht="16.05" customHeight="1" x14ac:dyDescent="0.3">
      <c r="A341" s="30">
        <v>338</v>
      </c>
      <c r="B341" s="30" t="s">
        <v>538</v>
      </c>
      <c r="C341" s="30" t="s">
        <v>1341</v>
      </c>
      <c r="D341" s="30" t="s">
        <v>1027</v>
      </c>
      <c r="E341" s="30"/>
      <c r="F341" s="30"/>
      <c r="G341" s="30"/>
      <c r="H341" s="30"/>
      <c r="I341" s="30"/>
      <c r="J341" s="30"/>
      <c r="K341" s="30"/>
      <c r="L341" s="30"/>
      <c r="M341" s="30"/>
      <c r="N341" s="30"/>
      <c r="O341" s="30"/>
      <c r="P341" s="30"/>
      <c r="Q341" s="30"/>
      <c r="R341" s="30"/>
      <c r="S341" s="30"/>
      <c r="T341" s="30"/>
      <c r="U341" s="30"/>
      <c r="V341" s="29" t="str">
        <f>IF(B341=SelectedScope,COUNTIFS($B$4:$B341,SelectedScope),"")</f>
        <v/>
      </c>
    </row>
    <row r="342" spans="1:22" ht="16.05" customHeight="1" x14ac:dyDescent="0.3">
      <c r="A342" s="28">
        <v>339</v>
      </c>
      <c r="B342" s="28" t="s">
        <v>538</v>
      </c>
      <c r="C342" s="28" t="s">
        <v>1342</v>
      </c>
      <c r="D342" s="28" t="s">
        <v>1027</v>
      </c>
      <c r="E342" s="28"/>
      <c r="F342" s="28"/>
      <c r="G342" s="28"/>
      <c r="H342" s="28"/>
      <c r="I342" s="28"/>
      <c r="J342" s="28"/>
      <c r="K342" s="28"/>
      <c r="L342" s="28"/>
      <c r="M342" s="28"/>
      <c r="N342" s="28"/>
      <c r="O342" s="28"/>
      <c r="P342" s="28"/>
      <c r="Q342" s="28"/>
      <c r="R342" s="28"/>
      <c r="S342" s="28"/>
      <c r="T342" s="28"/>
      <c r="U342" s="28"/>
      <c r="V342" s="29" t="str">
        <f>IF(B342=SelectedScope,COUNTIFS($B$4:$B342,SelectedScope),"")</f>
        <v/>
      </c>
    </row>
    <row r="343" spans="1:22" ht="16.05" customHeight="1" x14ac:dyDescent="0.3">
      <c r="A343" s="30">
        <v>340</v>
      </c>
      <c r="B343" s="30" t="s">
        <v>538</v>
      </c>
      <c r="C343" s="30" t="s">
        <v>1343</v>
      </c>
      <c r="D343" s="30" t="s">
        <v>1027</v>
      </c>
      <c r="E343" s="30"/>
      <c r="F343" s="30"/>
      <c r="G343" s="30"/>
      <c r="H343" s="30"/>
      <c r="I343" s="30"/>
      <c r="J343" s="30"/>
      <c r="K343" s="30"/>
      <c r="L343" s="30"/>
      <c r="M343" s="30"/>
      <c r="N343" s="30"/>
      <c r="O343" s="30"/>
      <c r="P343" s="30"/>
      <c r="Q343" s="30"/>
      <c r="R343" s="30"/>
      <c r="S343" s="30"/>
      <c r="T343" s="30"/>
      <c r="U343" s="30"/>
      <c r="V343" s="29" t="str">
        <f>IF(B343=SelectedScope,COUNTIFS($B$4:$B343,SelectedScope),"")</f>
        <v/>
      </c>
    </row>
    <row r="344" spans="1:22" ht="16.05" customHeight="1" x14ac:dyDescent="0.3">
      <c r="A344" s="28">
        <v>341</v>
      </c>
      <c r="B344" s="28" t="s">
        <v>538</v>
      </c>
      <c r="C344" s="28" t="s">
        <v>1344</v>
      </c>
      <c r="D344" s="28" t="s">
        <v>1027</v>
      </c>
      <c r="E344" s="28"/>
      <c r="F344" s="28"/>
      <c r="G344" s="28"/>
      <c r="H344" s="28"/>
      <c r="I344" s="28"/>
      <c r="J344" s="28"/>
      <c r="K344" s="28"/>
      <c r="L344" s="28"/>
      <c r="M344" s="28"/>
      <c r="N344" s="28"/>
      <c r="O344" s="28"/>
      <c r="P344" s="28"/>
      <c r="Q344" s="28"/>
      <c r="R344" s="28"/>
      <c r="S344" s="28"/>
      <c r="T344" s="28"/>
      <c r="U344" s="28"/>
      <c r="V344" s="29" t="str">
        <f>IF(B344=SelectedScope,COUNTIFS($B$4:$B344,SelectedScope),"")</f>
        <v/>
      </c>
    </row>
    <row r="345" spans="1:22" ht="16.05" customHeight="1" x14ac:dyDescent="0.3">
      <c r="A345" s="30">
        <v>342</v>
      </c>
      <c r="B345" s="30" t="s">
        <v>538</v>
      </c>
      <c r="C345" s="30" t="s">
        <v>1345</v>
      </c>
      <c r="D345" s="30" t="s">
        <v>1027</v>
      </c>
      <c r="E345" s="30"/>
      <c r="F345" s="30"/>
      <c r="G345" s="30"/>
      <c r="H345" s="30"/>
      <c r="I345" s="30"/>
      <c r="J345" s="30"/>
      <c r="K345" s="30"/>
      <c r="L345" s="30"/>
      <c r="M345" s="30"/>
      <c r="N345" s="30"/>
      <c r="O345" s="30"/>
      <c r="P345" s="30"/>
      <c r="Q345" s="30"/>
      <c r="R345" s="30"/>
      <c r="S345" s="30"/>
      <c r="T345" s="30"/>
      <c r="U345" s="30"/>
      <c r="V345" s="29" t="str">
        <f>IF(B345=SelectedScope,COUNTIFS($B$4:$B345,SelectedScope),"")</f>
        <v/>
      </c>
    </row>
    <row r="346" spans="1:22" ht="16.05" customHeight="1" x14ac:dyDescent="0.3">
      <c r="A346" s="28">
        <v>343</v>
      </c>
      <c r="B346" s="28" t="s">
        <v>538</v>
      </c>
      <c r="C346" s="28" t="s">
        <v>1346</v>
      </c>
      <c r="D346" s="28" t="s">
        <v>1027</v>
      </c>
      <c r="E346" s="28"/>
      <c r="F346" s="28"/>
      <c r="G346" s="28"/>
      <c r="H346" s="28"/>
      <c r="I346" s="28"/>
      <c r="J346" s="28"/>
      <c r="K346" s="28"/>
      <c r="L346" s="28"/>
      <c r="M346" s="28"/>
      <c r="N346" s="28"/>
      <c r="O346" s="28"/>
      <c r="P346" s="28"/>
      <c r="Q346" s="28"/>
      <c r="R346" s="28"/>
      <c r="S346" s="28"/>
      <c r="T346" s="28"/>
      <c r="U346" s="28"/>
      <c r="V346" s="29" t="str">
        <f>IF(B346=SelectedScope,COUNTIFS($B$4:$B346,SelectedScope),"")</f>
        <v/>
      </c>
    </row>
    <row r="347" spans="1:22" ht="16.05" customHeight="1" x14ac:dyDescent="0.3">
      <c r="A347" s="30">
        <v>344</v>
      </c>
      <c r="B347" s="30" t="s">
        <v>538</v>
      </c>
      <c r="C347" s="30" t="s">
        <v>1347</v>
      </c>
      <c r="D347" s="30" t="s">
        <v>1027</v>
      </c>
      <c r="E347" s="30"/>
      <c r="F347" s="30"/>
      <c r="G347" s="30"/>
      <c r="H347" s="30"/>
      <c r="I347" s="30"/>
      <c r="J347" s="30"/>
      <c r="K347" s="30"/>
      <c r="L347" s="30"/>
      <c r="M347" s="30"/>
      <c r="N347" s="30"/>
      <c r="O347" s="30"/>
      <c r="P347" s="30"/>
      <c r="Q347" s="30"/>
      <c r="R347" s="30"/>
      <c r="S347" s="30"/>
      <c r="T347" s="30"/>
      <c r="U347" s="30"/>
      <c r="V347" s="29" t="str">
        <f>IF(B347=SelectedScope,COUNTIFS($B$4:$B347,SelectedScope),"")</f>
        <v/>
      </c>
    </row>
    <row r="348" spans="1:22" ht="16.05" customHeight="1" x14ac:dyDescent="0.3">
      <c r="A348" s="28">
        <v>345</v>
      </c>
      <c r="B348" s="28" t="s">
        <v>538</v>
      </c>
      <c r="C348" s="28" t="s">
        <v>1348</v>
      </c>
      <c r="D348" s="28" t="s">
        <v>1027</v>
      </c>
      <c r="E348" s="28"/>
      <c r="F348" s="28"/>
      <c r="G348" s="28"/>
      <c r="H348" s="28"/>
      <c r="I348" s="28"/>
      <c r="J348" s="28"/>
      <c r="K348" s="28"/>
      <c r="L348" s="28"/>
      <c r="M348" s="28"/>
      <c r="N348" s="28"/>
      <c r="O348" s="28"/>
      <c r="P348" s="28"/>
      <c r="Q348" s="28"/>
      <c r="R348" s="28"/>
      <c r="S348" s="28"/>
      <c r="T348" s="28"/>
      <c r="U348" s="28"/>
      <c r="V348" s="29" t="str">
        <f>IF(B348=SelectedScope,COUNTIFS($B$4:$B348,SelectedScope),"")</f>
        <v/>
      </c>
    </row>
    <row r="349" spans="1:22" ht="16.05" customHeight="1" x14ac:dyDescent="0.3">
      <c r="A349" s="30">
        <v>346</v>
      </c>
      <c r="B349" s="30" t="s">
        <v>538</v>
      </c>
      <c r="C349" s="30" t="s">
        <v>1349</v>
      </c>
      <c r="D349" s="30" t="s">
        <v>1027</v>
      </c>
      <c r="E349" s="30"/>
      <c r="F349" s="30"/>
      <c r="G349" s="30"/>
      <c r="H349" s="30"/>
      <c r="I349" s="30"/>
      <c r="J349" s="30"/>
      <c r="K349" s="30"/>
      <c r="L349" s="30"/>
      <c r="M349" s="30"/>
      <c r="N349" s="30"/>
      <c r="O349" s="30"/>
      <c r="P349" s="30"/>
      <c r="Q349" s="30"/>
      <c r="R349" s="30"/>
      <c r="S349" s="30"/>
      <c r="T349" s="30"/>
      <c r="U349" s="30"/>
      <c r="V349" s="29" t="str">
        <f>IF(B349=SelectedScope,COUNTIFS($B$4:$B349,SelectedScope),"")</f>
        <v/>
      </c>
    </row>
    <row r="350" spans="1:22" ht="16.05" customHeight="1" x14ac:dyDescent="0.3">
      <c r="A350" s="28">
        <v>347</v>
      </c>
      <c r="B350" s="28" t="s">
        <v>538</v>
      </c>
      <c r="C350" s="28" t="s">
        <v>1350</v>
      </c>
      <c r="D350" s="28" t="s">
        <v>1027</v>
      </c>
      <c r="E350" s="28"/>
      <c r="F350" s="28"/>
      <c r="G350" s="28"/>
      <c r="H350" s="28"/>
      <c r="I350" s="28"/>
      <c r="J350" s="28"/>
      <c r="K350" s="28"/>
      <c r="L350" s="28"/>
      <c r="M350" s="28"/>
      <c r="N350" s="28"/>
      <c r="O350" s="28"/>
      <c r="P350" s="28"/>
      <c r="Q350" s="28"/>
      <c r="R350" s="28"/>
      <c r="S350" s="28"/>
      <c r="T350" s="28"/>
      <c r="U350" s="28"/>
      <c r="V350" s="29" t="str">
        <f>IF(B350=SelectedScope,COUNTIFS($B$4:$B350,SelectedScope),"")</f>
        <v/>
      </c>
    </row>
    <row r="351" spans="1:22" ht="16.05" customHeight="1" x14ac:dyDescent="0.3">
      <c r="A351" s="30">
        <v>348</v>
      </c>
      <c r="B351" s="30" t="s">
        <v>538</v>
      </c>
      <c r="C351" s="30" t="s">
        <v>1351</v>
      </c>
      <c r="D351" s="30" t="s">
        <v>1027</v>
      </c>
      <c r="E351" s="30"/>
      <c r="F351" s="30"/>
      <c r="G351" s="30"/>
      <c r="H351" s="30"/>
      <c r="I351" s="30"/>
      <c r="J351" s="30"/>
      <c r="K351" s="30"/>
      <c r="L351" s="30"/>
      <c r="M351" s="30"/>
      <c r="N351" s="30"/>
      <c r="O351" s="30"/>
      <c r="P351" s="30"/>
      <c r="Q351" s="30"/>
      <c r="R351" s="30"/>
      <c r="S351" s="30"/>
      <c r="T351" s="30"/>
      <c r="U351" s="30"/>
      <c r="V351" s="29" t="str">
        <f>IF(B351=SelectedScope,COUNTIFS($B$4:$B351,SelectedScope),"")</f>
        <v/>
      </c>
    </row>
    <row r="352" spans="1:22" ht="16.05" customHeight="1" x14ac:dyDescent="0.3">
      <c r="A352" s="28">
        <v>349</v>
      </c>
      <c r="B352" s="28" t="s">
        <v>538</v>
      </c>
      <c r="C352" s="28" t="s">
        <v>1352</v>
      </c>
      <c r="D352" s="28" t="s">
        <v>1027</v>
      </c>
      <c r="E352" s="28"/>
      <c r="F352" s="28"/>
      <c r="G352" s="28"/>
      <c r="H352" s="28"/>
      <c r="I352" s="28"/>
      <c r="J352" s="28"/>
      <c r="K352" s="28"/>
      <c r="L352" s="28"/>
      <c r="M352" s="28"/>
      <c r="N352" s="28"/>
      <c r="O352" s="28"/>
      <c r="P352" s="28"/>
      <c r="Q352" s="28"/>
      <c r="R352" s="28"/>
      <c r="S352" s="28"/>
      <c r="T352" s="28"/>
      <c r="U352" s="28"/>
      <c r="V352" s="29" t="str">
        <f>IF(B352=SelectedScope,COUNTIFS($B$4:$B352,SelectedScope),"")</f>
        <v/>
      </c>
    </row>
    <row r="353" spans="1:22" ht="16.05" customHeight="1" x14ac:dyDescent="0.3">
      <c r="A353" s="30">
        <v>350</v>
      </c>
      <c r="B353" s="30" t="s">
        <v>538</v>
      </c>
      <c r="C353" s="30" t="s">
        <v>1353</v>
      </c>
      <c r="D353" s="30" t="s">
        <v>1027</v>
      </c>
      <c r="E353" s="30"/>
      <c r="F353" s="30"/>
      <c r="G353" s="30"/>
      <c r="H353" s="30"/>
      <c r="I353" s="30"/>
      <c r="J353" s="30"/>
      <c r="K353" s="30"/>
      <c r="L353" s="30"/>
      <c r="M353" s="30"/>
      <c r="N353" s="30"/>
      <c r="O353" s="30"/>
      <c r="P353" s="30"/>
      <c r="Q353" s="30"/>
      <c r="R353" s="30"/>
      <c r="S353" s="30"/>
      <c r="T353" s="30"/>
      <c r="U353" s="30"/>
      <c r="V353" s="29" t="str">
        <f>IF(B353=SelectedScope,COUNTIFS($B$4:$B353,SelectedScope),"")</f>
        <v/>
      </c>
    </row>
    <row r="354" spans="1:22" ht="16.05" customHeight="1" x14ac:dyDescent="0.3">
      <c r="A354" s="28">
        <v>351</v>
      </c>
      <c r="B354" s="28" t="s">
        <v>538</v>
      </c>
      <c r="C354" s="28" t="s">
        <v>1354</v>
      </c>
      <c r="D354" s="28" t="s">
        <v>1027</v>
      </c>
      <c r="E354" s="28"/>
      <c r="F354" s="28"/>
      <c r="G354" s="28"/>
      <c r="H354" s="28"/>
      <c r="I354" s="28"/>
      <c r="J354" s="28"/>
      <c r="K354" s="28"/>
      <c r="L354" s="28"/>
      <c r="M354" s="28"/>
      <c r="N354" s="28"/>
      <c r="O354" s="28"/>
      <c r="P354" s="28"/>
      <c r="Q354" s="28"/>
      <c r="R354" s="28"/>
      <c r="S354" s="28"/>
      <c r="T354" s="28"/>
      <c r="U354" s="28"/>
      <c r="V354" s="29" t="str">
        <f>IF(B354=SelectedScope,COUNTIFS($B$4:$B354,SelectedScope),"")</f>
        <v/>
      </c>
    </row>
    <row r="355" spans="1:22" ht="16.05" customHeight="1" x14ac:dyDescent="0.3">
      <c r="A355" s="30">
        <v>352</v>
      </c>
      <c r="B355" s="30" t="s">
        <v>538</v>
      </c>
      <c r="C355" s="30" t="s">
        <v>1355</v>
      </c>
      <c r="D355" s="30" t="s">
        <v>1027</v>
      </c>
      <c r="E355" s="30"/>
      <c r="F355" s="30"/>
      <c r="G355" s="30"/>
      <c r="H355" s="30"/>
      <c r="I355" s="30"/>
      <c r="J355" s="30"/>
      <c r="K355" s="30"/>
      <c r="L355" s="30"/>
      <c r="M355" s="30"/>
      <c r="N355" s="30"/>
      <c r="O355" s="30"/>
      <c r="P355" s="30"/>
      <c r="Q355" s="30"/>
      <c r="R355" s="30"/>
      <c r="S355" s="30"/>
      <c r="T355" s="30"/>
      <c r="U355" s="30"/>
      <c r="V355" s="29" t="str">
        <f>IF(B355=SelectedScope,COUNTIFS($B$4:$B355,SelectedScope),"")</f>
        <v/>
      </c>
    </row>
    <row r="356" spans="1:22" ht="16.05" customHeight="1" x14ac:dyDescent="0.3">
      <c r="A356" s="28">
        <v>353</v>
      </c>
      <c r="B356" s="28" t="s">
        <v>538</v>
      </c>
      <c r="C356" s="28" t="s">
        <v>1356</v>
      </c>
      <c r="D356" s="28" t="s">
        <v>1027</v>
      </c>
      <c r="E356" s="28"/>
      <c r="F356" s="28"/>
      <c r="G356" s="28"/>
      <c r="H356" s="28"/>
      <c r="I356" s="28"/>
      <c r="J356" s="28"/>
      <c r="K356" s="28"/>
      <c r="L356" s="28"/>
      <c r="M356" s="28"/>
      <c r="N356" s="28"/>
      <c r="O356" s="28"/>
      <c r="P356" s="28"/>
      <c r="Q356" s="28"/>
      <c r="R356" s="28"/>
      <c r="S356" s="28"/>
      <c r="T356" s="28"/>
      <c r="U356" s="28"/>
      <c r="V356" s="29" t="str">
        <f>IF(B356=SelectedScope,COUNTIFS($B$4:$B356,SelectedScope),"")</f>
        <v/>
      </c>
    </row>
    <row r="357" spans="1:22" ht="16.05" customHeight="1" x14ac:dyDescent="0.3">
      <c r="A357" s="30">
        <v>354</v>
      </c>
      <c r="B357" s="30" t="s">
        <v>538</v>
      </c>
      <c r="C357" s="30" t="s">
        <v>1357</v>
      </c>
      <c r="D357" s="30" t="s">
        <v>1027</v>
      </c>
      <c r="E357" s="30"/>
      <c r="F357" s="30"/>
      <c r="G357" s="30"/>
      <c r="H357" s="30"/>
      <c r="I357" s="30"/>
      <c r="J357" s="30"/>
      <c r="K357" s="30"/>
      <c r="L357" s="30"/>
      <c r="M357" s="30"/>
      <c r="N357" s="30"/>
      <c r="O357" s="30"/>
      <c r="P357" s="30"/>
      <c r="Q357" s="30"/>
      <c r="R357" s="30"/>
      <c r="S357" s="30"/>
      <c r="T357" s="30"/>
      <c r="U357" s="30"/>
      <c r="V357" s="29" t="str">
        <f>IF(B357=SelectedScope,COUNTIFS($B$4:$B357,SelectedScope),"")</f>
        <v/>
      </c>
    </row>
    <row r="358" spans="1:22" ht="16.05" customHeight="1" x14ac:dyDescent="0.3">
      <c r="A358" s="28">
        <v>355</v>
      </c>
      <c r="B358" s="28" t="s">
        <v>538</v>
      </c>
      <c r="C358" s="28" t="s">
        <v>1358</v>
      </c>
      <c r="D358" s="28" t="s">
        <v>1027</v>
      </c>
      <c r="E358" s="28"/>
      <c r="F358" s="28"/>
      <c r="G358" s="28"/>
      <c r="H358" s="28"/>
      <c r="I358" s="28"/>
      <c r="J358" s="28"/>
      <c r="K358" s="28"/>
      <c r="L358" s="28"/>
      <c r="M358" s="28"/>
      <c r="N358" s="28"/>
      <c r="O358" s="28"/>
      <c r="P358" s="28"/>
      <c r="Q358" s="28"/>
      <c r="R358" s="28"/>
      <c r="S358" s="28"/>
      <c r="T358" s="28"/>
      <c r="U358" s="28"/>
      <c r="V358" s="29" t="str">
        <f>IF(B358=SelectedScope,COUNTIFS($B$4:$B358,SelectedScope),"")</f>
        <v/>
      </c>
    </row>
    <row r="359" spans="1:22" ht="16.05" customHeight="1" x14ac:dyDescent="0.3">
      <c r="A359" s="30">
        <v>356</v>
      </c>
      <c r="B359" s="30" t="s">
        <v>538</v>
      </c>
      <c r="C359" s="30" t="s">
        <v>1359</v>
      </c>
      <c r="D359" s="30" t="s">
        <v>1027</v>
      </c>
      <c r="E359" s="30"/>
      <c r="F359" s="30"/>
      <c r="G359" s="30"/>
      <c r="H359" s="30"/>
      <c r="I359" s="30"/>
      <c r="J359" s="30"/>
      <c r="K359" s="30"/>
      <c r="L359" s="30"/>
      <c r="M359" s="30"/>
      <c r="N359" s="30"/>
      <c r="O359" s="30"/>
      <c r="P359" s="30"/>
      <c r="Q359" s="30"/>
      <c r="R359" s="30"/>
      <c r="S359" s="30"/>
      <c r="T359" s="30"/>
      <c r="U359" s="30"/>
      <c r="V359" s="29" t="str">
        <f>IF(B359=SelectedScope,COUNTIFS($B$4:$B359,SelectedScope),"")</f>
        <v/>
      </c>
    </row>
    <row r="360" spans="1:22" ht="16.05" customHeight="1" x14ac:dyDescent="0.3">
      <c r="A360" s="28">
        <v>357</v>
      </c>
      <c r="B360" s="28" t="s">
        <v>538</v>
      </c>
      <c r="C360" s="28" t="s">
        <v>1360</v>
      </c>
      <c r="D360" s="28" t="s">
        <v>1027</v>
      </c>
      <c r="E360" s="28"/>
      <c r="F360" s="28"/>
      <c r="G360" s="28"/>
      <c r="H360" s="28"/>
      <c r="I360" s="28"/>
      <c r="J360" s="28"/>
      <c r="K360" s="28"/>
      <c r="L360" s="28"/>
      <c r="M360" s="28"/>
      <c r="N360" s="28"/>
      <c r="O360" s="28"/>
      <c r="P360" s="28"/>
      <c r="Q360" s="28"/>
      <c r="R360" s="28"/>
      <c r="S360" s="28"/>
      <c r="T360" s="28"/>
      <c r="U360" s="28"/>
      <c r="V360" s="29" t="str">
        <f>IF(B360=SelectedScope,COUNTIFS($B$4:$B360,SelectedScope),"")</f>
        <v/>
      </c>
    </row>
    <row r="361" spans="1:22" ht="16.05" customHeight="1" x14ac:dyDescent="0.3">
      <c r="A361" s="30">
        <v>358</v>
      </c>
      <c r="B361" s="30" t="s">
        <v>538</v>
      </c>
      <c r="C361" s="30" t="s">
        <v>1361</v>
      </c>
      <c r="D361" s="30" t="s">
        <v>1027</v>
      </c>
      <c r="E361" s="30"/>
      <c r="F361" s="30"/>
      <c r="G361" s="30"/>
      <c r="H361" s="30"/>
      <c r="I361" s="30"/>
      <c r="J361" s="30"/>
      <c r="K361" s="30"/>
      <c r="L361" s="30"/>
      <c r="M361" s="30"/>
      <c r="N361" s="30"/>
      <c r="O361" s="30"/>
      <c r="P361" s="30"/>
      <c r="Q361" s="30"/>
      <c r="R361" s="30"/>
      <c r="S361" s="30"/>
      <c r="T361" s="30"/>
      <c r="U361" s="30"/>
      <c r="V361" s="29" t="str">
        <f>IF(B361=SelectedScope,COUNTIFS($B$4:$B361,SelectedScope),"")</f>
        <v/>
      </c>
    </row>
    <row r="362" spans="1:22" ht="16.05" customHeight="1" x14ac:dyDescent="0.3">
      <c r="A362" s="28">
        <v>359</v>
      </c>
      <c r="B362" s="28" t="s">
        <v>538</v>
      </c>
      <c r="C362" s="28" t="s">
        <v>1362</v>
      </c>
      <c r="D362" s="28" t="s">
        <v>1027</v>
      </c>
      <c r="E362" s="28"/>
      <c r="F362" s="28"/>
      <c r="G362" s="28"/>
      <c r="H362" s="28"/>
      <c r="I362" s="28"/>
      <c r="J362" s="28"/>
      <c r="K362" s="28"/>
      <c r="L362" s="28"/>
      <c r="M362" s="28"/>
      <c r="N362" s="28"/>
      <c r="O362" s="28"/>
      <c r="P362" s="28"/>
      <c r="Q362" s="28"/>
      <c r="R362" s="28"/>
      <c r="S362" s="28"/>
      <c r="T362" s="28"/>
      <c r="U362" s="28"/>
      <c r="V362" s="29" t="str">
        <f>IF(B362=SelectedScope,COUNTIFS($B$4:$B362,SelectedScope),"")</f>
        <v/>
      </c>
    </row>
    <row r="363" spans="1:22" ht="16.05" customHeight="1" x14ac:dyDescent="0.3">
      <c r="A363" s="30">
        <v>360</v>
      </c>
      <c r="B363" s="30" t="s">
        <v>538</v>
      </c>
      <c r="C363" s="30" t="s">
        <v>1363</v>
      </c>
      <c r="D363" s="30" t="s">
        <v>1027</v>
      </c>
      <c r="E363" s="30"/>
      <c r="F363" s="30"/>
      <c r="G363" s="30"/>
      <c r="H363" s="30"/>
      <c r="I363" s="30"/>
      <c r="J363" s="30"/>
      <c r="K363" s="30"/>
      <c r="L363" s="30"/>
      <c r="M363" s="30"/>
      <c r="N363" s="30"/>
      <c r="O363" s="30"/>
      <c r="P363" s="30"/>
      <c r="Q363" s="30"/>
      <c r="R363" s="30"/>
      <c r="S363" s="30"/>
      <c r="T363" s="30"/>
      <c r="U363" s="30"/>
      <c r="V363" s="29" t="str">
        <f>IF(B363=SelectedScope,COUNTIFS($B$4:$B363,SelectedScope),"")</f>
        <v/>
      </c>
    </row>
    <row r="364" spans="1:22" ht="16.05" customHeight="1" x14ac:dyDescent="0.3">
      <c r="A364" s="28">
        <v>361</v>
      </c>
      <c r="B364" s="28" t="s">
        <v>538</v>
      </c>
      <c r="C364" s="28" t="s">
        <v>1364</v>
      </c>
      <c r="D364" s="28" t="s">
        <v>1027</v>
      </c>
      <c r="E364" s="28"/>
      <c r="F364" s="28"/>
      <c r="G364" s="28"/>
      <c r="H364" s="28"/>
      <c r="I364" s="28"/>
      <c r="J364" s="28"/>
      <c r="K364" s="28"/>
      <c r="L364" s="28"/>
      <c r="M364" s="28"/>
      <c r="N364" s="28"/>
      <c r="O364" s="28"/>
      <c r="P364" s="28"/>
      <c r="Q364" s="28"/>
      <c r="R364" s="28"/>
      <c r="S364" s="28"/>
      <c r="T364" s="28"/>
      <c r="U364" s="28"/>
      <c r="V364" s="29" t="str">
        <f>IF(B364=SelectedScope,COUNTIFS($B$4:$B364,SelectedScope),"")</f>
        <v/>
      </c>
    </row>
    <row r="365" spans="1:22" ht="16.05" customHeight="1" x14ac:dyDescent="0.3">
      <c r="A365" s="30">
        <v>362</v>
      </c>
      <c r="B365" s="30" t="s">
        <v>538</v>
      </c>
      <c r="C365" s="30" t="s">
        <v>1365</v>
      </c>
      <c r="D365" s="30" t="s">
        <v>1027</v>
      </c>
      <c r="E365" s="30"/>
      <c r="F365" s="30"/>
      <c r="G365" s="30"/>
      <c r="H365" s="30"/>
      <c r="I365" s="30"/>
      <c r="J365" s="30"/>
      <c r="K365" s="30"/>
      <c r="L365" s="30"/>
      <c r="M365" s="30"/>
      <c r="N365" s="30"/>
      <c r="O365" s="30"/>
      <c r="P365" s="30"/>
      <c r="Q365" s="30"/>
      <c r="R365" s="30"/>
      <c r="S365" s="30"/>
      <c r="T365" s="30"/>
      <c r="U365" s="30"/>
      <c r="V365" s="29" t="str">
        <f>IF(B365=SelectedScope,COUNTIFS($B$4:$B365,SelectedScope),"")</f>
        <v/>
      </c>
    </row>
    <row r="366" spans="1:22" ht="16.05" customHeight="1" x14ac:dyDescent="0.3">
      <c r="A366" s="28">
        <v>363</v>
      </c>
      <c r="B366" s="28" t="s">
        <v>538</v>
      </c>
      <c r="C366" s="28" t="s">
        <v>1366</v>
      </c>
      <c r="D366" s="28" t="s">
        <v>1027</v>
      </c>
      <c r="E366" s="28"/>
      <c r="F366" s="28"/>
      <c r="G366" s="28"/>
      <c r="H366" s="28"/>
      <c r="I366" s="28"/>
      <c r="J366" s="28"/>
      <c r="K366" s="28"/>
      <c r="L366" s="28"/>
      <c r="M366" s="28"/>
      <c r="N366" s="28"/>
      <c r="O366" s="28"/>
      <c r="P366" s="28"/>
      <c r="Q366" s="28"/>
      <c r="R366" s="28"/>
      <c r="S366" s="28"/>
      <c r="T366" s="28"/>
      <c r="U366" s="28"/>
      <c r="V366" s="29" t="str">
        <f>IF(B366=SelectedScope,COUNTIFS($B$4:$B366,SelectedScope),"")</f>
        <v/>
      </c>
    </row>
    <row r="367" spans="1:22" ht="16.05" customHeight="1" x14ac:dyDescent="0.3">
      <c r="A367" s="30">
        <v>364</v>
      </c>
      <c r="B367" s="30" t="s">
        <v>538</v>
      </c>
      <c r="C367" s="30" t="s">
        <v>1367</v>
      </c>
      <c r="D367" s="30" t="s">
        <v>1027</v>
      </c>
      <c r="E367" s="30"/>
      <c r="F367" s="30"/>
      <c r="G367" s="30"/>
      <c r="H367" s="30"/>
      <c r="I367" s="30"/>
      <c r="J367" s="30"/>
      <c r="K367" s="30"/>
      <c r="L367" s="30"/>
      <c r="M367" s="30"/>
      <c r="N367" s="30"/>
      <c r="O367" s="30"/>
      <c r="P367" s="30"/>
      <c r="Q367" s="30"/>
      <c r="R367" s="30"/>
      <c r="S367" s="30"/>
      <c r="T367" s="30"/>
      <c r="U367" s="30"/>
      <c r="V367" s="29" t="str">
        <f>IF(B367=SelectedScope,COUNTIFS($B$4:$B367,SelectedScope),"")</f>
        <v/>
      </c>
    </row>
    <row r="368" spans="1:22" ht="16.05" customHeight="1" x14ac:dyDescent="0.3">
      <c r="A368" s="28">
        <v>365</v>
      </c>
      <c r="B368" s="28" t="s">
        <v>538</v>
      </c>
      <c r="C368" s="28" t="s">
        <v>1368</v>
      </c>
      <c r="D368" s="28" t="s">
        <v>1027</v>
      </c>
      <c r="E368" s="28"/>
      <c r="F368" s="28"/>
      <c r="G368" s="28"/>
      <c r="H368" s="28"/>
      <c r="I368" s="28"/>
      <c r="J368" s="28"/>
      <c r="K368" s="28"/>
      <c r="L368" s="28"/>
      <c r="M368" s="28"/>
      <c r="N368" s="28"/>
      <c r="O368" s="28"/>
      <c r="P368" s="28"/>
      <c r="Q368" s="28"/>
      <c r="R368" s="28"/>
      <c r="S368" s="28"/>
      <c r="T368" s="28"/>
      <c r="U368" s="28"/>
      <c r="V368" s="29" t="str">
        <f>IF(B368=SelectedScope,COUNTIFS($B$4:$B368,SelectedScope),"")</f>
        <v/>
      </c>
    </row>
    <row r="369" spans="1:22" ht="16.05" customHeight="1" x14ac:dyDescent="0.3">
      <c r="A369" s="30">
        <v>366</v>
      </c>
      <c r="B369" s="30" t="s">
        <v>538</v>
      </c>
      <c r="C369" s="30" t="s">
        <v>1369</v>
      </c>
      <c r="D369" s="30" t="s">
        <v>1027</v>
      </c>
      <c r="E369" s="30"/>
      <c r="F369" s="30"/>
      <c r="G369" s="30"/>
      <c r="H369" s="30"/>
      <c r="I369" s="30"/>
      <c r="J369" s="30"/>
      <c r="K369" s="30"/>
      <c r="L369" s="30"/>
      <c r="M369" s="30"/>
      <c r="N369" s="30"/>
      <c r="O369" s="30"/>
      <c r="P369" s="30"/>
      <c r="Q369" s="30"/>
      <c r="R369" s="30"/>
      <c r="S369" s="30"/>
      <c r="T369" s="30"/>
      <c r="U369" s="30"/>
      <c r="V369" s="29" t="str">
        <f>IF(B369=SelectedScope,COUNTIFS($B$4:$B369,SelectedScope),"")</f>
        <v/>
      </c>
    </row>
    <row r="370" spans="1:22" ht="16.05" customHeight="1" x14ac:dyDescent="0.3">
      <c r="A370" s="28">
        <v>367</v>
      </c>
      <c r="B370" s="28" t="s">
        <v>538</v>
      </c>
      <c r="C370" s="28" t="s">
        <v>599</v>
      </c>
      <c r="D370" s="28" t="s">
        <v>1027</v>
      </c>
      <c r="E370" s="28"/>
      <c r="F370" s="28"/>
      <c r="G370" s="28"/>
      <c r="H370" s="28"/>
      <c r="I370" s="28"/>
      <c r="J370" s="28"/>
      <c r="K370" s="28"/>
      <c r="L370" s="28"/>
      <c r="M370" s="28"/>
      <c r="N370" s="28"/>
      <c r="O370" s="28"/>
      <c r="P370" s="28"/>
      <c r="Q370" s="28"/>
      <c r="R370" s="28"/>
      <c r="S370" s="28"/>
      <c r="T370" s="28"/>
      <c r="U370" s="28"/>
      <c r="V370" s="29" t="str">
        <f>IF(B370=SelectedScope,COUNTIFS($B$4:$B370,SelectedScope),"")</f>
        <v/>
      </c>
    </row>
    <row r="371" spans="1:22" ht="16.05" customHeight="1" x14ac:dyDescent="0.3">
      <c r="A371" s="30">
        <v>368</v>
      </c>
      <c r="B371" s="30" t="s">
        <v>539</v>
      </c>
      <c r="C371" s="30" t="s">
        <v>1370</v>
      </c>
      <c r="D371" s="30" t="s">
        <v>1027</v>
      </c>
      <c r="E371" s="30"/>
      <c r="F371" s="30"/>
      <c r="G371" s="30"/>
      <c r="H371" s="30"/>
      <c r="I371" s="30"/>
      <c r="J371" s="30"/>
      <c r="K371" s="30"/>
      <c r="L371" s="30"/>
      <c r="M371" s="30"/>
      <c r="N371" s="30"/>
      <c r="O371" s="30"/>
      <c r="P371" s="30"/>
      <c r="Q371" s="30"/>
      <c r="R371" s="30"/>
      <c r="S371" s="30"/>
      <c r="T371" s="30"/>
      <c r="U371" s="30"/>
      <c r="V371" s="29" t="str">
        <f>IF(B371=SelectedScope,COUNTIFS($B$4:$B371,SelectedScope),"")</f>
        <v/>
      </c>
    </row>
    <row r="372" spans="1:22" ht="16.05" customHeight="1" x14ac:dyDescent="0.3">
      <c r="A372" s="28">
        <v>369</v>
      </c>
      <c r="B372" s="28" t="s">
        <v>539</v>
      </c>
      <c r="C372" s="28" t="s">
        <v>1371</v>
      </c>
      <c r="D372" s="28" t="s">
        <v>1027</v>
      </c>
      <c r="E372" s="28"/>
      <c r="F372" s="28"/>
      <c r="G372" s="28"/>
      <c r="H372" s="28"/>
      <c r="I372" s="28"/>
      <c r="J372" s="28"/>
      <c r="K372" s="28"/>
      <c r="L372" s="28"/>
      <c r="M372" s="28"/>
      <c r="N372" s="28"/>
      <c r="O372" s="28"/>
      <c r="P372" s="28"/>
      <c r="Q372" s="28"/>
      <c r="R372" s="28"/>
      <c r="S372" s="28"/>
      <c r="T372" s="28"/>
      <c r="U372" s="28"/>
      <c r="V372" s="29" t="str">
        <f>IF(B372=SelectedScope,COUNTIFS($B$4:$B372,SelectedScope),"")</f>
        <v/>
      </c>
    </row>
    <row r="373" spans="1:22" ht="16.05" customHeight="1" x14ac:dyDescent="0.3">
      <c r="A373" s="30">
        <v>370</v>
      </c>
      <c r="B373" s="30" t="s">
        <v>539</v>
      </c>
      <c r="C373" s="30" t="s">
        <v>1372</v>
      </c>
      <c r="D373" s="30" t="s">
        <v>1027</v>
      </c>
      <c r="E373" s="30"/>
      <c r="F373" s="30"/>
      <c r="G373" s="30"/>
      <c r="H373" s="30"/>
      <c r="I373" s="30"/>
      <c r="J373" s="30"/>
      <c r="K373" s="30"/>
      <c r="L373" s="30"/>
      <c r="M373" s="30"/>
      <c r="N373" s="30"/>
      <c r="O373" s="30"/>
      <c r="P373" s="30"/>
      <c r="Q373" s="30"/>
      <c r="R373" s="30"/>
      <c r="S373" s="30"/>
      <c r="T373" s="30"/>
      <c r="U373" s="30"/>
      <c r="V373" s="29" t="str">
        <f>IF(B373=SelectedScope,COUNTIFS($B$4:$B373,SelectedScope),"")</f>
        <v/>
      </c>
    </row>
    <row r="374" spans="1:22" ht="16.05" customHeight="1" x14ac:dyDescent="0.3">
      <c r="A374" s="28">
        <v>371</v>
      </c>
      <c r="B374" s="28" t="s">
        <v>539</v>
      </c>
      <c r="C374" s="28" t="s">
        <v>1099</v>
      </c>
      <c r="D374" s="28" t="s">
        <v>1027</v>
      </c>
      <c r="E374" s="28"/>
      <c r="F374" s="28"/>
      <c r="G374" s="28"/>
      <c r="H374" s="28"/>
      <c r="I374" s="28"/>
      <c r="J374" s="28"/>
      <c r="K374" s="28"/>
      <c r="L374" s="28"/>
      <c r="M374" s="28"/>
      <c r="N374" s="28"/>
      <c r="O374" s="28"/>
      <c r="P374" s="28"/>
      <c r="Q374" s="28"/>
      <c r="R374" s="28"/>
      <c r="S374" s="28"/>
      <c r="T374" s="28"/>
      <c r="U374" s="28"/>
      <c r="V374" s="29" t="str">
        <f>IF(B374=SelectedScope,COUNTIFS($B$4:$B374,SelectedScope),"")</f>
        <v/>
      </c>
    </row>
    <row r="375" spans="1:22" ht="16.05" customHeight="1" x14ac:dyDescent="0.3">
      <c r="A375" s="30">
        <v>372</v>
      </c>
      <c r="B375" s="30" t="s">
        <v>539</v>
      </c>
      <c r="C375" s="30" t="s">
        <v>1373</v>
      </c>
      <c r="D375" s="30" t="s">
        <v>1027</v>
      </c>
      <c r="E375" s="30"/>
      <c r="F375" s="30"/>
      <c r="G375" s="30"/>
      <c r="H375" s="30"/>
      <c r="I375" s="30"/>
      <c r="J375" s="30"/>
      <c r="K375" s="30"/>
      <c r="L375" s="30"/>
      <c r="M375" s="30"/>
      <c r="N375" s="30"/>
      <c r="O375" s="30"/>
      <c r="P375" s="30"/>
      <c r="Q375" s="30"/>
      <c r="R375" s="30"/>
      <c r="S375" s="30"/>
      <c r="T375" s="30"/>
      <c r="U375" s="30"/>
      <c r="V375" s="29" t="str">
        <f>IF(B375=SelectedScope,COUNTIFS($B$4:$B375,SelectedScope),"")</f>
        <v/>
      </c>
    </row>
    <row r="376" spans="1:22" ht="16.05" customHeight="1" x14ac:dyDescent="0.3">
      <c r="A376" s="28">
        <v>373</v>
      </c>
      <c r="B376" s="28" t="s">
        <v>539</v>
      </c>
      <c r="C376" s="28" t="s">
        <v>1374</v>
      </c>
      <c r="D376" s="28" t="s">
        <v>1027</v>
      </c>
      <c r="E376" s="28"/>
      <c r="F376" s="28"/>
      <c r="G376" s="28"/>
      <c r="H376" s="28"/>
      <c r="I376" s="28"/>
      <c r="J376" s="28"/>
      <c r="K376" s="28"/>
      <c r="L376" s="28"/>
      <c r="M376" s="28"/>
      <c r="N376" s="28"/>
      <c r="O376" s="28"/>
      <c r="P376" s="28"/>
      <c r="Q376" s="28"/>
      <c r="R376" s="28"/>
      <c r="S376" s="28"/>
      <c r="T376" s="28"/>
      <c r="U376" s="28"/>
      <c r="V376" s="29" t="str">
        <f>IF(B376=SelectedScope,COUNTIFS($B$4:$B376,SelectedScope),"")</f>
        <v/>
      </c>
    </row>
    <row r="377" spans="1:22" ht="16.05" customHeight="1" x14ac:dyDescent="0.3">
      <c r="A377" s="30">
        <v>374</v>
      </c>
      <c r="B377" s="30" t="s">
        <v>539</v>
      </c>
      <c r="C377" s="30" t="s">
        <v>1375</v>
      </c>
      <c r="D377" s="30" t="s">
        <v>1027</v>
      </c>
      <c r="E377" s="30"/>
      <c r="F377" s="30"/>
      <c r="G377" s="30"/>
      <c r="H377" s="30"/>
      <c r="I377" s="30"/>
      <c r="J377" s="30"/>
      <c r="K377" s="30"/>
      <c r="L377" s="30"/>
      <c r="M377" s="30"/>
      <c r="N377" s="30"/>
      <c r="O377" s="30"/>
      <c r="P377" s="30"/>
      <c r="Q377" s="30"/>
      <c r="R377" s="30"/>
      <c r="S377" s="30"/>
      <c r="T377" s="30"/>
      <c r="U377" s="30"/>
      <c r="V377" s="29" t="str">
        <f>IF(B377=SelectedScope,COUNTIFS($B$4:$B377,SelectedScope),"")</f>
        <v/>
      </c>
    </row>
    <row r="378" spans="1:22" ht="16.05" customHeight="1" x14ac:dyDescent="0.3">
      <c r="A378" s="28">
        <v>375</v>
      </c>
      <c r="B378" s="28" t="s">
        <v>539</v>
      </c>
      <c r="C378" s="28" t="s">
        <v>1376</v>
      </c>
      <c r="D378" s="28" t="s">
        <v>1027</v>
      </c>
      <c r="E378" s="28"/>
      <c r="F378" s="28"/>
      <c r="G378" s="28"/>
      <c r="H378" s="28"/>
      <c r="I378" s="28"/>
      <c r="J378" s="28"/>
      <c r="K378" s="28"/>
      <c r="L378" s="28"/>
      <c r="M378" s="28"/>
      <c r="N378" s="28"/>
      <c r="O378" s="28"/>
      <c r="P378" s="28"/>
      <c r="Q378" s="28"/>
      <c r="R378" s="28"/>
      <c r="S378" s="28"/>
      <c r="T378" s="28"/>
      <c r="U378" s="28"/>
      <c r="V378" s="29" t="str">
        <f>IF(B378=SelectedScope,COUNTIFS($B$4:$B378,SelectedScope),"")</f>
        <v/>
      </c>
    </row>
    <row r="379" spans="1:22" ht="16.05" customHeight="1" x14ac:dyDescent="0.3">
      <c r="A379" s="30">
        <v>376</v>
      </c>
      <c r="B379" s="30" t="s">
        <v>539</v>
      </c>
      <c r="C379" s="30" t="s">
        <v>1377</v>
      </c>
      <c r="D379" s="30" t="s">
        <v>1027</v>
      </c>
      <c r="E379" s="30"/>
      <c r="F379" s="30"/>
      <c r="G379" s="30"/>
      <c r="H379" s="30"/>
      <c r="I379" s="30"/>
      <c r="J379" s="30"/>
      <c r="K379" s="30"/>
      <c r="L379" s="30"/>
      <c r="M379" s="30"/>
      <c r="N379" s="30"/>
      <c r="O379" s="30"/>
      <c r="P379" s="30"/>
      <c r="Q379" s="30"/>
      <c r="R379" s="30"/>
      <c r="S379" s="30"/>
      <c r="T379" s="30"/>
      <c r="U379" s="30"/>
      <c r="V379" s="29" t="str">
        <f>IF(B379=SelectedScope,COUNTIFS($B$4:$B379,SelectedScope),"")</f>
        <v/>
      </c>
    </row>
    <row r="380" spans="1:22" ht="16.05" customHeight="1" x14ac:dyDescent="0.3">
      <c r="A380" s="28">
        <v>377</v>
      </c>
      <c r="B380" s="28" t="s">
        <v>539</v>
      </c>
      <c r="C380" s="28" t="s">
        <v>1378</v>
      </c>
      <c r="D380" s="28" t="s">
        <v>1027</v>
      </c>
      <c r="E380" s="28"/>
      <c r="F380" s="28"/>
      <c r="G380" s="28"/>
      <c r="H380" s="28"/>
      <c r="I380" s="28"/>
      <c r="J380" s="28"/>
      <c r="K380" s="28"/>
      <c r="L380" s="28"/>
      <c r="M380" s="28"/>
      <c r="N380" s="28"/>
      <c r="O380" s="28"/>
      <c r="P380" s="28"/>
      <c r="Q380" s="28"/>
      <c r="R380" s="28"/>
      <c r="S380" s="28"/>
      <c r="T380" s="28"/>
      <c r="U380" s="28"/>
      <c r="V380" s="29" t="str">
        <f>IF(B380=SelectedScope,COUNTIFS($B$4:$B380,SelectedScope),"")</f>
        <v/>
      </c>
    </row>
    <row r="381" spans="1:22" ht="16.05" customHeight="1" x14ac:dyDescent="0.3">
      <c r="A381" s="30">
        <v>378</v>
      </c>
      <c r="B381" s="30" t="s">
        <v>539</v>
      </c>
      <c r="C381" s="30" t="s">
        <v>1379</v>
      </c>
      <c r="D381" s="30" t="s">
        <v>1027</v>
      </c>
      <c r="E381" s="30"/>
      <c r="F381" s="30"/>
      <c r="G381" s="30"/>
      <c r="H381" s="30"/>
      <c r="I381" s="30"/>
      <c r="J381" s="30"/>
      <c r="K381" s="30"/>
      <c r="L381" s="30"/>
      <c r="M381" s="30"/>
      <c r="N381" s="30"/>
      <c r="O381" s="30"/>
      <c r="P381" s="30"/>
      <c r="Q381" s="30"/>
      <c r="R381" s="30"/>
      <c r="S381" s="30"/>
      <c r="T381" s="30"/>
      <c r="U381" s="30"/>
      <c r="V381" s="29" t="str">
        <f>IF(B381=SelectedScope,COUNTIFS($B$4:$B381,SelectedScope),"")</f>
        <v/>
      </c>
    </row>
    <row r="382" spans="1:22" ht="16.05" customHeight="1" x14ac:dyDescent="0.3">
      <c r="A382" s="28">
        <v>379</v>
      </c>
      <c r="B382" s="28" t="s">
        <v>539</v>
      </c>
      <c r="C382" s="28" t="s">
        <v>1380</v>
      </c>
      <c r="D382" s="28" t="s">
        <v>1027</v>
      </c>
      <c r="E382" s="28"/>
      <c r="F382" s="28"/>
      <c r="G382" s="28"/>
      <c r="H382" s="28"/>
      <c r="I382" s="28"/>
      <c r="J382" s="28"/>
      <c r="K382" s="28"/>
      <c r="L382" s="28"/>
      <c r="M382" s="28"/>
      <c r="N382" s="28"/>
      <c r="O382" s="28"/>
      <c r="P382" s="28"/>
      <c r="Q382" s="28"/>
      <c r="R382" s="28"/>
      <c r="S382" s="28"/>
      <c r="T382" s="28"/>
      <c r="U382" s="28"/>
      <c r="V382" s="29" t="str">
        <f>IF(B382=SelectedScope,COUNTIFS($B$4:$B382,SelectedScope),"")</f>
        <v/>
      </c>
    </row>
    <row r="383" spans="1:22" ht="16.05" customHeight="1" x14ac:dyDescent="0.3">
      <c r="A383" s="30">
        <v>380</v>
      </c>
      <c r="B383" s="30" t="s">
        <v>539</v>
      </c>
      <c r="C383" s="30" t="s">
        <v>1381</v>
      </c>
      <c r="D383" s="30" t="s">
        <v>1027</v>
      </c>
      <c r="E383" s="30"/>
      <c r="F383" s="30"/>
      <c r="G383" s="30"/>
      <c r="H383" s="30"/>
      <c r="I383" s="30"/>
      <c r="J383" s="30"/>
      <c r="K383" s="30"/>
      <c r="L383" s="30"/>
      <c r="M383" s="30"/>
      <c r="N383" s="30"/>
      <c r="O383" s="30"/>
      <c r="P383" s="30"/>
      <c r="Q383" s="30"/>
      <c r="R383" s="30"/>
      <c r="S383" s="30"/>
      <c r="T383" s="30"/>
      <c r="U383" s="30"/>
      <c r="V383" s="29" t="str">
        <f>IF(B383=SelectedScope,COUNTIFS($B$4:$B383,SelectedScope),"")</f>
        <v/>
      </c>
    </row>
    <row r="384" spans="1:22" ht="16.05" customHeight="1" x14ac:dyDescent="0.3">
      <c r="A384" s="28">
        <v>381</v>
      </c>
      <c r="B384" s="28" t="s">
        <v>539</v>
      </c>
      <c r="C384" s="28" t="s">
        <v>1382</v>
      </c>
      <c r="D384" s="28" t="s">
        <v>1027</v>
      </c>
      <c r="E384" s="28"/>
      <c r="F384" s="28"/>
      <c r="G384" s="28"/>
      <c r="H384" s="28"/>
      <c r="I384" s="28"/>
      <c r="J384" s="28"/>
      <c r="K384" s="28"/>
      <c r="L384" s="28"/>
      <c r="M384" s="28"/>
      <c r="N384" s="28"/>
      <c r="O384" s="28"/>
      <c r="P384" s="28"/>
      <c r="Q384" s="28"/>
      <c r="R384" s="28"/>
      <c r="S384" s="28"/>
      <c r="T384" s="28"/>
      <c r="U384" s="28"/>
      <c r="V384" s="29" t="str">
        <f>IF(B384=SelectedScope,COUNTIFS($B$4:$B384,SelectedScope),"")</f>
        <v/>
      </c>
    </row>
    <row r="385" spans="1:22" ht="16.05" customHeight="1" x14ac:dyDescent="0.3">
      <c r="A385" s="30">
        <v>382</v>
      </c>
      <c r="B385" s="30" t="s">
        <v>539</v>
      </c>
      <c r="C385" s="30" t="s">
        <v>1383</v>
      </c>
      <c r="D385" s="30" t="s">
        <v>1027</v>
      </c>
      <c r="E385" s="30"/>
      <c r="F385" s="30"/>
      <c r="G385" s="30"/>
      <c r="H385" s="30"/>
      <c r="I385" s="30"/>
      <c r="J385" s="30"/>
      <c r="K385" s="30"/>
      <c r="L385" s="30"/>
      <c r="M385" s="30"/>
      <c r="N385" s="30"/>
      <c r="O385" s="30"/>
      <c r="P385" s="30"/>
      <c r="Q385" s="30"/>
      <c r="R385" s="30"/>
      <c r="S385" s="30"/>
      <c r="T385" s="30"/>
      <c r="U385" s="30"/>
      <c r="V385" s="29" t="str">
        <f>IF(B385=SelectedScope,COUNTIFS($B$4:$B385,SelectedScope),"")</f>
        <v/>
      </c>
    </row>
    <row r="386" spans="1:22" ht="16.05" customHeight="1" x14ac:dyDescent="0.3">
      <c r="A386" s="28">
        <v>383</v>
      </c>
      <c r="B386" s="28" t="s">
        <v>539</v>
      </c>
      <c r="C386" s="28" t="s">
        <v>1384</v>
      </c>
      <c r="D386" s="28" t="s">
        <v>1027</v>
      </c>
      <c r="E386" s="28"/>
      <c r="F386" s="28"/>
      <c r="G386" s="28"/>
      <c r="H386" s="28"/>
      <c r="I386" s="28"/>
      <c r="J386" s="28"/>
      <c r="K386" s="28"/>
      <c r="L386" s="28"/>
      <c r="M386" s="28"/>
      <c r="N386" s="28"/>
      <c r="O386" s="28"/>
      <c r="P386" s="28"/>
      <c r="Q386" s="28"/>
      <c r="R386" s="28"/>
      <c r="S386" s="28"/>
      <c r="T386" s="28"/>
      <c r="U386" s="28"/>
      <c r="V386" s="29" t="str">
        <f>IF(B386=SelectedScope,COUNTIFS($B$4:$B386,SelectedScope),"")</f>
        <v/>
      </c>
    </row>
    <row r="387" spans="1:22" ht="16.05" customHeight="1" x14ac:dyDescent="0.3">
      <c r="A387" s="30">
        <v>384</v>
      </c>
      <c r="B387" s="30" t="s">
        <v>539</v>
      </c>
      <c r="C387" s="30" t="s">
        <v>1385</v>
      </c>
      <c r="D387" s="30" t="s">
        <v>1027</v>
      </c>
      <c r="E387" s="30"/>
      <c r="F387" s="30"/>
      <c r="G387" s="30"/>
      <c r="H387" s="30"/>
      <c r="I387" s="30"/>
      <c r="J387" s="30"/>
      <c r="K387" s="30"/>
      <c r="L387" s="30"/>
      <c r="M387" s="30"/>
      <c r="N387" s="30"/>
      <c r="O387" s="30"/>
      <c r="P387" s="30"/>
      <c r="Q387" s="30"/>
      <c r="R387" s="30"/>
      <c r="S387" s="30"/>
      <c r="T387" s="30"/>
      <c r="U387" s="30"/>
      <c r="V387" s="29" t="str">
        <f>IF(B387=SelectedScope,COUNTIFS($B$4:$B387,SelectedScope),"")</f>
        <v/>
      </c>
    </row>
    <row r="388" spans="1:22" ht="16.05" customHeight="1" x14ac:dyDescent="0.3">
      <c r="A388" s="28">
        <v>385</v>
      </c>
      <c r="B388" s="28" t="s">
        <v>539</v>
      </c>
      <c r="C388" s="28" t="s">
        <v>1386</v>
      </c>
      <c r="D388" s="28" t="s">
        <v>1027</v>
      </c>
      <c r="E388" s="28"/>
      <c r="F388" s="28"/>
      <c r="G388" s="28"/>
      <c r="H388" s="28"/>
      <c r="I388" s="28"/>
      <c r="J388" s="28"/>
      <c r="K388" s="28"/>
      <c r="L388" s="28"/>
      <c r="M388" s="28"/>
      <c r="N388" s="28"/>
      <c r="O388" s="28"/>
      <c r="P388" s="28"/>
      <c r="Q388" s="28"/>
      <c r="R388" s="28"/>
      <c r="S388" s="28"/>
      <c r="T388" s="28"/>
      <c r="U388" s="28"/>
      <c r="V388" s="29" t="str">
        <f>IF(B388=SelectedScope,COUNTIFS($B$4:$B388,SelectedScope),"")</f>
        <v/>
      </c>
    </row>
    <row r="389" spans="1:22" ht="16.05" customHeight="1" x14ac:dyDescent="0.3">
      <c r="A389" s="30">
        <v>386</v>
      </c>
      <c r="B389" s="30" t="s">
        <v>539</v>
      </c>
      <c r="C389" s="30" t="s">
        <v>1387</v>
      </c>
      <c r="D389" s="30" t="s">
        <v>1027</v>
      </c>
      <c r="E389" s="30"/>
      <c r="F389" s="30"/>
      <c r="G389" s="30"/>
      <c r="H389" s="30"/>
      <c r="I389" s="30"/>
      <c r="J389" s="30"/>
      <c r="K389" s="30"/>
      <c r="L389" s="30"/>
      <c r="M389" s="30"/>
      <c r="N389" s="30"/>
      <c r="O389" s="30"/>
      <c r="P389" s="30"/>
      <c r="Q389" s="30"/>
      <c r="R389" s="30"/>
      <c r="S389" s="30"/>
      <c r="T389" s="30"/>
      <c r="U389" s="30"/>
      <c r="V389" s="29" t="str">
        <f>IF(B389=SelectedScope,COUNTIFS($B$4:$B389,SelectedScope),"")</f>
        <v/>
      </c>
    </row>
    <row r="390" spans="1:22" ht="16.05" customHeight="1" x14ac:dyDescent="0.3">
      <c r="A390" s="28">
        <v>387</v>
      </c>
      <c r="B390" s="28" t="s">
        <v>539</v>
      </c>
      <c r="C390" s="28" t="s">
        <v>1388</v>
      </c>
      <c r="D390" s="28" t="s">
        <v>1027</v>
      </c>
      <c r="E390" s="28"/>
      <c r="F390" s="28"/>
      <c r="G390" s="28"/>
      <c r="H390" s="28"/>
      <c r="I390" s="28"/>
      <c r="J390" s="28"/>
      <c r="K390" s="28"/>
      <c r="L390" s="28"/>
      <c r="M390" s="28"/>
      <c r="N390" s="28"/>
      <c r="O390" s="28"/>
      <c r="P390" s="28"/>
      <c r="Q390" s="28"/>
      <c r="R390" s="28"/>
      <c r="S390" s="28"/>
      <c r="T390" s="28"/>
      <c r="U390" s="28"/>
      <c r="V390" s="29" t="str">
        <f>IF(B390=SelectedScope,COUNTIFS($B$4:$B390,SelectedScope),"")</f>
        <v/>
      </c>
    </row>
    <row r="391" spans="1:22" ht="16.05" customHeight="1" x14ac:dyDescent="0.3">
      <c r="A391" s="30">
        <v>388</v>
      </c>
      <c r="B391" s="30" t="s">
        <v>539</v>
      </c>
      <c r="C391" s="30" t="s">
        <v>601</v>
      </c>
      <c r="D391" s="30" t="s">
        <v>1027</v>
      </c>
      <c r="E391" s="30"/>
      <c r="F391" s="30"/>
      <c r="G391" s="30"/>
      <c r="H391" s="30"/>
      <c r="I391" s="30"/>
      <c r="J391" s="30"/>
      <c r="K391" s="30"/>
      <c r="L391" s="30"/>
      <c r="M391" s="30"/>
      <c r="N391" s="30"/>
      <c r="O391" s="30"/>
      <c r="P391" s="30"/>
      <c r="Q391" s="30"/>
      <c r="R391" s="30"/>
      <c r="S391" s="30"/>
      <c r="T391" s="30"/>
      <c r="U391" s="30"/>
      <c r="V391" s="29" t="str">
        <f>IF(B391=SelectedScope,COUNTIFS($B$4:$B391,SelectedScope),"")</f>
        <v/>
      </c>
    </row>
    <row r="392" spans="1:22" ht="16.05" customHeight="1" x14ac:dyDescent="0.3">
      <c r="A392" s="28">
        <v>389</v>
      </c>
      <c r="B392" s="28" t="s">
        <v>539</v>
      </c>
      <c r="C392" s="28" t="s">
        <v>1389</v>
      </c>
      <c r="D392" s="28" t="s">
        <v>1027</v>
      </c>
      <c r="E392" s="28"/>
      <c r="F392" s="28"/>
      <c r="G392" s="28"/>
      <c r="H392" s="28"/>
      <c r="I392" s="28"/>
      <c r="J392" s="28"/>
      <c r="K392" s="28"/>
      <c r="L392" s="28"/>
      <c r="M392" s="28"/>
      <c r="N392" s="28"/>
      <c r="O392" s="28"/>
      <c r="P392" s="28"/>
      <c r="Q392" s="28"/>
      <c r="R392" s="28"/>
      <c r="S392" s="28"/>
      <c r="T392" s="28"/>
      <c r="U392" s="28"/>
      <c r="V392" s="29" t="str">
        <f>IF(B392=SelectedScope,COUNTIFS($B$4:$B392,SelectedScope),"")</f>
        <v/>
      </c>
    </row>
    <row r="393" spans="1:22" ht="16.05" customHeight="1" x14ac:dyDescent="0.3">
      <c r="A393" s="30">
        <v>390</v>
      </c>
      <c r="B393" s="30" t="s">
        <v>539</v>
      </c>
      <c r="C393" s="30" t="s">
        <v>1390</v>
      </c>
      <c r="D393" s="30" t="s">
        <v>1027</v>
      </c>
      <c r="E393" s="30"/>
      <c r="F393" s="30"/>
      <c r="G393" s="30"/>
      <c r="H393" s="30"/>
      <c r="I393" s="30"/>
      <c r="J393" s="30"/>
      <c r="K393" s="30"/>
      <c r="L393" s="30"/>
      <c r="M393" s="30"/>
      <c r="N393" s="30"/>
      <c r="O393" s="30"/>
      <c r="P393" s="30"/>
      <c r="Q393" s="30"/>
      <c r="R393" s="30"/>
      <c r="S393" s="30"/>
      <c r="T393" s="30"/>
      <c r="U393" s="30"/>
      <c r="V393" s="29" t="str">
        <f>IF(B393=SelectedScope,COUNTIFS($B$4:$B393,SelectedScope),"")</f>
        <v/>
      </c>
    </row>
    <row r="394" spans="1:22" ht="16.05" customHeight="1" x14ac:dyDescent="0.3">
      <c r="A394" s="28">
        <v>391</v>
      </c>
      <c r="B394" s="28" t="s">
        <v>539</v>
      </c>
      <c r="C394" s="28" t="s">
        <v>1391</v>
      </c>
      <c r="D394" s="28" t="s">
        <v>1027</v>
      </c>
      <c r="E394" s="28"/>
      <c r="F394" s="28"/>
      <c r="G394" s="28"/>
      <c r="H394" s="28"/>
      <c r="I394" s="28"/>
      <c r="J394" s="28"/>
      <c r="K394" s="28"/>
      <c r="L394" s="28"/>
      <c r="M394" s="28"/>
      <c r="N394" s="28"/>
      <c r="O394" s="28"/>
      <c r="P394" s="28"/>
      <c r="Q394" s="28"/>
      <c r="R394" s="28"/>
      <c r="S394" s="28"/>
      <c r="T394" s="28"/>
      <c r="U394" s="28"/>
      <c r="V394" s="29" t="str">
        <f>IF(B394=SelectedScope,COUNTIFS($B$4:$B394,SelectedScope),"")</f>
        <v/>
      </c>
    </row>
    <row r="395" spans="1:22" ht="16.05" customHeight="1" x14ac:dyDescent="0.3">
      <c r="A395" s="30">
        <v>392</v>
      </c>
      <c r="B395" s="30" t="s">
        <v>539</v>
      </c>
      <c r="C395" s="30" t="s">
        <v>1392</v>
      </c>
      <c r="D395" s="30" t="s">
        <v>1027</v>
      </c>
      <c r="E395" s="30"/>
      <c r="F395" s="30"/>
      <c r="G395" s="30"/>
      <c r="H395" s="30"/>
      <c r="I395" s="30"/>
      <c r="J395" s="30"/>
      <c r="K395" s="30"/>
      <c r="L395" s="30"/>
      <c r="M395" s="30"/>
      <c r="N395" s="30"/>
      <c r="O395" s="30"/>
      <c r="P395" s="30"/>
      <c r="Q395" s="30"/>
      <c r="R395" s="30"/>
      <c r="S395" s="30"/>
      <c r="T395" s="30"/>
      <c r="U395" s="30"/>
      <c r="V395" s="29" t="str">
        <f>IF(B395=SelectedScope,COUNTIFS($B$4:$B395,SelectedScope),"")</f>
        <v/>
      </c>
    </row>
    <row r="396" spans="1:22" ht="16.05" customHeight="1" x14ac:dyDescent="0.3">
      <c r="A396" s="28">
        <v>393</v>
      </c>
      <c r="B396" s="28" t="s">
        <v>539</v>
      </c>
      <c r="C396" s="28" t="s">
        <v>1393</v>
      </c>
      <c r="D396" s="28" t="s">
        <v>1027</v>
      </c>
      <c r="E396" s="28"/>
      <c r="F396" s="28"/>
      <c r="G396" s="28"/>
      <c r="H396" s="28"/>
      <c r="I396" s="28"/>
      <c r="J396" s="28"/>
      <c r="K396" s="28"/>
      <c r="L396" s="28"/>
      <c r="M396" s="28"/>
      <c r="N396" s="28"/>
      <c r="O396" s="28"/>
      <c r="P396" s="28"/>
      <c r="Q396" s="28"/>
      <c r="R396" s="28"/>
      <c r="S396" s="28"/>
      <c r="T396" s="28"/>
      <c r="U396" s="28"/>
      <c r="V396" s="29" t="str">
        <f>IF(B396=SelectedScope,COUNTIFS($B$4:$B396,SelectedScope),"")</f>
        <v/>
      </c>
    </row>
    <row r="397" spans="1:22" ht="16.05" customHeight="1" x14ac:dyDescent="0.3">
      <c r="A397" s="30">
        <v>394</v>
      </c>
      <c r="B397" s="30" t="s">
        <v>539</v>
      </c>
      <c r="C397" s="30" t="s">
        <v>1394</v>
      </c>
      <c r="D397" s="30" t="s">
        <v>1027</v>
      </c>
      <c r="E397" s="30"/>
      <c r="F397" s="30"/>
      <c r="G397" s="30"/>
      <c r="H397" s="30"/>
      <c r="I397" s="30"/>
      <c r="J397" s="30"/>
      <c r="K397" s="30"/>
      <c r="L397" s="30"/>
      <c r="M397" s="30"/>
      <c r="N397" s="30"/>
      <c r="O397" s="30"/>
      <c r="P397" s="30"/>
      <c r="Q397" s="30"/>
      <c r="R397" s="30"/>
      <c r="S397" s="30"/>
      <c r="T397" s="30"/>
      <c r="U397" s="30"/>
      <c r="V397" s="29" t="str">
        <f>IF(B397=SelectedScope,COUNTIFS($B$4:$B397,SelectedScope),"")</f>
        <v/>
      </c>
    </row>
    <row r="398" spans="1:22" ht="16.05" customHeight="1" x14ac:dyDescent="0.3">
      <c r="A398" s="28">
        <v>395</v>
      </c>
      <c r="B398" s="28" t="s">
        <v>539</v>
      </c>
      <c r="C398" s="28" t="s">
        <v>1395</v>
      </c>
      <c r="D398" s="28" t="s">
        <v>1027</v>
      </c>
      <c r="E398" s="28"/>
      <c r="F398" s="28"/>
      <c r="G398" s="28"/>
      <c r="H398" s="28"/>
      <c r="I398" s="28"/>
      <c r="J398" s="28"/>
      <c r="K398" s="28"/>
      <c r="L398" s="28"/>
      <c r="M398" s="28"/>
      <c r="N398" s="28"/>
      <c r="O398" s="28"/>
      <c r="P398" s="28"/>
      <c r="Q398" s="28"/>
      <c r="R398" s="28"/>
      <c r="S398" s="28"/>
      <c r="T398" s="28"/>
      <c r="U398" s="28"/>
      <c r="V398" s="29" t="str">
        <f>IF(B398=SelectedScope,COUNTIFS($B$4:$B398,SelectedScope),"")</f>
        <v/>
      </c>
    </row>
    <row r="399" spans="1:22" ht="16.05" customHeight="1" x14ac:dyDescent="0.3">
      <c r="A399" s="30">
        <v>396</v>
      </c>
      <c r="B399" s="30" t="s">
        <v>539</v>
      </c>
      <c r="C399" s="30" t="s">
        <v>1396</v>
      </c>
      <c r="D399" s="30" t="s">
        <v>1027</v>
      </c>
      <c r="E399" s="30"/>
      <c r="F399" s="30"/>
      <c r="G399" s="30"/>
      <c r="H399" s="30"/>
      <c r="I399" s="30"/>
      <c r="J399" s="30"/>
      <c r="K399" s="30"/>
      <c r="L399" s="30"/>
      <c r="M399" s="30"/>
      <c r="N399" s="30"/>
      <c r="O399" s="30"/>
      <c r="P399" s="30"/>
      <c r="Q399" s="30"/>
      <c r="R399" s="30"/>
      <c r="S399" s="30"/>
      <c r="T399" s="30"/>
      <c r="U399" s="30"/>
      <c r="V399" s="29" t="str">
        <f>IF(B399=SelectedScope,COUNTIFS($B$4:$B399,SelectedScope),"")</f>
        <v/>
      </c>
    </row>
    <row r="400" spans="1:22" ht="16.05" customHeight="1" x14ac:dyDescent="0.3">
      <c r="A400" s="28">
        <v>397</v>
      </c>
      <c r="B400" s="28" t="s">
        <v>539</v>
      </c>
      <c r="C400" s="28" t="s">
        <v>1397</v>
      </c>
      <c r="D400" s="28" t="s">
        <v>1027</v>
      </c>
      <c r="E400" s="28"/>
      <c r="F400" s="28"/>
      <c r="G400" s="28"/>
      <c r="H400" s="28"/>
      <c r="I400" s="28"/>
      <c r="J400" s="28"/>
      <c r="K400" s="28"/>
      <c r="L400" s="28"/>
      <c r="M400" s="28"/>
      <c r="N400" s="28"/>
      <c r="O400" s="28"/>
      <c r="P400" s="28"/>
      <c r="Q400" s="28"/>
      <c r="R400" s="28"/>
      <c r="S400" s="28"/>
      <c r="T400" s="28"/>
      <c r="U400" s="28"/>
      <c r="V400" s="29" t="str">
        <f>IF(B400=SelectedScope,COUNTIFS($B$4:$B400,SelectedScope),"")</f>
        <v/>
      </c>
    </row>
    <row r="401" spans="1:22" ht="16.05" customHeight="1" x14ac:dyDescent="0.3">
      <c r="A401" s="30">
        <v>398</v>
      </c>
      <c r="B401" s="30" t="s">
        <v>539</v>
      </c>
      <c r="C401" s="30" t="s">
        <v>1398</v>
      </c>
      <c r="D401" s="30" t="s">
        <v>1027</v>
      </c>
      <c r="E401" s="30"/>
      <c r="F401" s="30"/>
      <c r="G401" s="30"/>
      <c r="H401" s="30"/>
      <c r="I401" s="30"/>
      <c r="J401" s="30"/>
      <c r="K401" s="30"/>
      <c r="L401" s="30"/>
      <c r="M401" s="30"/>
      <c r="N401" s="30"/>
      <c r="O401" s="30"/>
      <c r="P401" s="30"/>
      <c r="Q401" s="30"/>
      <c r="R401" s="30"/>
      <c r="S401" s="30"/>
      <c r="T401" s="30"/>
      <c r="U401" s="30"/>
      <c r="V401" s="29" t="str">
        <f>IF(B401=SelectedScope,COUNTIFS($B$4:$B401,SelectedScope),"")</f>
        <v/>
      </c>
    </row>
    <row r="402" spans="1:22" ht="16.05" customHeight="1" x14ac:dyDescent="0.3">
      <c r="A402" s="28">
        <v>399</v>
      </c>
      <c r="B402" s="28" t="s">
        <v>539</v>
      </c>
      <c r="C402" s="28" t="s">
        <v>1399</v>
      </c>
      <c r="D402" s="28" t="s">
        <v>1027</v>
      </c>
      <c r="E402" s="28"/>
      <c r="F402" s="28"/>
      <c r="G402" s="28"/>
      <c r="H402" s="28"/>
      <c r="I402" s="28"/>
      <c r="J402" s="28"/>
      <c r="K402" s="28"/>
      <c r="L402" s="28"/>
      <c r="M402" s="28"/>
      <c r="N402" s="28"/>
      <c r="O402" s="28"/>
      <c r="P402" s="28"/>
      <c r="Q402" s="28"/>
      <c r="R402" s="28"/>
      <c r="S402" s="28"/>
      <c r="T402" s="28"/>
      <c r="U402" s="28"/>
      <c r="V402" s="29" t="str">
        <f>IF(B402=SelectedScope,COUNTIFS($B$4:$B402,SelectedScope),"")</f>
        <v/>
      </c>
    </row>
    <row r="403" spans="1:22" ht="16.05" customHeight="1" x14ac:dyDescent="0.3">
      <c r="A403" s="30">
        <v>400</v>
      </c>
      <c r="B403" s="30" t="s">
        <v>539</v>
      </c>
      <c r="C403" s="30" t="s">
        <v>1400</v>
      </c>
      <c r="D403" s="30" t="s">
        <v>1027</v>
      </c>
      <c r="E403" s="30"/>
      <c r="F403" s="30"/>
      <c r="G403" s="30"/>
      <c r="H403" s="30"/>
      <c r="I403" s="30"/>
      <c r="J403" s="30"/>
      <c r="K403" s="30"/>
      <c r="L403" s="30"/>
      <c r="M403" s="30"/>
      <c r="N403" s="30"/>
      <c r="O403" s="30"/>
      <c r="P403" s="30"/>
      <c r="Q403" s="30"/>
      <c r="R403" s="30"/>
      <c r="S403" s="30"/>
      <c r="T403" s="30"/>
      <c r="U403" s="30"/>
      <c r="V403" s="29" t="str">
        <f>IF(B403=SelectedScope,COUNTIFS($B$4:$B403,SelectedScope),"")</f>
        <v/>
      </c>
    </row>
    <row r="404" spans="1:22" ht="16.05" customHeight="1" x14ac:dyDescent="0.3">
      <c r="A404" s="28">
        <v>401</v>
      </c>
      <c r="B404" s="28" t="s">
        <v>539</v>
      </c>
      <c r="C404" s="28" t="s">
        <v>1401</v>
      </c>
      <c r="D404" s="28" t="s">
        <v>1027</v>
      </c>
      <c r="E404" s="28"/>
      <c r="F404" s="28"/>
      <c r="G404" s="28"/>
      <c r="H404" s="28"/>
      <c r="I404" s="28"/>
      <c r="J404" s="28"/>
      <c r="K404" s="28"/>
      <c r="L404" s="28"/>
      <c r="M404" s="28"/>
      <c r="N404" s="28"/>
      <c r="O404" s="28"/>
      <c r="P404" s="28"/>
      <c r="Q404" s="28"/>
      <c r="R404" s="28"/>
      <c r="S404" s="28"/>
      <c r="T404" s="28"/>
      <c r="U404" s="28"/>
      <c r="V404" s="29" t="str">
        <f>IF(B404=SelectedScope,COUNTIFS($B$4:$B404,SelectedScope),"")</f>
        <v/>
      </c>
    </row>
    <row r="405" spans="1:22" ht="16.05" customHeight="1" x14ac:dyDescent="0.3">
      <c r="A405" s="30">
        <v>402</v>
      </c>
      <c r="B405" s="30" t="s">
        <v>539</v>
      </c>
      <c r="C405" s="30" t="s">
        <v>1402</v>
      </c>
      <c r="D405" s="30" t="s">
        <v>1027</v>
      </c>
      <c r="E405" s="30"/>
      <c r="F405" s="30"/>
      <c r="G405" s="30"/>
      <c r="H405" s="30"/>
      <c r="I405" s="30"/>
      <c r="J405" s="30"/>
      <c r="K405" s="30"/>
      <c r="L405" s="30"/>
      <c r="M405" s="30"/>
      <c r="N405" s="30"/>
      <c r="O405" s="30"/>
      <c r="P405" s="30"/>
      <c r="Q405" s="30"/>
      <c r="R405" s="30"/>
      <c r="S405" s="30"/>
      <c r="T405" s="30"/>
      <c r="U405" s="30"/>
      <c r="V405" s="29" t="str">
        <f>IF(B405=SelectedScope,COUNTIFS($B$4:$B405,SelectedScope),"")</f>
        <v/>
      </c>
    </row>
    <row r="406" spans="1:22" ht="16.05" customHeight="1" x14ac:dyDescent="0.3">
      <c r="A406" s="28">
        <v>403</v>
      </c>
      <c r="B406" s="28" t="s">
        <v>539</v>
      </c>
      <c r="C406" s="28" t="s">
        <v>1403</v>
      </c>
      <c r="D406" s="28" t="s">
        <v>1027</v>
      </c>
      <c r="E406" s="28"/>
      <c r="F406" s="28"/>
      <c r="G406" s="28"/>
      <c r="H406" s="28"/>
      <c r="I406" s="28"/>
      <c r="J406" s="28"/>
      <c r="K406" s="28"/>
      <c r="L406" s="28"/>
      <c r="M406" s="28"/>
      <c r="N406" s="28"/>
      <c r="O406" s="28"/>
      <c r="P406" s="28"/>
      <c r="Q406" s="28"/>
      <c r="R406" s="28"/>
      <c r="S406" s="28"/>
      <c r="T406" s="28"/>
      <c r="U406" s="28"/>
      <c r="V406" s="29" t="str">
        <f>IF(B406=SelectedScope,COUNTIFS($B$4:$B406,SelectedScope),"")</f>
        <v/>
      </c>
    </row>
    <row r="407" spans="1:22" ht="16.05" customHeight="1" x14ac:dyDescent="0.3">
      <c r="A407" s="30">
        <v>404</v>
      </c>
      <c r="B407" s="30" t="s">
        <v>540</v>
      </c>
      <c r="C407" s="30" t="s">
        <v>1404</v>
      </c>
      <c r="D407" s="30" t="s">
        <v>1027</v>
      </c>
      <c r="E407" s="30"/>
      <c r="F407" s="30"/>
      <c r="G407" s="30"/>
      <c r="H407" s="30"/>
      <c r="I407" s="30"/>
      <c r="J407" s="30"/>
      <c r="K407" s="30"/>
      <c r="L407" s="30"/>
      <c r="M407" s="30"/>
      <c r="N407" s="30"/>
      <c r="O407" s="30"/>
      <c r="P407" s="30"/>
      <c r="Q407" s="30"/>
      <c r="R407" s="30"/>
      <c r="S407" s="30"/>
      <c r="T407" s="30"/>
      <c r="U407" s="30"/>
      <c r="V407" s="29" t="str">
        <f>IF(B407=SelectedScope,COUNTIFS($B$4:$B407,SelectedScope),"")</f>
        <v/>
      </c>
    </row>
    <row r="408" spans="1:22" ht="16.05" customHeight="1" x14ac:dyDescent="0.3">
      <c r="A408" s="28">
        <v>405</v>
      </c>
      <c r="B408" s="28" t="s">
        <v>540</v>
      </c>
      <c r="C408" s="28" t="s">
        <v>603</v>
      </c>
      <c r="D408" s="28" t="s">
        <v>1027</v>
      </c>
      <c r="E408" s="28"/>
      <c r="F408" s="28"/>
      <c r="G408" s="28"/>
      <c r="H408" s="28"/>
      <c r="I408" s="28"/>
      <c r="J408" s="28"/>
      <c r="K408" s="28"/>
      <c r="L408" s="28"/>
      <c r="M408" s="28"/>
      <c r="N408" s="28"/>
      <c r="O408" s="28"/>
      <c r="P408" s="28"/>
      <c r="Q408" s="28"/>
      <c r="R408" s="28"/>
      <c r="S408" s="28"/>
      <c r="T408" s="28"/>
      <c r="U408" s="28"/>
      <c r="V408" s="29" t="str">
        <f>IF(B408=SelectedScope,COUNTIFS($B$4:$B408,SelectedScope),"")</f>
        <v/>
      </c>
    </row>
    <row r="409" spans="1:22" ht="16.05" customHeight="1" x14ac:dyDescent="0.3">
      <c r="A409" s="30">
        <v>406</v>
      </c>
      <c r="B409" s="30" t="s">
        <v>540</v>
      </c>
      <c r="C409" s="30" t="s">
        <v>1405</v>
      </c>
      <c r="D409" s="30" t="s">
        <v>1027</v>
      </c>
      <c r="E409" s="30"/>
      <c r="F409" s="30"/>
      <c r="G409" s="30"/>
      <c r="H409" s="30"/>
      <c r="I409" s="30"/>
      <c r="J409" s="30"/>
      <c r="K409" s="30"/>
      <c r="L409" s="30"/>
      <c r="M409" s="30"/>
      <c r="N409" s="30"/>
      <c r="O409" s="30"/>
      <c r="P409" s="30"/>
      <c r="Q409" s="30"/>
      <c r="R409" s="30"/>
      <c r="S409" s="30"/>
      <c r="T409" s="30"/>
      <c r="U409" s="30"/>
      <c r="V409" s="29" t="str">
        <f>IF(B409=SelectedScope,COUNTIFS($B$4:$B409,SelectedScope),"")</f>
        <v/>
      </c>
    </row>
    <row r="410" spans="1:22" ht="16.05" customHeight="1" x14ac:dyDescent="0.3">
      <c r="A410" s="28">
        <v>407</v>
      </c>
      <c r="B410" s="28" t="s">
        <v>540</v>
      </c>
      <c r="C410" s="28" t="s">
        <v>1406</v>
      </c>
      <c r="D410" s="28" t="s">
        <v>1027</v>
      </c>
      <c r="E410" s="28"/>
      <c r="F410" s="28"/>
      <c r="G410" s="28"/>
      <c r="H410" s="28"/>
      <c r="I410" s="28"/>
      <c r="J410" s="28"/>
      <c r="K410" s="28"/>
      <c r="L410" s="28"/>
      <c r="M410" s="28"/>
      <c r="N410" s="28"/>
      <c r="O410" s="28"/>
      <c r="P410" s="28"/>
      <c r="Q410" s="28"/>
      <c r="R410" s="28"/>
      <c r="S410" s="28"/>
      <c r="T410" s="28"/>
      <c r="U410" s="28"/>
      <c r="V410" s="29" t="str">
        <f>IF(B410=SelectedScope,COUNTIFS($B$4:$B410,SelectedScope),"")</f>
        <v/>
      </c>
    </row>
    <row r="411" spans="1:22" ht="16.05" customHeight="1" x14ac:dyDescent="0.3">
      <c r="A411" s="30">
        <v>408</v>
      </c>
      <c r="B411" s="30" t="s">
        <v>540</v>
      </c>
      <c r="C411" s="30" t="s">
        <v>1407</v>
      </c>
      <c r="D411" s="30" t="s">
        <v>1027</v>
      </c>
      <c r="E411" s="30"/>
      <c r="F411" s="30"/>
      <c r="G411" s="30"/>
      <c r="H411" s="30"/>
      <c r="I411" s="30"/>
      <c r="J411" s="30"/>
      <c r="K411" s="30"/>
      <c r="L411" s="30"/>
      <c r="M411" s="30"/>
      <c r="N411" s="30"/>
      <c r="O411" s="30"/>
      <c r="P411" s="30"/>
      <c r="Q411" s="30"/>
      <c r="R411" s="30"/>
      <c r="S411" s="30"/>
      <c r="T411" s="30"/>
      <c r="U411" s="30"/>
      <c r="V411" s="29" t="str">
        <f>IF(B411=SelectedScope,COUNTIFS($B$4:$B411,SelectedScope),"")</f>
        <v/>
      </c>
    </row>
    <row r="412" spans="1:22" ht="16.05" customHeight="1" x14ac:dyDescent="0.3">
      <c r="A412" s="28">
        <v>409</v>
      </c>
      <c r="B412" s="28" t="s">
        <v>540</v>
      </c>
      <c r="C412" s="28" t="s">
        <v>1408</v>
      </c>
      <c r="D412" s="28" t="s">
        <v>1027</v>
      </c>
      <c r="E412" s="28"/>
      <c r="F412" s="28"/>
      <c r="G412" s="28"/>
      <c r="H412" s="28"/>
      <c r="I412" s="28"/>
      <c r="J412" s="28"/>
      <c r="K412" s="28"/>
      <c r="L412" s="28"/>
      <c r="M412" s="28"/>
      <c r="N412" s="28"/>
      <c r="O412" s="28"/>
      <c r="P412" s="28"/>
      <c r="Q412" s="28"/>
      <c r="R412" s="28"/>
      <c r="S412" s="28"/>
      <c r="T412" s="28"/>
      <c r="U412" s="28"/>
      <c r="V412" s="29" t="str">
        <f>IF(B412=SelectedScope,COUNTIFS($B$4:$B412,SelectedScope),"")</f>
        <v/>
      </c>
    </row>
    <row r="413" spans="1:22" ht="16.05" customHeight="1" x14ac:dyDescent="0.3">
      <c r="A413" s="30">
        <v>410</v>
      </c>
      <c r="B413" s="30" t="s">
        <v>540</v>
      </c>
      <c r="C413" s="30" t="s">
        <v>1409</v>
      </c>
      <c r="D413" s="30" t="s">
        <v>1027</v>
      </c>
      <c r="E413" s="30"/>
      <c r="F413" s="30"/>
      <c r="G413" s="30"/>
      <c r="H413" s="30"/>
      <c r="I413" s="30"/>
      <c r="J413" s="30"/>
      <c r="K413" s="30"/>
      <c r="L413" s="30"/>
      <c r="M413" s="30"/>
      <c r="N413" s="30"/>
      <c r="O413" s="30"/>
      <c r="P413" s="30"/>
      <c r="Q413" s="30"/>
      <c r="R413" s="30"/>
      <c r="S413" s="30"/>
      <c r="T413" s="30"/>
      <c r="U413" s="30"/>
      <c r="V413" s="29" t="str">
        <f>IF(B413=SelectedScope,COUNTIFS($B$4:$B413,SelectedScope),"")</f>
        <v/>
      </c>
    </row>
    <row r="414" spans="1:22" ht="16.05" customHeight="1" x14ac:dyDescent="0.3">
      <c r="A414" s="28">
        <v>411</v>
      </c>
      <c r="B414" s="28" t="s">
        <v>540</v>
      </c>
      <c r="C414" s="28" t="s">
        <v>1410</v>
      </c>
      <c r="D414" s="28" t="s">
        <v>1027</v>
      </c>
      <c r="E414" s="28"/>
      <c r="F414" s="28"/>
      <c r="G414" s="28"/>
      <c r="H414" s="28"/>
      <c r="I414" s="28"/>
      <c r="J414" s="28"/>
      <c r="K414" s="28"/>
      <c r="L414" s="28"/>
      <c r="M414" s="28"/>
      <c r="N414" s="28"/>
      <c r="O414" s="28"/>
      <c r="P414" s="28"/>
      <c r="Q414" s="28"/>
      <c r="R414" s="28"/>
      <c r="S414" s="28"/>
      <c r="T414" s="28"/>
      <c r="U414" s="28"/>
      <c r="V414" s="29" t="str">
        <f>IF(B414=SelectedScope,COUNTIFS($B$4:$B414,SelectedScope),"")</f>
        <v/>
      </c>
    </row>
    <row r="415" spans="1:22" ht="16.05" customHeight="1" x14ac:dyDescent="0.3">
      <c r="A415" s="30">
        <v>412</v>
      </c>
      <c r="B415" s="30" t="s">
        <v>540</v>
      </c>
      <c r="C415" s="30" t="s">
        <v>1411</v>
      </c>
      <c r="D415" s="30" t="s">
        <v>1027</v>
      </c>
      <c r="E415" s="30"/>
      <c r="F415" s="30"/>
      <c r="G415" s="30"/>
      <c r="H415" s="30"/>
      <c r="I415" s="30"/>
      <c r="J415" s="30"/>
      <c r="K415" s="30"/>
      <c r="L415" s="30"/>
      <c r="M415" s="30"/>
      <c r="N415" s="30"/>
      <c r="O415" s="30"/>
      <c r="P415" s="30"/>
      <c r="Q415" s="30"/>
      <c r="R415" s="30"/>
      <c r="S415" s="30"/>
      <c r="T415" s="30"/>
      <c r="U415" s="30"/>
      <c r="V415" s="29" t="str">
        <f>IF(B415=SelectedScope,COUNTIFS($B$4:$B415,SelectedScope),"")</f>
        <v/>
      </c>
    </row>
    <row r="416" spans="1:22" ht="16.05" customHeight="1" x14ac:dyDescent="0.3">
      <c r="A416" s="28">
        <v>413</v>
      </c>
      <c r="B416" s="28" t="s">
        <v>540</v>
      </c>
      <c r="C416" s="28" t="s">
        <v>1412</v>
      </c>
      <c r="D416" s="28" t="s">
        <v>1027</v>
      </c>
      <c r="E416" s="28"/>
      <c r="F416" s="28"/>
      <c r="G416" s="28"/>
      <c r="H416" s="28"/>
      <c r="I416" s="28"/>
      <c r="J416" s="28"/>
      <c r="K416" s="28"/>
      <c r="L416" s="28"/>
      <c r="M416" s="28"/>
      <c r="N416" s="28"/>
      <c r="O416" s="28"/>
      <c r="P416" s="28"/>
      <c r="Q416" s="28"/>
      <c r="R416" s="28"/>
      <c r="S416" s="28"/>
      <c r="T416" s="28"/>
      <c r="U416" s="28"/>
      <c r="V416" s="29" t="str">
        <f>IF(B416=SelectedScope,COUNTIFS($B$4:$B416,SelectedScope),"")</f>
        <v/>
      </c>
    </row>
    <row r="417" spans="1:22" ht="16.05" customHeight="1" x14ac:dyDescent="0.3">
      <c r="A417" s="30">
        <v>414</v>
      </c>
      <c r="B417" s="30" t="s">
        <v>540</v>
      </c>
      <c r="C417" s="30" t="s">
        <v>1413</v>
      </c>
      <c r="D417" s="30" t="s">
        <v>1027</v>
      </c>
      <c r="E417" s="30"/>
      <c r="F417" s="30"/>
      <c r="G417" s="30"/>
      <c r="H417" s="30"/>
      <c r="I417" s="30"/>
      <c r="J417" s="30"/>
      <c r="K417" s="30"/>
      <c r="L417" s="30"/>
      <c r="M417" s="30"/>
      <c r="N417" s="30"/>
      <c r="O417" s="30"/>
      <c r="P417" s="30"/>
      <c r="Q417" s="30"/>
      <c r="R417" s="30"/>
      <c r="S417" s="30"/>
      <c r="T417" s="30"/>
      <c r="U417" s="30"/>
      <c r="V417" s="29" t="str">
        <f>IF(B417=SelectedScope,COUNTIFS($B$4:$B417,SelectedScope),"")</f>
        <v/>
      </c>
    </row>
    <row r="418" spans="1:22" ht="16.05" customHeight="1" x14ac:dyDescent="0.3">
      <c r="A418" s="28">
        <v>415</v>
      </c>
      <c r="B418" s="28" t="s">
        <v>540</v>
      </c>
      <c r="C418" s="28" t="s">
        <v>1414</v>
      </c>
      <c r="D418" s="28" t="s">
        <v>1027</v>
      </c>
      <c r="E418" s="28"/>
      <c r="F418" s="28"/>
      <c r="G418" s="28"/>
      <c r="H418" s="28"/>
      <c r="I418" s="28"/>
      <c r="J418" s="28"/>
      <c r="K418" s="28"/>
      <c r="L418" s="28"/>
      <c r="M418" s="28"/>
      <c r="N418" s="28"/>
      <c r="O418" s="28"/>
      <c r="P418" s="28"/>
      <c r="Q418" s="28"/>
      <c r="R418" s="28"/>
      <c r="S418" s="28"/>
      <c r="T418" s="28"/>
      <c r="U418" s="28"/>
      <c r="V418" s="29" t="str">
        <f>IF(B418=SelectedScope,COUNTIFS($B$4:$B418,SelectedScope),"")</f>
        <v/>
      </c>
    </row>
    <row r="419" spans="1:22" ht="16.05" customHeight="1" x14ac:dyDescent="0.3">
      <c r="A419" s="30">
        <v>416</v>
      </c>
      <c r="B419" s="30" t="s">
        <v>540</v>
      </c>
      <c r="C419" s="30" t="s">
        <v>575</v>
      </c>
      <c r="D419" s="30" t="s">
        <v>1027</v>
      </c>
      <c r="E419" s="30"/>
      <c r="F419" s="30"/>
      <c r="G419" s="30"/>
      <c r="H419" s="30"/>
      <c r="I419" s="30"/>
      <c r="J419" s="30"/>
      <c r="K419" s="30"/>
      <c r="L419" s="30"/>
      <c r="M419" s="30"/>
      <c r="N419" s="30"/>
      <c r="O419" s="30"/>
      <c r="P419" s="30"/>
      <c r="Q419" s="30"/>
      <c r="R419" s="30"/>
      <c r="S419" s="30"/>
      <c r="T419" s="30"/>
      <c r="U419" s="30"/>
      <c r="V419" s="29" t="str">
        <f>IF(B419=SelectedScope,COUNTIFS($B$4:$B419,SelectedScope),"")</f>
        <v/>
      </c>
    </row>
    <row r="420" spans="1:22" ht="16.05" customHeight="1" x14ac:dyDescent="0.3">
      <c r="A420" s="28">
        <v>417</v>
      </c>
      <c r="B420" s="28" t="s">
        <v>540</v>
      </c>
      <c r="C420" s="28" t="s">
        <v>1415</v>
      </c>
      <c r="D420" s="28" t="s">
        <v>1027</v>
      </c>
      <c r="E420" s="28"/>
      <c r="F420" s="28"/>
      <c r="G420" s="28"/>
      <c r="H420" s="28"/>
      <c r="I420" s="28"/>
      <c r="J420" s="28"/>
      <c r="K420" s="28"/>
      <c r="L420" s="28"/>
      <c r="M420" s="28"/>
      <c r="N420" s="28"/>
      <c r="O420" s="28"/>
      <c r="P420" s="28"/>
      <c r="Q420" s="28"/>
      <c r="R420" s="28"/>
      <c r="S420" s="28"/>
      <c r="T420" s="28"/>
      <c r="U420" s="28"/>
      <c r="V420" s="29" t="str">
        <f>IF(B420=SelectedScope,COUNTIFS($B$4:$B420,SelectedScope),"")</f>
        <v/>
      </c>
    </row>
    <row r="421" spans="1:22" ht="16.05" customHeight="1" x14ac:dyDescent="0.3">
      <c r="A421" s="30">
        <v>418</v>
      </c>
      <c r="B421" s="30" t="s">
        <v>540</v>
      </c>
      <c r="C421" s="30" t="s">
        <v>1416</v>
      </c>
      <c r="D421" s="30" t="s">
        <v>1027</v>
      </c>
      <c r="E421" s="30"/>
      <c r="F421" s="30"/>
      <c r="G421" s="30"/>
      <c r="H421" s="30"/>
      <c r="I421" s="30"/>
      <c r="J421" s="30"/>
      <c r="K421" s="30"/>
      <c r="L421" s="30"/>
      <c r="M421" s="30"/>
      <c r="N421" s="30"/>
      <c r="O421" s="30"/>
      <c r="P421" s="30"/>
      <c r="Q421" s="30"/>
      <c r="R421" s="30"/>
      <c r="S421" s="30"/>
      <c r="T421" s="30"/>
      <c r="U421" s="30"/>
      <c r="V421" s="29" t="str">
        <f>IF(B421=SelectedScope,COUNTIFS($B$4:$B421,SelectedScope),"")</f>
        <v/>
      </c>
    </row>
    <row r="422" spans="1:22" ht="16.05" customHeight="1" x14ac:dyDescent="0.3">
      <c r="A422" s="28">
        <v>419</v>
      </c>
      <c r="B422" s="28" t="s">
        <v>540</v>
      </c>
      <c r="C422" s="28" t="s">
        <v>1417</v>
      </c>
      <c r="D422" s="28" t="s">
        <v>1027</v>
      </c>
      <c r="E422" s="28"/>
      <c r="F422" s="28"/>
      <c r="G422" s="28"/>
      <c r="H422" s="28"/>
      <c r="I422" s="28"/>
      <c r="J422" s="28"/>
      <c r="K422" s="28"/>
      <c r="L422" s="28"/>
      <c r="M422" s="28"/>
      <c r="N422" s="28"/>
      <c r="O422" s="28"/>
      <c r="P422" s="28"/>
      <c r="Q422" s="28"/>
      <c r="R422" s="28"/>
      <c r="S422" s="28"/>
      <c r="T422" s="28"/>
      <c r="U422" s="28"/>
      <c r="V422" s="29" t="str">
        <f>IF(B422=SelectedScope,COUNTIFS($B$4:$B422,SelectedScope),"")</f>
        <v/>
      </c>
    </row>
    <row r="423" spans="1:22" ht="16.05" customHeight="1" x14ac:dyDescent="0.3">
      <c r="A423" s="30">
        <v>420</v>
      </c>
      <c r="B423" s="30" t="s">
        <v>541</v>
      </c>
      <c r="C423" s="30" t="s">
        <v>572</v>
      </c>
      <c r="D423" s="30" t="s">
        <v>1027</v>
      </c>
      <c r="E423" s="30"/>
      <c r="F423" s="30"/>
      <c r="G423" s="30"/>
      <c r="H423" s="30"/>
      <c r="I423" s="30"/>
      <c r="J423" s="30"/>
      <c r="K423" s="30"/>
      <c r="L423" s="30"/>
      <c r="M423" s="30"/>
      <c r="N423" s="30"/>
      <c r="O423" s="30"/>
      <c r="P423" s="30"/>
      <c r="Q423" s="30"/>
      <c r="R423" s="30"/>
      <c r="S423" s="30"/>
      <c r="T423" s="30"/>
      <c r="U423" s="30"/>
      <c r="V423" s="29" t="str">
        <f>IF(B423=SelectedScope,COUNTIFS($B$4:$B423,SelectedScope),"")</f>
        <v/>
      </c>
    </row>
    <row r="424" spans="1:22" ht="16.05" customHeight="1" x14ac:dyDescent="0.3">
      <c r="A424" s="28">
        <v>421</v>
      </c>
      <c r="B424" s="28" t="s">
        <v>541</v>
      </c>
      <c r="C424" s="28" t="s">
        <v>1418</v>
      </c>
      <c r="D424" s="28" t="s">
        <v>1027</v>
      </c>
      <c r="E424" s="28"/>
      <c r="F424" s="28"/>
      <c r="G424" s="28"/>
      <c r="H424" s="28"/>
      <c r="I424" s="28"/>
      <c r="J424" s="28"/>
      <c r="K424" s="28"/>
      <c r="L424" s="28"/>
      <c r="M424" s="28"/>
      <c r="N424" s="28"/>
      <c r="O424" s="28"/>
      <c r="P424" s="28"/>
      <c r="Q424" s="28"/>
      <c r="R424" s="28"/>
      <c r="S424" s="28"/>
      <c r="T424" s="28"/>
      <c r="U424" s="28"/>
      <c r="V424" s="29" t="str">
        <f>IF(B424=SelectedScope,COUNTIFS($B$4:$B424,SelectedScope),"")</f>
        <v/>
      </c>
    </row>
    <row r="425" spans="1:22" ht="16.05" customHeight="1" x14ac:dyDescent="0.3">
      <c r="A425" s="30">
        <v>422</v>
      </c>
      <c r="B425" s="30" t="s">
        <v>541</v>
      </c>
      <c r="C425" s="30" t="s">
        <v>1419</v>
      </c>
      <c r="D425" s="30" t="s">
        <v>1027</v>
      </c>
      <c r="E425" s="30"/>
      <c r="F425" s="30"/>
      <c r="G425" s="30"/>
      <c r="H425" s="30"/>
      <c r="I425" s="30"/>
      <c r="J425" s="30"/>
      <c r="K425" s="30"/>
      <c r="L425" s="30"/>
      <c r="M425" s="30"/>
      <c r="N425" s="30"/>
      <c r="O425" s="30"/>
      <c r="P425" s="30"/>
      <c r="Q425" s="30"/>
      <c r="R425" s="30"/>
      <c r="S425" s="30"/>
      <c r="T425" s="30"/>
      <c r="U425" s="30"/>
      <c r="V425" s="29" t="str">
        <f>IF(B425=SelectedScope,COUNTIFS($B$4:$B425,SelectedScope),"")</f>
        <v/>
      </c>
    </row>
    <row r="426" spans="1:22" ht="16.05" customHeight="1" x14ac:dyDescent="0.3">
      <c r="A426" s="28">
        <v>423</v>
      </c>
      <c r="B426" s="28" t="s">
        <v>541</v>
      </c>
      <c r="C426" s="28" t="s">
        <v>1420</v>
      </c>
      <c r="D426" s="28" t="s">
        <v>1027</v>
      </c>
      <c r="E426" s="28"/>
      <c r="F426" s="28"/>
      <c r="G426" s="28"/>
      <c r="H426" s="28"/>
      <c r="I426" s="28"/>
      <c r="J426" s="28"/>
      <c r="K426" s="28"/>
      <c r="L426" s="28"/>
      <c r="M426" s="28"/>
      <c r="N426" s="28"/>
      <c r="O426" s="28"/>
      <c r="P426" s="28"/>
      <c r="Q426" s="28"/>
      <c r="R426" s="28"/>
      <c r="S426" s="28"/>
      <c r="T426" s="28"/>
      <c r="U426" s="28"/>
      <c r="V426" s="29" t="str">
        <f>IF(B426=SelectedScope,COUNTIFS($B$4:$B426,SelectedScope),"")</f>
        <v/>
      </c>
    </row>
    <row r="427" spans="1:22" ht="16.05" customHeight="1" x14ac:dyDescent="0.3">
      <c r="A427" s="30">
        <v>424</v>
      </c>
      <c r="B427" s="30" t="s">
        <v>541</v>
      </c>
      <c r="C427" s="30" t="s">
        <v>605</v>
      </c>
      <c r="D427" s="30" t="s">
        <v>1027</v>
      </c>
      <c r="E427" s="30"/>
      <c r="F427" s="30"/>
      <c r="G427" s="30"/>
      <c r="H427" s="30"/>
      <c r="I427" s="30"/>
      <c r="J427" s="30"/>
      <c r="K427" s="30"/>
      <c r="L427" s="30"/>
      <c r="M427" s="30"/>
      <c r="N427" s="30"/>
      <c r="O427" s="30"/>
      <c r="P427" s="30"/>
      <c r="Q427" s="30"/>
      <c r="R427" s="30"/>
      <c r="S427" s="30"/>
      <c r="T427" s="30"/>
      <c r="U427" s="30"/>
      <c r="V427" s="29" t="str">
        <f>IF(B427=SelectedScope,COUNTIFS($B$4:$B427,SelectedScope),"")</f>
        <v/>
      </c>
    </row>
    <row r="428" spans="1:22" ht="16.05" customHeight="1" x14ac:dyDescent="0.3">
      <c r="A428" s="28">
        <v>425</v>
      </c>
      <c r="B428" s="28" t="s">
        <v>541</v>
      </c>
      <c r="C428" s="28" t="s">
        <v>1421</v>
      </c>
      <c r="D428" s="28" t="s">
        <v>1027</v>
      </c>
      <c r="E428" s="28"/>
      <c r="F428" s="28"/>
      <c r="G428" s="28"/>
      <c r="H428" s="28"/>
      <c r="I428" s="28"/>
      <c r="J428" s="28"/>
      <c r="K428" s="28"/>
      <c r="L428" s="28"/>
      <c r="M428" s="28"/>
      <c r="N428" s="28"/>
      <c r="O428" s="28"/>
      <c r="P428" s="28"/>
      <c r="Q428" s="28"/>
      <c r="R428" s="28"/>
      <c r="S428" s="28"/>
      <c r="T428" s="28"/>
      <c r="U428" s="28"/>
      <c r="V428" s="29" t="str">
        <f>IF(B428=SelectedScope,COUNTIFS($B$4:$B428,SelectedScope),"")</f>
        <v/>
      </c>
    </row>
    <row r="429" spans="1:22" ht="16.05" customHeight="1" x14ac:dyDescent="0.3">
      <c r="A429" s="30">
        <v>426</v>
      </c>
      <c r="B429" s="30" t="s">
        <v>541</v>
      </c>
      <c r="C429" s="30" t="s">
        <v>1422</v>
      </c>
      <c r="D429" s="30" t="s">
        <v>1027</v>
      </c>
      <c r="E429" s="30"/>
      <c r="F429" s="30"/>
      <c r="G429" s="30"/>
      <c r="H429" s="30"/>
      <c r="I429" s="30"/>
      <c r="J429" s="30"/>
      <c r="K429" s="30"/>
      <c r="L429" s="30"/>
      <c r="M429" s="30"/>
      <c r="N429" s="30"/>
      <c r="O429" s="30"/>
      <c r="P429" s="30"/>
      <c r="Q429" s="30"/>
      <c r="R429" s="30"/>
      <c r="S429" s="30"/>
      <c r="T429" s="30"/>
      <c r="U429" s="30"/>
      <c r="V429" s="29" t="str">
        <f>IF(B429=SelectedScope,COUNTIFS($B$4:$B429,SelectedScope),"")</f>
        <v/>
      </c>
    </row>
    <row r="430" spans="1:22" ht="16.05" customHeight="1" x14ac:dyDescent="0.3">
      <c r="A430" s="28">
        <v>427</v>
      </c>
      <c r="B430" s="28" t="s">
        <v>541</v>
      </c>
      <c r="C430" s="28" t="s">
        <v>1423</v>
      </c>
      <c r="D430" s="28" t="s">
        <v>1027</v>
      </c>
      <c r="E430" s="28"/>
      <c r="F430" s="28"/>
      <c r="G430" s="28"/>
      <c r="H430" s="28"/>
      <c r="I430" s="28"/>
      <c r="J430" s="28"/>
      <c r="K430" s="28"/>
      <c r="L430" s="28"/>
      <c r="M430" s="28"/>
      <c r="N430" s="28"/>
      <c r="O430" s="28"/>
      <c r="P430" s="28"/>
      <c r="Q430" s="28"/>
      <c r="R430" s="28"/>
      <c r="S430" s="28"/>
      <c r="T430" s="28"/>
      <c r="U430" s="28"/>
      <c r="V430" s="29" t="str">
        <f>IF(B430=SelectedScope,COUNTIFS($B$4:$B430,SelectedScope),"")</f>
        <v/>
      </c>
    </row>
    <row r="431" spans="1:22" ht="16.05" customHeight="1" x14ac:dyDescent="0.3">
      <c r="A431" s="30">
        <v>428</v>
      </c>
      <c r="B431" s="30" t="s">
        <v>541</v>
      </c>
      <c r="C431" s="30" t="s">
        <v>1424</v>
      </c>
      <c r="D431" s="30" t="s">
        <v>1027</v>
      </c>
      <c r="E431" s="30"/>
      <c r="F431" s="30"/>
      <c r="G431" s="30"/>
      <c r="H431" s="30"/>
      <c r="I431" s="30"/>
      <c r="J431" s="30"/>
      <c r="K431" s="30"/>
      <c r="L431" s="30"/>
      <c r="M431" s="30"/>
      <c r="N431" s="30"/>
      <c r="O431" s="30"/>
      <c r="P431" s="30"/>
      <c r="Q431" s="30"/>
      <c r="R431" s="30"/>
      <c r="S431" s="30"/>
      <c r="T431" s="30"/>
      <c r="U431" s="30"/>
      <c r="V431" s="29" t="str">
        <f>IF(B431=SelectedScope,COUNTIFS($B$4:$B431,SelectedScope),"")</f>
        <v/>
      </c>
    </row>
    <row r="432" spans="1:22" ht="16.05" customHeight="1" x14ac:dyDescent="0.3">
      <c r="A432" s="28">
        <v>429</v>
      </c>
      <c r="B432" s="28" t="s">
        <v>541</v>
      </c>
      <c r="C432" s="28" t="s">
        <v>1425</v>
      </c>
      <c r="D432" s="28" t="s">
        <v>1027</v>
      </c>
      <c r="E432" s="28"/>
      <c r="F432" s="28"/>
      <c r="G432" s="28"/>
      <c r="H432" s="28"/>
      <c r="I432" s="28"/>
      <c r="J432" s="28"/>
      <c r="K432" s="28"/>
      <c r="L432" s="28"/>
      <c r="M432" s="28"/>
      <c r="N432" s="28"/>
      <c r="O432" s="28"/>
      <c r="P432" s="28"/>
      <c r="Q432" s="28"/>
      <c r="R432" s="28"/>
      <c r="S432" s="28"/>
      <c r="T432" s="28"/>
      <c r="U432" s="28"/>
      <c r="V432" s="29" t="str">
        <f>IF(B432=SelectedScope,COUNTIFS($B$4:$B432,SelectedScope),"")</f>
        <v/>
      </c>
    </row>
    <row r="433" spans="1:22" ht="16.05" customHeight="1" x14ac:dyDescent="0.3">
      <c r="A433" s="30">
        <v>430</v>
      </c>
      <c r="B433" s="30" t="s">
        <v>541</v>
      </c>
      <c r="C433" s="30" t="s">
        <v>1426</v>
      </c>
      <c r="D433" s="30" t="s">
        <v>1027</v>
      </c>
      <c r="E433" s="30"/>
      <c r="F433" s="30"/>
      <c r="G433" s="30"/>
      <c r="H433" s="30"/>
      <c r="I433" s="30"/>
      <c r="J433" s="30"/>
      <c r="K433" s="30"/>
      <c r="L433" s="30"/>
      <c r="M433" s="30"/>
      <c r="N433" s="30"/>
      <c r="O433" s="30"/>
      <c r="P433" s="30"/>
      <c r="Q433" s="30"/>
      <c r="R433" s="30"/>
      <c r="S433" s="30"/>
      <c r="T433" s="30"/>
      <c r="U433" s="30"/>
      <c r="V433" s="29" t="str">
        <f>IF(B433=SelectedScope,COUNTIFS($B$4:$B433,SelectedScope),"")</f>
        <v/>
      </c>
    </row>
    <row r="434" spans="1:22" ht="16.05" customHeight="1" x14ac:dyDescent="0.3">
      <c r="A434" s="28">
        <v>431</v>
      </c>
      <c r="B434" s="28" t="s">
        <v>542</v>
      </c>
      <c r="C434" s="28" t="s">
        <v>1427</v>
      </c>
      <c r="D434" s="28" t="s">
        <v>1027</v>
      </c>
      <c r="E434" s="28"/>
      <c r="F434" s="28"/>
      <c r="G434" s="28"/>
      <c r="H434" s="28"/>
      <c r="I434" s="28"/>
      <c r="J434" s="28"/>
      <c r="K434" s="28"/>
      <c r="L434" s="28"/>
      <c r="M434" s="28"/>
      <c r="N434" s="28"/>
      <c r="O434" s="28"/>
      <c r="P434" s="28"/>
      <c r="Q434" s="28"/>
      <c r="R434" s="28"/>
      <c r="S434" s="28"/>
      <c r="T434" s="28"/>
      <c r="U434" s="28"/>
      <c r="V434" s="29" t="str">
        <f>IF(B434=SelectedScope,COUNTIFS($B$4:$B434,SelectedScope),"")</f>
        <v/>
      </c>
    </row>
    <row r="435" spans="1:22" ht="16.05" customHeight="1" x14ac:dyDescent="0.3">
      <c r="A435" s="30">
        <v>432</v>
      </c>
      <c r="B435" s="30" t="s">
        <v>542</v>
      </c>
      <c r="C435" s="30" t="s">
        <v>1428</v>
      </c>
      <c r="D435" s="30" t="s">
        <v>1027</v>
      </c>
      <c r="E435" s="30"/>
      <c r="F435" s="30"/>
      <c r="G435" s="30"/>
      <c r="H435" s="30"/>
      <c r="I435" s="30"/>
      <c r="J435" s="30"/>
      <c r="K435" s="30"/>
      <c r="L435" s="30"/>
      <c r="M435" s="30"/>
      <c r="N435" s="30"/>
      <c r="O435" s="30"/>
      <c r="P435" s="30"/>
      <c r="Q435" s="30"/>
      <c r="R435" s="30"/>
      <c r="S435" s="30"/>
      <c r="T435" s="30"/>
      <c r="U435" s="30"/>
      <c r="V435" s="29" t="str">
        <f>IF(B435=SelectedScope,COUNTIFS($B$4:$B435,SelectedScope),"")</f>
        <v/>
      </c>
    </row>
    <row r="436" spans="1:22" ht="16.05" customHeight="1" x14ac:dyDescent="0.3">
      <c r="A436" s="28">
        <v>433</v>
      </c>
      <c r="B436" s="28" t="s">
        <v>542</v>
      </c>
      <c r="C436" s="28" t="s">
        <v>1429</v>
      </c>
      <c r="D436" s="28" t="s">
        <v>1027</v>
      </c>
      <c r="E436" s="28"/>
      <c r="F436" s="28"/>
      <c r="G436" s="28"/>
      <c r="H436" s="28"/>
      <c r="I436" s="28"/>
      <c r="J436" s="28"/>
      <c r="K436" s="28"/>
      <c r="L436" s="28"/>
      <c r="M436" s="28"/>
      <c r="N436" s="28"/>
      <c r="O436" s="28"/>
      <c r="P436" s="28"/>
      <c r="Q436" s="28"/>
      <c r="R436" s="28"/>
      <c r="S436" s="28"/>
      <c r="T436" s="28"/>
      <c r="U436" s="28"/>
      <c r="V436" s="29" t="str">
        <f>IF(B436=SelectedScope,COUNTIFS($B$4:$B436,SelectedScope),"")</f>
        <v/>
      </c>
    </row>
    <row r="437" spans="1:22" ht="16.05" customHeight="1" x14ac:dyDescent="0.3">
      <c r="A437" s="30">
        <v>434</v>
      </c>
      <c r="B437" s="30" t="s">
        <v>542</v>
      </c>
      <c r="C437" s="30" t="s">
        <v>1430</v>
      </c>
      <c r="D437" s="30" t="s">
        <v>1027</v>
      </c>
      <c r="E437" s="30"/>
      <c r="F437" s="30"/>
      <c r="G437" s="30"/>
      <c r="H437" s="30"/>
      <c r="I437" s="30"/>
      <c r="J437" s="30"/>
      <c r="K437" s="30"/>
      <c r="L437" s="30"/>
      <c r="M437" s="30"/>
      <c r="N437" s="30"/>
      <c r="O437" s="30"/>
      <c r="P437" s="30"/>
      <c r="Q437" s="30"/>
      <c r="R437" s="30"/>
      <c r="S437" s="30"/>
      <c r="T437" s="30"/>
      <c r="U437" s="30"/>
      <c r="V437" s="29" t="str">
        <f>IF(B437=SelectedScope,COUNTIFS($B$4:$B437,SelectedScope),"")</f>
        <v/>
      </c>
    </row>
    <row r="438" spans="1:22" ht="16.05" customHeight="1" x14ac:dyDescent="0.3">
      <c r="A438" s="28">
        <v>435</v>
      </c>
      <c r="B438" s="28" t="s">
        <v>542</v>
      </c>
      <c r="C438" s="28" t="s">
        <v>1431</v>
      </c>
      <c r="D438" s="28" t="s">
        <v>1027</v>
      </c>
      <c r="E438" s="28"/>
      <c r="F438" s="28"/>
      <c r="G438" s="28"/>
      <c r="H438" s="28"/>
      <c r="I438" s="28"/>
      <c r="J438" s="28"/>
      <c r="K438" s="28"/>
      <c r="L438" s="28"/>
      <c r="M438" s="28"/>
      <c r="N438" s="28"/>
      <c r="O438" s="28"/>
      <c r="P438" s="28"/>
      <c r="Q438" s="28"/>
      <c r="R438" s="28"/>
      <c r="S438" s="28"/>
      <c r="T438" s="28"/>
      <c r="U438" s="28"/>
      <c r="V438" s="29" t="str">
        <f>IF(B438=SelectedScope,COUNTIFS($B$4:$B438,SelectedScope),"")</f>
        <v/>
      </c>
    </row>
    <row r="439" spans="1:22" ht="16.05" customHeight="1" x14ac:dyDescent="0.3">
      <c r="A439" s="30">
        <v>436</v>
      </c>
      <c r="B439" s="30" t="s">
        <v>542</v>
      </c>
      <c r="C439" s="30" t="s">
        <v>1432</v>
      </c>
      <c r="D439" s="30" t="s">
        <v>1027</v>
      </c>
      <c r="E439" s="30"/>
      <c r="F439" s="30"/>
      <c r="G439" s="30"/>
      <c r="H439" s="30"/>
      <c r="I439" s="30"/>
      <c r="J439" s="30"/>
      <c r="K439" s="30"/>
      <c r="L439" s="30"/>
      <c r="M439" s="30"/>
      <c r="N439" s="30"/>
      <c r="O439" s="30"/>
      <c r="P439" s="30"/>
      <c r="Q439" s="30"/>
      <c r="R439" s="30"/>
      <c r="S439" s="30"/>
      <c r="T439" s="30"/>
      <c r="U439" s="30"/>
      <c r="V439" s="29" t="str">
        <f>IF(B439=SelectedScope,COUNTIFS($B$4:$B439,SelectedScope),"")</f>
        <v/>
      </c>
    </row>
    <row r="440" spans="1:22" ht="16.05" customHeight="1" x14ac:dyDescent="0.3">
      <c r="A440" s="28">
        <v>437</v>
      </c>
      <c r="B440" s="28" t="s">
        <v>542</v>
      </c>
      <c r="C440" s="28" t="s">
        <v>1433</v>
      </c>
      <c r="D440" s="28" t="s">
        <v>1027</v>
      </c>
      <c r="E440" s="28"/>
      <c r="F440" s="28"/>
      <c r="G440" s="28"/>
      <c r="H440" s="28"/>
      <c r="I440" s="28"/>
      <c r="J440" s="28"/>
      <c r="K440" s="28"/>
      <c r="L440" s="28"/>
      <c r="M440" s="28"/>
      <c r="N440" s="28"/>
      <c r="O440" s="28"/>
      <c r="P440" s="28"/>
      <c r="Q440" s="28"/>
      <c r="R440" s="28"/>
      <c r="S440" s="28"/>
      <c r="T440" s="28"/>
      <c r="U440" s="28"/>
      <c r="V440" s="29" t="str">
        <f>IF(B440=SelectedScope,COUNTIFS($B$4:$B440,SelectedScope),"")</f>
        <v/>
      </c>
    </row>
    <row r="441" spans="1:22" ht="16.05" customHeight="1" x14ac:dyDescent="0.3">
      <c r="A441" s="30">
        <v>438</v>
      </c>
      <c r="B441" s="30" t="s">
        <v>542</v>
      </c>
      <c r="C441" s="30" t="s">
        <v>1434</v>
      </c>
      <c r="D441" s="30" t="s">
        <v>1027</v>
      </c>
      <c r="E441" s="30"/>
      <c r="F441" s="30"/>
      <c r="G441" s="30"/>
      <c r="H441" s="30"/>
      <c r="I441" s="30"/>
      <c r="J441" s="30"/>
      <c r="K441" s="30"/>
      <c r="L441" s="30"/>
      <c r="M441" s="30"/>
      <c r="N441" s="30"/>
      <c r="O441" s="30"/>
      <c r="P441" s="30"/>
      <c r="Q441" s="30"/>
      <c r="R441" s="30"/>
      <c r="S441" s="30"/>
      <c r="T441" s="30"/>
      <c r="U441" s="30"/>
      <c r="V441" s="29" t="str">
        <f>IF(B441=SelectedScope,COUNTIFS($B$4:$B441,SelectedScope),"")</f>
        <v/>
      </c>
    </row>
    <row r="442" spans="1:22" ht="16.05" customHeight="1" x14ac:dyDescent="0.3">
      <c r="A442" s="28">
        <v>439</v>
      </c>
      <c r="B442" s="28" t="s">
        <v>542</v>
      </c>
      <c r="C442" s="28" t="s">
        <v>1435</v>
      </c>
      <c r="D442" s="28" t="s">
        <v>1027</v>
      </c>
      <c r="E442" s="28"/>
      <c r="F442" s="28"/>
      <c r="G442" s="28"/>
      <c r="H442" s="28"/>
      <c r="I442" s="28"/>
      <c r="J442" s="28"/>
      <c r="K442" s="28"/>
      <c r="L442" s="28"/>
      <c r="M442" s="28"/>
      <c r="N442" s="28"/>
      <c r="O442" s="28"/>
      <c r="P442" s="28"/>
      <c r="Q442" s="28"/>
      <c r="R442" s="28"/>
      <c r="S442" s="28"/>
      <c r="T442" s="28"/>
      <c r="U442" s="28"/>
      <c r="V442" s="29" t="str">
        <f>IF(B442=SelectedScope,COUNTIFS($B$4:$B442,SelectedScope),"")</f>
        <v/>
      </c>
    </row>
    <row r="443" spans="1:22" ht="16.05" customHeight="1" x14ac:dyDescent="0.3">
      <c r="A443" s="30">
        <v>440</v>
      </c>
      <c r="B443" s="30" t="s">
        <v>542</v>
      </c>
      <c r="C443" s="30" t="s">
        <v>1436</v>
      </c>
      <c r="D443" s="30" t="s">
        <v>1027</v>
      </c>
      <c r="E443" s="30"/>
      <c r="F443" s="30"/>
      <c r="G443" s="30"/>
      <c r="H443" s="30"/>
      <c r="I443" s="30"/>
      <c r="J443" s="30"/>
      <c r="K443" s="30"/>
      <c r="L443" s="30"/>
      <c r="M443" s="30"/>
      <c r="N443" s="30"/>
      <c r="O443" s="30"/>
      <c r="P443" s="30"/>
      <c r="Q443" s="30"/>
      <c r="R443" s="30"/>
      <c r="S443" s="30"/>
      <c r="T443" s="30"/>
      <c r="U443" s="30"/>
      <c r="V443" s="29" t="str">
        <f>IF(B443=SelectedScope,COUNTIFS($B$4:$B443,SelectedScope),"")</f>
        <v/>
      </c>
    </row>
    <row r="444" spans="1:22" ht="16.05" customHeight="1" x14ac:dyDescent="0.3">
      <c r="A444" s="28">
        <v>441</v>
      </c>
      <c r="B444" s="28" t="s">
        <v>542</v>
      </c>
      <c r="C444" s="28" t="s">
        <v>1437</v>
      </c>
      <c r="D444" s="28" t="s">
        <v>1027</v>
      </c>
      <c r="E444" s="28"/>
      <c r="F444" s="28"/>
      <c r="G444" s="28"/>
      <c r="H444" s="28"/>
      <c r="I444" s="28"/>
      <c r="J444" s="28"/>
      <c r="K444" s="28"/>
      <c r="L444" s="28"/>
      <c r="M444" s="28"/>
      <c r="N444" s="28"/>
      <c r="O444" s="28"/>
      <c r="P444" s="28"/>
      <c r="Q444" s="28"/>
      <c r="R444" s="28"/>
      <c r="S444" s="28"/>
      <c r="T444" s="28"/>
      <c r="U444" s="28"/>
      <c r="V444" s="29" t="str">
        <f>IF(B444=SelectedScope,COUNTIFS($B$4:$B444,SelectedScope),"")</f>
        <v/>
      </c>
    </row>
    <row r="445" spans="1:22" ht="16.05" customHeight="1" x14ac:dyDescent="0.3">
      <c r="A445" s="30">
        <v>442</v>
      </c>
      <c r="B445" s="30" t="s">
        <v>543</v>
      </c>
      <c r="C445" s="30" t="s">
        <v>1438</v>
      </c>
      <c r="D445" s="30" t="s">
        <v>1027</v>
      </c>
      <c r="E445" s="30"/>
      <c r="F445" s="30"/>
      <c r="G445" s="30"/>
      <c r="H445" s="30"/>
      <c r="I445" s="30"/>
      <c r="J445" s="30"/>
      <c r="K445" s="30"/>
      <c r="L445" s="30"/>
      <c r="M445" s="30"/>
      <c r="N445" s="30"/>
      <c r="O445" s="30"/>
      <c r="P445" s="30"/>
      <c r="Q445" s="30"/>
      <c r="R445" s="30"/>
      <c r="S445" s="30"/>
      <c r="T445" s="30"/>
      <c r="U445" s="30"/>
      <c r="V445" s="29" t="str">
        <f>IF(B445=SelectedScope,COUNTIFS($B$4:$B445,SelectedScope),"")</f>
        <v/>
      </c>
    </row>
    <row r="446" spans="1:22" ht="16.05" customHeight="1" x14ac:dyDescent="0.3">
      <c r="A446" s="28">
        <v>443</v>
      </c>
      <c r="B446" s="28" t="s">
        <v>543</v>
      </c>
      <c r="C446" s="28" t="s">
        <v>1439</v>
      </c>
      <c r="D446" s="28" t="s">
        <v>1027</v>
      </c>
      <c r="E446" s="28"/>
      <c r="F446" s="28"/>
      <c r="G446" s="28"/>
      <c r="H446" s="28"/>
      <c r="I446" s="28"/>
      <c r="J446" s="28"/>
      <c r="K446" s="28"/>
      <c r="L446" s="28"/>
      <c r="M446" s="28"/>
      <c r="N446" s="28"/>
      <c r="O446" s="28"/>
      <c r="P446" s="28"/>
      <c r="Q446" s="28"/>
      <c r="R446" s="28"/>
      <c r="S446" s="28"/>
      <c r="T446" s="28"/>
      <c r="U446" s="28"/>
      <c r="V446" s="29" t="str">
        <f>IF(B446=SelectedScope,COUNTIFS($B$4:$B446,SelectedScope),"")</f>
        <v/>
      </c>
    </row>
    <row r="447" spans="1:22" ht="16.05" customHeight="1" x14ac:dyDescent="0.3">
      <c r="A447" s="30">
        <v>444</v>
      </c>
      <c r="B447" s="30" t="s">
        <v>543</v>
      </c>
      <c r="C447" s="30" t="s">
        <v>1440</v>
      </c>
      <c r="D447" s="30" t="s">
        <v>1027</v>
      </c>
      <c r="E447" s="30"/>
      <c r="F447" s="30"/>
      <c r="G447" s="30"/>
      <c r="H447" s="30"/>
      <c r="I447" s="30"/>
      <c r="J447" s="30"/>
      <c r="K447" s="30"/>
      <c r="L447" s="30"/>
      <c r="M447" s="30"/>
      <c r="N447" s="30"/>
      <c r="O447" s="30"/>
      <c r="P447" s="30"/>
      <c r="Q447" s="30"/>
      <c r="R447" s="30"/>
      <c r="S447" s="30"/>
      <c r="T447" s="30"/>
      <c r="U447" s="30"/>
      <c r="V447" s="29" t="str">
        <f>IF(B447=SelectedScope,COUNTIFS($B$4:$B447,SelectedScope),"")</f>
        <v/>
      </c>
    </row>
    <row r="448" spans="1:22" ht="16.05" customHeight="1" x14ac:dyDescent="0.3">
      <c r="A448" s="28">
        <v>445</v>
      </c>
      <c r="B448" s="28" t="s">
        <v>543</v>
      </c>
      <c r="C448" s="28" t="s">
        <v>1441</v>
      </c>
      <c r="D448" s="28" t="s">
        <v>1027</v>
      </c>
      <c r="E448" s="28"/>
      <c r="F448" s="28"/>
      <c r="G448" s="28"/>
      <c r="H448" s="28"/>
      <c r="I448" s="28"/>
      <c r="J448" s="28"/>
      <c r="K448" s="28"/>
      <c r="L448" s="28"/>
      <c r="M448" s="28"/>
      <c r="N448" s="28"/>
      <c r="O448" s="28"/>
      <c r="P448" s="28"/>
      <c r="Q448" s="28"/>
      <c r="R448" s="28"/>
      <c r="S448" s="28"/>
      <c r="T448" s="28"/>
      <c r="U448" s="28"/>
      <c r="V448" s="29" t="str">
        <f>IF(B448=SelectedScope,COUNTIFS($B$4:$B448,SelectedScope),"")</f>
        <v/>
      </c>
    </row>
    <row r="449" spans="1:22" ht="16.05" customHeight="1" x14ac:dyDescent="0.3">
      <c r="A449" s="30">
        <v>446</v>
      </c>
      <c r="B449" s="30" t="s">
        <v>543</v>
      </c>
      <c r="C449" s="30" t="s">
        <v>1442</v>
      </c>
      <c r="D449" s="30" t="s">
        <v>1027</v>
      </c>
      <c r="E449" s="30"/>
      <c r="F449" s="30"/>
      <c r="G449" s="30"/>
      <c r="H449" s="30"/>
      <c r="I449" s="30"/>
      <c r="J449" s="30"/>
      <c r="K449" s="30"/>
      <c r="L449" s="30"/>
      <c r="M449" s="30"/>
      <c r="N449" s="30"/>
      <c r="O449" s="30"/>
      <c r="P449" s="30"/>
      <c r="Q449" s="30"/>
      <c r="R449" s="30"/>
      <c r="S449" s="30"/>
      <c r="T449" s="30"/>
      <c r="U449" s="30"/>
      <c r="V449" s="29" t="str">
        <f>IF(B449=SelectedScope,COUNTIFS($B$4:$B449,SelectedScope),"")</f>
        <v/>
      </c>
    </row>
    <row r="450" spans="1:22" ht="16.05" customHeight="1" x14ac:dyDescent="0.3">
      <c r="A450" s="28">
        <v>447</v>
      </c>
      <c r="B450" s="28" t="s">
        <v>543</v>
      </c>
      <c r="C450" s="28" t="s">
        <v>1443</v>
      </c>
      <c r="D450" s="28" t="s">
        <v>1027</v>
      </c>
      <c r="E450" s="28"/>
      <c r="F450" s="28"/>
      <c r="G450" s="28"/>
      <c r="H450" s="28"/>
      <c r="I450" s="28"/>
      <c r="J450" s="28"/>
      <c r="K450" s="28"/>
      <c r="L450" s="28"/>
      <c r="M450" s="28"/>
      <c r="N450" s="28"/>
      <c r="O450" s="28"/>
      <c r="P450" s="28"/>
      <c r="Q450" s="28"/>
      <c r="R450" s="28"/>
      <c r="S450" s="28"/>
      <c r="T450" s="28"/>
      <c r="U450" s="28"/>
      <c r="V450" s="29" t="str">
        <f>IF(B450=SelectedScope,COUNTIFS($B$4:$B450,SelectedScope),"")</f>
        <v/>
      </c>
    </row>
    <row r="451" spans="1:22" ht="16.05" customHeight="1" x14ac:dyDescent="0.3">
      <c r="A451" s="30">
        <v>448</v>
      </c>
      <c r="B451" s="30" t="s">
        <v>543</v>
      </c>
      <c r="C451" s="30" t="s">
        <v>573</v>
      </c>
      <c r="D451" s="30" t="s">
        <v>1027</v>
      </c>
      <c r="E451" s="30"/>
      <c r="F451" s="30"/>
      <c r="G451" s="30"/>
      <c r="H451" s="30"/>
      <c r="I451" s="30"/>
      <c r="J451" s="30"/>
      <c r="K451" s="30"/>
      <c r="L451" s="30"/>
      <c r="M451" s="30"/>
      <c r="N451" s="30"/>
      <c r="O451" s="30"/>
      <c r="P451" s="30"/>
      <c r="Q451" s="30"/>
      <c r="R451" s="30"/>
      <c r="S451" s="30"/>
      <c r="T451" s="30"/>
      <c r="U451" s="30"/>
      <c r="V451" s="29" t="str">
        <f>IF(B451=SelectedScope,COUNTIFS($B$4:$B451,SelectedScope),"")</f>
        <v/>
      </c>
    </row>
    <row r="452" spans="1:22" ht="16.05" customHeight="1" x14ac:dyDescent="0.3">
      <c r="A452" s="28">
        <v>449</v>
      </c>
      <c r="B452" s="28" t="s">
        <v>543</v>
      </c>
      <c r="C452" s="28" t="s">
        <v>1444</v>
      </c>
      <c r="D452" s="28" t="s">
        <v>1027</v>
      </c>
      <c r="E452" s="28"/>
      <c r="F452" s="28"/>
      <c r="G452" s="28"/>
      <c r="H452" s="28"/>
      <c r="I452" s="28"/>
      <c r="J452" s="28"/>
      <c r="K452" s="28"/>
      <c r="L452" s="28"/>
      <c r="M452" s="28"/>
      <c r="N452" s="28"/>
      <c r="O452" s="28"/>
      <c r="P452" s="28"/>
      <c r="Q452" s="28"/>
      <c r="R452" s="28"/>
      <c r="S452" s="28"/>
      <c r="T452" s="28"/>
      <c r="U452" s="28"/>
      <c r="V452" s="29" t="str">
        <f>IF(B452=SelectedScope,COUNTIFS($B$4:$B452,SelectedScope),"")</f>
        <v/>
      </c>
    </row>
    <row r="453" spans="1:22" ht="16.05" customHeight="1" x14ac:dyDescent="0.3">
      <c r="A453" s="30">
        <v>450</v>
      </c>
      <c r="B453" s="30" t="s">
        <v>543</v>
      </c>
      <c r="C453" s="30" t="s">
        <v>1445</v>
      </c>
      <c r="D453" s="30" t="s">
        <v>1027</v>
      </c>
      <c r="E453" s="30"/>
      <c r="F453" s="30"/>
      <c r="G453" s="30"/>
      <c r="H453" s="30"/>
      <c r="I453" s="30"/>
      <c r="J453" s="30"/>
      <c r="K453" s="30"/>
      <c r="L453" s="30"/>
      <c r="M453" s="30"/>
      <c r="N453" s="30"/>
      <c r="O453" s="30"/>
      <c r="P453" s="30"/>
      <c r="Q453" s="30"/>
      <c r="R453" s="30"/>
      <c r="S453" s="30"/>
      <c r="T453" s="30"/>
      <c r="U453" s="30"/>
      <c r="V453" s="29" t="str">
        <f>IF(B453=SelectedScope,COUNTIFS($B$4:$B453,SelectedScope),"")</f>
        <v/>
      </c>
    </row>
    <row r="454" spans="1:22" ht="16.05" customHeight="1" x14ac:dyDescent="0.3">
      <c r="A454" s="28">
        <v>451</v>
      </c>
      <c r="B454" s="28" t="s">
        <v>543</v>
      </c>
      <c r="C454" s="28" t="s">
        <v>1446</v>
      </c>
      <c r="D454" s="28" t="s">
        <v>1027</v>
      </c>
      <c r="E454" s="28"/>
      <c r="F454" s="28"/>
      <c r="G454" s="28"/>
      <c r="H454" s="28"/>
      <c r="I454" s="28"/>
      <c r="J454" s="28"/>
      <c r="K454" s="28"/>
      <c r="L454" s="28"/>
      <c r="M454" s="28"/>
      <c r="N454" s="28"/>
      <c r="O454" s="28"/>
      <c r="P454" s="28"/>
      <c r="Q454" s="28"/>
      <c r="R454" s="28"/>
      <c r="S454" s="28"/>
      <c r="T454" s="28"/>
      <c r="U454" s="28"/>
      <c r="V454" s="29" t="str">
        <f>IF(B454=SelectedScope,COUNTIFS($B$4:$B454,SelectedScope),"")</f>
        <v/>
      </c>
    </row>
    <row r="455" spans="1:22" ht="16.05" customHeight="1" x14ac:dyDescent="0.3">
      <c r="A455" s="30">
        <v>452</v>
      </c>
      <c r="B455" s="30" t="s">
        <v>543</v>
      </c>
      <c r="C455" s="30" t="s">
        <v>1447</v>
      </c>
      <c r="D455" s="30" t="s">
        <v>1027</v>
      </c>
      <c r="E455" s="30"/>
      <c r="F455" s="30"/>
      <c r="G455" s="30"/>
      <c r="H455" s="30"/>
      <c r="I455" s="30"/>
      <c r="J455" s="30"/>
      <c r="K455" s="30"/>
      <c r="L455" s="30"/>
      <c r="M455" s="30"/>
      <c r="N455" s="30"/>
      <c r="O455" s="30"/>
      <c r="P455" s="30"/>
      <c r="Q455" s="30"/>
      <c r="R455" s="30"/>
      <c r="S455" s="30"/>
      <c r="T455" s="30"/>
      <c r="U455" s="30"/>
      <c r="V455" s="29" t="str">
        <f>IF(B455=SelectedScope,COUNTIFS($B$4:$B455,SelectedScope),"")</f>
        <v/>
      </c>
    </row>
    <row r="456" spans="1:22" ht="16.05" customHeight="1" x14ac:dyDescent="0.3">
      <c r="A456" s="28">
        <v>453</v>
      </c>
      <c r="B456" s="28" t="s">
        <v>543</v>
      </c>
      <c r="C456" s="28" t="s">
        <v>1448</v>
      </c>
      <c r="D456" s="28" t="s">
        <v>1027</v>
      </c>
      <c r="E456" s="28"/>
      <c r="F456" s="28"/>
      <c r="G456" s="28"/>
      <c r="H456" s="28"/>
      <c r="I456" s="28"/>
      <c r="J456" s="28"/>
      <c r="K456" s="28"/>
      <c r="L456" s="28"/>
      <c r="M456" s="28"/>
      <c r="N456" s="28"/>
      <c r="O456" s="28"/>
      <c r="P456" s="28"/>
      <c r="Q456" s="28"/>
      <c r="R456" s="28"/>
      <c r="S456" s="28"/>
      <c r="T456" s="28"/>
      <c r="U456" s="28"/>
      <c r="V456" s="29" t="str">
        <f>IF(B456=SelectedScope,COUNTIFS($B$4:$B456,SelectedScope),"")</f>
        <v/>
      </c>
    </row>
    <row r="457" spans="1:22" ht="16.05" customHeight="1" x14ac:dyDescent="0.3">
      <c r="A457" s="30">
        <v>454</v>
      </c>
      <c r="B457" s="30" t="s">
        <v>543</v>
      </c>
      <c r="C457" s="30" t="s">
        <v>1449</v>
      </c>
      <c r="D457" s="30" t="s">
        <v>1027</v>
      </c>
      <c r="E457" s="30"/>
      <c r="F457" s="30"/>
      <c r="G457" s="30"/>
      <c r="H457" s="30"/>
      <c r="I457" s="30"/>
      <c r="J457" s="30"/>
      <c r="K457" s="30"/>
      <c r="L457" s="30"/>
      <c r="M457" s="30"/>
      <c r="N457" s="30"/>
      <c r="O457" s="30"/>
      <c r="P457" s="30"/>
      <c r="Q457" s="30"/>
      <c r="R457" s="30"/>
      <c r="S457" s="30"/>
      <c r="T457" s="30"/>
      <c r="U457" s="30"/>
      <c r="V457" s="29" t="str">
        <f>IF(B457=SelectedScope,COUNTIFS($B$4:$B457,SelectedScope),"")</f>
        <v/>
      </c>
    </row>
    <row r="458" spans="1:22" ht="16.05" customHeight="1" x14ac:dyDescent="0.3">
      <c r="A458" s="28">
        <v>455</v>
      </c>
      <c r="B458" s="28" t="s">
        <v>543</v>
      </c>
      <c r="C458" s="28" t="s">
        <v>1450</v>
      </c>
      <c r="D458" s="28" t="s">
        <v>1027</v>
      </c>
      <c r="E458" s="28"/>
      <c r="F458" s="28"/>
      <c r="G458" s="28"/>
      <c r="H458" s="28"/>
      <c r="I458" s="28"/>
      <c r="J458" s="28"/>
      <c r="K458" s="28"/>
      <c r="L458" s="28"/>
      <c r="M458" s="28"/>
      <c r="N458" s="28"/>
      <c r="O458" s="28"/>
      <c r="P458" s="28"/>
      <c r="Q458" s="28"/>
      <c r="R458" s="28"/>
      <c r="S458" s="28"/>
      <c r="T458" s="28"/>
      <c r="U458" s="28"/>
      <c r="V458" s="29" t="str">
        <f>IF(B458=SelectedScope,COUNTIFS($B$4:$B458,SelectedScope),"")</f>
        <v/>
      </c>
    </row>
    <row r="459" spans="1:22" ht="16.05" customHeight="1" x14ac:dyDescent="0.3">
      <c r="A459" s="30">
        <v>456</v>
      </c>
      <c r="B459" s="30" t="s">
        <v>543</v>
      </c>
      <c r="C459" s="30" t="s">
        <v>1451</v>
      </c>
      <c r="D459" s="30" t="s">
        <v>1027</v>
      </c>
      <c r="E459" s="30"/>
      <c r="F459" s="30"/>
      <c r="G459" s="30"/>
      <c r="H459" s="30"/>
      <c r="I459" s="30"/>
      <c r="J459" s="30"/>
      <c r="K459" s="30"/>
      <c r="L459" s="30"/>
      <c r="M459" s="30"/>
      <c r="N459" s="30"/>
      <c r="O459" s="30"/>
      <c r="P459" s="30"/>
      <c r="Q459" s="30"/>
      <c r="R459" s="30"/>
      <c r="S459" s="30"/>
      <c r="T459" s="30"/>
      <c r="U459" s="30"/>
      <c r="V459" s="29" t="str">
        <f>IF(B459=SelectedScope,COUNTIFS($B$4:$B459,SelectedScope),"")</f>
        <v/>
      </c>
    </row>
    <row r="460" spans="1:22" ht="16.05" customHeight="1" x14ac:dyDescent="0.3">
      <c r="A460" s="28">
        <v>457</v>
      </c>
      <c r="B460" s="28" t="s">
        <v>544</v>
      </c>
      <c r="C460" s="28" t="s">
        <v>1452</v>
      </c>
      <c r="D460" s="28" t="s">
        <v>1027</v>
      </c>
      <c r="E460" s="28"/>
      <c r="F460" s="28"/>
      <c r="G460" s="28"/>
      <c r="H460" s="28"/>
      <c r="I460" s="28"/>
      <c r="J460" s="28"/>
      <c r="K460" s="28"/>
      <c r="L460" s="28"/>
      <c r="M460" s="28"/>
      <c r="N460" s="28"/>
      <c r="O460" s="28"/>
      <c r="P460" s="28"/>
      <c r="Q460" s="28"/>
      <c r="R460" s="28"/>
      <c r="S460" s="28"/>
      <c r="T460" s="28"/>
      <c r="U460" s="28"/>
      <c r="V460" s="29" t="str">
        <f>IF(B460=SelectedScope,COUNTIFS($B$4:$B460,SelectedScope),"")</f>
        <v/>
      </c>
    </row>
    <row r="461" spans="1:22" ht="16.05" customHeight="1" x14ac:dyDescent="0.3">
      <c r="A461" s="30">
        <v>458</v>
      </c>
      <c r="B461" s="30" t="s">
        <v>544</v>
      </c>
      <c r="C461" s="30" t="s">
        <v>1453</v>
      </c>
      <c r="D461" s="30" t="s">
        <v>1027</v>
      </c>
      <c r="E461" s="30"/>
      <c r="F461" s="30"/>
      <c r="G461" s="30"/>
      <c r="H461" s="30"/>
      <c r="I461" s="30"/>
      <c r="J461" s="30"/>
      <c r="K461" s="30"/>
      <c r="L461" s="30"/>
      <c r="M461" s="30"/>
      <c r="N461" s="30"/>
      <c r="O461" s="30"/>
      <c r="P461" s="30"/>
      <c r="Q461" s="30"/>
      <c r="R461" s="30"/>
      <c r="S461" s="30"/>
      <c r="T461" s="30"/>
      <c r="U461" s="30"/>
      <c r="V461" s="29" t="str">
        <f>IF(B461=SelectedScope,COUNTIFS($B$4:$B461,SelectedScope),"")</f>
        <v/>
      </c>
    </row>
    <row r="462" spans="1:22" ht="16.05" customHeight="1" x14ac:dyDescent="0.3">
      <c r="A462" s="28">
        <v>459</v>
      </c>
      <c r="B462" s="28" t="s">
        <v>544</v>
      </c>
      <c r="C462" s="28" t="s">
        <v>1454</v>
      </c>
      <c r="D462" s="28" t="s">
        <v>1027</v>
      </c>
      <c r="E462" s="28"/>
      <c r="F462" s="28"/>
      <c r="G462" s="28"/>
      <c r="H462" s="28"/>
      <c r="I462" s="28"/>
      <c r="J462" s="28"/>
      <c r="K462" s="28"/>
      <c r="L462" s="28"/>
      <c r="M462" s="28"/>
      <c r="N462" s="28"/>
      <c r="O462" s="28"/>
      <c r="P462" s="28"/>
      <c r="Q462" s="28"/>
      <c r="R462" s="28"/>
      <c r="S462" s="28"/>
      <c r="T462" s="28"/>
      <c r="U462" s="28"/>
      <c r="V462" s="29" t="str">
        <f>IF(B462=SelectedScope,COUNTIFS($B$4:$B462,SelectedScope),"")</f>
        <v/>
      </c>
    </row>
    <row r="463" spans="1:22" ht="16.05" customHeight="1" x14ac:dyDescent="0.3">
      <c r="A463" s="30">
        <v>460</v>
      </c>
      <c r="B463" s="30" t="s">
        <v>544</v>
      </c>
      <c r="C463" s="30" t="s">
        <v>1455</v>
      </c>
      <c r="D463" s="30" t="s">
        <v>1027</v>
      </c>
      <c r="E463" s="30"/>
      <c r="F463" s="30"/>
      <c r="G463" s="30"/>
      <c r="H463" s="30"/>
      <c r="I463" s="30"/>
      <c r="J463" s="30"/>
      <c r="K463" s="30"/>
      <c r="L463" s="30"/>
      <c r="M463" s="30"/>
      <c r="N463" s="30"/>
      <c r="O463" s="30"/>
      <c r="P463" s="30"/>
      <c r="Q463" s="30"/>
      <c r="R463" s="30"/>
      <c r="S463" s="30"/>
      <c r="T463" s="30"/>
      <c r="U463" s="30"/>
      <c r="V463" s="29" t="str">
        <f>IF(B463=SelectedScope,COUNTIFS($B$4:$B463,SelectedScope),"")</f>
        <v/>
      </c>
    </row>
    <row r="464" spans="1:22" ht="16.05" customHeight="1" x14ac:dyDescent="0.3">
      <c r="A464" s="28">
        <v>461</v>
      </c>
      <c r="B464" s="28" t="s">
        <v>544</v>
      </c>
      <c r="C464" s="28" t="s">
        <v>1456</v>
      </c>
      <c r="D464" s="28" t="s">
        <v>1027</v>
      </c>
      <c r="E464" s="28"/>
      <c r="F464" s="28"/>
      <c r="G464" s="28"/>
      <c r="H464" s="28"/>
      <c r="I464" s="28"/>
      <c r="J464" s="28"/>
      <c r="K464" s="28"/>
      <c r="L464" s="28"/>
      <c r="M464" s="28"/>
      <c r="N464" s="28"/>
      <c r="O464" s="28"/>
      <c r="P464" s="28"/>
      <c r="Q464" s="28"/>
      <c r="R464" s="28"/>
      <c r="S464" s="28"/>
      <c r="T464" s="28"/>
      <c r="U464" s="28"/>
      <c r="V464" s="29" t="str">
        <f>IF(B464=SelectedScope,COUNTIFS($B$4:$B464,SelectedScope),"")</f>
        <v/>
      </c>
    </row>
    <row r="465" spans="1:22" ht="16.05" customHeight="1" x14ac:dyDescent="0.3">
      <c r="A465" s="30">
        <v>462</v>
      </c>
      <c r="B465" s="30" t="s">
        <v>544</v>
      </c>
      <c r="C465" s="30" t="s">
        <v>1457</v>
      </c>
      <c r="D465" s="30" t="s">
        <v>1027</v>
      </c>
      <c r="E465" s="30"/>
      <c r="F465" s="30"/>
      <c r="G465" s="30"/>
      <c r="H465" s="30"/>
      <c r="I465" s="30"/>
      <c r="J465" s="30"/>
      <c r="K465" s="30"/>
      <c r="L465" s="30"/>
      <c r="M465" s="30"/>
      <c r="N465" s="30"/>
      <c r="O465" s="30"/>
      <c r="P465" s="30"/>
      <c r="Q465" s="30"/>
      <c r="R465" s="30"/>
      <c r="S465" s="30"/>
      <c r="T465" s="30"/>
      <c r="U465" s="30"/>
      <c r="V465" s="29" t="str">
        <f>IF(B465=SelectedScope,COUNTIFS($B$4:$B465,SelectedScope),"")</f>
        <v/>
      </c>
    </row>
    <row r="466" spans="1:22" ht="16.05" customHeight="1" x14ac:dyDescent="0.3">
      <c r="A466" s="28">
        <v>463</v>
      </c>
      <c r="B466" s="28" t="s">
        <v>544</v>
      </c>
      <c r="C466" s="28" t="s">
        <v>1458</v>
      </c>
      <c r="D466" s="28" t="s">
        <v>1027</v>
      </c>
      <c r="E466" s="28"/>
      <c r="F466" s="28"/>
      <c r="G466" s="28"/>
      <c r="H466" s="28"/>
      <c r="I466" s="28"/>
      <c r="J466" s="28"/>
      <c r="K466" s="28"/>
      <c r="L466" s="28"/>
      <c r="M466" s="28"/>
      <c r="N466" s="28"/>
      <c r="O466" s="28"/>
      <c r="P466" s="28"/>
      <c r="Q466" s="28"/>
      <c r="R466" s="28"/>
      <c r="S466" s="28"/>
      <c r="T466" s="28"/>
      <c r="U466" s="28"/>
      <c r="V466" s="29" t="str">
        <f>IF(B466=SelectedScope,COUNTIFS($B$4:$B466,SelectedScope),"")</f>
        <v/>
      </c>
    </row>
    <row r="467" spans="1:22" ht="16.05" customHeight="1" x14ac:dyDescent="0.3">
      <c r="A467" s="30">
        <v>464</v>
      </c>
      <c r="B467" s="30" t="s">
        <v>544</v>
      </c>
      <c r="C467" s="30" t="s">
        <v>1459</v>
      </c>
      <c r="D467" s="30" t="s">
        <v>1027</v>
      </c>
      <c r="E467" s="30"/>
      <c r="F467" s="30"/>
      <c r="G467" s="30"/>
      <c r="H467" s="30"/>
      <c r="I467" s="30"/>
      <c r="J467" s="30"/>
      <c r="K467" s="30"/>
      <c r="L467" s="30"/>
      <c r="M467" s="30"/>
      <c r="N467" s="30"/>
      <c r="O467" s="30"/>
      <c r="P467" s="30"/>
      <c r="Q467" s="30"/>
      <c r="R467" s="30"/>
      <c r="S467" s="30"/>
      <c r="T467" s="30"/>
      <c r="U467" s="30"/>
      <c r="V467" s="29" t="str">
        <f>IF(B467=SelectedScope,COUNTIFS($B$4:$B467,SelectedScope),"")</f>
        <v/>
      </c>
    </row>
    <row r="468" spans="1:22" ht="16.05" customHeight="1" x14ac:dyDescent="0.3">
      <c r="A468" s="28">
        <v>465</v>
      </c>
      <c r="B468" s="28" t="s">
        <v>544</v>
      </c>
      <c r="C468" s="28" t="s">
        <v>1460</v>
      </c>
      <c r="D468" s="28" t="s">
        <v>1027</v>
      </c>
      <c r="E468" s="28"/>
      <c r="F468" s="28"/>
      <c r="G468" s="28"/>
      <c r="H468" s="28"/>
      <c r="I468" s="28"/>
      <c r="J468" s="28"/>
      <c r="K468" s="28"/>
      <c r="L468" s="28"/>
      <c r="M468" s="28"/>
      <c r="N468" s="28"/>
      <c r="O468" s="28"/>
      <c r="P468" s="28"/>
      <c r="Q468" s="28"/>
      <c r="R468" s="28"/>
      <c r="S468" s="28"/>
      <c r="T468" s="28"/>
      <c r="U468" s="28"/>
      <c r="V468" s="29" t="str">
        <f>IF(B468=SelectedScope,COUNTIFS($B$4:$B468,SelectedScope),"")</f>
        <v/>
      </c>
    </row>
    <row r="469" spans="1:22" ht="16.05" customHeight="1" x14ac:dyDescent="0.3">
      <c r="A469" s="30">
        <v>466</v>
      </c>
      <c r="B469" s="30" t="s">
        <v>544</v>
      </c>
      <c r="C469" s="30" t="s">
        <v>1461</v>
      </c>
      <c r="D469" s="30" t="s">
        <v>1027</v>
      </c>
      <c r="E469" s="30"/>
      <c r="F469" s="30"/>
      <c r="G469" s="30"/>
      <c r="H469" s="30"/>
      <c r="I469" s="30"/>
      <c r="J469" s="30"/>
      <c r="K469" s="30"/>
      <c r="L469" s="30"/>
      <c r="M469" s="30"/>
      <c r="N469" s="30"/>
      <c r="O469" s="30"/>
      <c r="P469" s="30"/>
      <c r="Q469" s="30"/>
      <c r="R469" s="30"/>
      <c r="S469" s="30"/>
      <c r="T469" s="30"/>
      <c r="U469" s="30"/>
      <c r="V469" s="29" t="str">
        <f>IF(B469=SelectedScope,COUNTIFS($B$4:$B469,SelectedScope),"")</f>
        <v/>
      </c>
    </row>
    <row r="470" spans="1:22" ht="16.05" customHeight="1" x14ac:dyDescent="0.3">
      <c r="A470" s="28">
        <v>467</v>
      </c>
      <c r="B470" s="28" t="s">
        <v>544</v>
      </c>
      <c r="C470" s="28" t="s">
        <v>1462</v>
      </c>
      <c r="D470" s="28" t="s">
        <v>1027</v>
      </c>
      <c r="E470" s="28"/>
      <c r="F470" s="28"/>
      <c r="G470" s="28"/>
      <c r="H470" s="28"/>
      <c r="I470" s="28"/>
      <c r="J470" s="28"/>
      <c r="K470" s="28"/>
      <c r="L470" s="28"/>
      <c r="M470" s="28"/>
      <c r="N470" s="28"/>
      <c r="O470" s="28"/>
      <c r="P470" s="28"/>
      <c r="Q470" s="28"/>
      <c r="R470" s="28"/>
      <c r="S470" s="28"/>
      <c r="T470" s="28"/>
      <c r="U470" s="28"/>
      <c r="V470" s="29" t="str">
        <f>IF(B470=SelectedScope,COUNTIFS($B$4:$B470,SelectedScope),"")</f>
        <v/>
      </c>
    </row>
    <row r="471" spans="1:22" ht="16.05" customHeight="1" x14ac:dyDescent="0.3">
      <c r="A471" s="30">
        <v>468</v>
      </c>
      <c r="B471" s="30" t="s">
        <v>544</v>
      </c>
      <c r="C471" s="30" t="s">
        <v>1463</v>
      </c>
      <c r="D471" s="30" t="s">
        <v>1027</v>
      </c>
      <c r="E471" s="30"/>
      <c r="F471" s="30"/>
      <c r="G471" s="30"/>
      <c r="H471" s="30"/>
      <c r="I471" s="30"/>
      <c r="J471" s="30"/>
      <c r="K471" s="30"/>
      <c r="L471" s="30"/>
      <c r="M471" s="30"/>
      <c r="N471" s="30"/>
      <c r="O471" s="30"/>
      <c r="P471" s="30"/>
      <c r="Q471" s="30"/>
      <c r="R471" s="30"/>
      <c r="S471" s="30"/>
      <c r="T471" s="30"/>
      <c r="U471" s="30"/>
      <c r="V471" s="29" t="str">
        <f>IF(B471=SelectedScope,COUNTIFS($B$4:$B471,SelectedScope),"")</f>
        <v/>
      </c>
    </row>
    <row r="472" spans="1:22" ht="16.05" customHeight="1" x14ac:dyDescent="0.3">
      <c r="A472" s="28">
        <v>469</v>
      </c>
      <c r="B472" s="28" t="s">
        <v>544</v>
      </c>
      <c r="C472" s="28" t="s">
        <v>1464</v>
      </c>
      <c r="D472" s="28" t="s">
        <v>1027</v>
      </c>
      <c r="E472" s="28"/>
      <c r="F472" s="28"/>
      <c r="G472" s="28"/>
      <c r="H472" s="28"/>
      <c r="I472" s="28"/>
      <c r="J472" s="28"/>
      <c r="K472" s="28"/>
      <c r="L472" s="28"/>
      <c r="M472" s="28"/>
      <c r="N472" s="28"/>
      <c r="O472" s="28"/>
      <c r="P472" s="28"/>
      <c r="Q472" s="28"/>
      <c r="R472" s="28"/>
      <c r="S472" s="28"/>
      <c r="T472" s="28"/>
      <c r="U472" s="28"/>
      <c r="V472" s="29" t="str">
        <f>IF(B472=SelectedScope,COUNTIFS($B$4:$B472,SelectedScope),"")</f>
        <v/>
      </c>
    </row>
    <row r="473" spans="1:22" ht="16.05" customHeight="1" x14ac:dyDescent="0.3">
      <c r="A473" s="30">
        <v>470</v>
      </c>
      <c r="B473" s="30" t="s">
        <v>544</v>
      </c>
      <c r="C473" s="30" t="s">
        <v>1465</v>
      </c>
      <c r="D473" s="30" t="s">
        <v>1027</v>
      </c>
      <c r="E473" s="30"/>
      <c r="F473" s="30"/>
      <c r="G473" s="30"/>
      <c r="H473" s="30"/>
      <c r="I473" s="30"/>
      <c r="J473" s="30"/>
      <c r="K473" s="30"/>
      <c r="L473" s="30"/>
      <c r="M473" s="30"/>
      <c r="N473" s="30"/>
      <c r="O473" s="30"/>
      <c r="P473" s="30"/>
      <c r="Q473" s="30"/>
      <c r="R473" s="30"/>
      <c r="S473" s="30"/>
      <c r="T473" s="30"/>
      <c r="U473" s="30"/>
      <c r="V473" s="29" t="str">
        <f>IF(B473=SelectedScope,COUNTIFS($B$4:$B473,SelectedScope),"")</f>
        <v/>
      </c>
    </row>
    <row r="474" spans="1:22" ht="16.05" customHeight="1" x14ac:dyDescent="0.3">
      <c r="A474" s="28">
        <v>471</v>
      </c>
      <c r="B474" s="28" t="s">
        <v>544</v>
      </c>
      <c r="C474" s="28" t="s">
        <v>1466</v>
      </c>
      <c r="D474" s="28" t="s">
        <v>1027</v>
      </c>
      <c r="E474" s="28"/>
      <c r="F474" s="28"/>
      <c r="G474" s="28"/>
      <c r="H474" s="28"/>
      <c r="I474" s="28"/>
      <c r="J474" s="28"/>
      <c r="K474" s="28"/>
      <c r="L474" s="28"/>
      <c r="M474" s="28"/>
      <c r="N474" s="28"/>
      <c r="O474" s="28"/>
      <c r="P474" s="28"/>
      <c r="Q474" s="28"/>
      <c r="R474" s="28"/>
      <c r="S474" s="28"/>
      <c r="T474" s="28"/>
      <c r="U474" s="28"/>
      <c r="V474" s="29" t="str">
        <f>IF(B474=SelectedScope,COUNTIFS($B$4:$B474,SelectedScope),"")</f>
        <v/>
      </c>
    </row>
    <row r="475" spans="1:22" ht="16.05" customHeight="1" x14ac:dyDescent="0.3">
      <c r="A475" s="30">
        <v>472</v>
      </c>
      <c r="B475" s="30" t="s">
        <v>544</v>
      </c>
      <c r="C475" s="30" t="s">
        <v>1467</v>
      </c>
      <c r="D475" s="30" t="s">
        <v>1027</v>
      </c>
      <c r="E475" s="30"/>
      <c r="F475" s="30"/>
      <c r="G475" s="30"/>
      <c r="H475" s="30"/>
      <c r="I475" s="30"/>
      <c r="J475" s="30"/>
      <c r="K475" s="30"/>
      <c r="L475" s="30"/>
      <c r="M475" s="30"/>
      <c r="N475" s="30"/>
      <c r="O475" s="30"/>
      <c r="P475" s="30"/>
      <c r="Q475" s="30"/>
      <c r="R475" s="30"/>
      <c r="S475" s="30"/>
      <c r="T475" s="30"/>
      <c r="U475" s="30"/>
      <c r="V475" s="29" t="str">
        <f>IF(B475=SelectedScope,COUNTIFS($B$4:$B475,SelectedScope),"")</f>
        <v/>
      </c>
    </row>
    <row r="476" spans="1:22" ht="16.05" customHeight="1" x14ac:dyDescent="0.3">
      <c r="A476" s="28">
        <v>473</v>
      </c>
      <c r="B476" s="28" t="s">
        <v>544</v>
      </c>
      <c r="C476" s="28" t="s">
        <v>1468</v>
      </c>
      <c r="D476" s="28" t="s">
        <v>1027</v>
      </c>
      <c r="E476" s="28"/>
      <c r="F476" s="28"/>
      <c r="G476" s="28"/>
      <c r="H476" s="28"/>
      <c r="I476" s="28"/>
      <c r="J476" s="28"/>
      <c r="K476" s="28"/>
      <c r="L476" s="28"/>
      <c r="M476" s="28"/>
      <c r="N476" s="28"/>
      <c r="O476" s="28"/>
      <c r="P476" s="28"/>
      <c r="Q476" s="28"/>
      <c r="R476" s="28"/>
      <c r="S476" s="28"/>
      <c r="T476" s="28"/>
      <c r="U476" s="28"/>
      <c r="V476" s="29" t="str">
        <f>IF(B476=SelectedScope,COUNTIFS($B$4:$B476,SelectedScope),"")</f>
        <v/>
      </c>
    </row>
    <row r="477" spans="1:22" ht="16.05" customHeight="1" x14ac:dyDescent="0.3">
      <c r="A477" s="30">
        <v>474</v>
      </c>
      <c r="B477" s="30" t="s">
        <v>544</v>
      </c>
      <c r="C477" s="30" t="s">
        <v>1469</v>
      </c>
      <c r="D477" s="30" t="s">
        <v>1027</v>
      </c>
      <c r="E477" s="30"/>
      <c r="F477" s="30"/>
      <c r="G477" s="30"/>
      <c r="H477" s="30"/>
      <c r="I477" s="30"/>
      <c r="J477" s="30"/>
      <c r="K477" s="30"/>
      <c r="L477" s="30"/>
      <c r="M477" s="30"/>
      <c r="N477" s="30"/>
      <c r="O477" s="30"/>
      <c r="P477" s="30"/>
      <c r="Q477" s="30"/>
      <c r="R477" s="30"/>
      <c r="S477" s="30"/>
      <c r="T477" s="30"/>
      <c r="U477" s="30"/>
      <c r="V477" s="29" t="str">
        <f>IF(B477=SelectedScope,COUNTIFS($B$4:$B477,SelectedScope),"")</f>
        <v/>
      </c>
    </row>
    <row r="478" spans="1:22" ht="16.05" customHeight="1" x14ac:dyDescent="0.3">
      <c r="A478" s="28">
        <v>475</v>
      </c>
      <c r="B478" s="28" t="s">
        <v>544</v>
      </c>
      <c r="C478" s="28" t="s">
        <v>1470</v>
      </c>
      <c r="D478" s="28" t="s">
        <v>1027</v>
      </c>
      <c r="E478" s="28"/>
      <c r="F478" s="28"/>
      <c r="G478" s="28"/>
      <c r="H478" s="28"/>
      <c r="I478" s="28"/>
      <c r="J478" s="28"/>
      <c r="K478" s="28"/>
      <c r="L478" s="28"/>
      <c r="M478" s="28"/>
      <c r="N478" s="28"/>
      <c r="O478" s="28"/>
      <c r="P478" s="28"/>
      <c r="Q478" s="28"/>
      <c r="R478" s="28"/>
      <c r="S478" s="28"/>
      <c r="T478" s="28"/>
      <c r="U478" s="28"/>
      <c r="V478" s="29" t="str">
        <f>IF(B478=SelectedScope,COUNTIFS($B$4:$B478,SelectedScope),"")</f>
        <v/>
      </c>
    </row>
    <row r="479" spans="1:22" ht="16.05" customHeight="1" x14ac:dyDescent="0.3">
      <c r="A479" s="30">
        <v>476</v>
      </c>
      <c r="B479" s="30" t="s">
        <v>544</v>
      </c>
      <c r="C479" s="30" t="s">
        <v>1471</v>
      </c>
      <c r="D479" s="30" t="s">
        <v>1027</v>
      </c>
      <c r="E479" s="30"/>
      <c r="F479" s="30"/>
      <c r="G479" s="30"/>
      <c r="H479" s="30"/>
      <c r="I479" s="30"/>
      <c r="J479" s="30"/>
      <c r="K479" s="30"/>
      <c r="L479" s="30"/>
      <c r="M479" s="30"/>
      <c r="N479" s="30"/>
      <c r="O479" s="30"/>
      <c r="P479" s="30"/>
      <c r="Q479" s="30"/>
      <c r="R479" s="30"/>
      <c r="S479" s="30"/>
      <c r="T479" s="30"/>
      <c r="U479" s="30"/>
      <c r="V479" s="29" t="str">
        <f>IF(B479=SelectedScope,COUNTIFS($B$4:$B479,SelectedScope),"")</f>
        <v/>
      </c>
    </row>
    <row r="480" spans="1:22" ht="16.05" customHeight="1" x14ac:dyDescent="0.3">
      <c r="A480" s="28">
        <v>477</v>
      </c>
      <c r="B480" s="28" t="s">
        <v>544</v>
      </c>
      <c r="C480" s="28" t="s">
        <v>569</v>
      </c>
      <c r="D480" s="28" t="s">
        <v>1027</v>
      </c>
      <c r="E480" s="28"/>
      <c r="F480" s="28"/>
      <c r="G480" s="28"/>
      <c r="H480" s="28"/>
      <c r="I480" s="28"/>
      <c r="J480" s="28"/>
      <c r="K480" s="28"/>
      <c r="L480" s="28"/>
      <c r="M480" s="28"/>
      <c r="N480" s="28"/>
      <c r="O480" s="28"/>
      <c r="P480" s="28"/>
      <c r="Q480" s="28"/>
      <c r="R480" s="28"/>
      <c r="S480" s="28"/>
      <c r="T480" s="28"/>
      <c r="U480" s="28"/>
      <c r="V480" s="29" t="str">
        <f>IF(B480=SelectedScope,COUNTIFS($B$4:$B480,SelectedScope),"")</f>
        <v/>
      </c>
    </row>
    <row r="481" spans="1:22" ht="16.05" customHeight="1" x14ac:dyDescent="0.3">
      <c r="A481" s="30">
        <v>478</v>
      </c>
      <c r="B481" s="30" t="s">
        <v>544</v>
      </c>
      <c r="C481" s="30" t="s">
        <v>1472</v>
      </c>
      <c r="D481" s="30" t="s">
        <v>1027</v>
      </c>
      <c r="E481" s="30"/>
      <c r="F481" s="30"/>
      <c r="G481" s="30"/>
      <c r="H481" s="30"/>
      <c r="I481" s="30"/>
      <c r="J481" s="30"/>
      <c r="K481" s="30"/>
      <c r="L481" s="30"/>
      <c r="M481" s="30"/>
      <c r="N481" s="30"/>
      <c r="O481" s="30"/>
      <c r="P481" s="30"/>
      <c r="Q481" s="30"/>
      <c r="R481" s="30"/>
      <c r="S481" s="30"/>
      <c r="T481" s="30"/>
      <c r="U481" s="30"/>
      <c r="V481" s="29" t="str">
        <f>IF(B481=SelectedScope,COUNTIFS($B$4:$B481,SelectedScope),"")</f>
        <v/>
      </c>
    </row>
    <row r="482" spans="1:22" ht="16.05" customHeight="1" x14ac:dyDescent="0.3">
      <c r="A482" s="28">
        <v>479</v>
      </c>
      <c r="B482" s="28" t="s">
        <v>544</v>
      </c>
      <c r="C482" s="28" t="s">
        <v>1473</v>
      </c>
      <c r="D482" s="28" t="s">
        <v>1027</v>
      </c>
      <c r="E482" s="28"/>
      <c r="F482" s="28"/>
      <c r="G482" s="28"/>
      <c r="H482" s="28"/>
      <c r="I482" s="28"/>
      <c r="J482" s="28"/>
      <c r="K482" s="28"/>
      <c r="L482" s="28"/>
      <c r="M482" s="28"/>
      <c r="N482" s="28"/>
      <c r="O482" s="28"/>
      <c r="P482" s="28"/>
      <c r="Q482" s="28"/>
      <c r="R482" s="28"/>
      <c r="S482" s="28"/>
      <c r="T482" s="28"/>
      <c r="U482" s="28"/>
      <c r="V482" s="29" t="str">
        <f>IF(B482=SelectedScope,COUNTIFS($B$4:$B482,SelectedScope),"")</f>
        <v/>
      </c>
    </row>
    <row r="483" spans="1:22" ht="16.05" customHeight="1" x14ac:dyDescent="0.3">
      <c r="A483" s="30">
        <v>480</v>
      </c>
      <c r="B483" s="30" t="s">
        <v>544</v>
      </c>
      <c r="C483" s="30" t="s">
        <v>1474</v>
      </c>
      <c r="D483" s="30" t="s">
        <v>1027</v>
      </c>
      <c r="E483" s="30"/>
      <c r="F483" s="30"/>
      <c r="G483" s="30"/>
      <c r="H483" s="30"/>
      <c r="I483" s="30"/>
      <c r="J483" s="30"/>
      <c r="K483" s="30"/>
      <c r="L483" s="30"/>
      <c r="M483" s="30"/>
      <c r="N483" s="30"/>
      <c r="O483" s="30"/>
      <c r="P483" s="30"/>
      <c r="Q483" s="30"/>
      <c r="R483" s="30"/>
      <c r="S483" s="30"/>
      <c r="T483" s="30"/>
      <c r="U483" s="30"/>
      <c r="V483" s="29" t="str">
        <f>IF(B483=SelectedScope,COUNTIFS($B$4:$B483,SelectedScope),"")</f>
        <v/>
      </c>
    </row>
    <row r="484" spans="1:22" ht="16.05" customHeight="1" x14ac:dyDescent="0.3">
      <c r="A484" s="28">
        <v>481</v>
      </c>
      <c r="B484" s="28" t="s">
        <v>544</v>
      </c>
      <c r="C484" s="28" t="s">
        <v>1475</v>
      </c>
      <c r="D484" s="28" t="s">
        <v>1027</v>
      </c>
      <c r="E484" s="28"/>
      <c r="F484" s="28"/>
      <c r="G484" s="28"/>
      <c r="H484" s="28"/>
      <c r="I484" s="28"/>
      <c r="J484" s="28"/>
      <c r="K484" s="28"/>
      <c r="L484" s="28"/>
      <c r="M484" s="28"/>
      <c r="N484" s="28"/>
      <c r="O484" s="28"/>
      <c r="P484" s="28"/>
      <c r="Q484" s="28"/>
      <c r="R484" s="28"/>
      <c r="S484" s="28"/>
      <c r="T484" s="28"/>
      <c r="U484" s="28"/>
      <c r="V484" s="29" t="str">
        <f>IF(B484=SelectedScope,COUNTIFS($B$4:$B484,SelectedScope),"")</f>
        <v/>
      </c>
    </row>
    <row r="485" spans="1:22" ht="16.05" customHeight="1" x14ac:dyDescent="0.3">
      <c r="A485" s="30">
        <v>482</v>
      </c>
      <c r="B485" s="30" t="s">
        <v>544</v>
      </c>
      <c r="C485" s="30" t="s">
        <v>1476</v>
      </c>
      <c r="D485" s="30" t="s">
        <v>1027</v>
      </c>
      <c r="E485" s="30"/>
      <c r="F485" s="30"/>
      <c r="G485" s="30"/>
      <c r="H485" s="30"/>
      <c r="I485" s="30"/>
      <c r="J485" s="30"/>
      <c r="K485" s="30"/>
      <c r="L485" s="30"/>
      <c r="M485" s="30"/>
      <c r="N485" s="30"/>
      <c r="O485" s="30"/>
      <c r="P485" s="30"/>
      <c r="Q485" s="30"/>
      <c r="R485" s="30"/>
      <c r="S485" s="30"/>
      <c r="T485" s="30"/>
      <c r="U485" s="30"/>
      <c r="V485" s="29" t="str">
        <f>IF(B485=SelectedScope,COUNTIFS($B$4:$B485,SelectedScope),"")</f>
        <v/>
      </c>
    </row>
    <row r="486" spans="1:22" ht="16.05" customHeight="1" x14ac:dyDescent="0.3">
      <c r="A486" s="28">
        <v>483</v>
      </c>
      <c r="B486" s="28" t="s">
        <v>544</v>
      </c>
      <c r="C486" s="28" t="s">
        <v>609</v>
      </c>
      <c r="D486" s="28" t="s">
        <v>1027</v>
      </c>
      <c r="E486" s="28"/>
      <c r="F486" s="28"/>
      <c r="G486" s="28"/>
      <c r="H486" s="28"/>
      <c r="I486" s="28"/>
      <c r="J486" s="28"/>
      <c r="K486" s="28"/>
      <c r="L486" s="28"/>
      <c r="M486" s="28"/>
      <c r="N486" s="28"/>
      <c r="O486" s="28"/>
      <c r="P486" s="28"/>
      <c r="Q486" s="28"/>
      <c r="R486" s="28"/>
      <c r="S486" s="28"/>
      <c r="T486" s="28"/>
      <c r="U486" s="28"/>
      <c r="V486" s="29" t="str">
        <f>IF(B486=SelectedScope,COUNTIFS($B$4:$B486,SelectedScope),"")</f>
        <v/>
      </c>
    </row>
    <row r="487" spans="1:22" ht="16.05" customHeight="1" x14ac:dyDescent="0.3">
      <c r="A487" s="30">
        <v>484</v>
      </c>
      <c r="B487" s="30" t="s">
        <v>544</v>
      </c>
      <c r="C487" s="30" t="s">
        <v>1477</v>
      </c>
      <c r="D487" s="30" t="s">
        <v>1027</v>
      </c>
      <c r="E487" s="30"/>
      <c r="F487" s="30"/>
      <c r="G487" s="30"/>
      <c r="H487" s="30"/>
      <c r="I487" s="30"/>
      <c r="J487" s="30"/>
      <c r="K487" s="30"/>
      <c r="L487" s="30"/>
      <c r="M487" s="30"/>
      <c r="N487" s="30"/>
      <c r="O487" s="30"/>
      <c r="P487" s="30"/>
      <c r="Q487" s="30"/>
      <c r="R487" s="30"/>
      <c r="S487" s="30"/>
      <c r="T487" s="30"/>
      <c r="U487" s="30"/>
      <c r="V487" s="29" t="str">
        <f>IF(B487=SelectedScope,COUNTIFS($B$4:$B487,SelectedScope),"")</f>
        <v/>
      </c>
    </row>
    <row r="488" spans="1:22" ht="16.05" customHeight="1" x14ac:dyDescent="0.3">
      <c r="A488" s="28">
        <v>485</v>
      </c>
      <c r="B488" s="28" t="s">
        <v>544</v>
      </c>
      <c r="C488" s="28" t="s">
        <v>1478</v>
      </c>
      <c r="D488" s="28" t="s">
        <v>1027</v>
      </c>
      <c r="E488" s="28"/>
      <c r="F488" s="28"/>
      <c r="G488" s="28"/>
      <c r="H488" s="28"/>
      <c r="I488" s="28"/>
      <c r="J488" s="28"/>
      <c r="K488" s="28"/>
      <c r="L488" s="28"/>
      <c r="M488" s="28"/>
      <c r="N488" s="28"/>
      <c r="O488" s="28"/>
      <c r="P488" s="28"/>
      <c r="Q488" s="28"/>
      <c r="R488" s="28"/>
      <c r="S488" s="28"/>
      <c r="T488" s="28"/>
      <c r="U488" s="28"/>
      <c r="V488" s="29" t="str">
        <f>IF(B488=SelectedScope,COUNTIFS($B$4:$B488,SelectedScope),"")</f>
        <v/>
      </c>
    </row>
    <row r="489" spans="1:22" ht="16.05" customHeight="1" x14ac:dyDescent="0.3">
      <c r="A489" s="30">
        <v>486</v>
      </c>
      <c r="B489" s="30" t="s">
        <v>544</v>
      </c>
      <c r="C489" s="30" t="s">
        <v>1479</v>
      </c>
      <c r="D489" s="30" t="s">
        <v>1027</v>
      </c>
      <c r="E489" s="30"/>
      <c r="F489" s="30"/>
      <c r="G489" s="30"/>
      <c r="H489" s="30"/>
      <c r="I489" s="30"/>
      <c r="J489" s="30"/>
      <c r="K489" s="30"/>
      <c r="L489" s="30"/>
      <c r="M489" s="30"/>
      <c r="N489" s="30"/>
      <c r="O489" s="30"/>
      <c r="P489" s="30"/>
      <c r="Q489" s="30"/>
      <c r="R489" s="30"/>
      <c r="S489" s="30"/>
      <c r="T489" s="30"/>
      <c r="U489" s="30"/>
      <c r="V489" s="29" t="str">
        <f>IF(B489=SelectedScope,COUNTIFS($B$4:$B489,SelectedScope),"")</f>
        <v/>
      </c>
    </row>
    <row r="490" spans="1:22" ht="16.05" customHeight="1" x14ac:dyDescent="0.3">
      <c r="A490" s="28">
        <v>487</v>
      </c>
      <c r="B490" s="28" t="s">
        <v>545</v>
      </c>
      <c r="C490" s="28" t="s">
        <v>1480</v>
      </c>
      <c r="D490" s="28" t="s">
        <v>1027</v>
      </c>
      <c r="E490" s="28"/>
      <c r="F490" s="28"/>
      <c r="G490" s="28"/>
      <c r="H490" s="28"/>
      <c r="I490" s="28"/>
      <c r="J490" s="28"/>
      <c r="K490" s="28"/>
      <c r="L490" s="28"/>
      <c r="M490" s="28"/>
      <c r="N490" s="28"/>
      <c r="O490" s="28"/>
      <c r="P490" s="28"/>
      <c r="Q490" s="28"/>
      <c r="R490" s="28"/>
      <c r="S490" s="28"/>
      <c r="T490" s="28"/>
      <c r="U490" s="28"/>
      <c r="V490" s="29" t="str">
        <f>IF(B490=SelectedScope,COUNTIFS($B$4:$B490,SelectedScope),"")</f>
        <v/>
      </c>
    </row>
    <row r="491" spans="1:22" ht="16.05" customHeight="1" x14ac:dyDescent="0.3">
      <c r="A491" s="30">
        <v>488</v>
      </c>
      <c r="B491" s="30" t="s">
        <v>545</v>
      </c>
      <c r="C491" s="30" t="s">
        <v>1481</v>
      </c>
      <c r="D491" s="30" t="s">
        <v>1027</v>
      </c>
      <c r="E491" s="30"/>
      <c r="F491" s="30"/>
      <c r="G491" s="30"/>
      <c r="H491" s="30"/>
      <c r="I491" s="30"/>
      <c r="J491" s="30"/>
      <c r="K491" s="30"/>
      <c r="L491" s="30"/>
      <c r="M491" s="30"/>
      <c r="N491" s="30"/>
      <c r="O491" s="30"/>
      <c r="P491" s="30"/>
      <c r="Q491" s="30"/>
      <c r="R491" s="30"/>
      <c r="S491" s="30"/>
      <c r="T491" s="30"/>
      <c r="U491" s="30"/>
      <c r="V491" s="29" t="str">
        <f>IF(B491=SelectedScope,COUNTIFS($B$4:$B491,SelectedScope),"")</f>
        <v/>
      </c>
    </row>
    <row r="492" spans="1:22" ht="16.05" customHeight="1" x14ac:dyDescent="0.3">
      <c r="A492" s="28">
        <v>489</v>
      </c>
      <c r="B492" s="28" t="s">
        <v>545</v>
      </c>
      <c r="C492" s="28" t="s">
        <v>545</v>
      </c>
      <c r="D492" s="28" t="s">
        <v>1027</v>
      </c>
      <c r="E492" s="28"/>
      <c r="F492" s="28"/>
      <c r="G492" s="28"/>
      <c r="H492" s="28"/>
      <c r="I492" s="28"/>
      <c r="J492" s="28"/>
      <c r="K492" s="28"/>
      <c r="L492" s="28"/>
      <c r="M492" s="28"/>
      <c r="N492" s="28"/>
      <c r="O492" s="28"/>
      <c r="P492" s="28"/>
      <c r="Q492" s="28"/>
      <c r="R492" s="28"/>
      <c r="S492" s="28"/>
      <c r="T492" s="28"/>
      <c r="U492" s="28"/>
      <c r="V492" s="29" t="str">
        <f>IF(B492=SelectedScope,COUNTIFS($B$4:$B492,SelectedScope),"")</f>
        <v/>
      </c>
    </row>
    <row r="493" spans="1:22" ht="16.05" customHeight="1" x14ac:dyDescent="0.3">
      <c r="A493" s="30">
        <v>490</v>
      </c>
      <c r="B493" s="30" t="s">
        <v>545</v>
      </c>
      <c r="C493" s="30" t="s">
        <v>1482</v>
      </c>
      <c r="D493" s="30" t="s">
        <v>1027</v>
      </c>
      <c r="E493" s="30"/>
      <c r="F493" s="30"/>
      <c r="G493" s="30"/>
      <c r="H493" s="30"/>
      <c r="I493" s="30"/>
      <c r="J493" s="30"/>
      <c r="K493" s="30"/>
      <c r="L493" s="30"/>
      <c r="M493" s="30"/>
      <c r="N493" s="30"/>
      <c r="O493" s="30"/>
      <c r="P493" s="30"/>
      <c r="Q493" s="30"/>
      <c r="R493" s="30"/>
      <c r="S493" s="30"/>
      <c r="T493" s="30"/>
      <c r="U493" s="30"/>
      <c r="V493" s="29" t="str">
        <f>IF(B493=SelectedScope,COUNTIFS($B$4:$B493,SelectedScope),"")</f>
        <v/>
      </c>
    </row>
    <row r="494" spans="1:22" ht="16.05" customHeight="1" x14ac:dyDescent="0.3">
      <c r="A494" s="28">
        <v>491</v>
      </c>
      <c r="B494" s="28" t="s">
        <v>546</v>
      </c>
      <c r="C494" s="28" t="s">
        <v>1483</v>
      </c>
      <c r="D494" s="28" t="s">
        <v>1027</v>
      </c>
      <c r="E494" s="28"/>
      <c r="F494" s="28"/>
      <c r="G494" s="28"/>
      <c r="H494" s="28"/>
      <c r="I494" s="28"/>
      <c r="J494" s="28"/>
      <c r="K494" s="28"/>
      <c r="L494" s="28"/>
      <c r="M494" s="28"/>
      <c r="N494" s="28"/>
      <c r="O494" s="28"/>
      <c r="P494" s="28"/>
      <c r="Q494" s="28"/>
      <c r="R494" s="28"/>
      <c r="S494" s="28"/>
      <c r="T494" s="28"/>
      <c r="U494" s="28"/>
      <c r="V494" s="29" t="str">
        <f>IF(B494=SelectedScope,COUNTIFS($B$4:$B494,SelectedScope),"")</f>
        <v/>
      </c>
    </row>
    <row r="495" spans="1:22" ht="16.05" customHeight="1" x14ac:dyDescent="0.3">
      <c r="A495" s="30">
        <v>492</v>
      </c>
      <c r="B495" s="30" t="s">
        <v>546</v>
      </c>
      <c r="C495" s="30" t="s">
        <v>1484</v>
      </c>
      <c r="D495" s="30" t="s">
        <v>1027</v>
      </c>
      <c r="E495" s="30"/>
      <c r="F495" s="30"/>
      <c r="G495" s="30"/>
      <c r="H495" s="30"/>
      <c r="I495" s="30"/>
      <c r="J495" s="30"/>
      <c r="K495" s="30"/>
      <c r="L495" s="30"/>
      <c r="M495" s="30"/>
      <c r="N495" s="30"/>
      <c r="O495" s="30"/>
      <c r="P495" s="30"/>
      <c r="Q495" s="30"/>
      <c r="R495" s="30"/>
      <c r="S495" s="30"/>
      <c r="T495" s="30"/>
      <c r="U495" s="30"/>
      <c r="V495" s="29" t="str">
        <f>IF(B495=SelectedScope,COUNTIFS($B$4:$B495,SelectedScope),"")</f>
        <v/>
      </c>
    </row>
    <row r="496" spans="1:22" ht="16.05" customHeight="1" x14ac:dyDescent="0.3">
      <c r="A496" s="28">
        <v>493</v>
      </c>
      <c r="B496" s="28" t="s">
        <v>546</v>
      </c>
      <c r="C496" s="28" t="s">
        <v>1485</v>
      </c>
      <c r="D496" s="28" t="s">
        <v>1027</v>
      </c>
      <c r="E496" s="28"/>
      <c r="F496" s="28"/>
      <c r="G496" s="28"/>
      <c r="H496" s="28"/>
      <c r="I496" s="28"/>
      <c r="J496" s="28"/>
      <c r="K496" s="28"/>
      <c r="L496" s="28"/>
      <c r="M496" s="28"/>
      <c r="N496" s="28"/>
      <c r="O496" s="28"/>
      <c r="P496" s="28"/>
      <c r="Q496" s="28"/>
      <c r="R496" s="28"/>
      <c r="S496" s="28"/>
      <c r="T496" s="28"/>
      <c r="U496" s="28"/>
      <c r="V496" s="29" t="str">
        <f>IF(B496=SelectedScope,COUNTIFS($B$4:$B496,SelectedScope),"")</f>
        <v/>
      </c>
    </row>
    <row r="497" spans="1:22" ht="16.05" customHeight="1" x14ac:dyDescent="0.3">
      <c r="A497" s="30">
        <v>494</v>
      </c>
      <c r="B497" s="30" t="s">
        <v>546</v>
      </c>
      <c r="C497" s="30" t="s">
        <v>1486</v>
      </c>
      <c r="D497" s="30" t="s">
        <v>1027</v>
      </c>
      <c r="E497" s="30"/>
      <c r="F497" s="30"/>
      <c r="G497" s="30"/>
      <c r="H497" s="30"/>
      <c r="I497" s="30"/>
      <c r="J497" s="30"/>
      <c r="K497" s="30"/>
      <c r="L497" s="30"/>
      <c r="M497" s="30"/>
      <c r="N497" s="30"/>
      <c r="O497" s="30"/>
      <c r="P497" s="30"/>
      <c r="Q497" s="30"/>
      <c r="R497" s="30"/>
      <c r="S497" s="30"/>
      <c r="T497" s="30"/>
      <c r="U497" s="30"/>
      <c r="V497" s="29" t="str">
        <f>IF(B497=SelectedScope,COUNTIFS($B$4:$B497,SelectedScope),"")</f>
        <v/>
      </c>
    </row>
    <row r="498" spans="1:22" ht="16.05" customHeight="1" x14ac:dyDescent="0.3">
      <c r="A498" s="28">
        <v>495</v>
      </c>
      <c r="B498" s="28" t="s">
        <v>546</v>
      </c>
      <c r="C498" s="28" t="s">
        <v>1487</v>
      </c>
      <c r="D498" s="28" t="s">
        <v>1027</v>
      </c>
      <c r="E498" s="28"/>
      <c r="F498" s="28"/>
      <c r="G498" s="28"/>
      <c r="H498" s="28"/>
      <c r="I498" s="28"/>
      <c r="J498" s="28"/>
      <c r="K498" s="28"/>
      <c r="L498" s="28"/>
      <c r="M498" s="28"/>
      <c r="N498" s="28"/>
      <c r="O498" s="28"/>
      <c r="P498" s="28"/>
      <c r="Q498" s="28"/>
      <c r="R498" s="28"/>
      <c r="S498" s="28"/>
      <c r="T498" s="28"/>
      <c r="U498" s="28"/>
      <c r="V498" s="29" t="str">
        <f>IF(B498=SelectedScope,COUNTIFS($B$4:$B498,SelectedScope),"")</f>
        <v/>
      </c>
    </row>
    <row r="499" spans="1:22" ht="16.05" customHeight="1" x14ac:dyDescent="0.3">
      <c r="A499" s="30">
        <v>496</v>
      </c>
      <c r="B499" s="30" t="s">
        <v>546</v>
      </c>
      <c r="C499" s="30" t="s">
        <v>1488</v>
      </c>
      <c r="D499" s="30" t="s">
        <v>1027</v>
      </c>
      <c r="E499" s="30"/>
      <c r="F499" s="30"/>
      <c r="G499" s="30"/>
      <c r="H499" s="30"/>
      <c r="I499" s="30"/>
      <c r="J499" s="30"/>
      <c r="K499" s="30"/>
      <c r="L499" s="30"/>
      <c r="M499" s="30"/>
      <c r="N499" s="30"/>
      <c r="O499" s="30"/>
      <c r="P499" s="30"/>
      <c r="Q499" s="30"/>
      <c r="R499" s="30"/>
      <c r="S499" s="30"/>
      <c r="T499" s="30"/>
      <c r="U499" s="30"/>
      <c r="V499" s="29" t="str">
        <f>IF(B499=SelectedScope,COUNTIFS($B$4:$B499,SelectedScope),"")</f>
        <v/>
      </c>
    </row>
    <row r="500" spans="1:22" ht="16.05" customHeight="1" x14ac:dyDescent="0.3">
      <c r="A500" s="28">
        <v>497</v>
      </c>
      <c r="B500" s="28" t="s">
        <v>546</v>
      </c>
      <c r="C500" s="28" t="s">
        <v>1489</v>
      </c>
      <c r="D500" s="28" t="s">
        <v>1027</v>
      </c>
      <c r="E500" s="28"/>
      <c r="F500" s="28"/>
      <c r="G500" s="28"/>
      <c r="H500" s="28"/>
      <c r="I500" s="28"/>
      <c r="J500" s="28"/>
      <c r="K500" s="28"/>
      <c r="L500" s="28"/>
      <c r="M500" s="28"/>
      <c r="N500" s="28"/>
      <c r="O500" s="28"/>
      <c r="P500" s="28"/>
      <c r="Q500" s="28"/>
      <c r="R500" s="28"/>
      <c r="S500" s="28"/>
      <c r="T500" s="28"/>
      <c r="U500" s="28"/>
      <c r="V500" s="29" t="str">
        <f>IF(B500=SelectedScope,COUNTIFS($B$4:$B500,SelectedScope),"")</f>
        <v/>
      </c>
    </row>
    <row r="501" spans="1:22" ht="16.05" customHeight="1" x14ac:dyDescent="0.3">
      <c r="A501" s="30">
        <v>498</v>
      </c>
      <c r="B501" s="30" t="s">
        <v>546</v>
      </c>
      <c r="C501" s="30" t="s">
        <v>1490</v>
      </c>
      <c r="D501" s="30" t="s">
        <v>1027</v>
      </c>
      <c r="E501" s="30"/>
      <c r="F501" s="30"/>
      <c r="G501" s="30"/>
      <c r="H501" s="30"/>
      <c r="I501" s="30"/>
      <c r="J501" s="30"/>
      <c r="K501" s="30"/>
      <c r="L501" s="30"/>
      <c r="M501" s="30"/>
      <c r="N501" s="30"/>
      <c r="O501" s="30"/>
      <c r="P501" s="30"/>
      <c r="Q501" s="30"/>
      <c r="R501" s="30"/>
      <c r="S501" s="30"/>
      <c r="T501" s="30"/>
      <c r="U501" s="30"/>
      <c r="V501" s="29" t="str">
        <f>IF(B501=SelectedScope,COUNTIFS($B$4:$B501,SelectedScope),"")</f>
        <v/>
      </c>
    </row>
    <row r="502" spans="1:22" ht="16.05" customHeight="1" x14ac:dyDescent="0.3">
      <c r="A502" s="28">
        <v>499</v>
      </c>
      <c r="B502" s="28" t="s">
        <v>546</v>
      </c>
      <c r="C502" s="28" t="s">
        <v>1491</v>
      </c>
      <c r="D502" s="28" t="s">
        <v>1027</v>
      </c>
      <c r="E502" s="28"/>
      <c r="F502" s="28"/>
      <c r="G502" s="28"/>
      <c r="H502" s="28"/>
      <c r="I502" s="28"/>
      <c r="J502" s="28"/>
      <c r="K502" s="28"/>
      <c r="L502" s="28"/>
      <c r="M502" s="28"/>
      <c r="N502" s="28"/>
      <c r="O502" s="28"/>
      <c r="P502" s="28"/>
      <c r="Q502" s="28"/>
      <c r="R502" s="28"/>
      <c r="S502" s="28"/>
      <c r="T502" s="28"/>
      <c r="U502" s="28"/>
      <c r="V502" s="29" t="str">
        <f>IF(B502=SelectedScope,COUNTIFS($B$4:$B502,SelectedScope),"")</f>
        <v/>
      </c>
    </row>
    <row r="503" spans="1:22" ht="16.05" customHeight="1" x14ac:dyDescent="0.3">
      <c r="A503" s="30">
        <v>500</v>
      </c>
      <c r="B503" s="30" t="s">
        <v>546</v>
      </c>
      <c r="C503" s="30" t="s">
        <v>1492</v>
      </c>
      <c r="D503" s="30" t="s">
        <v>1027</v>
      </c>
      <c r="E503" s="30"/>
      <c r="F503" s="30"/>
      <c r="G503" s="30"/>
      <c r="H503" s="30"/>
      <c r="I503" s="30"/>
      <c r="J503" s="30"/>
      <c r="K503" s="30"/>
      <c r="L503" s="30"/>
      <c r="M503" s="30"/>
      <c r="N503" s="30"/>
      <c r="O503" s="30"/>
      <c r="P503" s="30"/>
      <c r="Q503" s="30"/>
      <c r="R503" s="30"/>
      <c r="S503" s="30"/>
      <c r="T503" s="30"/>
      <c r="U503" s="30"/>
      <c r="V503" s="29" t="str">
        <f>IF(B503=SelectedScope,COUNTIFS($B$4:$B503,SelectedScope),"")</f>
        <v/>
      </c>
    </row>
    <row r="504" spans="1:22" ht="16.05" customHeight="1" x14ac:dyDescent="0.3">
      <c r="A504" s="28">
        <v>501</v>
      </c>
      <c r="B504" s="28" t="s">
        <v>546</v>
      </c>
      <c r="C504" s="28" t="s">
        <v>1493</v>
      </c>
      <c r="D504" s="28" t="s">
        <v>1027</v>
      </c>
      <c r="E504" s="28"/>
      <c r="F504" s="28"/>
      <c r="G504" s="28"/>
      <c r="H504" s="28"/>
      <c r="I504" s="28"/>
      <c r="J504" s="28"/>
      <c r="K504" s="28"/>
      <c r="L504" s="28"/>
      <c r="M504" s="28"/>
      <c r="N504" s="28"/>
      <c r="O504" s="28"/>
      <c r="P504" s="28"/>
      <c r="Q504" s="28"/>
      <c r="R504" s="28"/>
      <c r="S504" s="28"/>
      <c r="T504" s="28"/>
      <c r="U504" s="28"/>
      <c r="V504" s="29" t="str">
        <f>IF(B504=SelectedScope,COUNTIFS($B$4:$B504,SelectedScope),"")</f>
        <v/>
      </c>
    </row>
    <row r="505" spans="1:22" ht="16.05" customHeight="1" x14ac:dyDescent="0.3">
      <c r="A505" s="30">
        <v>502</v>
      </c>
      <c r="B505" s="30" t="s">
        <v>546</v>
      </c>
      <c r="C505" s="30" t="s">
        <v>1494</v>
      </c>
      <c r="D505" s="30" t="s">
        <v>1027</v>
      </c>
      <c r="E505" s="30"/>
      <c r="F505" s="30"/>
      <c r="G505" s="30"/>
      <c r="H505" s="30"/>
      <c r="I505" s="30"/>
      <c r="J505" s="30"/>
      <c r="K505" s="30"/>
      <c r="L505" s="30"/>
      <c r="M505" s="30"/>
      <c r="N505" s="30"/>
      <c r="O505" s="30"/>
      <c r="P505" s="30"/>
      <c r="Q505" s="30"/>
      <c r="R505" s="30"/>
      <c r="S505" s="30"/>
      <c r="T505" s="30"/>
      <c r="U505" s="30"/>
      <c r="V505" s="29" t="str">
        <f>IF(B505=SelectedScope,COUNTIFS($B$4:$B505,SelectedScope),"")</f>
        <v/>
      </c>
    </row>
    <row r="506" spans="1:22" ht="16.05" customHeight="1" x14ac:dyDescent="0.3">
      <c r="A506" s="28">
        <v>503</v>
      </c>
      <c r="B506" s="28" t="s">
        <v>546</v>
      </c>
      <c r="C506" s="28" t="s">
        <v>1495</v>
      </c>
      <c r="D506" s="28" t="s">
        <v>1027</v>
      </c>
      <c r="E506" s="28"/>
      <c r="F506" s="28"/>
      <c r="G506" s="28"/>
      <c r="H506" s="28"/>
      <c r="I506" s="28"/>
      <c r="J506" s="28"/>
      <c r="K506" s="28"/>
      <c r="L506" s="28"/>
      <c r="M506" s="28"/>
      <c r="N506" s="28"/>
      <c r="O506" s="28"/>
      <c r="P506" s="28"/>
      <c r="Q506" s="28"/>
      <c r="R506" s="28"/>
      <c r="S506" s="28"/>
      <c r="T506" s="28"/>
      <c r="U506" s="28"/>
      <c r="V506" s="29" t="str">
        <f>IF(B506=SelectedScope,COUNTIFS($B$4:$B506,SelectedScope),"")</f>
        <v/>
      </c>
    </row>
    <row r="507" spans="1:22" ht="16.05" customHeight="1" x14ac:dyDescent="0.3">
      <c r="A507" s="30">
        <v>504</v>
      </c>
      <c r="B507" s="30" t="s">
        <v>546</v>
      </c>
      <c r="C507" s="30" t="s">
        <v>1496</v>
      </c>
      <c r="D507" s="30" t="s">
        <v>1027</v>
      </c>
      <c r="E507" s="30"/>
      <c r="F507" s="30"/>
      <c r="G507" s="30"/>
      <c r="H507" s="30"/>
      <c r="I507" s="30"/>
      <c r="J507" s="30"/>
      <c r="K507" s="30"/>
      <c r="L507" s="30"/>
      <c r="M507" s="30"/>
      <c r="N507" s="30"/>
      <c r="O507" s="30"/>
      <c r="P507" s="30"/>
      <c r="Q507" s="30"/>
      <c r="R507" s="30"/>
      <c r="S507" s="30"/>
      <c r="T507" s="30"/>
      <c r="U507" s="30"/>
      <c r="V507" s="29" t="str">
        <f>IF(B507=SelectedScope,COUNTIFS($B$4:$B507,SelectedScope),"")</f>
        <v/>
      </c>
    </row>
    <row r="508" spans="1:22" ht="16.05" customHeight="1" x14ac:dyDescent="0.3">
      <c r="A508" s="28">
        <v>505</v>
      </c>
      <c r="B508" s="28" t="s">
        <v>546</v>
      </c>
      <c r="C508" s="28" t="s">
        <v>1497</v>
      </c>
      <c r="D508" s="28" t="s">
        <v>1027</v>
      </c>
      <c r="E508" s="28"/>
      <c r="F508" s="28"/>
      <c r="G508" s="28"/>
      <c r="H508" s="28"/>
      <c r="I508" s="28"/>
      <c r="J508" s="28"/>
      <c r="K508" s="28"/>
      <c r="L508" s="28"/>
      <c r="M508" s="28"/>
      <c r="N508" s="28"/>
      <c r="O508" s="28"/>
      <c r="P508" s="28"/>
      <c r="Q508" s="28"/>
      <c r="R508" s="28"/>
      <c r="S508" s="28"/>
      <c r="T508" s="28"/>
      <c r="U508" s="28"/>
      <c r="V508" s="29" t="str">
        <f>IF(B508=SelectedScope,COUNTIFS($B$4:$B508,SelectedScope),"")</f>
        <v/>
      </c>
    </row>
    <row r="509" spans="1:22" ht="16.05" customHeight="1" x14ac:dyDescent="0.3">
      <c r="A509" s="30">
        <v>506</v>
      </c>
      <c r="B509" s="30" t="s">
        <v>546</v>
      </c>
      <c r="C509" s="30" t="s">
        <v>1498</v>
      </c>
      <c r="D509" s="30" t="s">
        <v>1027</v>
      </c>
      <c r="E509" s="30"/>
      <c r="F509" s="30"/>
      <c r="G509" s="30"/>
      <c r="H509" s="30"/>
      <c r="I509" s="30"/>
      <c r="J509" s="30"/>
      <c r="K509" s="30"/>
      <c r="L509" s="30"/>
      <c r="M509" s="30"/>
      <c r="N509" s="30"/>
      <c r="O509" s="30"/>
      <c r="P509" s="30"/>
      <c r="Q509" s="30"/>
      <c r="R509" s="30"/>
      <c r="S509" s="30"/>
      <c r="T509" s="30"/>
      <c r="U509" s="30"/>
      <c r="V509" s="29" t="str">
        <f>IF(B509=SelectedScope,COUNTIFS($B$4:$B509,SelectedScope),"")</f>
        <v/>
      </c>
    </row>
    <row r="510" spans="1:22" ht="16.05" customHeight="1" x14ac:dyDescent="0.3">
      <c r="A510" s="28">
        <v>507</v>
      </c>
      <c r="B510" s="28" t="s">
        <v>546</v>
      </c>
      <c r="C510" s="28" t="s">
        <v>1499</v>
      </c>
      <c r="D510" s="28" t="s">
        <v>1027</v>
      </c>
      <c r="E510" s="28"/>
      <c r="F510" s="28"/>
      <c r="G510" s="28"/>
      <c r="H510" s="28"/>
      <c r="I510" s="28"/>
      <c r="J510" s="28"/>
      <c r="K510" s="28"/>
      <c r="L510" s="28"/>
      <c r="M510" s="28"/>
      <c r="N510" s="28"/>
      <c r="O510" s="28"/>
      <c r="P510" s="28"/>
      <c r="Q510" s="28"/>
      <c r="R510" s="28"/>
      <c r="S510" s="28"/>
      <c r="T510" s="28"/>
      <c r="U510" s="28"/>
      <c r="V510" s="29" t="str">
        <f>IF(B510=SelectedScope,COUNTIFS($B$4:$B510,SelectedScope),"")</f>
        <v/>
      </c>
    </row>
    <row r="511" spans="1:22" ht="16.05" customHeight="1" x14ac:dyDescent="0.3">
      <c r="A511" s="30">
        <v>508</v>
      </c>
      <c r="B511" s="30" t="s">
        <v>546</v>
      </c>
      <c r="C511" s="30" t="s">
        <v>1500</v>
      </c>
      <c r="D511" s="30" t="s">
        <v>1027</v>
      </c>
      <c r="E511" s="30"/>
      <c r="F511" s="30"/>
      <c r="G511" s="30"/>
      <c r="H511" s="30"/>
      <c r="I511" s="30"/>
      <c r="J511" s="30"/>
      <c r="K511" s="30"/>
      <c r="L511" s="30"/>
      <c r="M511" s="30"/>
      <c r="N511" s="30"/>
      <c r="O511" s="30"/>
      <c r="P511" s="30"/>
      <c r="Q511" s="30"/>
      <c r="R511" s="30"/>
      <c r="S511" s="30"/>
      <c r="T511" s="30"/>
      <c r="U511" s="30"/>
      <c r="V511" s="29" t="str">
        <f>IF(B511=SelectedScope,COUNTIFS($B$4:$B511,SelectedScope),"")</f>
        <v/>
      </c>
    </row>
    <row r="512" spans="1:22" ht="16.05" customHeight="1" x14ac:dyDescent="0.3">
      <c r="A512" s="28">
        <v>509</v>
      </c>
      <c r="B512" s="28" t="s">
        <v>546</v>
      </c>
      <c r="C512" s="28" t="s">
        <v>1501</v>
      </c>
      <c r="D512" s="28" t="s">
        <v>1027</v>
      </c>
      <c r="E512" s="28"/>
      <c r="F512" s="28"/>
      <c r="G512" s="28"/>
      <c r="H512" s="28"/>
      <c r="I512" s="28"/>
      <c r="J512" s="28"/>
      <c r="K512" s="28"/>
      <c r="L512" s="28"/>
      <c r="M512" s="28"/>
      <c r="N512" s="28"/>
      <c r="O512" s="28"/>
      <c r="P512" s="28"/>
      <c r="Q512" s="28"/>
      <c r="R512" s="28"/>
      <c r="S512" s="28"/>
      <c r="T512" s="28"/>
      <c r="U512" s="28"/>
      <c r="V512" s="29" t="str">
        <f>IF(B512=SelectedScope,COUNTIFS($B$4:$B512,SelectedScope),"")</f>
        <v/>
      </c>
    </row>
    <row r="513" spans="1:22" ht="16.05" customHeight="1" x14ac:dyDescent="0.3">
      <c r="A513" s="30">
        <v>510</v>
      </c>
      <c r="B513" s="30" t="s">
        <v>546</v>
      </c>
      <c r="C513" s="30" t="s">
        <v>1502</v>
      </c>
      <c r="D513" s="30" t="s">
        <v>1027</v>
      </c>
      <c r="E513" s="30"/>
      <c r="F513" s="30"/>
      <c r="G513" s="30"/>
      <c r="H513" s="30"/>
      <c r="I513" s="30"/>
      <c r="J513" s="30"/>
      <c r="K513" s="30"/>
      <c r="L513" s="30"/>
      <c r="M513" s="30"/>
      <c r="N513" s="30"/>
      <c r="O513" s="30"/>
      <c r="P513" s="30"/>
      <c r="Q513" s="30"/>
      <c r="R513" s="30"/>
      <c r="S513" s="30"/>
      <c r="T513" s="30"/>
      <c r="U513" s="30"/>
      <c r="V513" s="29" t="str">
        <f>IF(B513=SelectedScope,COUNTIFS($B$4:$B513,SelectedScope),"")</f>
        <v/>
      </c>
    </row>
    <row r="514" spans="1:22" ht="16.05" customHeight="1" x14ac:dyDescent="0.3">
      <c r="A514" s="28">
        <v>511</v>
      </c>
      <c r="B514" s="28" t="s">
        <v>546</v>
      </c>
      <c r="C514" s="28" t="s">
        <v>1503</v>
      </c>
      <c r="D514" s="28" t="s">
        <v>1027</v>
      </c>
      <c r="E514" s="28"/>
      <c r="F514" s="28"/>
      <c r="G514" s="28"/>
      <c r="H514" s="28"/>
      <c r="I514" s="28"/>
      <c r="J514" s="28"/>
      <c r="K514" s="28"/>
      <c r="L514" s="28"/>
      <c r="M514" s="28"/>
      <c r="N514" s="28"/>
      <c r="O514" s="28"/>
      <c r="P514" s="28"/>
      <c r="Q514" s="28"/>
      <c r="R514" s="28"/>
      <c r="S514" s="28"/>
      <c r="T514" s="28"/>
      <c r="U514" s="28"/>
      <c r="V514" s="29" t="str">
        <f>IF(B514=SelectedScope,COUNTIFS($B$4:$B514,SelectedScope),"")</f>
        <v/>
      </c>
    </row>
    <row r="515" spans="1:22" ht="16.05" customHeight="1" x14ac:dyDescent="0.3">
      <c r="A515" s="30">
        <v>512</v>
      </c>
      <c r="B515" s="30" t="s">
        <v>546</v>
      </c>
      <c r="C515" s="30" t="s">
        <v>1504</v>
      </c>
      <c r="D515" s="30" t="s">
        <v>1027</v>
      </c>
      <c r="E515" s="30"/>
      <c r="F515" s="30"/>
      <c r="G515" s="30"/>
      <c r="H515" s="30"/>
      <c r="I515" s="30"/>
      <c r="J515" s="30"/>
      <c r="K515" s="30"/>
      <c r="L515" s="30"/>
      <c r="M515" s="30"/>
      <c r="N515" s="30"/>
      <c r="O515" s="30"/>
      <c r="P515" s="30"/>
      <c r="Q515" s="30"/>
      <c r="R515" s="30"/>
      <c r="S515" s="30"/>
      <c r="T515" s="30"/>
      <c r="U515" s="30"/>
      <c r="V515" s="29" t="str">
        <f>IF(B515=SelectedScope,COUNTIFS($B$4:$B515,SelectedScope),"")</f>
        <v/>
      </c>
    </row>
    <row r="516" spans="1:22" ht="16.05" customHeight="1" x14ac:dyDescent="0.3">
      <c r="A516" s="28">
        <v>513</v>
      </c>
      <c r="B516" s="28" t="s">
        <v>546</v>
      </c>
      <c r="C516" s="28" t="s">
        <v>1505</v>
      </c>
      <c r="D516" s="28" t="s">
        <v>1027</v>
      </c>
      <c r="E516" s="28"/>
      <c r="F516" s="28"/>
      <c r="G516" s="28"/>
      <c r="H516" s="28"/>
      <c r="I516" s="28"/>
      <c r="J516" s="28"/>
      <c r="K516" s="28"/>
      <c r="L516" s="28"/>
      <c r="M516" s="28"/>
      <c r="N516" s="28"/>
      <c r="O516" s="28"/>
      <c r="P516" s="28"/>
      <c r="Q516" s="28"/>
      <c r="R516" s="28"/>
      <c r="S516" s="28"/>
      <c r="T516" s="28"/>
      <c r="U516" s="28"/>
      <c r="V516" s="29" t="str">
        <f>IF(B516=SelectedScope,COUNTIFS($B$4:$B516,SelectedScope),"")</f>
        <v/>
      </c>
    </row>
    <row r="517" spans="1:22" ht="16.05" customHeight="1" x14ac:dyDescent="0.3">
      <c r="A517" s="30">
        <v>514</v>
      </c>
      <c r="B517" s="30" t="s">
        <v>547</v>
      </c>
      <c r="C517" s="30" t="s">
        <v>1506</v>
      </c>
      <c r="D517" s="30" t="s">
        <v>1027</v>
      </c>
      <c r="E517" s="30"/>
      <c r="F517" s="30"/>
      <c r="G517" s="30"/>
      <c r="H517" s="30"/>
      <c r="I517" s="30"/>
      <c r="J517" s="30"/>
      <c r="K517" s="30"/>
      <c r="L517" s="30"/>
      <c r="M517" s="30"/>
      <c r="N517" s="30"/>
      <c r="O517" s="30"/>
      <c r="P517" s="30"/>
      <c r="Q517" s="30"/>
      <c r="R517" s="30"/>
      <c r="S517" s="30"/>
      <c r="T517" s="30"/>
      <c r="U517" s="30"/>
      <c r="V517" s="29" t="str">
        <f>IF(B517=SelectedScope,COUNTIFS($B$4:$B517,SelectedScope),"")</f>
        <v/>
      </c>
    </row>
    <row r="518" spans="1:22" ht="16.05" customHeight="1" x14ac:dyDescent="0.3">
      <c r="A518" s="28">
        <v>515</v>
      </c>
      <c r="B518" s="28" t="s">
        <v>547</v>
      </c>
      <c r="C518" s="28" t="s">
        <v>1507</v>
      </c>
      <c r="D518" s="28" t="s">
        <v>1027</v>
      </c>
      <c r="E518" s="28"/>
      <c r="F518" s="28"/>
      <c r="G518" s="28"/>
      <c r="H518" s="28"/>
      <c r="I518" s="28"/>
      <c r="J518" s="28"/>
      <c r="K518" s="28"/>
      <c r="L518" s="28"/>
      <c r="M518" s="28"/>
      <c r="N518" s="28"/>
      <c r="O518" s="28"/>
      <c r="P518" s="28"/>
      <c r="Q518" s="28"/>
      <c r="R518" s="28"/>
      <c r="S518" s="28"/>
      <c r="T518" s="28"/>
      <c r="U518" s="28"/>
      <c r="V518" s="29" t="str">
        <f>IF(B518=SelectedScope,COUNTIFS($B$4:$B518,SelectedScope),"")</f>
        <v/>
      </c>
    </row>
    <row r="519" spans="1:22" ht="16.05" customHeight="1" x14ac:dyDescent="0.3">
      <c r="A519" s="30">
        <v>516</v>
      </c>
      <c r="B519" s="30" t="s">
        <v>547</v>
      </c>
      <c r="C519" s="30" t="s">
        <v>1508</v>
      </c>
      <c r="D519" s="30" t="s">
        <v>1027</v>
      </c>
      <c r="E519" s="30"/>
      <c r="F519" s="30"/>
      <c r="G519" s="30"/>
      <c r="H519" s="30"/>
      <c r="I519" s="30"/>
      <c r="J519" s="30"/>
      <c r="K519" s="30"/>
      <c r="L519" s="30"/>
      <c r="M519" s="30"/>
      <c r="N519" s="30"/>
      <c r="O519" s="30"/>
      <c r="P519" s="30"/>
      <c r="Q519" s="30"/>
      <c r="R519" s="30"/>
      <c r="S519" s="30"/>
      <c r="T519" s="30"/>
      <c r="U519" s="30"/>
      <c r="V519" s="29" t="str">
        <f>IF(B519=SelectedScope,COUNTIFS($B$4:$B519,SelectedScope),"")</f>
        <v/>
      </c>
    </row>
    <row r="520" spans="1:22" ht="16.05" customHeight="1" x14ac:dyDescent="0.3">
      <c r="A520" s="28">
        <v>517</v>
      </c>
      <c r="B520" s="28" t="s">
        <v>547</v>
      </c>
      <c r="C520" s="28" t="s">
        <v>611</v>
      </c>
      <c r="D520" s="28" t="s">
        <v>1027</v>
      </c>
      <c r="E520" s="28"/>
      <c r="F520" s="28"/>
      <c r="G520" s="28"/>
      <c r="H520" s="28"/>
      <c r="I520" s="28"/>
      <c r="J520" s="28"/>
      <c r="K520" s="28"/>
      <c r="L520" s="28"/>
      <c r="M520" s="28"/>
      <c r="N520" s="28"/>
      <c r="O520" s="28"/>
      <c r="P520" s="28"/>
      <c r="Q520" s="28"/>
      <c r="R520" s="28"/>
      <c r="S520" s="28"/>
      <c r="T520" s="28"/>
      <c r="U520" s="28"/>
      <c r="V520" s="29" t="str">
        <f>IF(B520=SelectedScope,COUNTIFS($B$4:$B520,SelectedScope),"")</f>
        <v/>
      </c>
    </row>
    <row r="521" spans="1:22" ht="16.05" customHeight="1" x14ac:dyDescent="0.3">
      <c r="A521" s="30">
        <v>518</v>
      </c>
      <c r="B521" s="30" t="s">
        <v>547</v>
      </c>
      <c r="C521" s="30" t="s">
        <v>563</v>
      </c>
      <c r="D521" s="30" t="s">
        <v>1027</v>
      </c>
      <c r="E521" s="30"/>
      <c r="F521" s="30"/>
      <c r="G521" s="30"/>
      <c r="H521" s="30"/>
      <c r="I521" s="30"/>
      <c r="J521" s="30"/>
      <c r="K521" s="30"/>
      <c r="L521" s="30"/>
      <c r="M521" s="30"/>
      <c r="N521" s="30"/>
      <c r="O521" s="30"/>
      <c r="P521" s="30"/>
      <c r="Q521" s="30"/>
      <c r="R521" s="30"/>
      <c r="S521" s="30"/>
      <c r="T521" s="30"/>
      <c r="U521" s="30"/>
      <c r="V521" s="29" t="str">
        <f>IF(B521=SelectedScope,COUNTIFS($B$4:$B521,SelectedScope),"")</f>
        <v/>
      </c>
    </row>
    <row r="522" spans="1:22" ht="16.05" customHeight="1" x14ac:dyDescent="0.3">
      <c r="A522" s="28">
        <v>519</v>
      </c>
      <c r="B522" s="28" t="s">
        <v>547</v>
      </c>
      <c r="C522" s="28" t="s">
        <v>1509</v>
      </c>
      <c r="D522" s="28" t="s">
        <v>1027</v>
      </c>
      <c r="E522" s="28"/>
      <c r="F522" s="28"/>
      <c r="G522" s="28"/>
      <c r="H522" s="28"/>
      <c r="I522" s="28"/>
      <c r="J522" s="28"/>
      <c r="K522" s="28"/>
      <c r="L522" s="28"/>
      <c r="M522" s="28"/>
      <c r="N522" s="28"/>
      <c r="O522" s="28"/>
      <c r="P522" s="28"/>
      <c r="Q522" s="28"/>
      <c r="R522" s="28"/>
      <c r="S522" s="28"/>
      <c r="T522" s="28"/>
      <c r="U522" s="28"/>
      <c r="V522" s="29" t="str">
        <f>IF(B522=SelectedScope,COUNTIFS($B$4:$B522,SelectedScope),"")</f>
        <v/>
      </c>
    </row>
    <row r="523" spans="1:22" ht="16.05" customHeight="1" x14ac:dyDescent="0.3">
      <c r="A523" s="30">
        <v>520</v>
      </c>
      <c r="B523" s="30" t="s">
        <v>547</v>
      </c>
      <c r="C523" s="30" t="s">
        <v>1510</v>
      </c>
      <c r="D523" s="30" t="s">
        <v>1027</v>
      </c>
      <c r="E523" s="30"/>
      <c r="F523" s="30"/>
      <c r="G523" s="30"/>
      <c r="H523" s="30"/>
      <c r="I523" s="30"/>
      <c r="J523" s="30"/>
      <c r="K523" s="30"/>
      <c r="L523" s="30"/>
      <c r="M523" s="30"/>
      <c r="N523" s="30"/>
      <c r="O523" s="30"/>
      <c r="P523" s="30"/>
      <c r="Q523" s="30"/>
      <c r="R523" s="30"/>
      <c r="S523" s="30"/>
      <c r="T523" s="30"/>
      <c r="U523" s="30"/>
      <c r="V523" s="29" t="str">
        <f>IF(B523=SelectedScope,COUNTIFS($B$4:$B523,SelectedScope),"")</f>
        <v/>
      </c>
    </row>
    <row r="524" spans="1:22" ht="16.05" customHeight="1" x14ac:dyDescent="0.3">
      <c r="A524" s="28">
        <v>521</v>
      </c>
      <c r="B524" s="28" t="s">
        <v>547</v>
      </c>
      <c r="C524" s="28" t="s">
        <v>1511</v>
      </c>
      <c r="D524" s="28" t="s">
        <v>1027</v>
      </c>
      <c r="E524" s="28"/>
      <c r="F524" s="28"/>
      <c r="G524" s="28"/>
      <c r="H524" s="28"/>
      <c r="I524" s="28"/>
      <c r="J524" s="28"/>
      <c r="K524" s="28"/>
      <c r="L524" s="28"/>
      <c r="M524" s="28"/>
      <c r="N524" s="28"/>
      <c r="O524" s="28"/>
      <c r="P524" s="28"/>
      <c r="Q524" s="28"/>
      <c r="R524" s="28"/>
      <c r="S524" s="28"/>
      <c r="T524" s="28"/>
      <c r="U524" s="28"/>
      <c r="V524" s="29" t="str">
        <f>IF(B524=SelectedScope,COUNTIFS($B$4:$B524,SelectedScope),"")</f>
        <v/>
      </c>
    </row>
    <row r="525" spans="1:22" ht="16.05" customHeight="1" x14ac:dyDescent="0.3">
      <c r="A525" s="30">
        <v>522</v>
      </c>
      <c r="B525" s="30" t="s">
        <v>547</v>
      </c>
      <c r="C525" s="30" t="s">
        <v>1512</v>
      </c>
      <c r="D525" s="30" t="s">
        <v>1027</v>
      </c>
      <c r="E525" s="30"/>
      <c r="F525" s="30"/>
      <c r="G525" s="30"/>
      <c r="H525" s="30"/>
      <c r="I525" s="30"/>
      <c r="J525" s="30"/>
      <c r="K525" s="30"/>
      <c r="L525" s="30"/>
      <c r="M525" s="30"/>
      <c r="N525" s="30"/>
      <c r="O525" s="30"/>
      <c r="P525" s="30"/>
      <c r="Q525" s="30"/>
      <c r="R525" s="30"/>
      <c r="S525" s="30"/>
      <c r="T525" s="30"/>
      <c r="U525" s="30"/>
      <c r="V525" s="29" t="str">
        <f>IF(B525=SelectedScope,COUNTIFS($B$4:$B525,SelectedScope),"")</f>
        <v/>
      </c>
    </row>
    <row r="526" spans="1:22" ht="16.05" customHeight="1" x14ac:dyDescent="0.3">
      <c r="A526" s="28">
        <v>523</v>
      </c>
      <c r="B526" s="28" t="s">
        <v>547</v>
      </c>
      <c r="C526" s="28" t="s">
        <v>1513</v>
      </c>
      <c r="D526" s="28" t="s">
        <v>1027</v>
      </c>
      <c r="E526" s="28"/>
      <c r="F526" s="28"/>
      <c r="G526" s="28"/>
      <c r="H526" s="28"/>
      <c r="I526" s="28"/>
      <c r="J526" s="28"/>
      <c r="K526" s="28"/>
      <c r="L526" s="28"/>
      <c r="M526" s="28"/>
      <c r="N526" s="28"/>
      <c r="O526" s="28"/>
      <c r="P526" s="28"/>
      <c r="Q526" s="28"/>
      <c r="R526" s="28"/>
      <c r="S526" s="28"/>
      <c r="T526" s="28"/>
      <c r="U526" s="28"/>
      <c r="V526" s="29" t="str">
        <f>IF(B526=SelectedScope,COUNTIFS($B$4:$B526,SelectedScope),"")</f>
        <v/>
      </c>
    </row>
    <row r="527" spans="1:22" ht="16.05" customHeight="1" x14ac:dyDescent="0.3">
      <c r="A527" s="30">
        <v>524</v>
      </c>
      <c r="B527" s="30" t="s">
        <v>547</v>
      </c>
      <c r="C527" s="30" t="s">
        <v>1514</v>
      </c>
      <c r="D527" s="30" t="s">
        <v>1027</v>
      </c>
      <c r="E527" s="30"/>
      <c r="F527" s="30"/>
      <c r="G527" s="30"/>
      <c r="H527" s="30"/>
      <c r="I527" s="30"/>
      <c r="J527" s="30"/>
      <c r="K527" s="30"/>
      <c r="L527" s="30"/>
      <c r="M527" s="30"/>
      <c r="N527" s="30"/>
      <c r="O527" s="30"/>
      <c r="P527" s="30"/>
      <c r="Q527" s="30"/>
      <c r="R527" s="30"/>
      <c r="S527" s="30"/>
      <c r="T527" s="30"/>
      <c r="U527" s="30"/>
      <c r="V527" s="29" t="str">
        <f>IF(B527=SelectedScope,COUNTIFS($B$4:$B527,SelectedScope),"")</f>
        <v/>
      </c>
    </row>
    <row r="528" spans="1:22" ht="16.05" customHeight="1" x14ac:dyDescent="0.3">
      <c r="A528" s="28">
        <v>525</v>
      </c>
      <c r="B528" s="28" t="s">
        <v>547</v>
      </c>
      <c r="C528" s="28" t="s">
        <v>1515</v>
      </c>
      <c r="D528" s="28" t="s">
        <v>1027</v>
      </c>
      <c r="E528" s="28"/>
      <c r="F528" s="28"/>
      <c r="G528" s="28"/>
      <c r="H528" s="28"/>
      <c r="I528" s="28"/>
      <c r="J528" s="28"/>
      <c r="K528" s="28"/>
      <c r="L528" s="28"/>
      <c r="M528" s="28"/>
      <c r="N528" s="28"/>
      <c r="O528" s="28"/>
      <c r="P528" s="28"/>
      <c r="Q528" s="28"/>
      <c r="R528" s="28"/>
      <c r="S528" s="28"/>
      <c r="T528" s="28"/>
      <c r="U528" s="28"/>
      <c r="V528" s="29" t="str">
        <f>IF(B528=SelectedScope,COUNTIFS($B$4:$B528,SelectedScope),"")</f>
        <v/>
      </c>
    </row>
    <row r="529" spans="1:22" ht="16.05" customHeight="1" x14ac:dyDescent="0.3">
      <c r="A529" s="30">
        <v>526</v>
      </c>
      <c r="B529" s="30" t="s">
        <v>547</v>
      </c>
      <c r="C529" s="30" t="s">
        <v>1516</v>
      </c>
      <c r="D529" s="30" t="s">
        <v>1027</v>
      </c>
      <c r="E529" s="30"/>
      <c r="F529" s="30"/>
      <c r="G529" s="30"/>
      <c r="H529" s="30"/>
      <c r="I529" s="30"/>
      <c r="J529" s="30"/>
      <c r="K529" s="30"/>
      <c r="L529" s="30"/>
      <c r="M529" s="30"/>
      <c r="N529" s="30"/>
      <c r="O529" s="30"/>
      <c r="P529" s="30"/>
      <c r="Q529" s="30"/>
      <c r="R529" s="30"/>
      <c r="S529" s="30"/>
      <c r="T529" s="30"/>
      <c r="U529" s="30"/>
      <c r="V529" s="29" t="str">
        <f>IF(B529=SelectedScope,COUNTIFS($B$4:$B529,SelectedScope),"")</f>
        <v/>
      </c>
    </row>
    <row r="530" spans="1:22" ht="16.05" customHeight="1" x14ac:dyDescent="0.3">
      <c r="A530" s="28">
        <v>527</v>
      </c>
      <c r="B530" s="28" t="s">
        <v>547</v>
      </c>
      <c r="C530" s="28" t="s">
        <v>1517</v>
      </c>
      <c r="D530" s="28" t="s">
        <v>1027</v>
      </c>
      <c r="E530" s="28"/>
      <c r="F530" s="28"/>
      <c r="G530" s="28"/>
      <c r="H530" s="28"/>
      <c r="I530" s="28"/>
      <c r="J530" s="28"/>
      <c r="K530" s="28"/>
      <c r="L530" s="28"/>
      <c r="M530" s="28"/>
      <c r="N530" s="28"/>
      <c r="O530" s="28"/>
      <c r="P530" s="28"/>
      <c r="Q530" s="28"/>
      <c r="R530" s="28"/>
      <c r="S530" s="28"/>
      <c r="T530" s="28"/>
      <c r="U530" s="28"/>
      <c r="V530" s="29" t="str">
        <f>IF(B530=SelectedScope,COUNTIFS($B$4:$B530,SelectedScope),"")</f>
        <v/>
      </c>
    </row>
    <row r="531" spans="1:22" ht="16.05" customHeight="1" x14ac:dyDescent="0.3">
      <c r="A531" s="30">
        <v>528</v>
      </c>
      <c r="B531" s="30" t="s">
        <v>547</v>
      </c>
      <c r="C531" s="30" t="s">
        <v>1518</v>
      </c>
      <c r="D531" s="30" t="s">
        <v>1027</v>
      </c>
      <c r="E531" s="30"/>
      <c r="F531" s="30"/>
      <c r="G531" s="30"/>
      <c r="H531" s="30"/>
      <c r="I531" s="30"/>
      <c r="J531" s="30"/>
      <c r="K531" s="30"/>
      <c r="L531" s="30"/>
      <c r="M531" s="30"/>
      <c r="N531" s="30"/>
      <c r="O531" s="30"/>
      <c r="P531" s="30"/>
      <c r="Q531" s="30"/>
      <c r="R531" s="30"/>
      <c r="S531" s="30"/>
      <c r="T531" s="30"/>
      <c r="U531" s="30"/>
      <c r="V531" s="29" t="str">
        <f>IF(B531=SelectedScope,COUNTIFS($B$4:$B531,SelectedScope),"")</f>
        <v/>
      </c>
    </row>
    <row r="532" spans="1:22" ht="16.05" customHeight="1" x14ac:dyDescent="0.3">
      <c r="A532" s="28">
        <v>529</v>
      </c>
      <c r="B532" s="28" t="s">
        <v>547</v>
      </c>
      <c r="C532" s="28" t="s">
        <v>1519</v>
      </c>
      <c r="D532" s="28" t="s">
        <v>1027</v>
      </c>
      <c r="E532" s="28"/>
      <c r="F532" s="28"/>
      <c r="G532" s="28"/>
      <c r="H532" s="28"/>
      <c r="I532" s="28"/>
      <c r="J532" s="28"/>
      <c r="K532" s="28"/>
      <c r="L532" s="28"/>
      <c r="M532" s="28"/>
      <c r="N532" s="28"/>
      <c r="O532" s="28"/>
      <c r="P532" s="28"/>
      <c r="Q532" s="28"/>
      <c r="R532" s="28"/>
      <c r="S532" s="28"/>
      <c r="T532" s="28"/>
      <c r="U532" s="28"/>
      <c r="V532" s="29" t="str">
        <f>IF(B532=SelectedScope,COUNTIFS($B$4:$B532,SelectedScope),"")</f>
        <v/>
      </c>
    </row>
    <row r="533" spans="1:22" ht="16.05" customHeight="1" x14ac:dyDescent="0.3">
      <c r="A533" s="30">
        <v>530</v>
      </c>
      <c r="B533" s="30" t="s">
        <v>547</v>
      </c>
      <c r="C533" s="30" t="s">
        <v>1520</v>
      </c>
      <c r="D533" s="30" t="s">
        <v>1027</v>
      </c>
      <c r="E533" s="30"/>
      <c r="F533" s="30"/>
      <c r="G533" s="30"/>
      <c r="H533" s="30"/>
      <c r="I533" s="30"/>
      <c r="J533" s="30"/>
      <c r="K533" s="30"/>
      <c r="L533" s="30"/>
      <c r="M533" s="30"/>
      <c r="N533" s="30"/>
      <c r="O533" s="30"/>
      <c r="P533" s="30"/>
      <c r="Q533" s="30"/>
      <c r="R533" s="30"/>
      <c r="S533" s="30"/>
      <c r="T533" s="30"/>
      <c r="U533" s="30"/>
      <c r="V533" s="29" t="str">
        <f>IF(B533=SelectedScope,COUNTIFS($B$4:$B533,SelectedScope),"")</f>
        <v/>
      </c>
    </row>
    <row r="534" spans="1:22" ht="16.05" customHeight="1" x14ac:dyDescent="0.3">
      <c r="A534" s="28">
        <v>531</v>
      </c>
      <c r="B534" s="28" t="s">
        <v>547</v>
      </c>
      <c r="C534" s="28" t="s">
        <v>562</v>
      </c>
      <c r="D534" s="28" t="s">
        <v>1027</v>
      </c>
      <c r="E534" s="28"/>
      <c r="F534" s="28"/>
      <c r="G534" s="28"/>
      <c r="H534" s="28"/>
      <c r="I534" s="28"/>
      <c r="J534" s="28"/>
      <c r="K534" s="28"/>
      <c r="L534" s="28"/>
      <c r="M534" s="28"/>
      <c r="N534" s="28"/>
      <c r="O534" s="28"/>
      <c r="P534" s="28"/>
      <c r="Q534" s="28"/>
      <c r="R534" s="28"/>
      <c r="S534" s="28"/>
      <c r="T534" s="28"/>
      <c r="U534" s="28"/>
      <c r="V534" s="29" t="str">
        <f>IF(B534=SelectedScope,COUNTIFS($B$4:$B534,SelectedScope),"")</f>
        <v/>
      </c>
    </row>
    <row r="535" spans="1:22" ht="16.05" customHeight="1" x14ac:dyDescent="0.3">
      <c r="A535" s="30">
        <v>532</v>
      </c>
      <c r="B535" s="30" t="s">
        <v>547</v>
      </c>
      <c r="C535" s="30" t="s">
        <v>613</v>
      </c>
      <c r="D535" s="30" t="s">
        <v>1027</v>
      </c>
      <c r="E535" s="30"/>
      <c r="F535" s="30"/>
      <c r="G535" s="30"/>
      <c r="H535" s="30"/>
      <c r="I535" s="30"/>
      <c r="J535" s="30"/>
      <c r="K535" s="30"/>
      <c r="L535" s="30"/>
      <c r="M535" s="30"/>
      <c r="N535" s="30"/>
      <c r="O535" s="30"/>
      <c r="P535" s="30"/>
      <c r="Q535" s="30"/>
      <c r="R535" s="30"/>
      <c r="S535" s="30"/>
      <c r="T535" s="30"/>
      <c r="U535" s="30"/>
      <c r="V535" s="29" t="str">
        <f>IF(B535=SelectedScope,COUNTIFS($B$4:$B535,SelectedScope),"")</f>
        <v/>
      </c>
    </row>
    <row r="536" spans="1:22" ht="16.05" customHeight="1" x14ac:dyDescent="0.3">
      <c r="A536" s="28">
        <v>533</v>
      </c>
      <c r="B536" s="28" t="s">
        <v>547</v>
      </c>
      <c r="C536" s="28" t="s">
        <v>1521</v>
      </c>
      <c r="D536" s="28" t="s">
        <v>1027</v>
      </c>
      <c r="E536" s="28"/>
      <c r="F536" s="28"/>
      <c r="G536" s="28"/>
      <c r="H536" s="28"/>
      <c r="I536" s="28"/>
      <c r="J536" s="28"/>
      <c r="K536" s="28"/>
      <c r="L536" s="28"/>
      <c r="M536" s="28"/>
      <c r="N536" s="28"/>
      <c r="O536" s="28"/>
      <c r="P536" s="28"/>
      <c r="Q536" s="28"/>
      <c r="R536" s="28"/>
      <c r="S536" s="28"/>
      <c r="T536" s="28"/>
      <c r="U536" s="28"/>
      <c r="V536" s="29" t="str">
        <f>IF(B536=SelectedScope,COUNTIFS($B$4:$B536,SelectedScope),"")</f>
        <v/>
      </c>
    </row>
    <row r="537" spans="1:22" ht="16.05" customHeight="1" x14ac:dyDescent="0.3">
      <c r="A537" s="30">
        <v>534</v>
      </c>
      <c r="B537" s="30" t="s">
        <v>547</v>
      </c>
      <c r="C537" s="30" t="s">
        <v>1522</v>
      </c>
      <c r="D537" s="30" t="s">
        <v>1027</v>
      </c>
      <c r="E537" s="30"/>
      <c r="F537" s="30"/>
      <c r="G537" s="30"/>
      <c r="H537" s="30"/>
      <c r="I537" s="30"/>
      <c r="J537" s="30"/>
      <c r="K537" s="30"/>
      <c r="L537" s="30"/>
      <c r="M537" s="30"/>
      <c r="N537" s="30"/>
      <c r="O537" s="30"/>
      <c r="P537" s="30"/>
      <c r="Q537" s="30"/>
      <c r="R537" s="30"/>
      <c r="S537" s="30"/>
      <c r="T537" s="30"/>
      <c r="U537" s="30"/>
      <c r="V537" s="29" t="str">
        <f>IF(B537=SelectedScope,COUNTIFS($B$4:$B537,SelectedScope),"")</f>
        <v/>
      </c>
    </row>
    <row r="538" spans="1:22" ht="16.05" customHeight="1" x14ac:dyDescent="0.3">
      <c r="A538" s="28">
        <v>535</v>
      </c>
      <c r="B538" s="28" t="s">
        <v>547</v>
      </c>
      <c r="C538" s="28" t="s">
        <v>1523</v>
      </c>
      <c r="D538" s="28" t="s">
        <v>1027</v>
      </c>
      <c r="E538" s="28"/>
      <c r="F538" s="28"/>
      <c r="G538" s="28"/>
      <c r="H538" s="28"/>
      <c r="I538" s="28"/>
      <c r="J538" s="28"/>
      <c r="K538" s="28"/>
      <c r="L538" s="28"/>
      <c r="M538" s="28"/>
      <c r="N538" s="28"/>
      <c r="O538" s="28"/>
      <c r="P538" s="28"/>
      <c r="Q538" s="28"/>
      <c r="R538" s="28"/>
      <c r="S538" s="28"/>
      <c r="T538" s="28"/>
      <c r="U538" s="28"/>
      <c r="V538" s="29" t="str">
        <f>IF(B538=SelectedScope,COUNTIFS($B$4:$B538,SelectedScope),"")</f>
        <v/>
      </c>
    </row>
    <row r="539" spans="1:22" ht="16.05" customHeight="1" x14ac:dyDescent="0.3">
      <c r="A539" s="30">
        <v>536</v>
      </c>
      <c r="B539" s="30" t="s">
        <v>547</v>
      </c>
      <c r="C539" s="30" t="s">
        <v>1524</v>
      </c>
      <c r="D539" s="30" t="s">
        <v>1027</v>
      </c>
      <c r="E539" s="30"/>
      <c r="F539" s="30"/>
      <c r="G539" s="30"/>
      <c r="H539" s="30"/>
      <c r="I539" s="30"/>
      <c r="J539" s="30"/>
      <c r="K539" s="30"/>
      <c r="L539" s="30"/>
      <c r="M539" s="30"/>
      <c r="N539" s="30"/>
      <c r="O539" s="30"/>
      <c r="P539" s="30"/>
      <c r="Q539" s="30"/>
      <c r="R539" s="30"/>
      <c r="S539" s="30"/>
      <c r="T539" s="30"/>
      <c r="U539" s="30"/>
      <c r="V539" s="29" t="str">
        <f>IF(B539=SelectedScope,COUNTIFS($B$4:$B539,SelectedScope),"")</f>
        <v/>
      </c>
    </row>
    <row r="540" spans="1:22" ht="16.05" customHeight="1" x14ac:dyDescent="0.3">
      <c r="A540" s="28">
        <v>537</v>
      </c>
      <c r="B540" s="28" t="s">
        <v>547</v>
      </c>
      <c r="C540" s="28" t="s">
        <v>1525</v>
      </c>
      <c r="D540" s="28" t="s">
        <v>1027</v>
      </c>
      <c r="E540" s="28"/>
      <c r="F540" s="28"/>
      <c r="G540" s="28"/>
      <c r="H540" s="28"/>
      <c r="I540" s="28"/>
      <c r="J540" s="28"/>
      <c r="K540" s="28"/>
      <c r="L540" s="28"/>
      <c r="M540" s="28"/>
      <c r="N540" s="28"/>
      <c r="O540" s="28"/>
      <c r="P540" s="28"/>
      <c r="Q540" s="28"/>
      <c r="R540" s="28"/>
      <c r="S540" s="28"/>
      <c r="T540" s="28"/>
      <c r="U540" s="28"/>
      <c r="V540" s="29" t="str">
        <f>IF(B540=SelectedScope,COUNTIFS($B$4:$B540,SelectedScope),"")</f>
        <v/>
      </c>
    </row>
    <row r="541" spans="1:22" ht="16.05" customHeight="1" x14ac:dyDescent="0.3">
      <c r="A541" s="30">
        <v>538</v>
      </c>
      <c r="B541" s="30" t="s">
        <v>547</v>
      </c>
      <c r="C541" s="30" t="s">
        <v>1526</v>
      </c>
      <c r="D541" s="30" t="s">
        <v>1027</v>
      </c>
      <c r="E541" s="30"/>
      <c r="F541" s="30"/>
      <c r="G541" s="30"/>
      <c r="H541" s="30"/>
      <c r="I541" s="30"/>
      <c r="J541" s="30"/>
      <c r="K541" s="30"/>
      <c r="L541" s="30"/>
      <c r="M541" s="30"/>
      <c r="N541" s="30"/>
      <c r="O541" s="30"/>
      <c r="P541" s="30"/>
      <c r="Q541" s="30"/>
      <c r="R541" s="30"/>
      <c r="S541" s="30"/>
      <c r="T541" s="30"/>
      <c r="U541" s="30"/>
      <c r="V541" s="29" t="str">
        <f>IF(B541=SelectedScope,COUNTIFS($B$4:$B541,SelectedScope),"")</f>
        <v/>
      </c>
    </row>
    <row r="542" spans="1:22" ht="16.05" customHeight="1" x14ac:dyDescent="0.3">
      <c r="A542" s="28">
        <v>539</v>
      </c>
      <c r="B542" s="28" t="s">
        <v>547</v>
      </c>
      <c r="C542" s="28" t="s">
        <v>1527</v>
      </c>
      <c r="D542" s="28" t="s">
        <v>1027</v>
      </c>
      <c r="E542" s="28"/>
      <c r="F542" s="28"/>
      <c r="G542" s="28"/>
      <c r="H542" s="28"/>
      <c r="I542" s="28"/>
      <c r="J542" s="28"/>
      <c r="K542" s="28"/>
      <c r="L542" s="28"/>
      <c r="M542" s="28"/>
      <c r="N542" s="28"/>
      <c r="O542" s="28"/>
      <c r="P542" s="28"/>
      <c r="Q542" s="28"/>
      <c r="R542" s="28"/>
      <c r="S542" s="28"/>
      <c r="T542" s="28"/>
      <c r="U542" s="28"/>
      <c r="V542" s="29" t="str">
        <f>IF(B542=SelectedScope,COUNTIFS($B$4:$B542,SelectedScope),"")</f>
        <v/>
      </c>
    </row>
    <row r="543" spans="1:22" ht="16.05" customHeight="1" x14ac:dyDescent="0.3">
      <c r="A543" s="30">
        <v>540</v>
      </c>
      <c r="B543" s="30" t="s">
        <v>547</v>
      </c>
      <c r="C543" s="30" t="s">
        <v>1528</v>
      </c>
      <c r="D543" s="30" t="s">
        <v>1027</v>
      </c>
      <c r="E543" s="30"/>
      <c r="F543" s="30"/>
      <c r="G543" s="30"/>
      <c r="H543" s="30"/>
      <c r="I543" s="30"/>
      <c r="J543" s="30"/>
      <c r="K543" s="30"/>
      <c r="L543" s="30"/>
      <c r="M543" s="30"/>
      <c r="N543" s="30"/>
      <c r="O543" s="30"/>
      <c r="P543" s="30"/>
      <c r="Q543" s="30"/>
      <c r="R543" s="30"/>
      <c r="S543" s="30"/>
      <c r="T543" s="30"/>
      <c r="U543" s="30"/>
      <c r="V543" s="29" t="str">
        <f>IF(B543=SelectedScope,COUNTIFS($B$4:$B543,SelectedScope),"")</f>
        <v/>
      </c>
    </row>
    <row r="544" spans="1:22" ht="16.05" customHeight="1" x14ac:dyDescent="0.3">
      <c r="A544" s="28">
        <v>541</v>
      </c>
      <c r="B544" s="28" t="s">
        <v>547</v>
      </c>
      <c r="C544" s="28" t="s">
        <v>1529</v>
      </c>
      <c r="D544" s="28" t="s">
        <v>1027</v>
      </c>
      <c r="E544" s="28"/>
      <c r="F544" s="28"/>
      <c r="G544" s="28"/>
      <c r="H544" s="28"/>
      <c r="I544" s="28"/>
      <c r="J544" s="28"/>
      <c r="K544" s="28"/>
      <c r="L544" s="28"/>
      <c r="M544" s="28"/>
      <c r="N544" s="28"/>
      <c r="O544" s="28"/>
      <c r="P544" s="28"/>
      <c r="Q544" s="28"/>
      <c r="R544" s="28"/>
      <c r="S544" s="28"/>
      <c r="T544" s="28"/>
      <c r="U544" s="28"/>
      <c r="V544" s="29" t="str">
        <f>IF(B544=SelectedScope,COUNTIFS($B$4:$B544,SelectedScope),"")</f>
        <v/>
      </c>
    </row>
    <row r="545" spans="1:22" ht="16.05" customHeight="1" x14ac:dyDescent="0.3">
      <c r="A545" s="30">
        <v>542</v>
      </c>
      <c r="B545" s="30" t="s">
        <v>547</v>
      </c>
      <c r="C545" s="30" t="s">
        <v>1530</v>
      </c>
      <c r="D545" s="30" t="s">
        <v>1027</v>
      </c>
      <c r="E545" s="30"/>
      <c r="F545" s="30"/>
      <c r="G545" s="30"/>
      <c r="H545" s="30"/>
      <c r="I545" s="30"/>
      <c r="J545" s="30"/>
      <c r="K545" s="30"/>
      <c r="L545" s="30"/>
      <c r="M545" s="30"/>
      <c r="N545" s="30"/>
      <c r="O545" s="30"/>
      <c r="P545" s="30"/>
      <c r="Q545" s="30"/>
      <c r="R545" s="30"/>
      <c r="S545" s="30"/>
      <c r="T545" s="30"/>
      <c r="U545" s="30"/>
      <c r="V545" s="29" t="str">
        <f>IF(B545=SelectedScope,COUNTIFS($B$4:$B545,SelectedScope),"")</f>
        <v/>
      </c>
    </row>
    <row r="546" spans="1:22" ht="16.05" customHeight="1" x14ac:dyDescent="0.3">
      <c r="A546" s="28">
        <v>543</v>
      </c>
      <c r="B546" s="28" t="s">
        <v>547</v>
      </c>
      <c r="C546" s="28" t="s">
        <v>1531</v>
      </c>
      <c r="D546" s="28" t="s">
        <v>1027</v>
      </c>
      <c r="E546" s="28"/>
      <c r="F546" s="28"/>
      <c r="G546" s="28"/>
      <c r="H546" s="28"/>
      <c r="I546" s="28"/>
      <c r="J546" s="28"/>
      <c r="K546" s="28"/>
      <c r="L546" s="28"/>
      <c r="M546" s="28"/>
      <c r="N546" s="28"/>
      <c r="O546" s="28"/>
      <c r="P546" s="28"/>
      <c r="Q546" s="28"/>
      <c r="R546" s="28"/>
      <c r="S546" s="28"/>
      <c r="T546" s="28"/>
      <c r="U546" s="28"/>
      <c r="V546" s="29" t="str">
        <f>IF(B546=SelectedScope,COUNTIFS($B$4:$B546,SelectedScope),"")</f>
        <v/>
      </c>
    </row>
    <row r="547" spans="1:22" ht="16.05" customHeight="1" x14ac:dyDescent="0.3">
      <c r="A547" s="30">
        <v>544</v>
      </c>
      <c r="B547" s="30" t="s">
        <v>547</v>
      </c>
      <c r="C547" s="30" t="s">
        <v>1532</v>
      </c>
      <c r="D547" s="30" t="s">
        <v>1027</v>
      </c>
      <c r="E547" s="30"/>
      <c r="F547" s="30"/>
      <c r="G547" s="30"/>
      <c r="H547" s="30"/>
      <c r="I547" s="30"/>
      <c r="J547" s="30"/>
      <c r="K547" s="30"/>
      <c r="L547" s="30"/>
      <c r="M547" s="30"/>
      <c r="N547" s="30"/>
      <c r="O547" s="30"/>
      <c r="P547" s="30"/>
      <c r="Q547" s="30"/>
      <c r="R547" s="30"/>
      <c r="S547" s="30"/>
      <c r="T547" s="30"/>
      <c r="U547" s="30"/>
      <c r="V547" s="29" t="str">
        <f>IF(B547=SelectedScope,COUNTIFS($B$4:$B547,SelectedScope),"")</f>
        <v/>
      </c>
    </row>
    <row r="548" spans="1:22" ht="16.05" customHeight="1" x14ac:dyDescent="0.3">
      <c r="A548" s="28">
        <v>545</v>
      </c>
      <c r="B548" s="28" t="s">
        <v>547</v>
      </c>
      <c r="C548" s="28" t="s">
        <v>1533</v>
      </c>
      <c r="D548" s="28" t="s">
        <v>1027</v>
      </c>
      <c r="E548" s="28"/>
      <c r="F548" s="28"/>
      <c r="G548" s="28"/>
      <c r="H548" s="28"/>
      <c r="I548" s="28"/>
      <c r="J548" s="28"/>
      <c r="K548" s="28"/>
      <c r="L548" s="28"/>
      <c r="M548" s="28"/>
      <c r="N548" s="28"/>
      <c r="O548" s="28"/>
      <c r="P548" s="28"/>
      <c r="Q548" s="28"/>
      <c r="R548" s="28"/>
      <c r="S548" s="28"/>
      <c r="T548" s="28"/>
      <c r="U548" s="28"/>
      <c r="V548" s="29" t="str">
        <f>IF(B548=SelectedScope,COUNTIFS($B$4:$B548,SelectedScope),"")</f>
        <v/>
      </c>
    </row>
    <row r="549" spans="1:22" ht="16.05" customHeight="1" x14ac:dyDescent="0.3">
      <c r="A549" s="30">
        <v>546</v>
      </c>
      <c r="B549" s="30" t="s">
        <v>547</v>
      </c>
      <c r="C549" s="30" t="s">
        <v>1534</v>
      </c>
      <c r="D549" s="30" t="s">
        <v>1027</v>
      </c>
      <c r="E549" s="30"/>
      <c r="F549" s="30"/>
      <c r="G549" s="30"/>
      <c r="H549" s="30"/>
      <c r="I549" s="30"/>
      <c r="J549" s="30"/>
      <c r="K549" s="30"/>
      <c r="L549" s="30"/>
      <c r="M549" s="30"/>
      <c r="N549" s="30"/>
      <c r="O549" s="30"/>
      <c r="P549" s="30"/>
      <c r="Q549" s="30"/>
      <c r="R549" s="30"/>
      <c r="S549" s="30"/>
      <c r="T549" s="30"/>
      <c r="U549" s="30"/>
      <c r="V549" s="29" t="str">
        <f>IF(B549=SelectedScope,COUNTIFS($B$4:$B549,SelectedScope),"")</f>
        <v/>
      </c>
    </row>
    <row r="550" spans="1:22" ht="16.05" customHeight="1" x14ac:dyDescent="0.3">
      <c r="A550" s="28">
        <v>547</v>
      </c>
      <c r="B550" s="28" t="s">
        <v>548</v>
      </c>
      <c r="C550" s="28" t="s">
        <v>1535</v>
      </c>
      <c r="D550" s="28" t="s">
        <v>1027</v>
      </c>
      <c r="E550" s="28"/>
      <c r="F550" s="28"/>
      <c r="G550" s="28"/>
      <c r="H550" s="28"/>
      <c r="I550" s="28"/>
      <c r="J550" s="28"/>
      <c r="K550" s="28"/>
      <c r="L550" s="28"/>
      <c r="M550" s="28"/>
      <c r="N550" s="28"/>
      <c r="O550" s="28"/>
      <c r="P550" s="28"/>
      <c r="Q550" s="28"/>
      <c r="R550" s="28"/>
      <c r="S550" s="28"/>
      <c r="T550" s="28"/>
      <c r="U550" s="28"/>
      <c r="V550" s="29" t="str">
        <f>IF(B550=SelectedScope,COUNTIFS($B$4:$B550,SelectedScope),"")</f>
        <v/>
      </c>
    </row>
    <row r="551" spans="1:22" ht="16.05" customHeight="1" x14ac:dyDescent="0.3">
      <c r="A551" s="30">
        <v>548</v>
      </c>
      <c r="B551" s="30" t="s">
        <v>548</v>
      </c>
      <c r="C551" s="30" t="s">
        <v>1536</v>
      </c>
      <c r="D551" s="30" t="s">
        <v>1027</v>
      </c>
      <c r="E551" s="30"/>
      <c r="F551" s="30"/>
      <c r="G551" s="30"/>
      <c r="H551" s="30"/>
      <c r="I551" s="30"/>
      <c r="J551" s="30"/>
      <c r="K551" s="30"/>
      <c r="L551" s="30"/>
      <c r="M551" s="30"/>
      <c r="N551" s="30"/>
      <c r="O551" s="30"/>
      <c r="P551" s="30"/>
      <c r="Q551" s="30"/>
      <c r="R551" s="30"/>
      <c r="S551" s="30"/>
      <c r="T551" s="30"/>
      <c r="U551" s="30"/>
      <c r="V551" s="29" t="str">
        <f>IF(B551=SelectedScope,COUNTIFS($B$4:$B551,SelectedScope),"")</f>
        <v/>
      </c>
    </row>
    <row r="552" spans="1:22" ht="16.05" customHeight="1" x14ac:dyDescent="0.3">
      <c r="A552" s="28">
        <v>549</v>
      </c>
      <c r="B552" s="28" t="s">
        <v>548</v>
      </c>
      <c r="C552" s="28" t="s">
        <v>1537</v>
      </c>
      <c r="D552" s="28" t="s">
        <v>1027</v>
      </c>
      <c r="E552" s="28"/>
      <c r="F552" s="28"/>
      <c r="G552" s="28"/>
      <c r="H552" s="28"/>
      <c r="I552" s="28"/>
      <c r="J552" s="28"/>
      <c r="K552" s="28"/>
      <c r="L552" s="28"/>
      <c r="M552" s="28"/>
      <c r="N552" s="28"/>
      <c r="O552" s="28"/>
      <c r="P552" s="28"/>
      <c r="Q552" s="28"/>
      <c r="R552" s="28"/>
      <c r="S552" s="28"/>
      <c r="T552" s="28"/>
      <c r="U552" s="28"/>
      <c r="V552" s="29" t="str">
        <f>IF(B552=SelectedScope,COUNTIFS($B$4:$B552,SelectedScope),"")</f>
        <v/>
      </c>
    </row>
    <row r="553" spans="1:22" ht="16.05" customHeight="1" x14ac:dyDescent="0.3">
      <c r="A553" s="30">
        <v>550</v>
      </c>
      <c r="B553" s="30" t="s">
        <v>548</v>
      </c>
      <c r="C553" s="30" t="s">
        <v>1538</v>
      </c>
      <c r="D553" s="30" t="s">
        <v>1027</v>
      </c>
      <c r="E553" s="30"/>
      <c r="F553" s="30"/>
      <c r="G553" s="30"/>
      <c r="H553" s="30"/>
      <c r="I553" s="30"/>
      <c r="J553" s="30"/>
      <c r="K553" s="30"/>
      <c r="L553" s="30"/>
      <c r="M553" s="30"/>
      <c r="N553" s="30"/>
      <c r="O553" s="30"/>
      <c r="P553" s="30"/>
      <c r="Q553" s="30"/>
      <c r="R553" s="30"/>
      <c r="S553" s="30"/>
      <c r="T553" s="30"/>
      <c r="U553" s="30"/>
      <c r="V553" s="29" t="str">
        <f>IF(B553=SelectedScope,COUNTIFS($B$4:$B553,SelectedScope),"")</f>
        <v/>
      </c>
    </row>
    <row r="554" spans="1:22" ht="16.05" customHeight="1" x14ac:dyDescent="0.3">
      <c r="A554" s="28">
        <v>551</v>
      </c>
      <c r="B554" s="28" t="s">
        <v>548</v>
      </c>
      <c r="C554" s="28" t="s">
        <v>1539</v>
      </c>
      <c r="D554" s="28" t="s">
        <v>1027</v>
      </c>
      <c r="E554" s="28"/>
      <c r="F554" s="28"/>
      <c r="G554" s="28"/>
      <c r="H554" s="28"/>
      <c r="I554" s="28"/>
      <c r="J554" s="28"/>
      <c r="K554" s="28"/>
      <c r="L554" s="28"/>
      <c r="M554" s="28"/>
      <c r="N554" s="28"/>
      <c r="O554" s="28"/>
      <c r="P554" s="28"/>
      <c r="Q554" s="28"/>
      <c r="R554" s="28"/>
      <c r="S554" s="28"/>
      <c r="T554" s="28"/>
      <c r="U554" s="28"/>
      <c r="V554" s="29" t="str">
        <f>IF(B554=SelectedScope,COUNTIFS($B$4:$B554,SelectedScope),"")</f>
        <v/>
      </c>
    </row>
    <row r="555" spans="1:22" ht="16.05" customHeight="1" x14ac:dyDescent="0.3">
      <c r="A555" s="30">
        <v>552</v>
      </c>
      <c r="B555" s="30" t="s">
        <v>548</v>
      </c>
      <c r="C555" s="30" t="s">
        <v>1540</v>
      </c>
      <c r="D555" s="30" t="s">
        <v>1027</v>
      </c>
      <c r="E555" s="30"/>
      <c r="F555" s="30"/>
      <c r="G555" s="30"/>
      <c r="H555" s="30"/>
      <c r="I555" s="30"/>
      <c r="J555" s="30"/>
      <c r="K555" s="30"/>
      <c r="L555" s="30"/>
      <c r="M555" s="30"/>
      <c r="N555" s="30"/>
      <c r="O555" s="30"/>
      <c r="P555" s="30"/>
      <c r="Q555" s="30"/>
      <c r="R555" s="30"/>
      <c r="S555" s="30"/>
      <c r="T555" s="30"/>
      <c r="U555" s="30"/>
      <c r="V555" s="29" t="str">
        <f>IF(B555=SelectedScope,COUNTIFS($B$4:$B555,SelectedScope),"")</f>
        <v/>
      </c>
    </row>
    <row r="556" spans="1:22" ht="16.05" customHeight="1" x14ac:dyDescent="0.3">
      <c r="A556" s="28">
        <v>553</v>
      </c>
      <c r="B556" s="28" t="s">
        <v>549</v>
      </c>
      <c r="C556" s="28" t="s">
        <v>1541</v>
      </c>
      <c r="D556" s="28" t="s">
        <v>1027</v>
      </c>
      <c r="E556" s="28"/>
      <c r="F556" s="28"/>
      <c r="G556" s="28"/>
      <c r="H556" s="28"/>
      <c r="I556" s="28"/>
      <c r="J556" s="28"/>
      <c r="K556" s="28"/>
      <c r="L556" s="28"/>
      <c r="M556" s="28"/>
      <c r="N556" s="28"/>
      <c r="O556" s="28"/>
      <c r="P556" s="28"/>
      <c r="Q556" s="28"/>
      <c r="R556" s="28"/>
      <c r="S556" s="28"/>
      <c r="T556" s="28"/>
      <c r="U556" s="28"/>
      <c r="V556" s="29" t="str">
        <f>IF(B556=SelectedScope,COUNTIFS($B$4:$B556,SelectedScope),"")</f>
        <v/>
      </c>
    </row>
    <row r="557" spans="1:22" ht="16.05" customHeight="1" x14ac:dyDescent="0.3">
      <c r="A557" s="30">
        <v>554</v>
      </c>
      <c r="B557" s="30" t="s">
        <v>549</v>
      </c>
      <c r="C557" s="30" t="s">
        <v>1542</v>
      </c>
      <c r="D557" s="30" t="s">
        <v>1027</v>
      </c>
      <c r="E557" s="30"/>
      <c r="F557" s="30"/>
      <c r="G557" s="30"/>
      <c r="H557" s="30"/>
      <c r="I557" s="30"/>
      <c r="J557" s="30"/>
      <c r="K557" s="30"/>
      <c r="L557" s="30"/>
      <c r="M557" s="30"/>
      <c r="N557" s="30"/>
      <c r="O557" s="30"/>
      <c r="P557" s="30"/>
      <c r="Q557" s="30"/>
      <c r="R557" s="30"/>
      <c r="S557" s="30"/>
      <c r="T557" s="30"/>
      <c r="U557" s="30"/>
      <c r="V557" s="29" t="str">
        <f>IF(B557=SelectedScope,COUNTIFS($B$4:$B557,SelectedScope),"")</f>
        <v/>
      </c>
    </row>
    <row r="558" spans="1:22" ht="16.05" customHeight="1" x14ac:dyDescent="0.3">
      <c r="A558" s="28">
        <v>555</v>
      </c>
      <c r="B558" s="28" t="s">
        <v>549</v>
      </c>
      <c r="C558" s="28" t="s">
        <v>1543</v>
      </c>
      <c r="D558" s="28" t="s">
        <v>1027</v>
      </c>
      <c r="E558" s="28"/>
      <c r="F558" s="28"/>
      <c r="G558" s="28"/>
      <c r="H558" s="28"/>
      <c r="I558" s="28"/>
      <c r="J558" s="28"/>
      <c r="K558" s="28"/>
      <c r="L558" s="28"/>
      <c r="M558" s="28"/>
      <c r="N558" s="28"/>
      <c r="O558" s="28"/>
      <c r="P558" s="28"/>
      <c r="Q558" s="28"/>
      <c r="R558" s="28"/>
      <c r="S558" s="28"/>
      <c r="T558" s="28"/>
      <c r="U558" s="28"/>
      <c r="V558" s="29" t="str">
        <f>IF(B558=SelectedScope,COUNTIFS($B$4:$B558,SelectedScope),"")</f>
        <v/>
      </c>
    </row>
    <row r="559" spans="1:22" ht="16.05" customHeight="1" x14ac:dyDescent="0.3">
      <c r="A559" s="30">
        <v>556</v>
      </c>
      <c r="B559" s="30" t="s">
        <v>549</v>
      </c>
      <c r="C559" s="30" t="s">
        <v>1544</v>
      </c>
      <c r="D559" s="30" t="s">
        <v>1027</v>
      </c>
      <c r="E559" s="30"/>
      <c r="F559" s="30"/>
      <c r="G559" s="30"/>
      <c r="H559" s="30"/>
      <c r="I559" s="30"/>
      <c r="J559" s="30"/>
      <c r="K559" s="30"/>
      <c r="L559" s="30"/>
      <c r="M559" s="30"/>
      <c r="N559" s="30"/>
      <c r="O559" s="30"/>
      <c r="P559" s="30"/>
      <c r="Q559" s="30"/>
      <c r="R559" s="30"/>
      <c r="S559" s="30"/>
      <c r="T559" s="30"/>
      <c r="U559" s="30"/>
      <c r="V559" s="29" t="str">
        <f>IF(B559=SelectedScope,COUNTIFS($B$4:$B559,SelectedScope),"")</f>
        <v/>
      </c>
    </row>
    <row r="560" spans="1:22" ht="16.05" customHeight="1" x14ac:dyDescent="0.3">
      <c r="A560" s="28">
        <v>557</v>
      </c>
      <c r="B560" s="28" t="s">
        <v>549</v>
      </c>
      <c r="C560" s="28" t="s">
        <v>1545</v>
      </c>
      <c r="D560" s="28" t="s">
        <v>1027</v>
      </c>
      <c r="E560" s="28"/>
      <c r="F560" s="28"/>
      <c r="G560" s="28"/>
      <c r="H560" s="28"/>
      <c r="I560" s="28"/>
      <c r="J560" s="28"/>
      <c r="K560" s="28"/>
      <c r="L560" s="28"/>
      <c r="M560" s="28"/>
      <c r="N560" s="28"/>
      <c r="O560" s="28"/>
      <c r="P560" s="28"/>
      <c r="Q560" s="28"/>
      <c r="R560" s="28"/>
      <c r="S560" s="28"/>
      <c r="T560" s="28"/>
      <c r="U560" s="28"/>
      <c r="V560" s="29" t="str">
        <f>IF(B560=SelectedScope,COUNTIFS($B$4:$B560,SelectedScope),"")</f>
        <v/>
      </c>
    </row>
    <row r="561" spans="1:22" ht="16.05" customHeight="1" x14ac:dyDescent="0.3">
      <c r="A561" s="30">
        <v>558</v>
      </c>
      <c r="B561" s="30" t="s">
        <v>549</v>
      </c>
      <c r="C561" s="30" t="s">
        <v>1546</v>
      </c>
      <c r="D561" s="30" t="s">
        <v>1027</v>
      </c>
      <c r="E561" s="30"/>
      <c r="F561" s="30"/>
      <c r="G561" s="30"/>
      <c r="H561" s="30"/>
      <c r="I561" s="30"/>
      <c r="J561" s="30"/>
      <c r="K561" s="30"/>
      <c r="L561" s="30"/>
      <c r="M561" s="30"/>
      <c r="N561" s="30"/>
      <c r="O561" s="30"/>
      <c r="P561" s="30"/>
      <c r="Q561" s="30"/>
      <c r="R561" s="30"/>
      <c r="S561" s="30"/>
      <c r="T561" s="30"/>
      <c r="U561" s="30"/>
      <c r="V561" s="29" t="str">
        <f>IF(B561=SelectedScope,COUNTIFS($B$4:$B561,SelectedScope),"")</f>
        <v/>
      </c>
    </row>
    <row r="562" spans="1:22" ht="16.05" customHeight="1" x14ac:dyDescent="0.3">
      <c r="A562" s="28">
        <v>559</v>
      </c>
      <c r="B562" s="28" t="s">
        <v>549</v>
      </c>
      <c r="C562" s="28" t="s">
        <v>1547</v>
      </c>
      <c r="D562" s="28" t="s">
        <v>1027</v>
      </c>
      <c r="E562" s="28"/>
      <c r="F562" s="28"/>
      <c r="G562" s="28"/>
      <c r="H562" s="28"/>
      <c r="I562" s="28"/>
      <c r="J562" s="28"/>
      <c r="K562" s="28"/>
      <c r="L562" s="28"/>
      <c r="M562" s="28"/>
      <c r="N562" s="28"/>
      <c r="O562" s="28"/>
      <c r="P562" s="28"/>
      <c r="Q562" s="28"/>
      <c r="R562" s="28"/>
      <c r="S562" s="28"/>
      <c r="T562" s="28"/>
      <c r="U562" s="28"/>
      <c r="V562" s="29" t="str">
        <f>IF(B562=SelectedScope,COUNTIFS($B$4:$B562,SelectedScope),"")</f>
        <v/>
      </c>
    </row>
    <row r="563" spans="1:22" ht="16.05" customHeight="1" x14ac:dyDescent="0.3">
      <c r="A563" s="30">
        <v>560</v>
      </c>
      <c r="B563" s="30" t="s">
        <v>549</v>
      </c>
      <c r="C563" s="30" t="s">
        <v>1548</v>
      </c>
      <c r="D563" s="30" t="s">
        <v>1027</v>
      </c>
      <c r="E563" s="30"/>
      <c r="F563" s="30"/>
      <c r="G563" s="30"/>
      <c r="H563" s="30"/>
      <c r="I563" s="30"/>
      <c r="J563" s="30"/>
      <c r="K563" s="30"/>
      <c r="L563" s="30"/>
      <c r="M563" s="30"/>
      <c r="N563" s="30"/>
      <c r="O563" s="30"/>
      <c r="P563" s="30"/>
      <c r="Q563" s="30"/>
      <c r="R563" s="30"/>
      <c r="S563" s="30"/>
      <c r="T563" s="30"/>
      <c r="U563" s="30"/>
      <c r="V563" s="29" t="str">
        <f>IF(B563=SelectedScope,COUNTIFS($B$4:$B563,SelectedScope),"")</f>
        <v/>
      </c>
    </row>
    <row r="564" spans="1:22" ht="16.05" customHeight="1" x14ac:dyDescent="0.3">
      <c r="A564" s="28">
        <v>561</v>
      </c>
      <c r="B564" s="28" t="s">
        <v>549</v>
      </c>
      <c r="C564" s="28" t="s">
        <v>1549</v>
      </c>
      <c r="D564" s="28" t="s">
        <v>1027</v>
      </c>
      <c r="E564" s="28"/>
      <c r="F564" s="28"/>
      <c r="G564" s="28"/>
      <c r="H564" s="28"/>
      <c r="I564" s="28"/>
      <c r="J564" s="28"/>
      <c r="K564" s="28"/>
      <c r="L564" s="28"/>
      <c r="M564" s="28"/>
      <c r="N564" s="28"/>
      <c r="O564" s="28"/>
      <c r="P564" s="28"/>
      <c r="Q564" s="28"/>
      <c r="R564" s="28"/>
      <c r="S564" s="28"/>
      <c r="T564" s="28"/>
      <c r="U564" s="28"/>
      <c r="V564" s="29" t="str">
        <f>IF(B564=SelectedScope,COUNTIFS($B$4:$B564,SelectedScope),"")</f>
        <v/>
      </c>
    </row>
    <row r="565" spans="1:22" ht="16.05" customHeight="1" x14ac:dyDescent="0.3">
      <c r="A565" s="30">
        <v>562</v>
      </c>
      <c r="B565" s="30" t="s">
        <v>549</v>
      </c>
      <c r="C565" s="30" t="s">
        <v>1550</v>
      </c>
      <c r="D565" s="30" t="s">
        <v>1027</v>
      </c>
      <c r="E565" s="30"/>
      <c r="F565" s="30"/>
      <c r="G565" s="30"/>
      <c r="H565" s="30"/>
      <c r="I565" s="30"/>
      <c r="J565" s="30"/>
      <c r="K565" s="30"/>
      <c r="L565" s="30"/>
      <c r="M565" s="30"/>
      <c r="N565" s="30"/>
      <c r="O565" s="30"/>
      <c r="P565" s="30"/>
      <c r="Q565" s="30"/>
      <c r="R565" s="30"/>
      <c r="S565" s="30"/>
      <c r="T565" s="30"/>
      <c r="U565" s="30"/>
      <c r="V565" s="29" t="str">
        <f>IF(B565=SelectedScope,COUNTIFS($B$4:$B565,SelectedScope),"")</f>
        <v/>
      </c>
    </row>
    <row r="566" spans="1:22" ht="16.05" customHeight="1" x14ac:dyDescent="0.3">
      <c r="A566" s="28">
        <v>563</v>
      </c>
      <c r="B566" s="28" t="s">
        <v>549</v>
      </c>
      <c r="C566" s="28" t="s">
        <v>1551</v>
      </c>
      <c r="D566" s="28" t="s">
        <v>1027</v>
      </c>
      <c r="E566" s="28"/>
      <c r="F566" s="28"/>
      <c r="G566" s="28"/>
      <c r="H566" s="28"/>
      <c r="I566" s="28"/>
      <c r="J566" s="28"/>
      <c r="K566" s="28"/>
      <c r="L566" s="28"/>
      <c r="M566" s="28"/>
      <c r="N566" s="28"/>
      <c r="O566" s="28"/>
      <c r="P566" s="28"/>
      <c r="Q566" s="28"/>
      <c r="R566" s="28"/>
      <c r="S566" s="28"/>
      <c r="T566" s="28"/>
      <c r="U566" s="28"/>
      <c r="V566" s="29" t="str">
        <f>IF(B566=SelectedScope,COUNTIFS($B$4:$B566,SelectedScope),"")</f>
        <v/>
      </c>
    </row>
    <row r="567" spans="1:22" ht="16.05" customHeight="1" x14ac:dyDescent="0.3">
      <c r="A567" s="30">
        <v>564</v>
      </c>
      <c r="B567" s="30" t="s">
        <v>549</v>
      </c>
      <c r="C567" s="30" t="s">
        <v>1552</v>
      </c>
      <c r="D567" s="30" t="s">
        <v>1027</v>
      </c>
      <c r="E567" s="30"/>
      <c r="F567" s="30"/>
      <c r="G567" s="30"/>
      <c r="H567" s="30"/>
      <c r="I567" s="30"/>
      <c r="J567" s="30"/>
      <c r="K567" s="30"/>
      <c r="L567" s="30"/>
      <c r="M567" s="30"/>
      <c r="N567" s="30"/>
      <c r="O567" s="30"/>
      <c r="P567" s="30"/>
      <c r="Q567" s="30"/>
      <c r="R567" s="30"/>
      <c r="S567" s="30"/>
      <c r="T567" s="30"/>
      <c r="U567" s="30"/>
      <c r="V567" s="29" t="str">
        <f>IF(B567=SelectedScope,COUNTIFS($B$4:$B567,SelectedScope),"")</f>
        <v/>
      </c>
    </row>
    <row r="568" spans="1:22" ht="16.05" customHeight="1" x14ac:dyDescent="0.3">
      <c r="A568" s="28">
        <v>565</v>
      </c>
      <c r="B568" s="28" t="s">
        <v>549</v>
      </c>
      <c r="C568" s="28" t="s">
        <v>1553</v>
      </c>
      <c r="D568" s="28" t="s">
        <v>1027</v>
      </c>
      <c r="E568" s="28"/>
      <c r="F568" s="28"/>
      <c r="G568" s="28"/>
      <c r="H568" s="28"/>
      <c r="I568" s="28"/>
      <c r="J568" s="28"/>
      <c r="K568" s="28"/>
      <c r="L568" s="28"/>
      <c r="M568" s="28"/>
      <c r="N568" s="28"/>
      <c r="O568" s="28"/>
      <c r="P568" s="28"/>
      <c r="Q568" s="28"/>
      <c r="R568" s="28"/>
      <c r="S568" s="28"/>
      <c r="T568" s="28"/>
      <c r="U568" s="28"/>
      <c r="V568" s="29" t="str">
        <f>IF(B568=SelectedScope,COUNTIFS($B$4:$B568,SelectedScope),"")</f>
        <v/>
      </c>
    </row>
    <row r="569" spans="1:22" ht="16.05" customHeight="1" x14ac:dyDescent="0.3">
      <c r="A569" s="30">
        <v>566</v>
      </c>
      <c r="B569" s="30" t="s">
        <v>549</v>
      </c>
      <c r="C569" s="30" t="s">
        <v>1554</v>
      </c>
      <c r="D569" s="30" t="s">
        <v>1027</v>
      </c>
      <c r="E569" s="30"/>
      <c r="F569" s="30"/>
      <c r="G569" s="30"/>
      <c r="H569" s="30"/>
      <c r="I569" s="30"/>
      <c r="J569" s="30"/>
      <c r="K569" s="30"/>
      <c r="L569" s="30"/>
      <c r="M569" s="30"/>
      <c r="N569" s="30"/>
      <c r="O569" s="30"/>
      <c r="P569" s="30"/>
      <c r="Q569" s="30"/>
      <c r="R569" s="30"/>
      <c r="S569" s="30"/>
      <c r="T569" s="30"/>
      <c r="U569" s="30"/>
      <c r="V569" s="29" t="str">
        <f>IF(B569=SelectedScope,COUNTIFS($B$4:$B569,SelectedScope),"")</f>
        <v/>
      </c>
    </row>
    <row r="570" spans="1:22" ht="16.05" customHeight="1" x14ac:dyDescent="0.3">
      <c r="A570" s="28">
        <v>567</v>
      </c>
      <c r="B570" s="28" t="s">
        <v>549</v>
      </c>
      <c r="C570" s="28" t="s">
        <v>1555</v>
      </c>
      <c r="D570" s="28" t="s">
        <v>1027</v>
      </c>
      <c r="E570" s="28"/>
      <c r="F570" s="28"/>
      <c r="G570" s="28"/>
      <c r="H570" s="28"/>
      <c r="I570" s="28"/>
      <c r="J570" s="28"/>
      <c r="K570" s="28"/>
      <c r="L570" s="28"/>
      <c r="M570" s="28"/>
      <c r="N570" s="28"/>
      <c r="O570" s="28"/>
      <c r="P570" s="28"/>
      <c r="Q570" s="28"/>
      <c r="R570" s="28"/>
      <c r="S570" s="28"/>
      <c r="T570" s="28"/>
      <c r="U570" s="28"/>
      <c r="V570" s="29" t="str">
        <f>IF(B570=SelectedScope,COUNTIFS($B$4:$B570,SelectedScope),"")</f>
        <v/>
      </c>
    </row>
    <row r="571" spans="1:22" ht="16.05" customHeight="1" x14ac:dyDescent="0.3">
      <c r="A571" s="30">
        <v>568</v>
      </c>
      <c r="B571" s="30" t="s">
        <v>549</v>
      </c>
      <c r="C571" s="30" t="s">
        <v>1556</v>
      </c>
      <c r="D571" s="30" t="s">
        <v>1027</v>
      </c>
      <c r="E571" s="30"/>
      <c r="F571" s="30"/>
      <c r="G571" s="30"/>
      <c r="H571" s="30"/>
      <c r="I571" s="30"/>
      <c r="J571" s="30"/>
      <c r="K571" s="30"/>
      <c r="L571" s="30"/>
      <c r="M571" s="30"/>
      <c r="N571" s="30"/>
      <c r="O571" s="30"/>
      <c r="P571" s="30"/>
      <c r="Q571" s="30"/>
      <c r="R571" s="30"/>
      <c r="S571" s="30"/>
      <c r="T571" s="30"/>
      <c r="U571" s="30"/>
      <c r="V571" s="29" t="str">
        <f>IF(B571=SelectedScope,COUNTIFS($B$4:$B571,SelectedScope),"")</f>
        <v/>
      </c>
    </row>
    <row r="572" spans="1:22" ht="16.05" customHeight="1" x14ac:dyDescent="0.3">
      <c r="A572" s="28">
        <v>569</v>
      </c>
      <c r="B572" s="28" t="s">
        <v>549</v>
      </c>
      <c r="C572" s="28" t="s">
        <v>1557</v>
      </c>
      <c r="D572" s="28" t="s">
        <v>1027</v>
      </c>
      <c r="E572" s="28"/>
      <c r="F572" s="28"/>
      <c r="G572" s="28"/>
      <c r="H572" s="28"/>
      <c r="I572" s="28"/>
      <c r="J572" s="28"/>
      <c r="K572" s="28"/>
      <c r="L572" s="28"/>
      <c r="M572" s="28"/>
      <c r="N572" s="28"/>
      <c r="O572" s="28"/>
      <c r="P572" s="28"/>
      <c r="Q572" s="28"/>
      <c r="R572" s="28"/>
      <c r="S572" s="28"/>
      <c r="T572" s="28"/>
      <c r="U572" s="28"/>
      <c r="V572" s="29" t="str">
        <f>IF(B572=SelectedScope,COUNTIFS($B$4:$B572,SelectedScope),"")</f>
        <v/>
      </c>
    </row>
    <row r="573" spans="1:22" ht="16.05" customHeight="1" x14ac:dyDescent="0.3">
      <c r="A573" s="30">
        <v>570</v>
      </c>
      <c r="B573" s="30" t="s">
        <v>549</v>
      </c>
      <c r="C573" s="30" t="s">
        <v>1558</v>
      </c>
      <c r="D573" s="30" t="s">
        <v>1027</v>
      </c>
      <c r="E573" s="30"/>
      <c r="F573" s="30"/>
      <c r="G573" s="30"/>
      <c r="H573" s="30"/>
      <c r="I573" s="30"/>
      <c r="J573" s="30"/>
      <c r="K573" s="30"/>
      <c r="L573" s="30"/>
      <c r="M573" s="30"/>
      <c r="N573" s="30"/>
      <c r="O573" s="30"/>
      <c r="P573" s="30"/>
      <c r="Q573" s="30"/>
      <c r="R573" s="30"/>
      <c r="S573" s="30"/>
      <c r="T573" s="30"/>
      <c r="U573" s="30"/>
      <c r="V573" s="29" t="str">
        <f>IF(B573=SelectedScope,COUNTIFS($B$4:$B573,SelectedScope),"")</f>
        <v/>
      </c>
    </row>
    <row r="574" spans="1:22" ht="16.05" customHeight="1" x14ac:dyDescent="0.3">
      <c r="A574" s="28">
        <v>571</v>
      </c>
      <c r="B574" s="28" t="s">
        <v>549</v>
      </c>
      <c r="C574" s="28" t="s">
        <v>1559</v>
      </c>
      <c r="D574" s="28" t="s">
        <v>1027</v>
      </c>
      <c r="E574" s="28"/>
      <c r="F574" s="28"/>
      <c r="G574" s="28"/>
      <c r="H574" s="28"/>
      <c r="I574" s="28"/>
      <c r="J574" s="28"/>
      <c r="K574" s="28"/>
      <c r="L574" s="28"/>
      <c r="M574" s="28"/>
      <c r="N574" s="28"/>
      <c r="O574" s="28"/>
      <c r="P574" s="28"/>
      <c r="Q574" s="28"/>
      <c r="R574" s="28"/>
      <c r="S574" s="28"/>
      <c r="T574" s="28"/>
      <c r="U574" s="28"/>
      <c r="V574" s="29" t="str">
        <f>IF(B574=SelectedScope,COUNTIFS($B$4:$B574,SelectedScope),"")</f>
        <v/>
      </c>
    </row>
    <row r="575" spans="1:22" ht="16.05" customHeight="1" x14ac:dyDescent="0.3">
      <c r="A575" s="30">
        <v>572</v>
      </c>
      <c r="B575" s="30" t="s">
        <v>549</v>
      </c>
      <c r="C575" s="30" t="s">
        <v>1560</v>
      </c>
      <c r="D575" s="30" t="s">
        <v>1027</v>
      </c>
      <c r="E575" s="30"/>
      <c r="F575" s="30"/>
      <c r="G575" s="30"/>
      <c r="H575" s="30"/>
      <c r="I575" s="30"/>
      <c r="J575" s="30"/>
      <c r="K575" s="30"/>
      <c r="L575" s="30"/>
      <c r="M575" s="30"/>
      <c r="N575" s="30"/>
      <c r="O575" s="30"/>
      <c r="P575" s="30"/>
      <c r="Q575" s="30"/>
      <c r="R575" s="30"/>
      <c r="S575" s="30"/>
      <c r="T575" s="30"/>
      <c r="U575" s="30"/>
      <c r="V575" s="29" t="str">
        <f>IF(B575=SelectedScope,COUNTIFS($B$4:$B575,SelectedScope),"")</f>
        <v/>
      </c>
    </row>
    <row r="576" spans="1:22" ht="16.05" customHeight="1" x14ac:dyDescent="0.3">
      <c r="A576" s="28">
        <v>573</v>
      </c>
      <c r="B576" s="28" t="s">
        <v>549</v>
      </c>
      <c r="C576" s="28" t="s">
        <v>1561</v>
      </c>
      <c r="D576" s="28" t="s">
        <v>1027</v>
      </c>
      <c r="E576" s="28"/>
      <c r="F576" s="28"/>
      <c r="G576" s="28"/>
      <c r="H576" s="28"/>
      <c r="I576" s="28"/>
      <c r="J576" s="28"/>
      <c r="K576" s="28"/>
      <c r="L576" s="28"/>
      <c r="M576" s="28"/>
      <c r="N576" s="28"/>
      <c r="O576" s="28"/>
      <c r="P576" s="28"/>
      <c r="Q576" s="28"/>
      <c r="R576" s="28"/>
      <c r="S576" s="28"/>
      <c r="T576" s="28"/>
      <c r="U576" s="28"/>
      <c r="V576" s="29" t="str">
        <f>IF(B576=SelectedScope,COUNTIFS($B$4:$B576,SelectedScope),"")</f>
        <v/>
      </c>
    </row>
    <row r="577" spans="1:22" ht="16.05" customHeight="1" x14ac:dyDescent="0.3">
      <c r="A577" s="30">
        <v>574</v>
      </c>
      <c r="B577" s="30" t="s">
        <v>549</v>
      </c>
      <c r="C577" s="30" t="s">
        <v>1562</v>
      </c>
      <c r="D577" s="30" t="s">
        <v>1027</v>
      </c>
      <c r="E577" s="30"/>
      <c r="F577" s="30"/>
      <c r="G577" s="30"/>
      <c r="H577" s="30"/>
      <c r="I577" s="30"/>
      <c r="J577" s="30"/>
      <c r="K577" s="30"/>
      <c r="L577" s="30"/>
      <c r="M577" s="30"/>
      <c r="N577" s="30"/>
      <c r="O577" s="30"/>
      <c r="P577" s="30"/>
      <c r="Q577" s="30"/>
      <c r="R577" s="30"/>
      <c r="S577" s="30"/>
      <c r="T577" s="30"/>
      <c r="U577" s="30"/>
      <c r="V577" s="29" t="str">
        <f>IF(B577=SelectedScope,COUNTIFS($B$4:$B577,SelectedScope),"")</f>
        <v/>
      </c>
    </row>
    <row r="578" spans="1:22" ht="16.05" customHeight="1" x14ac:dyDescent="0.3">
      <c r="A578" s="28">
        <v>575</v>
      </c>
      <c r="B578" s="28" t="s">
        <v>549</v>
      </c>
      <c r="C578" s="28" t="s">
        <v>1563</v>
      </c>
      <c r="D578" s="28" t="s">
        <v>1027</v>
      </c>
      <c r="E578" s="28"/>
      <c r="F578" s="28"/>
      <c r="G578" s="28"/>
      <c r="H578" s="28"/>
      <c r="I578" s="28"/>
      <c r="J578" s="28"/>
      <c r="K578" s="28"/>
      <c r="L578" s="28"/>
      <c r="M578" s="28"/>
      <c r="N578" s="28"/>
      <c r="O578" s="28"/>
      <c r="P578" s="28"/>
      <c r="Q578" s="28"/>
      <c r="R578" s="28"/>
      <c r="S578" s="28"/>
      <c r="T578" s="28"/>
      <c r="U578" s="28"/>
      <c r="V578" s="29" t="str">
        <f>IF(B578=SelectedScope,COUNTIFS($B$4:$B578,SelectedScope),"")</f>
        <v/>
      </c>
    </row>
    <row r="579" spans="1:22" ht="16.05" customHeight="1" x14ac:dyDescent="0.3">
      <c r="A579" s="30">
        <v>576</v>
      </c>
      <c r="B579" s="30" t="s">
        <v>549</v>
      </c>
      <c r="C579" s="30" t="s">
        <v>1564</v>
      </c>
      <c r="D579" s="30" t="s">
        <v>1027</v>
      </c>
      <c r="E579" s="30"/>
      <c r="F579" s="30"/>
      <c r="G579" s="30"/>
      <c r="H579" s="30"/>
      <c r="I579" s="30"/>
      <c r="J579" s="30"/>
      <c r="K579" s="30"/>
      <c r="L579" s="30"/>
      <c r="M579" s="30"/>
      <c r="N579" s="30"/>
      <c r="O579" s="30"/>
      <c r="P579" s="30"/>
      <c r="Q579" s="30"/>
      <c r="R579" s="30"/>
      <c r="S579" s="30"/>
      <c r="T579" s="30"/>
      <c r="U579" s="30"/>
      <c r="V579" s="29" t="str">
        <f>IF(B579=SelectedScope,COUNTIFS($B$4:$B579,SelectedScope),"")</f>
        <v/>
      </c>
    </row>
    <row r="580" spans="1:22" ht="16.05" customHeight="1" x14ac:dyDescent="0.3">
      <c r="A580" s="28">
        <v>577</v>
      </c>
      <c r="B580" s="28" t="s">
        <v>549</v>
      </c>
      <c r="C580" s="28" t="s">
        <v>1565</v>
      </c>
      <c r="D580" s="28" t="s">
        <v>1027</v>
      </c>
      <c r="E580" s="28"/>
      <c r="F580" s="28"/>
      <c r="G580" s="28"/>
      <c r="H580" s="28"/>
      <c r="I580" s="28"/>
      <c r="J580" s="28"/>
      <c r="K580" s="28"/>
      <c r="L580" s="28"/>
      <c r="M580" s="28"/>
      <c r="N580" s="28"/>
      <c r="O580" s="28"/>
      <c r="P580" s="28"/>
      <c r="Q580" s="28"/>
      <c r="R580" s="28"/>
      <c r="S580" s="28"/>
      <c r="T580" s="28"/>
      <c r="U580" s="28"/>
      <c r="V580" s="29" t="str">
        <f>IF(B580=SelectedScope,COUNTIFS($B$4:$B580,SelectedScope),"")</f>
        <v/>
      </c>
    </row>
    <row r="581" spans="1:22" ht="16.05" customHeight="1" x14ac:dyDescent="0.3">
      <c r="A581" s="30">
        <v>578</v>
      </c>
      <c r="B581" s="30" t="s">
        <v>549</v>
      </c>
      <c r="C581" s="30" t="s">
        <v>1566</v>
      </c>
      <c r="D581" s="30" t="s">
        <v>1027</v>
      </c>
      <c r="E581" s="30"/>
      <c r="F581" s="30"/>
      <c r="G581" s="30"/>
      <c r="H581" s="30"/>
      <c r="I581" s="30"/>
      <c r="J581" s="30"/>
      <c r="K581" s="30"/>
      <c r="L581" s="30"/>
      <c r="M581" s="30"/>
      <c r="N581" s="30"/>
      <c r="O581" s="30"/>
      <c r="P581" s="30"/>
      <c r="Q581" s="30"/>
      <c r="R581" s="30"/>
      <c r="S581" s="30"/>
      <c r="T581" s="30"/>
      <c r="U581" s="30"/>
      <c r="V581" s="29" t="str">
        <f>IF(B581=SelectedScope,COUNTIFS($B$4:$B581,SelectedScope),"")</f>
        <v/>
      </c>
    </row>
    <row r="582" spans="1:22" ht="16.05" customHeight="1" x14ac:dyDescent="0.3">
      <c r="A582" s="28">
        <v>579</v>
      </c>
      <c r="B582" s="28" t="s">
        <v>549</v>
      </c>
      <c r="C582" s="28" t="s">
        <v>1567</v>
      </c>
      <c r="D582" s="28" t="s">
        <v>1027</v>
      </c>
      <c r="E582" s="28"/>
      <c r="F582" s="28"/>
      <c r="G582" s="28"/>
      <c r="H582" s="28"/>
      <c r="I582" s="28"/>
      <c r="J582" s="28"/>
      <c r="K582" s="28"/>
      <c r="L582" s="28"/>
      <c r="M582" s="28"/>
      <c r="N582" s="28"/>
      <c r="O582" s="28"/>
      <c r="P582" s="28"/>
      <c r="Q582" s="28"/>
      <c r="R582" s="28"/>
      <c r="S582" s="28"/>
      <c r="T582" s="28"/>
      <c r="U582" s="28"/>
      <c r="V582" s="29" t="str">
        <f>IF(B582=SelectedScope,COUNTIFS($B$4:$B582,SelectedScope),"")</f>
        <v/>
      </c>
    </row>
    <row r="583" spans="1:22" ht="16.05" customHeight="1" x14ac:dyDescent="0.3">
      <c r="A583" s="30">
        <v>580</v>
      </c>
      <c r="B583" s="30" t="s">
        <v>549</v>
      </c>
      <c r="C583" s="30" t="s">
        <v>1568</v>
      </c>
      <c r="D583" s="30" t="s">
        <v>1027</v>
      </c>
      <c r="E583" s="30"/>
      <c r="F583" s="30"/>
      <c r="G583" s="30"/>
      <c r="H583" s="30"/>
      <c r="I583" s="30"/>
      <c r="J583" s="30"/>
      <c r="K583" s="30"/>
      <c r="L583" s="30"/>
      <c r="M583" s="30"/>
      <c r="N583" s="30"/>
      <c r="O583" s="30"/>
      <c r="P583" s="30"/>
      <c r="Q583" s="30"/>
      <c r="R583" s="30"/>
      <c r="S583" s="30"/>
      <c r="T583" s="30"/>
      <c r="U583" s="30"/>
      <c r="V583" s="29" t="str">
        <f>IF(B583=SelectedScope,COUNTIFS($B$4:$B583,SelectedScope),"")</f>
        <v/>
      </c>
    </row>
    <row r="584" spans="1:22" ht="16.05" customHeight="1" x14ac:dyDescent="0.3">
      <c r="A584" s="28">
        <v>581</v>
      </c>
      <c r="B584" s="28" t="s">
        <v>549</v>
      </c>
      <c r="C584" s="28" t="s">
        <v>1569</v>
      </c>
      <c r="D584" s="28" t="s">
        <v>1027</v>
      </c>
      <c r="E584" s="28"/>
      <c r="F584" s="28"/>
      <c r="G584" s="28"/>
      <c r="H584" s="28"/>
      <c r="I584" s="28"/>
      <c r="J584" s="28"/>
      <c r="K584" s="28"/>
      <c r="L584" s="28"/>
      <c r="M584" s="28"/>
      <c r="N584" s="28"/>
      <c r="O584" s="28"/>
      <c r="P584" s="28"/>
      <c r="Q584" s="28"/>
      <c r="R584" s="28"/>
      <c r="S584" s="28"/>
      <c r="T584" s="28"/>
      <c r="U584" s="28"/>
      <c r="V584" s="29" t="str">
        <f>IF(B584=SelectedScope,COUNTIFS($B$4:$B584,SelectedScope),"")</f>
        <v/>
      </c>
    </row>
    <row r="585" spans="1:22" ht="16.05" customHeight="1" x14ac:dyDescent="0.3">
      <c r="A585" s="30">
        <v>582</v>
      </c>
      <c r="B585" s="30" t="s">
        <v>549</v>
      </c>
      <c r="C585" s="30" t="s">
        <v>1570</v>
      </c>
      <c r="D585" s="30" t="s">
        <v>1027</v>
      </c>
      <c r="E585" s="30"/>
      <c r="F585" s="30"/>
      <c r="G585" s="30"/>
      <c r="H585" s="30"/>
      <c r="I585" s="30"/>
      <c r="J585" s="30"/>
      <c r="K585" s="30"/>
      <c r="L585" s="30"/>
      <c r="M585" s="30"/>
      <c r="N585" s="30"/>
      <c r="O585" s="30"/>
      <c r="P585" s="30"/>
      <c r="Q585" s="30"/>
      <c r="R585" s="30"/>
      <c r="S585" s="30"/>
      <c r="T585" s="30"/>
      <c r="U585" s="30"/>
      <c r="V585" s="29" t="str">
        <f>IF(B585=SelectedScope,COUNTIFS($B$4:$B585,SelectedScope),"")</f>
        <v/>
      </c>
    </row>
    <row r="586" spans="1:22" ht="16.05" customHeight="1" x14ac:dyDescent="0.3">
      <c r="A586" s="28">
        <v>583</v>
      </c>
      <c r="B586" s="28" t="s">
        <v>549</v>
      </c>
      <c r="C586" s="28" t="s">
        <v>1571</v>
      </c>
      <c r="D586" s="28" t="s">
        <v>1027</v>
      </c>
      <c r="E586" s="28"/>
      <c r="F586" s="28"/>
      <c r="G586" s="28"/>
      <c r="H586" s="28"/>
      <c r="I586" s="28"/>
      <c r="J586" s="28"/>
      <c r="K586" s="28"/>
      <c r="L586" s="28"/>
      <c r="M586" s="28"/>
      <c r="N586" s="28"/>
      <c r="O586" s="28"/>
      <c r="P586" s="28"/>
      <c r="Q586" s="28"/>
      <c r="R586" s="28"/>
      <c r="S586" s="28"/>
      <c r="T586" s="28"/>
      <c r="U586" s="28"/>
      <c r="V586" s="29" t="str">
        <f>IF(B586=SelectedScope,COUNTIFS($B$4:$B586,SelectedScope),"")</f>
        <v/>
      </c>
    </row>
    <row r="587" spans="1:22" ht="16.05" customHeight="1" x14ac:dyDescent="0.3">
      <c r="A587" s="30">
        <v>584</v>
      </c>
      <c r="B587" s="30" t="s">
        <v>549</v>
      </c>
      <c r="C587" s="30" t="s">
        <v>1572</v>
      </c>
      <c r="D587" s="30" t="s">
        <v>1027</v>
      </c>
      <c r="E587" s="30"/>
      <c r="F587" s="30"/>
      <c r="G587" s="30"/>
      <c r="H587" s="30"/>
      <c r="I587" s="30"/>
      <c r="J587" s="30"/>
      <c r="K587" s="30"/>
      <c r="L587" s="30"/>
      <c r="M587" s="30"/>
      <c r="N587" s="30"/>
      <c r="O587" s="30"/>
      <c r="P587" s="30"/>
      <c r="Q587" s="30"/>
      <c r="R587" s="30"/>
      <c r="S587" s="30"/>
      <c r="T587" s="30"/>
      <c r="U587" s="30"/>
      <c r="V587" s="29" t="str">
        <f>IF(B587=SelectedScope,COUNTIFS($B$4:$B587,SelectedScope),"")</f>
        <v/>
      </c>
    </row>
    <row r="588" spans="1:22" ht="16.05" customHeight="1" x14ac:dyDescent="0.3">
      <c r="A588" s="28">
        <v>585</v>
      </c>
      <c r="B588" s="28" t="s">
        <v>549</v>
      </c>
      <c r="C588" s="28" t="s">
        <v>1573</v>
      </c>
      <c r="D588" s="28" t="s">
        <v>1027</v>
      </c>
      <c r="E588" s="28"/>
      <c r="F588" s="28"/>
      <c r="G588" s="28"/>
      <c r="H588" s="28"/>
      <c r="I588" s="28"/>
      <c r="J588" s="28"/>
      <c r="K588" s="28"/>
      <c r="L588" s="28"/>
      <c r="M588" s="28"/>
      <c r="N588" s="28"/>
      <c r="O588" s="28"/>
      <c r="P588" s="28"/>
      <c r="Q588" s="28"/>
      <c r="R588" s="28"/>
      <c r="S588" s="28"/>
      <c r="T588" s="28"/>
      <c r="U588" s="28"/>
      <c r="V588" s="29" t="str">
        <f>IF(B588=SelectedScope,COUNTIFS($B$4:$B588,SelectedScope),"")</f>
        <v/>
      </c>
    </row>
    <row r="589" spans="1:22" ht="16.05" customHeight="1" x14ac:dyDescent="0.3">
      <c r="A589" s="30">
        <v>586</v>
      </c>
      <c r="B589" s="30" t="s">
        <v>549</v>
      </c>
      <c r="C589" s="30" t="s">
        <v>1574</v>
      </c>
      <c r="D589" s="30" t="s">
        <v>1027</v>
      </c>
      <c r="E589" s="30"/>
      <c r="F589" s="30"/>
      <c r="G589" s="30"/>
      <c r="H589" s="30"/>
      <c r="I589" s="30"/>
      <c r="J589" s="30"/>
      <c r="K589" s="30"/>
      <c r="L589" s="30"/>
      <c r="M589" s="30"/>
      <c r="N589" s="30"/>
      <c r="O589" s="30"/>
      <c r="P589" s="30"/>
      <c r="Q589" s="30"/>
      <c r="R589" s="30"/>
      <c r="S589" s="30"/>
      <c r="T589" s="30"/>
      <c r="U589" s="30"/>
      <c r="V589" s="29" t="str">
        <f>IF(B589=SelectedScope,COUNTIFS($B$4:$B589,SelectedScope),"")</f>
        <v/>
      </c>
    </row>
    <row r="590" spans="1:22" ht="16.05" customHeight="1" x14ac:dyDescent="0.3">
      <c r="A590" s="28">
        <v>587</v>
      </c>
      <c r="B590" s="28" t="s">
        <v>549</v>
      </c>
      <c r="C590" s="28" t="s">
        <v>1575</v>
      </c>
      <c r="D590" s="28" t="s">
        <v>1027</v>
      </c>
      <c r="E590" s="28"/>
      <c r="F590" s="28"/>
      <c r="G590" s="28"/>
      <c r="H590" s="28"/>
      <c r="I590" s="28"/>
      <c r="J590" s="28"/>
      <c r="K590" s="28"/>
      <c r="L590" s="28"/>
      <c r="M590" s="28"/>
      <c r="N590" s="28"/>
      <c r="O590" s="28"/>
      <c r="P590" s="28"/>
      <c r="Q590" s="28"/>
      <c r="R590" s="28"/>
      <c r="S590" s="28"/>
      <c r="T590" s="28"/>
      <c r="U590" s="28"/>
      <c r="V590" s="29" t="str">
        <f>IF(B590=SelectedScope,COUNTIFS($B$4:$B590,SelectedScope),"")</f>
        <v/>
      </c>
    </row>
    <row r="591" spans="1:22" ht="16.05" customHeight="1" x14ac:dyDescent="0.3">
      <c r="A591" s="30">
        <v>588</v>
      </c>
      <c r="B591" s="30" t="s">
        <v>549</v>
      </c>
      <c r="C591" s="30" t="s">
        <v>1576</v>
      </c>
      <c r="D591" s="30" t="s">
        <v>1027</v>
      </c>
      <c r="E591" s="30"/>
      <c r="F591" s="30"/>
      <c r="G591" s="30"/>
      <c r="H591" s="30"/>
      <c r="I591" s="30"/>
      <c r="J591" s="30"/>
      <c r="K591" s="30"/>
      <c r="L591" s="30"/>
      <c r="M591" s="30"/>
      <c r="N591" s="30"/>
      <c r="O591" s="30"/>
      <c r="P591" s="30"/>
      <c r="Q591" s="30"/>
      <c r="R591" s="30"/>
      <c r="S591" s="30"/>
      <c r="T591" s="30"/>
      <c r="U591" s="30"/>
      <c r="V591" s="29" t="str">
        <f>IF(B591=SelectedScope,COUNTIFS($B$4:$B591,SelectedScope),"")</f>
        <v/>
      </c>
    </row>
    <row r="592" spans="1:22" ht="16.05" customHeight="1" x14ac:dyDescent="0.3">
      <c r="A592" s="28">
        <v>589</v>
      </c>
      <c r="B592" s="28" t="s">
        <v>549</v>
      </c>
      <c r="C592" s="28" t="s">
        <v>1577</v>
      </c>
      <c r="D592" s="28" t="s">
        <v>1027</v>
      </c>
      <c r="E592" s="28"/>
      <c r="F592" s="28"/>
      <c r="G592" s="28"/>
      <c r="H592" s="28"/>
      <c r="I592" s="28"/>
      <c r="J592" s="28"/>
      <c r="K592" s="28"/>
      <c r="L592" s="28"/>
      <c r="M592" s="28"/>
      <c r="N592" s="28"/>
      <c r="O592" s="28"/>
      <c r="P592" s="28"/>
      <c r="Q592" s="28"/>
      <c r="R592" s="28"/>
      <c r="S592" s="28"/>
      <c r="T592" s="28"/>
      <c r="U592" s="28"/>
      <c r="V592" s="29" t="str">
        <f>IF(B592=SelectedScope,COUNTIFS($B$4:$B592,SelectedScope),"")</f>
        <v/>
      </c>
    </row>
    <row r="593" spans="1:22" ht="16.05" customHeight="1" x14ac:dyDescent="0.3">
      <c r="A593" s="30">
        <v>590</v>
      </c>
      <c r="B593" s="30" t="s">
        <v>549</v>
      </c>
      <c r="C593" s="30" t="s">
        <v>1578</v>
      </c>
      <c r="D593" s="30" t="s">
        <v>1027</v>
      </c>
      <c r="E593" s="30"/>
      <c r="F593" s="30"/>
      <c r="G593" s="30"/>
      <c r="H593" s="30"/>
      <c r="I593" s="30"/>
      <c r="J593" s="30"/>
      <c r="K593" s="30"/>
      <c r="L593" s="30"/>
      <c r="M593" s="30"/>
      <c r="N593" s="30"/>
      <c r="O593" s="30"/>
      <c r="P593" s="30"/>
      <c r="Q593" s="30"/>
      <c r="R593" s="30"/>
      <c r="S593" s="30"/>
      <c r="T593" s="30"/>
      <c r="U593" s="30"/>
      <c r="V593" s="29" t="str">
        <f>IF(B593=SelectedScope,COUNTIFS($B$4:$B593,SelectedScope),"")</f>
        <v/>
      </c>
    </row>
    <row r="594" spans="1:22" ht="16.05" customHeight="1" x14ac:dyDescent="0.3">
      <c r="A594" s="28">
        <v>591</v>
      </c>
      <c r="B594" s="28" t="s">
        <v>550</v>
      </c>
      <c r="C594" s="28" t="s">
        <v>1579</v>
      </c>
      <c r="D594" s="28" t="s">
        <v>1027</v>
      </c>
      <c r="E594" s="28"/>
      <c r="F594" s="28"/>
      <c r="G594" s="28"/>
      <c r="H594" s="28"/>
      <c r="I594" s="28"/>
      <c r="J594" s="28"/>
      <c r="K594" s="28"/>
      <c r="L594" s="28"/>
      <c r="M594" s="28"/>
      <c r="N594" s="28"/>
      <c r="O594" s="28"/>
      <c r="P594" s="28"/>
      <c r="Q594" s="28"/>
      <c r="R594" s="28"/>
      <c r="S594" s="28"/>
      <c r="T594" s="28"/>
      <c r="U594" s="28"/>
      <c r="V594" s="29" t="str">
        <f>IF(B594=SelectedScope,COUNTIFS($B$4:$B594,SelectedScope),"")</f>
        <v/>
      </c>
    </row>
    <row r="595" spans="1:22" ht="16.05" customHeight="1" x14ac:dyDescent="0.3">
      <c r="A595" s="30">
        <v>592</v>
      </c>
      <c r="B595" s="30" t="s">
        <v>550</v>
      </c>
      <c r="C595" s="30" t="s">
        <v>1580</v>
      </c>
      <c r="D595" s="30" t="s">
        <v>1027</v>
      </c>
      <c r="E595" s="30"/>
      <c r="F595" s="30"/>
      <c r="G595" s="30"/>
      <c r="H595" s="30"/>
      <c r="I595" s="30"/>
      <c r="J595" s="30"/>
      <c r="K595" s="30"/>
      <c r="L595" s="30"/>
      <c r="M595" s="30"/>
      <c r="N595" s="30"/>
      <c r="O595" s="30"/>
      <c r="P595" s="30"/>
      <c r="Q595" s="30"/>
      <c r="R595" s="30"/>
      <c r="S595" s="30"/>
      <c r="T595" s="30"/>
      <c r="U595" s="30"/>
      <c r="V595" s="29" t="str">
        <f>IF(B595=SelectedScope,COUNTIFS($B$4:$B595,SelectedScope),"")</f>
        <v/>
      </c>
    </row>
    <row r="596" spans="1:22" ht="16.05" customHeight="1" x14ac:dyDescent="0.3">
      <c r="A596" s="28">
        <v>593</v>
      </c>
      <c r="B596" s="28" t="s">
        <v>550</v>
      </c>
      <c r="C596" s="28" t="s">
        <v>1581</v>
      </c>
      <c r="D596" s="28" t="s">
        <v>1027</v>
      </c>
      <c r="E596" s="28"/>
      <c r="F596" s="28"/>
      <c r="G596" s="28"/>
      <c r="H596" s="28"/>
      <c r="I596" s="28"/>
      <c r="J596" s="28"/>
      <c r="K596" s="28"/>
      <c r="L596" s="28"/>
      <c r="M596" s="28"/>
      <c r="N596" s="28"/>
      <c r="O596" s="28"/>
      <c r="P596" s="28"/>
      <c r="Q596" s="28"/>
      <c r="R596" s="28"/>
      <c r="S596" s="28"/>
      <c r="T596" s="28"/>
      <c r="U596" s="28"/>
      <c r="V596" s="29" t="str">
        <f>IF(B596=SelectedScope,COUNTIFS($B$4:$B596,SelectedScope),"")</f>
        <v/>
      </c>
    </row>
    <row r="597" spans="1:22" ht="16.05" customHeight="1" x14ac:dyDescent="0.3">
      <c r="A597" s="30">
        <v>594</v>
      </c>
      <c r="B597" s="30" t="s">
        <v>550</v>
      </c>
      <c r="C597" s="30" t="s">
        <v>1582</v>
      </c>
      <c r="D597" s="30" t="s">
        <v>1027</v>
      </c>
      <c r="E597" s="30"/>
      <c r="F597" s="30"/>
      <c r="G597" s="30"/>
      <c r="H597" s="30"/>
      <c r="I597" s="30"/>
      <c r="J597" s="30"/>
      <c r="K597" s="30"/>
      <c r="L597" s="30"/>
      <c r="M597" s="30"/>
      <c r="N597" s="30"/>
      <c r="O597" s="30"/>
      <c r="P597" s="30"/>
      <c r="Q597" s="30"/>
      <c r="R597" s="30"/>
      <c r="S597" s="30"/>
      <c r="T597" s="30"/>
      <c r="U597" s="30"/>
      <c r="V597" s="29" t="str">
        <f>IF(B597=SelectedScope,COUNTIFS($B$4:$B597,SelectedScope),"")</f>
        <v/>
      </c>
    </row>
    <row r="598" spans="1:22" ht="16.05" customHeight="1" x14ac:dyDescent="0.3">
      <c r="A598" s="28">
        <v>595</v>
      </c>
      <c r="B598" s="28" t="s">
        <v>550</v>
      </c>
      <c r="C598" s="28" t="s">
        <v>1583</v>
      </c>
      <c r="D598" s="28" t="s">
        <v>1027</v>
      </c>
      <c r="E598" s="28"/>
      <c r="F598" s="28"/>
      <c r="G598" s="28"/>
      <c r="H598" s="28"/>
      <c r="I598" s="28"/>
      <c r="J598" s="28"/>
      <c r="K598" s="28"/>
      <c r="L598" s="28"/>
      <c r="M598" s="28"/>
      <c r="N598" s="28"/>
      <c r="O598" s="28"/>
      <c r="P598" s="28"/>
      <c r="Q598" s="28"/>
      <c r="R598" s="28"/>
      <c r="S598" s="28"/>
      <c r="T598" s="28"/>
      <c r="U598" s="28"/>
      <c r="V598" s="29" t="str">
        <f>IF(B598=SelectedScope,COUNTIFS($B$4:$B598,SelectedScope),"")</f>
        <v/>
      </c>
    </row>
    <row r="599" spans="1:22" ht="16.05" customHeight="1" x14ac:dyDescent="0.3">
      <c r="A599" s="30">
        <v>596</v>
      </c>
      <c r="B599" s="30" t="s">
        <v>550</v>
      </c>
      <c r="C599" s="30" t="s">
        <v>1584</v>
      </c>
      <c r="D599" s="30" t="s">
        <v>1027</v>
      </c>
      <c r="E599" s="30"/>
      <c r="F599" s="30"/>
      <c r="G599" s="30"/>
      <c r="H599" s="30"/>
      <c r="I599" s="30"/>
      <c r="J599" s="30"/>
      <c r="K599" s="30"/>
      <c r="L599" s="30"/>
      <c r="M599" s="30"/>
      <c r="N599" s="30"/>
      <c r="O599" s="30"/>
      <c r="P599" s="30"/>
      <c r="Q599" s="30"/>
      <c r="R599" s="30"/>
      <c r="S599" s="30"/>
      <c r="T599" s="30"/>
      <c r="U599" s="30"/>
      <c r="V599" s="29" t="str">
        <f>IF(B599=SelectedScope,COUNTIFS($B$4:$B599,SelectedScope),"")</f>
        <v/>
      </c>
    </row>
    <row r="600" spans="1:22" ht="16.05" customHeight="1" x14ac:dyDescent="0.3">
      <c r="A600" s="28">
        <v>597</v>
      </c>
      <c r="B600" s="28" t="s">
        <v>550</v>
      </c>
      <c r="C600" s="28" t="s">
        <v>1585</v>
      </c>
      <c r="D600" s="28" t="s">
        <v>1027</v>
      </c>
      <c r="E600" s="28"/>
      <c r="F600" s="28"/>
      <c r="G600" s="28"/>
      <c r="H600" s="28"/>
      <c r="I600" s="28"/>
      <c r="J600" s="28"/>
      <c r="K600" s="28"/>
      <c r="L600" s="28"/>
      <c r="M600" s="28"/>
      <c r="N600" s="28"/>
      <c r="O600" s="28"/>
      <c r="P600" s="28"/>
      <c r="Q600" s="28"/>
      <c r="R600" s="28"/>
      <c r="S600" s="28"/>
      <c r="T600" s="28"/>
      <c r="U600" s="28"/>
      <c r="V600" s="29" t="str">
        <f>IF(B600=SelectedScope,COUNTIFS($B$4:$B600,SelectedScope),"")</f>
        <v/>
      </c>
    </row>
    <row r="601" spans="1:22" ht="16.05" customHeight="1" x14ac:dyDescent="0.3">
      <c r="A601" s="30">
        <v>598</v>
      </c>
      <c r="B601" s="30" t="s">
        <v>550</v>
      </c>
      <c r="C601" s="30" t="s">
        <v>1586</v>
      </c>
      <c r="D601" s="30" t="s">
        <v>1027</v>
      </c>
      <c r="E601" s="30"/>
      <c r="F601" s="30"/>
      <c r="G601" s="30"/>
      <c r="H601" s="30"/>
      <c r="I601" s="30"/>
      <c r="J601" s="30"/>
      <c r="K601" s="30"/>
      <c r="L601" s="30"/>
      <c r="M601" s="30"/>
      <c r="N601" s="30"/>
      <c r="O601" s="30"/>
      <c r="P601" s="30"/>
      <c r="Q601" s="30"/>
      <c r="R601" s="30"/>
      <c r="S601" s="30"/>
      <c r="T601" s="30"/>
      <c r="U601" s="30"/>
      <c r="V601" s="29" t="str">
        <f>IF(B601=SelectedScope,COUNTIFS($B$4:$B601,SelectedScope),"")</f>
        <v/>
      </c>
    </row>
    <row r="602" spans="1:22" ht="16.05" customHeight="1" x14ac:dyDescent="0.3">
      <c r="A602" s="28">
        <v>599</v>
      </c>
      <c r="B602" s="28" t="s">
        <v>550</v>
      </c>
      <c r="C602" s="28" t="s">
        <v>1587</v>
      </c>
      <c r="D602" s="28" t="s">
        <v>1027</v>
      </c>
      <c r="E602" s="28"/>
      <c r="F602" s="28"/>
      <c r="G602" s="28"/>
      <c r="H602" s="28"/>
      <c r="I602" s="28"/>
      <c r="J602" s="28"/>
      <c r="K602" s="28"/>
      <c r="L602" s="28"/>
      <c r="M602" s="28"/>
      <c r="N602" s="28"/>
      <c r="O602" s="28"/>
      <c r="P602" s="28"/>
      <c r="Q602" s="28"/>
      <c r="R602" s="28"/>
      <c r="S602" s="28"/>
      <c r="T602" s="28"/>
      <c r="U602" s="28"/>
      <c r="V602" s="29" t="str">
        <f>IF(B602=SelectedScope,COUNTIFS($B$4:$B602,SelectedScope),"")</f>
        <v/>
      </c>
    </row>
    <row r="603" spans="1:22" ht="16.05" customHeight="1" x14ac:dyDescent="0.3">
      <c r="A603" s="30">
        <v>600</v>
      </c>
      <c r="B603" s="30" t="s">
        <v>550</v>
      </c>
      <c r="C603" s="30" t="s">
        <v>1588</v>
      </c>
      <c r="D603" s="30" t="s">
        <v>1027</v>
      </c>
      <c r="E603" s="30"/>
      <c r="F603" s="30"/>
      <c r="G603" s="30"/>
      <c r="H603" s="30"/>
      <c r="I603" s="30"/>
      <c r="J603" s="30"/>
      <c r="K603" s="30"/>
      <c r="L603" s="30"/>
      <c r="M603" s="30"/>
      <c r="N603" s="30"/>
      <c r="O603" s="30"/>
      <c r="P603" s="30"/>
      <c r="Q603" s="30"/>
      <c r="R603" s="30"/>
      <c r="S603" s="30"/>
      <c r="T603" s="30"/>
      <c r="U603" s="30"/>
      <c r="V603" s="29" t="str">
        <f>IF(B603=SelectedScope,COUNTIFS($B$4:$B603,SelectedScope),"")</f>
        <v/>
      </c>
    </row>
    <row r="604" spans="1:22" ht="16.05" customHeight="1" x14ac:dyDescent="0.3">
      <c r="A604" s="28">
        <v>601</v>
      </c>
      <c r="B604" s="28" t="s">
        <v>550</v>
      </c>
      <c r="C604" s="28" t="s">
        <v>1589</v>
      </c>
      <c r="D604" s="28" t="s">
        <v>1027</v>
      </c>
      <c r="E604" s="28"/>
      <c r="F604" s="28"/>
      <c r="G604" s="28"/>
      <c r="H604" s="28"/>
      <c r="I604" s="28"/>
      <c r="J604" s="28"/>
      <c r="K604" s="28"/>
      <c r="L604" s="28"/>
      <c r="M604" s="28"/>
      <c r="N604" s="28"/>
      <c r="O604" s="28"/>
      <c r="P604" s="28"/>
      <c r="Q604" s="28"/>
      <c r="R604" s="28"/>
      <c r="S604" s="28"/>
      <c r="T604" s="28"/>
      <c r="U604" s="28"/>
      <c r="V604" s="29" t="str">
        <f>IF(B604=SelectedScope,COUNTIFS($B$4:$B604,SelectedScope),"")</f>
        <v/>
      </c>
    </row>
    <row r="605" spans="1:22" ht="16.05" customHeight="1" x14ac:dyDescent="0.3">
      <c r="A605" s="30">
        <v>602</v>
      </c>
      <c r="B605" s="30" t="s">
        <v>550</v>
      </c>
      <c r="C605" s="30" t="s">
        <v>615</v>
      </c>
      <c r="D605" s="30" t="s">
        <v>1027</v>
      </c>
      <c r="E605" s="30"/>
      <c r="F605" s="30"/>
      <c r="G605" s="30"/>
      <c r="H605" s="30"/>
      <c r="I605" s="30"/>
      <c r="J605" s="30"/>
      <c r="K605" s="30"/>
      <c r="L605" s="30"/>
      <c r="M605" s="30"/>
      <c r="N605" s="30"/>
      <c r="O605" s="30"/>
      <c r="P605" s="30"/>
      <c r="Q605" s="30"/>
      <c r="R605" s="30"/>
      <c r="S605" s="30"/>
      <c r="T605" s="30"/>
      <c r="U605" s="30"/>
      <c r="V605" s="29" t="str">
        <f>IF(B605=SelectedScope,COUNTIFS($B$4:$B605,SelectedScope),"")</f>
        <v/>
      </c>
    </row>
    <row r="606" spans="1:22" ht="16.05" customHeight="1" x14ac:dyDescent="0.3">
      <c r="A606" s="28">
        <v>603</v>
      </c>
      <c r="B606" s="28" t="s">
        <v>550</v>
      </c>
      <c r="C606" s="28" t="s">
        <v>1590</v>
      </c>
      <c r="D606" s="28" t="s">
        <v>1027</v>
      </c>
      <c r="E606" s="28"/>
      <c r="F606" s="28"/>
      <c r="G606" s="28"/>
      <c r="H606" s="28"/>
      <c r="I606" s="28"/>
      <c r="J606" s="28"/>
      <c r="K606" s="28"/>
      <c r="L606" s="28"/>
      <c r="M606" s="28"/>
      <c r="N606" s="28"/>
      <c r="O606" s="28"/>
      <c r="P606" s="28"/>
      <c r="Q606" s="28"/>
      <c r="R606" s="28"/>
      <c r="S606" s="28"/>
      <c r="T606" s="28"/>
      <c r="U606" s="28"/>
      <c r="V606" s="29" t="str">
        <f>IF(B606=SelectedScope,COUNTIFS($B$4:$B606,SelectedScope),"")</f>
        <v/>
      </c>
    </row>
    <row r="607" spans="1:22" ht="16.05" customHeight="1" x14ac:dyDescent="0.3">
      <c r="A607" s="30">
        <v>604</v>
      </c>
      <c r="B607" s="30" t="s">
        <v>550</v>
      </c>
      <c r="C607" s="30" t="s">
        <v>1591</v>
      </c>
      <c r="D607" s="30" t="s">
        <v>1027</v>
      </c>
      <c r="E607" s="30"/>
      <c r="F607" s="30"/>
      <c r="G607" s="30"/>
      <c r="H607" s="30"/>
      <c r="I607" s="30"/>
      <c r="J607" s="30"/>
      <c r="K607" s="30"/>
      <c r="L607" s="30"/>
      <c r="M607" s="30"/>
      <c r="N607" s="30"/>
      <c r="O607" s="30"/>
      <c r="P607" s="30"/>
      <c r="Q607" s="30"/>
      <c r="R607" s="30"/>
      <c r="S607" s="30"/>
      <c r="T607" s="30"/>
      <c r="U607" s="30"/>
      <c r="V607" s="29" t="str">
        <f>IF(B607=SelectedScope,COUNTIFS($B$4:$B607,SelectedScope),"")</f>
        <v/>
      </c>
    </row>
    <row r="608" spans="1:22" ht="16.05" customHeight="1" x14ac:dyDescent="0.3">
      <c r="A608" s="28">
        <v>605</v>
      </c>
      <c r="B608" s="28" t="s">
        <v>550</v>
      </c>
      <c r="C608" s="28" t="s">
        <v>1592</v>
      </c>
      <c r="D608" s="28" t="s">
        <v>1027</v>
      </c>
      <c r="E608" s="28"/>
      <c r="F608" s="28"/>
      <c r="G608" s="28"/>
      <c r="H608" s="28"/>
      <c r="I608" s="28"/>
      <c r="J608" s="28"/>
      <c r="K608" s="28"/>
      <c r="L608" s="28"/>
      <c r="M608" s="28"/>
      <c r="N608" s="28"/>
      <c r="O608" s="28"/>
      <c r="P608" s="28"/>
      <c r="Q608" s="28"/>
      <c r="R608" s="28"/>
      <c r="S608" s="28"/>
      <c r="T608" s="28"/>
      <c r="U608" s="28"/>
      <c r="V608" s="29" t="str">
        <f>IF(B608=SelectedScope,COUNTIFS($B$4:$B608,SelectedScope),"")</f>
        <v/>
      </c>
    </row>
    <row r="609" spans="1:22" ht="16.05" customHeight="1" x14ac:dyDescent="0.3">
      <c r="A609" s="30">
        <v>606</v>
      </c>
      <c r="B609" s="30" t="s">
        <v>550</v>
      </c>
      <c r="C609" s="30" t="s">
        <v>1593</v>
      </c>
      <c r="D609" s="30" t="s">
        <v>1027</v>
      </c>
      <c r="E609" s="30"/>
      <c r="F609" s="30"/>
      <c r="G609" s="30"/>
      <c r="H609" s="30"/>
      <c r="I609" s="30"/>
      <c r="J609" s="30"/>
      <c r="K609" s="30"/>
      <c r="L609" s="30"/>
      <c r="M609" s="30"/>
      <c r="N609" s="30"/>
      <c r="O609" s="30"/>
      <c r="P609" s="30"/>
      <c r="Q609" s="30"/>
      <c r="R609" s="30"/>
      <c r="S609" s="30"/>
      <c r="T609" s="30"/>
      <c r="U609" s="30"/>
      <c r="V609" s="29" t="str">
        <f>IF(B609=SelectedScope,COUNTIFS($B$4:$B609,SelectedScope),"")</f>
        <v/>
      </c>
    </row>
    <row r="610" spans="1:22" ht="16.05" customHeight="1" x14ac:dyDescent="0.3">
      <c r="A610" s="28">
        <v>607</v>
      </c>
      <c r="B610" s="28" t="s">
        <v>550</v>
      </c>
      <c r="C610" s="28" t="s">
        <v>1594</v>
      </c>
      <c r="D610" s="28" t="s">
        <v>1027</v>
      </c>
      <c r="E610" s="28"/>
      <c r="F610" s="28"/>
      <c r="G610" s="28"/>
      <c r="H610" s="28"/>
      <c r="I610" s="28"/>
      <c r="J610" s="28"/>
      <c r="K610" s="28"/>
      <c r="L610" s="28"/>
      <c r="M610" s="28"/>
      <c r="N610" s="28"/>
      <c r="O610" s="28"/>
      <c r="P610" s="28"/>
      <c r="Q610" s="28"/>
      <c r="R610" s="28"/>
      <c r="S610" s="28"/>
      <c r="T610" s="28"/>
      <c r="U610" s="28"/>
      <c r="V610" s="29" t="str">
        <f>IF(B610=SelectedScope,COUNTIFS($B$4:$B610,SelectedScope),"")</f>
        <v/>
      </c>
    </row>
    <row r="611" spans="1:22" ht="16.05" customHeight="1" x14ac:dyDescent="0.3">
      <c r="A611" s="30">
        <v>608</v>
      </c>
      <c r="B611" s="30" t="s">
        <v>550</v>
      </c>
      <c r="C611" s="30" t="s">
        <v>1595</v>
      </c>
      <c r="D611" s="30" t="s">
        <v>1027</v>
      </c>
      <c r="E611" s="30"/>
      <c r="F611" s="30"/>
      <c r="G611" s="30"/>
      <c r="H611" s="30"/>
      <c r="I611" s="30"/>
      <c r="J611" s="30"/>
      <c r="K611" s="30"/>
      <c r="L611" s="30"/>
      <c r="M611" s="30"/>
      <c r="N611" s="30"/>
      <c r="O611" s="30"/>
      <c r="P611" s="30"/>
      <c r="Q611" s="30"/>
      <c r="R611" s="30"/>
      <c r="S611" s="30"/>
      <c r="T611" s="30"/>
      <c r="U611" s="30"/>
      <c r="V611" s="29" t="str">
        <f>IF(B611=SelectedScope,COUNTIFS($B$4:$B611,SelectedScope),"")</f>
        <v/>
      </c>
    </row>
    <row r="612" spans="1:22" ht="16.05" customHeight="1" x14ac:dyDescent="0.3">
      <c r="A612" s="28">
        <v>609</v>
      </c>
      <c r="B612" s="28" t="s">
        <v>550</v>
      </c>
      <c r="C612" s="28" t="s">
        <v>1596</v>
      </c>
      <c r="D612" s="28" t="s">
        <v>1027</v>
      </c>
      <c r="E612" s="28"/>
      <c r="F612" s="28"/>
      <c r="G612" s="28"/>
      <c r="H612" s="28"/>
      <c r="I612" s="28"/>
      <c r="J612" s="28"/>
      <c r="K612" s="28"/>
      <c r="L612" s="28"/>
      <c r="M612" s="28"/>
      <c r="N612" s="28"/>
      <c r="O612" s="28"/>
      <c r="P612" s="28"/>
      <c r="Q612" s="28"/>
      <c r="R612" s="28"/>
      <c r="S612" s="28"/>
      <c r="T612" s="28"/>
      <c r="U612" s="28"/>
      <c r="V612" s="29" t="str">
        <f>IF(B612=SelectedScope,COUNTIFS($B$4:$B612,SelectedScope),"")</f>
        <v/>
      </c>
    </row>
    <row r="613" spans="1:22" ht="16.05" customHeight="1" x14ac:dyDescent="0.3">
      <c r="A613" s="30">
        <v>610</v>
      </c>
      <c r="B613" s="30" t="s">
        <v>550</v>
      </c>
      <c r="C613" s="30" t="s">
        <v>1597</v>
      </c>
      <c r="D613" s="30" t="s">
        <v>1027</v>
      </c>
      <c r="E613" s="30"/>
      <c r="F613" s="30"/>
      <c r="G613" s="30"/>
      <c r="H613" s="30"/>
      <c r="I613" s="30"/>
      <c r="J613" s="30"/>
      <c r="K613" s="30"/>
      <c r="L613" s="30"/>
      <c r="M613" s="30"/>
      <c r="N613" s="30"/>
      <c r="O613" s="30"/>
      <c r="P613" s="30"/>
      <c r="Q613" s="30"/>
      <c r="R613" s="30"/>
      <c r="S613" s="30"/>
      <c r="T613" s="30"/>
      <c r="U613" s="30"/>
      <c r="V613" s="29" t="str">
        <f>IF(B613=SelectedScope,COUNTIFS($B$4:$B613,SelectedScope),"")</f>
        <v/>
      </c>
    </row>
    <row r="614" spans="1:22" ht="16.05" customHeight="1" x14ac:dyDescent="0.3">
      <c r="A614" s="28">
        <v>611</v>
      </c>
      <c r="B614" s="28" t="s">
        <v>550</v>
      </c>
      <c r="C614" s="28" t="s">
        <v>1598</v>
      </c>
      <c r="D614" s="28" t="s">
        <v>1027</v>
      </c>
      <c r="E614" s="28"/>
      <c r="F614" s="28"/>
      <c r="G614" s="28"/>
      <c r="H614" s="28"/>
      <c r="I614" s="28"/>
      <c r="J614" s="28"/>
      <c r="K614" s="28"/>
      <c r="L614" s="28"/>
      <c r="M614" s="28"/>
      <c r="N614" s="28"/>
      <c r="O614" s="28"/>
      <c r="P614" s="28"/>
      <c r="Q614" s="28"/>
      <c r="R614" s="28"/>
      <c r="S614" s="28"/>
      <c r="T614" s="28"/>
      <c r="U614" s="28"/>
      <c r="V614" s="29" t="str">
        <f>IF(B614=SelectedScope,COUNTIFS($B$4:$B614,SelectedScope),"")</f>
        <v/>
      </c>
    </row>
    <row r="615" spans="1:22" ht="16.05" customHeight="1" x14ac:dyDescent="0.3">
      <c r="A615" s="30">
        <v>612</v>
      </c>
      <c r="B615" s="30" t="s">
        <v>550</v>
      </c>
      <c r="C615" s="30" t="s">
        <v>1599</v>
      </c>
      <c r="D615" s="30" t="s">
        <v>1027</v>
      </c>
      <c r="E615" s="30"/>
      <c r="F615" s="30"/>
      <c r="G615" s="30"/>
      <c r="H615" s="30"/>
      <c r="I615" s="30"/>
      <c r="J615" s="30"/>
      <c r="K615" s="30"/>
      <c r="L615" s="30"/>
      <c r="M615" s="30"/>
      <c r="N615" s="30"/>
      <c r="O615" s="30"/>
      <c r="P615" s="30"/>
      <c r="Q615" s="30"/>
      <c r="R615" s="30"/>
      <c r="S615" s="30"/>
      <c r="T615" s="30"/>
      <c r="U615" s="30"/>
      <c r="V615" s="29" t="str">
        <f>IF(B615=SelectedScope,COUNTIFS($B$4:$B615,SelectedScope),"")</f>
        <v/>
      </c>
    </row>
    <row r="616" spans="1:22" ht="16.05" customHeight="1" x14ac:dyDescent="0.3">
      <c r="A616" s="28">
        <v>613</v>
      </c>
      <c r="B616" s="28" t="s">
        <v>550</v>
      </c>
      <c r="C616" s="28" t="s">
        <v>1600</v>
      </c>
      <c r="D616" s="28" t="s">
        <v>1027</v>
      </c>
      <c r="E616" s="28"/>
      <c r="F616" s="28"/>
      <c r="G616" s="28"/>
      <c r="H616" s="28"/>
      <c r="I616" s="28"/>
      <c r="J616" s="28"/>
      <c r="K616" s="28"/>
      <c r="L616" s="28"/>
      <c r="M616" s="28"/>
      <c r="N616" s="28"/>
      <c r="O616" s="28"/>
      <c r="P616" s="28"/>
      <c r="Q616" s="28"/>
      <c r="R616" s="28"/>
      <c r="S616" s="28"/>
      <c r="T616" s="28"/>
      <c r="U616" s="28"/>
      <c r="V616" s="29" t="str">
        <f>IF(B616=SelectedScope,COUNTIFS($B$4:$B616,SelectedScope),"")</f>
        <v/>
      </c>
    </row>
    <row r="617" spans="1:22" ht="16.05" customHeight="1" x14ac:dyDescent="0.3">
      <c r="A617" s="30">
        <v>614</v>
      </c>
      <c r="B617" s="30" t="s">
        <v>550</v>
      </c>
      <c r="C617" s="30" t="s">
        <v>1601</v>
      </c>
      <c r="D617" s="30" t="s">
        <v>1027</v>
      </c>
      <c r="E617" s="30"/>
      <c r="F617" s="30"/>
      <c r="G617" s="30"/>
      <c r="H617" s="30"/>
      <c r="I617" s="30"/>
      <c r="J617" s="30"/>
      <c r="K617" s="30"/>
      <c r="L617" s="30"/>
      <c r="M617" s="30"/>
      <c r="N617" s="30"/>
      <c r="O617" s="30"/>
      <c r="P617" s="30"/>
      <c r="Q617" s="30"/>
      <c r="R617" s="30"/>
      <c r="S617" s="30"/>
      <c r="T617" s="30"/>
      <c r="U617" s="30"/>
      <c r="V617" s="29" t="str">
        <f>IF(B617=SelectedScope,COUNTIFS($B$4:$B617,SelectedScope),"")</f>
        <v/>
      </c>
    </row>
    <row r="618" spans="1:22" ht="16.05" customHeight="1" x14ac:dyDescent="0.3">
      <c r="A618" s="28">
        <v>615</v>
      </c>
      <c r="B618" s="28" t="s">
        <v>550</v>
      </c>
      <c r="C618" s="28" t="s">
        <v>1602</v>
      </c>
      <c r="D618" s="28" t="s">
        <v>1027</v>
      </c>
      <c r="E618" s="28"/>
      <c r="F618" s="28"/>
      <c r="G618" s="28"/>
      <c r="H618" s="28"/>
      <c r="I618" s="28"/>
      <c r="J618" s="28"/>
      <c r="K618" s="28"/>
      <c r="L618" s="28"/>
      <c r="M618" s="28"/>
      <c r="N618" s="28"/>
      <c r="O618" s="28"/>
      <c r="P618" s="28"/>
      <c r="Q618" s="28"/>
      <c r="R618" s="28"/>
      <c r="S618" s="28"/>
      <c r="T618" s="28"/>
      <c r="U618" s="28"/>
      <c r="V618" s="29" t="str">
        <f>IF(B618=SelectedScope,COUNTIFS($B$4:$B618,SelectedScope),"")</f>
        <v/>
      </c>
    </row>
    <row r="619" spans="1:22" ht="16.05" customHeight="1" x14ac:dyDescent="0.3">
      <c r="A619" s="30">
        <v>616</v>
      </c>
      <c r="B619" s="30" t="s">
        <v>550</v>
      </c>
      <c r="C619" s="30" t="s">
        <v>1603</v>
      </c>
      <c r="D619" s="30" t="s">
        <v>1027</v>
      </c>
      <c r="E619" s="30"/>
      <c r="F619" s="30"/>
      <c r="G619" s="30"/>
      <c r="H619" s="30"/>
      <c r="I619" s="30"/>
      <c r="J619" s="30"/>
      <c r="K619" s="30"/>
      <c r="L619" s="30"/>
      <c r="M619" s="30"/>
      <c r="N619" s="30"/>
      <c r="O619" s="30"/>
      <c r="P619" s="30"/>
      <c r="Q619" s="30"/>
      <c r="R619" s="30"/>
      <c r="S619" s="30"/>
      <c r="T619" s="30"/>
      <c r="U619" s="30"/>
      <c r="V619" s="29" t="str">
        <f>IF(B619=SelectedScope,COUNTIFS($B$4:$B619,SelectedScope),"")</f>
        <v/>
      </c>
    </row>
    <row r="620" spans="1:22" ht="16.05" customHeight="1" x14ac:dyDescent="0.3">
      <c r="A620" s="28">
        <v>617</v>
      </c>
      <c r="B620" s="28" t="s">
        <v>550</v>
      </c>
      <c r="C620" s="28" t="s">
        <v>1604</v>
      </c>
      <c r="D620" s="28" t="s">
        <v>1027</v>
      </c>
      <c r="E620" s="28"/>
      <c r="F620" s="28"/>
      <c r="G620" s="28"/>
      <c r="H620" s="28"/>
      <c r="I620" s="28"/>
      <c r="J620" s="28"/>
      <c r="K620" s="28"/>
      <c r="L620" s="28"/>
      <c r="M620" s="28"/>
      <c r="N620" s="28"/>
      <c r="O620" s="28"/>
      <c r="P620" s="28"/>
      <c r="Q620" s="28"/>
      <c r="R620" s="28"/>
      <c r="S620" s="28"/>
      <c r="T620" s="28"/>
      <c r="U620" s="28"/>
      <c r="V620" s="29" t="str">
        <f>IF(B620=SelectedScope,COUNTIFS($B$4:$B620,SelectedScope),"")</f>
        <v/>
      </c>
    </row>
    <row r="621" spans="1:22" ht="16.05" customHeight="1" x14ac:dyDescent="0.3">
      <c r="A621" s="30">
        <v>618</v>
      </c>
      <c r="B621" s="30" t="s">
        <v>550</v>
      </c>
      <c r="C621" s="30" t="s">
        <v>1605</v>
      </c>
      <c r="D621" s="30" t="s">
        <v>1027</v>
      </c>
      <c r="E621" s="30"/>
      <c r="F621" s="30"/>
      <c r="G621" s="30"/>
      <c r="H621" s="30"/>
      <c r="I621" s="30"/>
      <c r="J621" s="30"/>
      <c r="K621" s="30"/>
      <c r="L621" s="30"/>
      <c r="M621" s="30"/>
      <c r="N621" s="30"/>
      <c r="O621" s="30"/>
      <c r="P621" s="30"/>
      <c r="Q621" s="30"/>
      <c r="R621" s="30"/>
      <c r="S621" s="30"/>
      <c r="T621" s="30"/>
      <c r="U621" s="30"/>
      <c r="V621" s="29" t="str">
        <f>IF(B621=SelectedScope,COUNTIFS($B$4:$B621,SelectedScope),"")</f>
        <v/>
      </c>
    </row>
    <row r="622" spans="1:22" ht="16.05" customHeight="1" x14ac:dyDescent="0.3">
      <c r="A622" s="28">
        <v>619</v>
      </c>
      <c r="B622" s="28" t="s">
        <v>550</v>
      </c>
      <c r="C622" s="28" t="s">
        <v>1606</v>
      </c>
      <c r="D622" s="28" t="s">
        <v>1027</v>
      </c>
      <c r="E622" s="28"/>
      <c r="F622" s="28"/>
      <c r="G622" s="28"/>
      <c r="H622" s="28"/>
      <c r="I622" s="28"/>
      <c r="J622" s="28"/>
      <c r="K622" s="28"/>
      <c r="L622" s="28"/>
      <c r="M622" s="28"/>
      <c r="N622" s="28"/>
      <c r="O622" s="28"/>
      <c r="P622" s="28"/>
      <c r="Q622" s="28"/>
      <c r="R622" s="28"/>
      <c r="S622" s="28"/>
      <c r="T622" s="28"/>
      <c r="U622" s="28"/>
      <c r="V622" s="29" t="str">
        <f>IF(B622=SelectedScope,COUNTIFS($B$4:$B622,SelectedScope),"")</f>
        <v/>
      </c>
    </row>
    <row r="623" spans="1:22" ht="16.05" customHeight="1" x14ac:dyDescent="0.3">
      <c r="A623" s="30">
        <v>620</v>
      </c>
      <c r="B623" s="30" t="s">
        <v>550</v>
      </c>
      <c r="C623" s="30" t="s">
        <v>1607</v>
      </c>
      <c r="D623" s="30" t="s">
        <v>1027</v>
      </c>
      <c r="E623" s="30"/>
      <c r="F623" s="30"/>
      <c r="G623" s="30"/>
      <c r="H623" s="30"/>
      <c r="I623" s="30"/>
      <c r="J623" s="30"/>
      <c r="K623" s="30"/>
      <c r="L623" s="30"/>
      <c r="M623" s="30"/>
      <c r="N623" s="30"/>
      <c r="O623" s="30"/>
      <c r="P623" s="30"/>
      <c r="Q623" s="30"/>
      <c r="R623" s="30"/>
      <c r="S623" s="30"/>
      <c r="T623" s="30"/>
      <c r="U623" s="30"/>
      <c r="V623" s="29" t="str">
        <f>IF(B623=SelectedScope,COUNTIFS($B$4:$B623,SelectedScope),"")</f>
        <v/>
      </c>
    </row>
    <row r="624" spans="1:22" ht="16.05" customHeight="1" x14ac:dyDescent="0.3">
      <c r="A624" s="28">
        <v>621</v>
      </c>
      <c r="B624" s="28" t="s">
        <v>550</v>
      </c>
      <c r="C624" s="28" t="s">
        <v>1608</v>
      </c>
      <c r="D624" s="28" t="s">
        <v>1027</v>
      </c>
      <c r="E624" s="28"/>
      <c r="F624" s="28"/>
      <c r="G624" s="28"/>
      <c r="H624" s="28"/>
      <c r="I624" s="28"/>
      <c r="J624" s="28"/>
      <c r="K624" s="28"/>
      <c r="L624" s="28"/>
      <c r="M624" s="28"/>
      <c r="N624" s="28"/>
      <c r="O624" s="28"/>
      <c r="P624" s="28"/>
      <c r="Q624" s="28"/>
      <c r="R624" s="28"/>
      <c r="S624" s="28"/>
      <c r="T624" s="28"/>
      <c r="U624" s="28"/>
      <c r="V624" s="29" t="str">
        <f>IF(B624=SelectedScope,COUNTIFS($B$4:$B624,SelectedScope),"")</f>
        <v/>
      </c>
    </row>
    <row r="625" spans="1:22" ht="16.05" customHeight="1" x14ac:dyDescent="0.3">
      <c r="A625" s="30">
        <v>622</v>
      </c>
      <c r="B625" s="30" t="s">
        <v>550</v>
      </c>
      <c r="C625" s="30" t="s">
        <v>1609</v>
      </c>
      <c r="D625" s="30" t="s">
        <v>1027</v>
      </c>
      <c r="E625" s="30"/>
      <c r="F625" s="30"/>
      <c r="G625" s="30"/>
      <c r="H625" s="30"/>
      <c r="I625" s="30"/>
      <c r="J625" s="30"/>
      <c r="K625" s="30"/>
      <c r="L625" s="30"/>
      <c r="M625" s="30"/>
      <c r="N625" s="30"/>
      <c r="O625" s="30"/>
      <c r="P625" s="30"/>
      <c r="Q625" s="30"/>
      <c r="R625" s="30"/>
      <c r="S625" s="30"/>
      <c r="T625" s="30"/>
      <c r="U625" s="30"/>
      <c r="V625" s="29" t="str">
        <f>IF(B625=SelectedScope,COUNTIFS($B$4:$B625,SelectedScope),"")</f>
        <v/>
      </c>
    </row>
    <row r="626" spans="1:22" ht="16.05" customHeight="1" x14ac:dyDescent="0.3">
      <c r="A626" s="28">
        <v>623</v>
      </c>
      <c r="B626" s="28" t="s">
        <v>550</v>
      </c>
      <c r="C626" s="28" t="s">
        <v>1610</v>
      </c>
      <c r="D626" s="28" t="s">
        <v>1027</v>
      </c>
      <c r="E626" s="28"/>
      <c r="F626" s="28"/>
      <c r="G626" s="28"/>
      <c r="H626" s="28"/>
      <c r="I626" s="28"/>
      <c r="J626" s="28"/>
      <c r="K626" s="28"/>
      <c r="L626" s="28"/>
      <c r="M626" s="28"/>
      <c r="N626" s="28"/>
      <c r="O626" s="28"/>
      <c r="P626" s="28"/>
      <c r="Q626" s="28"/>
      <c r="R626" s="28"/>
      <c r="S626" s="28"/>
      <c r="T626" s="28"/>
      <c r="U626" s="28"/>
      <c r="V626" s="29" t="str">
        <f>IF(B626=SelectedScope,COUNTIFS($B$4:$B626,SelectedScope),"")</f>
        <v/>
      </c>
    </row>
    <row r="627" spans="1:22" ht="16.05" customHeight="1" x14ac:dyDescent="0.3">
      <c r="A627" s="30">
        <v>624</v>
      </c>
      <c r="B627" s="30" t="s">
        <v>551</v>
      </c>
      <c r="C627" s="30" t="s">
        <v>576</v>
      </c>
      <c r="D627" s="30" t="s">
        <v>1027</v>
      </c>
      <c r="E627" s="30"/>
      <c r="F627" s="30"/>
      <c r="G627" s="30"/>
      <c r="H627" s="30"/>
      <c r="I627" s="30"/>
      <c r="J627" s="30"/>
      <c r="K627" s="30"/>
      <c r="L627" s="30"/>
      <c r="M627" s="30"/>
      <c r="N627" s="30"/>
      <c r="O627" s="30"/>
      <c r="P627" s="30"/>
      <c r="Q627" s="30"/>
      <c r="R627" s="30"/>
      <c r="S627" s="30"/>
      <c r="T627" s="30"/>
      <c r="U627" s="30"/>
      <c r="V627" s="29" t="str">
        <f>IF(B627=SelectedScope,COUNTIFS($B$4:$B627,SelectedScope),"")</f>
        <v/>
      </c>
    </row>
    <row r="628" spans="1:22" ht="16.05" customHeight="1" x14ac:dyDescent="0.3">
      <c r="A628" s="28">
        <v>625</v>
      </c>
      <c r="B628" s="28" t="s">
        <v>551</v>
      </c>
      <c r="C628" s="28" t="s">
        <v>1611</v>
      </c>
      <c r="D628" s="28" t="s">
        <v>1027</v>
      </c>
      <c r="E628" s="28"/>
      <c r="F628" s="28"/>
      <c r="G628" s="28"/>
      <c r="H628" s="28"/>
      <c r="I628" s="28"/>
      <c r="J628" s="28"/>
      <c r="K628" s="28"/>
      <c r="L628" s="28"/>
      <c r="M628" s="28"/>
      <c r="N628" s="28"/>
      <c r="O628" s="28"/>
      <c r="P628" s="28"/>
      <c r="Q628" s="28"/>
      <c r="R628" s="28"/>
      <c r="S628" s="28"/>
      <c r="T628" s="28"/>
      <c r="U628" s="28"/>
      <c r="V628" s="29" t="str">
        <f>IF(B628=SelectedScope,COUNTIFS($B$4:$B628,SelectedScope),"")</f>
        <v/>
      </c>
    </row>
    <row r="629" spans="1:22" ht="16.05" customHeight="1" x14ac:dyDescent="0.3">
      <c r="A629" s="30">
        <v>626</v>
      </c>
      <c r="B629" s="30" t="s">
        <v>551</v>
      </c>
      <c r="C629" s="30" t="s">
        <v>1612</v>
      </c>
      <c r="D629" s="30" t="s">
        <v>1027</v>
      </c>
      <c r="E629" s="30"/>
      <c r="F629" s="30"/>
      <c r="G629" s="30"/>
      <c r="H629" s="30"/>
      <c r="I629" s="30"/>
      <c r="J629" s="30"/>
      <c r="K629" s="30"/>
      <c r="L629" s="30"/>
      <c r="M629" s="30"/>
      <c r="N629" s="30"/>
      <c r="O629" s="30"/>
      <c r="P629" s="30"/>
      <c r="Q629" s="30"/>
      <c r="R629" s="30"/>
      <c r="S629" s="30"/>
      <c r="T629" s="30"/>
      <c r="U629" s="30"/>
      <c r="V629" s="29" t="str">
        <f>IF(B629=SelectedScope,COUNTIFS($B$4:$B629,SelectedScope),"")</f>
        <v/>
      </c>
    </row>
    <row r="630" spans="1:22" ht="16.05" customHeight="1" x14ac:dyDescent="0.3">
      <c r="A630" s="28">
        <v>627</v>
      </c>
      <c r="B630" s="28" t="s">
        <v>551</v>
      </c>
      <c r="C630" s="28" t="s">
        <v>1613</v>
      </c>
      <c r="D630" s="28" t="s">
        <v>1027</v>
      </c>
      <c r="E630" s="28"/>
      <c r="F630" s="28"/>
      <c r="G630" s="28"/>
      <c r="H630" s="28"/>
      <c r="I630" s="28"/>
      <c r="J630" s="28"/>
      <c r="K630" s="28"/>
      <c r="L630" s="28"/>
      <c r="M630" s="28"/>
      <c r="N630" s="28"/>
      <c r="O630" s="28"/>
      <c r="P630" s="28"/>
      <c r="Q630" s="28"/>
      <c r="R630" s="28"/>
      <c r="S630" s="28"/>
      <c r="T630" s="28"/>
      <c r="U630" s="28"/>
      <c r="V630" s="29" t="str">
        <f>IF(B630=SelectedScope,COUNTIFS($B$4:$B630,SelectedScope),"")</f>
        <v/>
      </c>
    </row>
    <row r="631" spans="1:22" ht="16.05" customHeight="1" x14ac:dyDescent="0.3">
      <c r="A631" s="30">
        <v>628</v>
      </c>
      <c r="B631" s="30" t="s">
        <v>551</v>
      </c>
      <c r="C631" s="30" t="s">
        <v>1614</v>
      </c>
      <c r="D631" s="30" t="s">
        <v>1027</v>
      </c>
      <c r="E631" s="30"/>
      <c r="F631" s="30"/>
      <c r="G631" s="30"/>
      <c r="H631" s="30"/>
      <c r="I631" s="30"/>
      <c r="J631" s="30"/>
      <c r="K631" s="30"/>
      <c r="L631" s="30"/>
      <c r="M631" s="30"/>
      <c r="N631" s="30"/>
      <c r="O631" s="30"/>
      <c r="P631" s="30"/>
      <c r="Q631" s="30"/>
      <c r="R631" s="30"/>
      <c r="S631" s="30"/>
      <c r="T631" s="30"/>
      <c r="U631" s="30"/>
      <c r="V631" s="29" t="str">
        <f>IF(B631=SelectedScope,COUNTIFS($B$4:$B631,SelectedScope),"")</f>
        <v/>
      </c>
    </row>
    <row r="632" spans="1:22" ht="16.05" customHeight="1" x14ac:dyDescent="0.3">
      <c r="A632" s="28">
        <v>629</v>
      </c>
      <c r="B632" s="28" t="s">
        <v>551</v>
      </c>
      <c r="C632" s="28" t="s">
        <v>1615</v>
      </c>
      <c r="D632" s="28" t="s">
        <v>1027</v>
      </c>
      <c r="E632" s="28"/>
      <c r="F632" s="28"/>
      <c r="G632" s="28"/>
      <c r="H632" s="28"/>
      <c r="I632" s="28"/>
      <c r="J632" s="28"/>
      <c r="K632" s="28"/>
      <c r="L632" s="28"/>
      <c r="M632" s="28"/>
      <c r="N632" s="28"/>
      <c r="O632" s="28"/>
      <c r="P632" s="28"/>
      <c r="Q632" s="28"/>
      <c r="R632" s="28"/>
      <c r="S632" s="28"/>
      <c r="T632" s="28"/>
      <c r="U632" s="28"/>
      <c r="V632" s="29" t="str">
        <f>IF(B632=SelectedScope,COUNTIFS($B$4:$B632,SelectedScope),"")</f>
        <v/>
      </c>
    </row>
    <row r="633" spans="1:22" ht="16.05" customHeight="1" x14ac:dyDescent="0.3">
      <c r="A633" s="30">
        <v>630</v>
      </c>
      <c r="B633" s="30" t="s">
        <v>551</v>
      </c>
      <c r="C633" s="30" t="s">
        <v>1616</v>
      </c>
      <c r="D633" s="30" t="s">
        <v>1027</v>
      </c>
      <c r="E633" s="30"/>
      <c r="F633" s="30"/>
      <c r="G633" s="30"/>
      <c r="H633" s="30"/>
      <c r="I633" s="30"/>
      <c r="J633" s="30"/>
      <c r="K633" s="30"/>
      <c r="L633" s="30"/>
      <c r="M633" s="30"/>
      <c r="N633" s="30"/>
      <c r="O633" s="30"/>
      <c r="P633" s="30"/>
      <c r="Q633" s="30"/>
      <c r="R633" s="30"/>
      <c r="S633" s="30"/>
      <c r="T633" s="30"/>
      <c r="U633" s="30"/>
      <c r="V633" s="29" t="str">
        <f>IF(B633=SelectedScope,COUNTIFS($B$4:$B633,SelectedScope),"")</f>
        <v/>
      </c>
    </row>
    <row r="634" spans="1:22" ht="16.05" customHeight="1" x14ac:dyDescent="0.3">
      <c r="A634" s="28">
        <v>631</v>
      </c>
      <c r="B634" s="28" t="s">
        <v>551</v>
      </c>
      <c r="C634" s="28" t="s">
        <v>1617</v>
      </c>
      <c r="D634" s="28" t="s">
        <v>1027</v>
      </c>
      <c r="E634" s="28"/>
      <c r="F634" s="28"/>
      <c r="G634" s="28"/>
      <c r="H634" s="28"/>
      <c r="I634" s="28"/>
      <c r="J634" s="28"/>
      <c r="K634" s="28"/>
      <c r="L634" s="28"/>
      <c r="M634" s="28"/>
      <c r="N634" s="28"/>
      <c r="O634" s="28"/>
      <c r="P634" s="28"/>
      <c r="Q634" s="28"/>
      <c r="R634" s="28"/>
      <c r="S634" s="28"/>
      <c r="T634" s="28"/>
      <c r="U634" s="28"/>
      <c r="V634" s="29" t="str">
        <f>IF(B634=SelectedScope,COUNTIFS($B$4:$B634,SelectedScope),"")</f>
        <v/>
      </c>
    </row>
    <row r="635" spans="1:22" ht="16.05" customHeight="1" x14ac:dyDescent="0.3">
      <c r="A635" s="30">
        <v>632</v>
      </c>
      <c r="B635" s="30" t="s">
        <v>552</v>
      </c>
      <c r="C635" s="30" t="s">
        <v>1618</v>
      </c>
      <c r="D635" s="30" t="s">
        <v>1027</v>
      </c>
      <c r="E635" s="30"/>
      <c r="F635" s="30"/>
      <c r="G635" s="30"/>
      <c r="H635" s="30"/>
      <c r="I635" s="30"/>
      <c r="J635" s="30"/>
      <c r="K635" s="30"/>
      <c r="L635" s="30"/>
      <c r="M635" s="30"/>
      <c r="N635" s="30"/>
      <c r="O635" s="30"/>
      <c r="P635" s="30"/>
      <c r="Q635" s="30"/>
      <c r="R635" s="30"/>
      <c r="S635" s="30"/>
      <c r="T635" s="30"/>
      <c r="U635" s="30"/>
      <c r="V635" s="29" t="str">
        <f>IF(B635=SelectedScope,COUNTIFS($B$4:$B635,SelectedScope),"")</f>
        <v/>
      </c>
    </row>
    <row r="636" spans="1:22" ht="16.05" customHeight="1" x14ac:dyDescent="0.3">
      <c r="A636" s="28">
        <v>633</v>
      </c>
      <c r="B636" s="28" t="s">
        <v>552</v>
      </c>
      <c r="C636" s="28" t="s">
        <v>1619</v>
      </c>
      <c r="D636" s="28" t="s">
        <v>1027</v>
      </c>
      <c r="E636" s="28"/>
      <c r="F636" s="28"/>
      <c r="G636" s="28"/>
      <c r="H636" s="28"/>
      <c r="I636" s="28"/>
      <c r="J636" s="28"/>
      <c r="K636" s="28"/>
      <c r="L636" s="28"/>
      <c r="M636" s="28"/>
      <c r="N636" s="28"/>
      <c r="O636" s="28"/>
      <c r="P636" s="28"/>
      <c r="Q636" s="28"/>
      <c r="R636" s="28"/>
      <c r="S636" s="28"/>
      <c r="T636" s="28"/>
      <c r="U636" s="28"/>
      <c r="V636" s="29" t="str">
        <f>IF(B636=SelectedScope,COUNTIFS($B$4:$B636,SelectedScope),"")</f>
        <v/>
      </c>
    </row>
    <row r="637" spans="1:22" ht="16.05" customHeight="1" x14ac:dyDescent="0.3">
      <c r="A637" s="30">
        <v>634</v>
      </c>
      <c r="B637" s="30" t="s">
        <v>552</v>
      </c>
      <c r="C637" s="30" t="s">
        <v>1620</v>
      </c>
      <c r="D637" s="30" t="s">
        <v>1027</v>
      </c>
      <c r="E637" s="30"/>
      <c r="F637" s="30"/>
      <c r="G637" s="30"/>
      <c r="H637" s="30"/>
      <c r="I637" s="30"/>
      <c r="J637" s="30"/>
      <c r="K637" s="30"/>
      <c r="L637" s="30"/>
      <c r="M637" s="30"/>
      <c r="N637" s="30"/>
      <c r="O637" s="30"/>
      <c r="P637" s="30"/>
      <c r="Q637" s="30"/>
      <c r="R637" s="30"/>
      <c r="S637" s="30"/>
      <c r="T637" s="30"/>
      <c r="U637" s="30"/>
      <c r="V637" s="29" t="str">
        <f>IF(B637=SelectedScope,COUNTIFS($B$4:$B637,SelectedScope),"")</f>
        <v/>
      </c>
    </row>
    <row r="638" spans="1:22" ht="16.05" customHeight="1" x14ac:dyDescent="0.3">
      <c r="A638" s="28">
        <v>635</v>
      </c>
      <c r="B638" s="28" t="s">
        <v>552</v>
      </c>
      <c r="C638" s="28" t="s">
        <v>1621</v>
      </c>
      <c r="D638" s="28" t="s">
        <v>1027</v>
      </c>
      <c r="E638" s="28"/>
      <c r="F638" s="28"/>
      <c r="G638" s="28"/>
      <c r="H638" s="28"/>
      <c r="I638" s="28"/>
      <c r="J638" s="28"/>
      <c r="K638" s="28"/>
      <c r="L638" s="28"/>
      <c r="M638" s="28"/>
      <c r="N638" s="28"/>
      <c r="O638" s="28"/>
      <c r="P638" s="28"/>
      <c r="Q638" s="28"/>
      <c r="R638" s="28"/>
      <c r="S638" s="28"/>
      <c r="T638" s="28"/>
      <c r="U638" s="28"/>
      <c r="V638" s="29" t="str">
        <f>IF(B638=SelectedScope,COUNTIFS($B$4:$B638,SelectedScope),"")</f>
        <v/>
      </c>
    </row>
    <row r="639" spans="1:22" ht="16.05" customHeight="1" x14ac:dyDescent="0.3">
      <c r="A639" s="30">
        <v>636</v>
      </c>
      <c r="B639" s="30" t="s">
        <v>552</v>
      </c>
      <c r="C639" s="30" t="s">
        <v>1622</v>
      </c>
      <c r="D639" s="30" t="s">
        <v>1027</v>
      </c>
      <c r="E639" s="30"/>
      <c r="F639" s="30"/>
      <c r="G639" s="30"/>
      <c r="H639" s="30"/>
      <c r="I639" s="30"/>
      <c r="J639" s="30"/>
      <c r="K639" s="30"/>
      <c r="L639" s="30"/>
      <c r="M639" s="30"/>
      <c r="N639" s="30"/>
      <c r="O639" s="30"/>
      <c r="P639" s="30"/>
      <c r="Q639" s="30"/>
      <c r="R639" s="30"/>
      <c r="S639" s="30"/>
      <c r="T639" s="30"/>
      <c r="U639" s="30"/>
      <c r="V639" s="29" t="str">
        <f>IF(B639=SelectedScope,COUNTIFS($B$4:$B639,SelectedScope),"")</f>
        <v/>
      </c>
    </row>
    <row r="640" spans="1:22" ht="16.05" customHeight="1" x14ac:dyDescent="0.3">
      <c r="A640" s="28">
        <v>637</v>
      </c>
      <c r="B640" s="28" t="s">
        <v>552</v>
      </c>
      <c r="C640" s="28" t="s">
        <v>1623</v>
      </c>
      <c r="D640" s="28" t="s">
        <v>1027</v>
      </c>
      <c r="E640" s="28"/>
      <c r="F640" s="28"/>
      <c r="G640" s="28"/>
      <c r="H640" s="28"/>
      <c r="I640" s="28"/>
      <c r="J640" s="28"/>
      <c r="K640" s="28"/>
      <c r="L640" s="28"/>
      <c r="M640" s="28"/>
      <c r="N640" s="28"/>
      <c r="O640" s="28"/>
      <c r="P640" s="28"/>
      <c r="Q640" s="28"/>
      <c r="R640" s="28"/>
      <c r="S640" s="28"/>
      <c r="T640" s="28"/>
      <c r="U640" s="28"/>
      <c r="V640" s="29" t="str">
        <f>IF(B640=SelectedScope,COUNTIFS($B$4:$B640,SelectedScope),"")</f>
        <v/>
      </c>
    </row>
    <row r="641" spans="1:22" ht="16.05" customHeight="1" x14ac:dyDescent="0.3">
      <c r="A641" s="30">
        <v>638</v>
      </c>
      <c r="B641" s="30" t="s">
        <v>552</v>
      </c>
      <c r="C641" s="30" t="s">
        <v>1624</v>
      </c>
      <c r="D641" s="30" t="s">
        <v>1027</v>
      </c>
      <c r="E641" s="30"/>
      <c r="F641" s="30"/>
      <c r="G641" s="30"/>
      <c r="H641" s="30"/>
      <c r="I641" s="30"/>
      <c r="J641" s="30"/>
      <c r="K641" s="30"/>
      <c r="L641" s="30"/>
      <c r="M641" s="30"/>
      <c r="N641" s="30"/>
      <c r="O641" s="30"/>
      <c r="P641" s="30"/>
      <c r="Q641" s="30"/>
      <c r="R641" s="30"/>
      <c r="S641" s="30"/>
      <c r="T641" s="30"/>
      <c r="U641" s="30"/>
      <c r="V641" s="29" t="str">
        <f>IF(B641=SelectedScope,COUNTIFS($B$4:$B641,SelectedScope),"")</f>
        <v/>
      </c>
    </row>
    <row r="642" spans="1:22" ht="16.05" customHeight="1" x14ac:dyDescent="0.3">
      <c r="A642" s="28">
        <v>639</v>
      </c>
      <c r="B642" s="28" t="s">
        <v>552</v>
      </c>
      <c r="C642" s="28" t="s">
        <v>1625</v>
      </c>
      <c r="D642" s="28" t="s">
        <v>1027</v>
      </c>
      <c r="E642" s="28"/>
      <c r="F642" s="28"/>
      <c r="G642" s="28"/>
      <c r="H642" s="28"/>
      <c r="I642" s="28"/>
      <c r="J642" s="28"/>
      <c r="K642" s="28"/>
      <c r="L642" s="28"/>
      <c r="M642" s="28"/>
      <c r="N642" s="28"/>
      <c r="O642" s="28"/>
      <c r="P642" s="28"/>
      <c r="Q642" s="28"/>
      <c r="R642" s="28"/>
      <c r="S642" s="28"/>
      <c r="T642" s="28"/>
      <c r="U642" s="28"/>
      <c r="V642" s="29" t="str">
        <f>IF(B642=SelectedScope,COUNTIFS($B$4:$B642,SelectedScope),"")</f>
        <v/>
      </c>
    </row>
    <row r="643" spans="1:22" ht="16.05" customHeight="1" x14ac:dyDescent="0.3">
      <c r="A643" s="30">
        <v>640</v>
      </c>
      <c r="B643" s="30" t="s">
        <v>552</v>
      </c>
      <c r="C643" s="30" t="s">
        <v>1626</v>
      </c>
      <c r="D643" s="30" t="s">
        <v>1027</v>
      </c>
      <c r="E643" s="30"/>
      <c r="F643" s="30"/>
      <c r="G643" s="30"/>
      <c r="H643" s="30"/>
      <c r="I643" s="30"/>
      <c r="J643" s="30"/>
      <c r="K643" s="30"/>
      <c r="L643" s="30"/>
      <c r="M643" s="30"/>
      <c r="N643" s="30"/>
      <c r="O643" s="30"/>
      <c r="P643" s="30"/>
      <c r="Q643" s="30"/>
      <c r="R643" s="30"/>
      <c r="S643" s="30"/>
      <c r="T643" s="30"/>
      <c r="U643" s="30"/>
      <c r="V643" s="29" t="str">
        <f>IF(B643=SelectedScope,COUNTIFS($B$4:$B643,SelectedScope),"")</f>
        <v/>
      </c>
    </row>
    <row r="644" spans="1:22" ht="16.05" customHeight="1" x14ac:dyDescent="0.3">
      <c r="A644" s="28">
        <v>641</v>
      </c>
      <c r="B644" s="28" t="s">
        <v>552</v>
      </c>
      <c r="C644" s="28" t="s">
        <v>617</v>
      </c>
      <c r="D644" s="28" t="s">
        <v>1027</v>
      </c>
      <c r="E644" s="28"/>
      <c r="F644" s="28"/>
      <c r="G644" s="28"/>
      <c r="H644" s="28"/>
      <c r="I644" s="28"/>
      <c r="J644" s="28"/>
      <c r="K644" s="28"/>
      <c r="L644" s="28"/>
      <c r="M644" s="28"/>
      <c r="N644" s="28"/>
      <c r="O644" s="28"/>
      <c r="P644" s="28"/>
      <c r="Q644" s="28"/>
      <c r="R644" s="28"/>
      <c r="S644" s="28"/>
      <c r="T644" s="28"/>
      <c r="U644" s="28"/>
      <c r="V644" s="29" t="str">
        <f>IF(B644=SelectedScope,COUNTIFS($B$4:$B644,SelectedScope),"")</f>
        <v/>
      </c>
    </row>
    <row r="645" spans="1:22" ht="16.05" customHeight="1" x14ac:dyDescent="0.3">
      <c r="A645" s="30">
        <v>642</v>
      </c>
      <c r="B645" s="30" t="s">
        <v>552</v>
      </c>
      <c r="C645" s="30" t="s">
        <v>1627</v>
      </c>
      <c r="D645" s="30" t="s">
        <v>1027</v>
      </c>
      <c r="E645" s="30"/>
      <c r="F645" s="30"/>
      <c r="G645" s="30"/>
      <c r="H645" s="30"/>
      <c r="I645" s="30"/>
      <c r="J645" s="30"/>
      <c r="K645" s="30"/>
      <c r="L645" s="30"/>
      <c r="M645" s="30"/>
      <c r="N645" s="30"/>
      <c r="O645" s="30"/>
      <c r="P645" s="30"/>
      <c r="Q645" s="30"/>
      <c r="R645" s="30"/>
      <c r="S645" s="30"/>
      <c r="T645" s="30"/>
      <c r="U645" s="30"/>
      <c r="V645" s="29" t="str">
        <f>IF(B645=SelectedScope,COUNTIFS($B$4:$B645,SelectedScope),"")</f>
        <v/>
      </c>
    </row>
    <row r="646" spans="1:22" ht="16.05" customHeight="1" x14ac:dyDescent="0.3">
      <c r="A646" s="28">
        <v>643</v>
      </c>
      <c r="B646" s="28" t="s">
        <v>552</v>
      </c>
      <c r="C646" s="28" t="s">
        <v>1135</v>
      </c>
      <c r="D646" s="28" t="s">
        <v>1027</v>
      </c>
      <c r="E646" s="28"/>
      <c r="F646" s="28"/>
      <c r="G646" s="28"/>
      <c r="H646" s="28"/>
      <c r="I646" s="28"/>
      <c r="J646" s="28"/>
      <c r="K646" s="28"/>
      <c r="L646" s="28"/>
      <c r="M646" s="28"/>
      <c r="N646" s="28"/>
      <c r="O646" s="28"/>
      <c r="P646" s="28"/>
      <c r="Q646" s="28"/>
      <c r="R646" s="28"/>
      <c r="S646" s="28"/>
      <c r="T646" s="28"/>
      <c r="U646" s="28"/>
      <c r="V646" s="29" t="str">
        <f>IF(B646=SelectedScope,COUNTIFS($B$4:$B646,SelectedScope),"")</f>
        <v/>
      </c>
    </row>
    <row r="647" spans="1:22" ht="16.05" customHeight="1" x14ac:dyDescent="0.3">
      <c r="A647" s="30">
        <v>644</v>
      </c>
      <c r="B647" s="30" t="s">
        <v>552</v>
      </c>
      <c r="C647" s="30" t="s">
        <v>1628</v>
      </c>
      <c r="D647" s="30" t="s">
        <v>1027</v>
      </c>
      <c r="E647" s="30"/>
      <c r="F647" s="30"/>
      <c r="G647" s="30"/>
      <c r="H647" s="30"/>
      <c r="I647" s="30"/>
      <c r="J647" s="30"/>
      <c r="K647" s="30"/>
      <c r="L647" s="30"/>
      <c r="M647" s="30"/>
      <c r="N647" s="30"/>
      <c r="O647" s="30"/>
      <c r="P647" s="30"/>
      <c r="Q647" s="30"/>
      <c r="R647" s="30"/>
      <c r="S647" s="30"/>
      <c r="T647" s="30"/>
      <c r="U647" s="30"/>
      <c r="V647" s="29" t="str">
        <f>IF(B647=SelectedScope,COUNTIFS($B$4:$B647,SelectedScope),"")</f>
        <v/>
      </c>
    </row>
    <row r="648" spans="1:22" ht="16.05" customHeight="1" x14ac:dyDescent="0.3">
      <c r="A648" s="28">
        <v>645</v>
      </c>
      <c r="B648" s="28" t="s">
        <v>552</v>
      </c>
      <c r="C648" s="28" t="s">
        <v>1629</v>
      </c>
      <c r="D648" s="28" t="s">
        <v>1027</v>
      </c>
      <c r="E648" s="28"/>
      <c r="F648" s="28"/>
      <c r="G648" s="28"/>
      <c r="H648" s="28"/>
      <c r="I648" s="28"/>
      <c r="J648" s="28"/>
      <c r="K648" s="28"/>
      <c r="L648" s="28"/>
      <c r="M648" s="28"/>
      <c r="N648" s="28"/>
      <c r="O648" s="28"/>
      <c r="P648" s="28"/>
      <c r="Q648" s="28"/>
      <c r="R648" s="28"/>
      <c r="S648" s="28"/>
      <c r="T648" s="28"/>
      <c r="U648" s="28"/>
      <c r="V648" s="29" t="str">
        <f>IF(B648=SelectedScope,COUNTIFS($B$4:$B648,SelectedScope),"")</f>
        <v/>
      </c>
    </row>
    <row r="649" spans="1:22" ht="16.05" customHeight="1" x14ac:dyDescent="0.3">
      <c r="A649" s="30">
        <v>646</v>
      </c>
      <c r="B649" s="30" t="s">
        <v>552</v>
      </c>
      <c r="C649" s="30" t="s">
        <v>1630</v>
      </c>
      <c r="D649" s="30" t="s">
        <v>1027</v>
      </c>
      <c r="E649" s="30"/>
      <c r="F649" s="30"/>
      <c r="G649" s="30"/>
      <c r="H649" s="30"/>
      <c r="I649" s="30"/>
      <c r="J649" s="30"/>
      <c r="K649" s="30"/>
      <c r="L649" s="30"/>
      <c r="M649" s="30"/>
      <c r="N649" s="30"/>
      <c r="O649" s="30"/>
      <c r="P649" s="30"/>
      <c r="Q649" s="30"/>
      <c r="R649" s="30"/>
      <c r="S649" s="30"/>
      <c r="T649" s="30"/>
      <c r="U649" s="30"/>
      <c r="V649" s="29" t="str">
        <f>IF(B649=SelectedScope,COUNTIFS($B$4:$B649,SelectedScope),"")</f>
        <v/>
      </c>
    </row>
    <row r="650" spans="1:22" ht="16.05" customHeight="1" x14ac:dyDescent="0.3">
      <c r="A650" s="28">
        <v>647</v>
      </c>
      <c r="B650" s="28" t="s">
        <v>552</v>
      </c>
      <c r="C650" s="28" t="s">
        <v>1631</v>
      </c>
      <c r="D650" s="28" t="s">
        <v>1027</v>
      </c>
      <c r="E650" s="28"/>
      <c r="F650" s="28"/>
      <c r="G650" s="28"/>
      <c r="H650" s="28"/>
      <c r="I650" s="28"/>
      <c r="J650" s="28"/>
      <c r="K650" s="28"/>
      <c r="L650" s="28"/>
      <c r="M650" s="28"/>
      <c r="N650" s="28"/>
      <c r="O650" s="28"/>
      <c r="P650" s="28"/>
      <c r="Q650" s="28"/>
      <c r="R650" s="28"/>
      <c r="S650" s="28"/>
      <c r="T650" s="28"/>
      <c r="U650" s="28"/>
      <c r="V650" s="29" t="str">
        <f>IF(B650=SelectedScope,COUNTIFS($B$4:$B650,SelectedScope),"")</f>
        <v/>
      </c>
    </row>
    <row r="651" spans="1:22" ht="16.05" customHeight="1" x14ac:dyDescent="0.3">
      <c r="A651" s="30">
        <v>648</v>
      </c>
      <c r="B651" s="30" t="s">
        <v>552</v>
      </c>
      <c r="C651" s="30" t="s">
        <v>1632</v>
      </c>
      <c r="D651" s="30" t="s">
        <v>1027</v>
      </c>
      <c r="E651" s="30"/>
      <c r="F651" s="30"/>
      <c r="G651" s="30"/>
      <c r="H651" s="30"/>
      <c r="I651" s="30"/>
      <c r="J651" s="30"/>
      <c r="K651" s="30"/>
      <c r="L651" s="30"/>
      <c r="M651" s="30"/>
      <c r="N651" s="30"/>
      <c r="O651" s="30"/>
      <c r="P651" s="30"/>
      <c r="Q651" s="30"/>
      <c r="R651" s="30"/>
      <c r="S651" s="30"/>
      <c r="T651" s="30"/>
      <c r="U651" s="30"/>
      <c r="V651" s="29" t="str">
        <f>IF(B651=SelectedScope,COUNTIFS($B$4:$B651,SelectedScope),"")</f>
        <v/>
      </c>
    </row>
    <row r="652" spans="1:22" ht="16.05" customHeight="1" x14ac:dyDescent="0.3">
      <c r="A652" s="28">
        <v>649</v>
      </c>
      <c r="B652" s="28" t="s">
        <v>552</v>
      </c>
      <c r="C652" s="28" t="s">
        <v>1633</v>
      </c>
      <c r="D652" s="28" t="s">
        <v>1027</v>
      </c>
      <c r="E652" s="28"/>
      <c r="F652" s="28"/>
      <c r="G652" s="28"/>
      <c r="H652" s="28"/>
      <c r="I652" s="28"/>
      <c r="J652" s="28"/>
      <c r="K652" s="28"/>
      <c r="L652" s="28"/>
      <c r="M652" s="28"/>
      <c r="N652" s="28"/>
      <c r="O652" s="28"/>
      <c r="P652" s="28"/>
      <c r="Q652" s="28"/>
      <c r="R652" s="28"/>
      <c r="S652" s="28"/>
      <c r="T652" s="28"/>
      <c r="U652" s="28"/>
      <c r="V652" s="29" t="str">
        <f>IF(B652=SelectedScope,COUNTIFS($B$4:$B652,SelectedScope),"")</f>
        <v/>
      </c>
    </row>
    <row r="653" spans="1:22" ht="16.05" customHeight="1" x14ac:dyDescent="0.3">
      <c r="A653" s="30">
        <v>650</v>
      </c>
      <c r="B653" s="30" t="s">
        <v>552</v>
      </c>
      <c r="C653" s="30" t="s">
        <v>1634</v>
      </c>
      <c r="D653" s="30" t="s">
        <v>1027</v>
      </c>
      <c r="E653" s="30"/>
      <c r="F653" s="30"/>
      <c r="G653" s="30"/>
      <c r="H653" s="30"/>
      <c r="I653" s="30"/>
      <c r="J653" s="30"/>
      <c r="K653" s="30"/>
      <c r="L653" s="30"/>
      <c r="M653" s="30"/>
      <c r="N653" s="30"/>
      <c r="O653" s="30"/>
      <c r="P653" s="30"/>
      <c r="Q653" s="30"/>
      <c r="R653" s="30"/>
      <c r="S653" s="30"/>
      <c r="T653" s="30"/>
      <c r="U653" s="30"/>
      <c r="V653" s="29" t="str">
        <f>IF(B653=SelectedScope,COUNTIFS($B$4:$B653,SelectedScope),"")</f>
        <v/>
      </c>
    </row>
    <row r="654" spans="1:22" ht="16.05" customHeight="1" x14ac:dyDescent="0.3">
      <c r="A654" s="28">
        <v>651</v>
      </c>
      <c r="B654" s="28" t="s">
        <v>552</v>
      </c>
      <c r="C654" s="28" t="s">
        <v>1635</v>
      </c>
      <c r="D654" s="28" t="s">
        <v>1027</v>
      </c>
      <c r="E654" s="28"/>
      <c r="F654" s="28"/>
      <c r="G654" s="28"/>
      <c r="H654" s="28"/>
      <c r="I654" s="28"/>
      <c r="J654" s="28"/>
      <c r="K654" s="28"/>
      <c r="L654" s="28"/>
      <c r="M654" s="28"/>
      <c r="N654" s="28"/>
      <c r="O654" s="28"/>
      <c r="P654" s="28"/>
      <c r="Q654" s="28"/>
      <c r="R654" s="28"/>
      <c r="S654" s="28"/>
      <c r="T654" s="28"/>
      <c r="U654" s="28"/>
      <c r="V654" s="29" t="str">
        <f>IF(B654=SelectedScope,COUNTIFS($B$4:$B654,SelectedScope),"")</f>
        <v/>
      </c>
    </row>
    <row r="655" spans="1:22" ht="16.05" customHeight="1" x14ac:dyDescent="0.3">
      <c r="A655" s="30">
        <v>652</v>
      </c>
      <c r="B655" s="30" t="s">
        <v>552</v>
      </c>
      <c r="C655" s="30" t="s">
        <v>1636</v>
      </c>
      <c r="D655" s="30" t="s">
        <v>1027</v>
      </c>
      <c r="E655" s="30"/>
      <c r="F655" s="30"/>
      <c r="G655" s="30"/>
      <c r="H655" s="30"/>
      <c r="I655" s="30"/>
      <c r="J655" s="30"/>
      <c r="K655" s="30"/>
      <c r="L655" s="30"/>
      <c r="M655" s="30"/>
      <c r="N655" s="30"/>
      <c r="O655" s="30"/>
      <c r="P655" s="30"/>
      <c r="Q655" s="30"/>
      <c r="R655" s="30"/>
      <c r="S655" s="30"/>
      <c r="T655" s="30"/>
      <c r="U655" s="30"/>
      <c r="V655" s="29" t="str">
        <f>IF(B655=SelectedScope,COUNTIFS($B$4:$B655,SelectedScope),"")</f>
        <v/>
      </c>
    </row>
    <row r="656" spans="1:22" ht="16.05" customHeight="1" x14ac:dyDescent="0.3">
      <c r="A656" s="28">
        <v>653</v>
      </c>
      <c r="B656" s="28" t="s">
        <v>552</v>
      </c>
      <c r="C656" s="28" t="s">
        <v>1637</v>
      </c>
      <c r="D656" s="28" t="s">
        <v>1027</v>
      </c>
      <c r="E656" s="28"/>
      <c r="F656" s="28"/>
      <c r="G656" s="28"/>
      <c r="H656" s="28"/>
      <c r="I656" s="28"/>
      <c r="J656" s="28"/>
      <c r="K656" s="28"/>
      <c r="L656" s="28"/>
      <c r="M656" s="28"/>
      <c r="N656" s="28"/>
      <c r="O656" s="28"/>
      <c r="P656" s="28"/>
      <c r="Q656" s="28"/>
      <c r="R656" s="28"/>
      <c r="S656" s="28"/>
      <c r="T656" s="28"/>
      <c r="U656" s="28"/>
      <c r="V656" s="29" t="str">
        <f>IF(B656=SelectedScope,COUNTIFS($B$4:$B656,SelectedScope),"")</f>
        <v/>
      </c>
    </row>
    <row r="657" spans="1:22" ht="16.05" customHeight="1" x14ac:dyDescent="0.3">
      <c r="A657" s="30">
        <v>654</v>
      </c>
      <c r="B657" s="30" t="s">
        <v>552</v>
      </c>
      <c r="C657" s="30" t="s">
        <v>1638</v>
      </c>
      <c r="D657" s="30" t="s">
        <v>1027</v>
      </c>
      <c r="E657" s="30"/>
      <c r="F657" s="30"/>
      <c r="G657" s="30"/>
      <c r="H657" s="30"/>
      <c r="I657" s="30"/>
      <c r="J657" s="30"/>
      <c r="K657" s="30"/>
      <c r="L657" s="30"/>
      <c r="M657" s="30"/>
      <c r="N657" s="30"/>
      <c r="O657" s="30"/>
      <c r="P657" s="30"/>
      <c r="Q657" s="30"/>
      <c r="R657" s="30"/>
      <c r="S657" s="30"/>
      <c r="T657" s="30"/>
      <c r="U657" s="30"/>
      <c r="V657" s="29" t="str">
        <f>IF(B657=SelectedScope,COUNTIFS($B$4:$B657,SelectedScope),"")</f>
        <v/>
      </c>
    </row>
    <row r="658" spans="1:22" ht="16.05" customHeight="1" x14ac:dyDescent="0.3">
      <c r="A658" s="28">
        <v>655</v>
      </c>
      <c r="B658" s="28" t="s">
        <v>552</v>
      </c>
      <c r="C658" s="28" t="s">
        <v>1639</v>
      </c>
      <c r="D658" s="28" t="s">
        <v>1027</v>
      </c>
      <c r="E658" s="28"/>
      <c r="F658" s="28"/>
      <c r="G658" s="28"/>
      <c r="H658" s="28"/>
      <c r="I658" s="28"/>
      <c r="J658" s="28"/>
      <c r="K658" s="28"/>
      <c r="L658" s="28"/>
      <c r="M658" s="28"/>
      <c r="N658" s="28"/>
      <c r="O658" s="28"/>
      <c r="P658" s="28"/>
      <c r="Q658" s="28"/>
      <c r="R658" s="28"/>
      <c r="S658" s="28"/>
      <c r="T658" s="28"/>
      <c r="U658" s="28"/>
      <c r="V658" s="29" t="str">
        <f>IF(B658=SelectedScope,COUNTIFS($B$4:$B658,SelectedScope),"")</f>
        <v/>
      </c>
    </row>
    <row r="659" spans="1:22" ht="16.05" customHeight="1" x14ac:dyDescent="0.3">
      <c r="A659" s="30">
        <v>656</v>
      </c>
      <c r="B659" s="30" t="s">
        <v>552</v>
      </c>
      <c r="C659" s="30" t="s">
        <v>1640</v>
      </c>
      <c r="D659" s="30" t="s">
        <v>1027</v>
      </c>
      <c r="E659" s="30"/>
      <c r="F659" s="30"/>
      <c r="G659" s="30"/>
      <c r="H659" s="30"/>
      <c r="I659" s="30"/>
      <c r="J659" s="30"/>
      <c r="K659" s="30"/>
      <c r="L659" s="30"/>
      <c r="M659" s="30"/>
      <c r="N659" s="30"/>
      <c r="O659" s="30"/>
      <c r="P659" s="30"/>
      <c r="Q659" s="30"/>
      <c r="R659" s="30"/>
      <c r="S659" s="30"/>
      <c r="T659" s="30"/>
      <c r="U659" s="30"/>
      <c r="V659" s="29" t="str">
        <f>IF(B659=SelectedScope,COUNTIFS($B$4:$B659,SelectedScope),"")</f>
        <v/>
      </c>
    </row>
    <row r="660" spans="1:22" ht="16.05" customHeight="1" x14ac:dyDescent="0.3">
      <c r="A660" s="28">
        <v>657</v>
      </c>
      <c r="B660" s="28" t="s">
        <v>552</v>
      </c>
      <c r="C660" s="28" t="s">
        <v>1641</v>
      </c>
      <c r="D660" s="28" t="s">
        <v>1027</v>
      </c>
      <c r="E660" s="28"/>
      <c r="F660" s="28"/>
      <c r="G660" s="28"/>
      <c r="H660" s="28"/>
      <c r="I660" s="28"/>
      <c r="J660" s="28"/>
      <c r="K660" s="28"/>
      <c r="L660" s="28"/>
      <c r="M660" s="28"/>
      <c r="N660" s="28"/>
      <c r="O660" s="28"/>
      <c r="P660" s="28"/>
      <c r="Q660" s="28"/>
      <c r="R660" s="28"/>
      <c r="S660" s="28"/>
      <c r="T660" s="28"/>
      <c r="U660" s="28"/>
      <c r="V660" s="29" t="str">
        <f>IF(B660=SelectedScope,COUNTIFS($B$4:$B660,SelectedScope),"")</f>
        <v/>
      </c>
    </row>
    <row r="661" spans="1:22" ht="16.05" customHeight="1" x14ac:dyDescent="0.3">
      <c r="A661" s="30">
        <v>658</v>
      </c>
      <c r="B661" s="30" t="s">
        <v>552</v>
      </c>
      <c r="C661" s="30" t="s">
        <v>1642</v>
      </c>
      <c r="D661" s="30" t="s">
        <v>1027</v>
      </c>
      <c r="E661" s="30"/>
      <c r="F661" s="30"/>
      <c r="G661" s="30"/>
      <c r="H661" s="30"/>
      <c r="I661" s="30"/>
      <c r="J661" s="30"/>
      <c r="K661" s="30"/>
      <c r="L661" s="30"/>
      <c r="M661" s="30"/>
      <c r="N661" s="30"/>
      <c r="O661" s="30"/>
      <c r="P661" s="30"/>
      <c r="Q661" s="30"/>
      <c r="R661" s="30"/>
      <c r="S661" s="30"/>
      <c r="T661" s="30"/>
      <c r="U661" s="30"/>
      <c r="V661" s="29" t="str">
        <f>IF(B661=SelectedScope,COUNTIFS($B$4:$B661,SelectedScope),"")</f>
        <v/>
      </c>
    </row>
    <row r="662" spans="1:22" ht="16.05" customHeight="1" x14ac:dyDescent="0.3">
      <c r="A662" s="28">
        <v>659</v>
      </c>
      <c r="B662" s="28" t="s">
        <v>552</v>
      </c>
      <c r="C662" s="28" t="s">
        <v>1643</v>
      </c>
      <c r="D662" s="28" t="s">
        <v>1027</v>
      </c>
      <c r="E662" s="28"/>
      <c r="F662" s="28"/>
      <c r="G662" s="28"/>
      <c r="H662" s="28"/>
      <c r="I662" s="28"/>
      <c r="J662" s="28"/>
      <c r="K662" s="28"/>
      <c r="L662" s="28"/>
      <c r="M662" s="28"/>
      <c r="N662" s="28"/>
      <c r="O662" s="28"/>
      <c r="P662" s="28"/>
      <c r="Q662" s="28"/>
      <c r="R662" s="28"/>
      <c r="S662" s="28"/>
      <c r="T662" s="28"/>
      <c r="U662" s="28"/>
      <c r="V662" s="29" t="str">
        <f>IF(B662=SelectedScope,COUNTIFS($B$4:$B662,SelectedScope),"")</f>
        <v/>
      </c>
    </row>
    <row r="663" spans="1:22" ht="16.05" customHeight="1" x14ac:dyDescent="0.3">
      <c r="A663" s="30">
        <v>660</v>
      </c>
      <c r="B663" s="30" t="s">
        <v>552</v>
      </c>
      <c r="C663" s="30" t="s">
        <v>1644</v>
      </c>
      <c r="D663" s="30" t="s">
        <v>1027</v>
      </c>
      <c r="E663" s="30"/>
      <c r="F663" s="30"/>
      <c r="G663" s="30"/>
      <c r="H663" s="30"/>
      <c r="I663" s="30"/>
      <c r="J663" s="30"/>
      <c r="K663" s="30"/>
      <c r="L663" s="30"/>
      <c r="M663" s="30"/>
      <c r="N663" s="30"/>
      <c r="O663" s="30"/>
      <c r="P663" s="30"/>
      <c r="Q663" s="30"/>
      <c r="R663" s="30"/>
      <c r="S663" s="30"/>
      <c r="T663" s="30"/>
      <c r="U663" s="30"/>
      <c r="V663" s="29" t="str">
        <f>IF(B663=SelectedScope,COUNTIFS($B$4:$B663,SelectedScope),"")</f>
        <v/>
      </c>
    </row>
    <row r="664" spans="1:22" ht="16.05" customHeight="1" x14ac:dyDescent="0.3">
      <c r="A664" s="28">
        <v>661</v>
      </c>
      <c r="B664" s="28" t="s">
        <v>552</v>
      </c>
      <c r="C664" s="28" t="s">
        <v>1645</v>
      </c>
      <c r="D664" s="28" t="s">
        <v>1027</v>
      </c>
      <c r="E664" s="28"/>
      <c r="F664" s="28"/>
      <c r="G664" s="28"/>
      <c r="H664" s="28"/>
      <c r="I664" s="28"/>
      <c r="J664" s="28"/>
      <c r="K664" s="28"/>
      <c r="L664" s="28"/>
      <c r="M664" s="28"/>
      <c r="N664" s="28"/>
      <c r="O664" s="28"/>
      <c r="P664" s="28"/>
      <c r="Q664" s="28"/>
      <c r="R664" s="28"/>
      <c r="S664" s="28"/>
      <c r="T664" s="28"/>
      <c r="U664" s="28"/>
      <c r="V664" s="29" t="str">
        <f>IF(B664=SelectedScope,COUNTIFS($B$4:$B664,SelectedScope),"")</f>
        <v/>
      </c>
    </row>
    <row r="665" spans="1:22" ht="16.05" customHeight="1" x14ac:dyDescent="0.3">
      <c r="A665" s="30">
        <v>662</v>
      </c>
      <c r="B665" s="30" t="s">
        <v>552</v>
      </c>
      <c r="C665" s="30" t="s">
        <v>1646</v>
      </c>
      <c r="D665" s="30" t="s">
        <v>1027</v>
      </c>
      <c r="E665" s="30"/>
      <c r="F665" s="30"/>
      <c r="G665" s="30"/>
      <c r="H665" s="30"/>
      <c r="I665" s="30"/>
      <c r="J665" s="30"/>
      <c r="K665" s="30"/>
      <c r="L665" s="30"/>
      <c r="M665" s="30"/>
      <c r="N665" s="30"/>
      <c r="O665" s="30"/>
      <c r="P665" s="30"/>
      <c r="Q665" s="30"/>
      <c r="R665" s="30"/>
      <c r="S665" s="30"/>
      <c r="T665" s="30"/>
      <c r="U665" s="30"/>
      <c r="V665" s="29" t="str">
        <f>IF(B665=SelectedScope,COUNTIFS($B$4:$B665,SelectedScope),"")</f>
        <v/>
      </c>
    </row>
    <row r="666" spans="1:22" ht="16.05" customHeight="1" x14ac:dyDescent="0.3">
      <c r="A666" s="28">
        <v>663</v>
      </c>
      <c r="B666" s="28" t="s">
        <v>552</v>
      </c>
      <c r="C666" s="28" t="s">
        <v>1647</v>
      </c>
      <c r="D666" s="28" t="s">
        <v>1027</v>
      </c>
      <c r="E666" s="28"/>
      <c r="F666" s="28"/>
      <c r="G666" s="28"/>
      <c r="H666" s="28"/>
      <c r="I666" s="28"/>
      <c r="J666" s="28"/>
      <c r="K666" s="28"/>
      <c r="L666" s="28"/>
      <c r="M666" s="28"/>
      <c r="N666" s="28"/>
      <c r="O666" s="28"/>
      <c r="P666" s="28"/>
      <c r="Q666" s="28"/>
      <c r="R666" s="28"/>
      <c r="S666" s="28"/>
      <c r="T666" s="28"/>
      <c r="U666" s="28"/>
      <c r="V666" s="29" t="str">
        <f>IF(B666=SelectedScope,COUNTIFS($B$4:$B666,SelectedScope),"")</f>
        <v/>
      </c>
    </row>
    <row r="667" spans="1:22" ht="16.05" customHeight="1" x14ac:dyDescent="0.3">
      <c r="A667" s="30">
        <v>664</v>
      </c>
      <c r="B667" s="30" t="s">
        <v>552</v>
      </c>
      <c r="C667" s="30" t="s">
        <v>1648</v>
      </c>
      <c r="D667" s="30" t="s">
        <v>1027</v>
      </c>
      <c r="E667" s="30"/>
      <c r="F667" s="30"/>
      <c r="G667" s="30"/>
      <c r="H667" s="30"/>
      <c r="I667" s="30"/>
      <c r="J667" s="30"/>
      <c r="K667" s="30"/>
      <c r="L667" s="30"/>
      <c r="M667" s="30"/>
      <c r="N667" s="30"/>
      <c r="O667" s="30"/>
      <c r="P667" s="30"/>
      <c r="Q667" s="30"/>
      <c r="R667" s="30"/>
      <c r="S667" s="30"/>
      <c r="T667" s="30"/>
      <c r="U667" s="30"/>
      <c r="V667" s="29" t="str">
        <f>IF(B667=SelectedScope,COUNTIFS($B$4:$B667,SelectedScope),"")</f>
        <v/>
      </c>
    </row>
    <row r="668" spans="1:22" ht="16.05" customHeight="1" x14ac:dyDescent="0.3">
      <c r="A668" s="28">
        <v>665</v>
      </c>
      <c r="B668" s="28" t="s">
        <v>552</v>
      </c>
      <c r="C668" s="28" t="s">
        <v>1226</v>
      </c>
      <c r="D668" s="28" t="s">
        <v>1027</v>
      </c>
      <c r="E668" s="28"/>
      <c r="F668" s="28"/>
      <c r="G668" s="28"/>
      <c r="H668" s="28"/>
      <c r="I668" s="28"/>
      <c r="J668" s="28"/>
      <c r="K668" s="28"/>
      <c r="L668" s="28"/>
      <c r="M668" s="28"/>
      <c r="N668" s="28"/>
      <c r="O668" s="28"/>
      <c r="P668" s="28"/>
      <c r="Q668" s="28"/>
      <c r="R668" s="28"/>
      <c r="S668" s="28"/>
      <c r="T668" s="28"/>
      <c r="U668" s="28"/>
      <c r="V668" s="29" t="str">
        <f>IF(B668=SelectedScope,COUNTIFS($B$4:$B668,SelectedScope),"")</f>
        <v/>
      </c>
    </row>
    <row r="669" spans="1:22" ht="16.05" customHeight="1" x14ac:dyDescent="0.3">
      <c r="A669" s="30">
        <v>666</v>
      </c>
      <c r="B669" s="30" t="s">
        <v>552</v>
      </c>
      <c r="C669" s="30" t="s">
        <v>1649</v>
      </c>
      <c r="D669" s="30" t="s">
        <v>1027</v>
      </c>
      <c r="E669" s="30"/>
      <c r="F669" s="30"/>
      <c r="G669" s="30"/>
      <c r="H669" s="30"/>
      <c r="I669" s="30"/>
      <c r="J669" s="30"/>
      <c r="K669" s="30"/>
      <c r="L669" s="30"/>
      <c r="M669" s="30"/>
      <c r="N669" s="30"/>
      <c r="O669" s="30"/>
      <c r="P669" s="30"/>
      <c r="Q669" s="30"/>
      <c r="R669" s="30"/>
      <c r="S669" s="30"/>
      <c r="T669" s="30"/>
      <c r="U669" s="30"/>
      <c r="V669" s="29" t="str">
        <f>IF(B669=SelectedScope,COUNTIFS($B$4:$B669,SelectedScope),"")</f>
        <v/>
      </c>
    </row>
    <row r="670" spans="1:22" ht="16.05" customHeight="1" x14ac:dyDescent="0.3">
      <c r="A670" s="28">
        <v>667</v>
      </c>
      <c r="B670" s="28" t="s">
        <v>552</v>
      </c>
      <c r="C670" s="28" t="s">
        <v>1650</v>
      </c>
      <c r="D670" s="28" t="s">
        <v>1027</v>
      </c>
      <c r="E670" s="28"/>
      <c r="F670" s="28"/>
      <c r="G670" s="28"/>
      <c r="H670" s="28"/>
      <c r="I670" s="28"/>
      <c r="J670" s="28"/>
      <c r="K670" s="28"/>
      <c r="L670" s="28"/>
      <c r="M670" s="28"/>
      <c r="N670" s="28"/>
      <c r="O670" s="28"/>
      <c r="P670" s="28"/>
      <c r="Q670" s="28"/>
      <c r="R670" s="28"/>
      <c r="S670" s="28"/>
      <c r="T670" s="28"/>
      <c r="U670" s="28"/>
      <c r="V670" s="29" t="str">
        <f>IF(B670=SelectedScope,COUNTIFS($B$4:$B670,SelectedScope),"")</f>
        <v/>
      </c>
    </row>
    <row r="671" spans="1:22" ht="16.05" customHeight="1" x14ac:dyDescent="0.3">
      <c r="A671" s="30">
        <v>668</v>
      </c>
      <c r="B671" s="30" t="s">
        <v>552</v>
      </c>
      <c r="C671" s="30" t="s">
        <v>1651</v>
      </c>
      <c r="D671" s="30" t="s">
        <v>1027</v>
      </c>
      <c r="E671" s="30"/>
      <c r="F671" s="30"/>
      <c r="G671" s="30"/>
      <c r="H671" s="30"/>
      <c r="I671" s="30"/>
      <c r="J671" s="30"/>
      <c r="K671" s="30"/>
      <c r="L671" s="30"/>
      <c r="M671" s="30"/>
      <c r="N671" s="30"/>
      <c r="O671" s="30"/>
      <c r="P671" s="30"/>
      <c r="Q671" s="30"/>
      <c r="R671" s="30"/>
      <c r="S671" s="30"/>
      <c r="T671" s="30"/>
      <c r="U671" s="30"/>
      <c r="V671" s="29" t="str">
        <f>IF(B671=SelectedScope,COUNTIFS($B$4:$B671,SelectedScope),"")</f>
        <v/>
      </c>
    </row>
    <row r="672" spans="1:22" ht="16.05" customHeight="1" x14ac:dyDescent="0.3">
      <c r="A672" s="28">
        <v>669</v>
      </c>
      <c r="B672" s="28" t="s">
        <v>552</v>
      </c>
      <c r="C672" s="28" t="s">
        <v>1652</v>
      </c>
      <c r="D672" s="28" t="s">
        <v>1027</v>
      </c>
      <c r="E672" s="28"/>
      <c r="F672" s="28"/>
      <c r="G672" s="28"/>
      <c r="H672" s="28"/>
      <c r="I672" s="28"/>
      <c r="J672" s="28"/>
      <c r="K672" s="28"/>
      <c r="L672" s="28"/>
      <c r="M672" s="28"/>
      <c r="N672" s="28"/>
      <c r="O672" s="28"/>
      <c r="P672" s="28"/>
      <c r="Q672" s="28"/>
      <c r="R672" s="28"/>
      <c r="S672" s="28"/>
      <c r="T672" s="28"/>
      <c r="U672" s="28"/>
      <c r="V672" s="29" t="str">
        <f>IF(B672=SelectedScope,COUNTIFS($B$4:$B672,SelectedScope),"")</f>
        <v/>
      </c>
    </row>
    <row r="673" spans="1:22" ht="16.05" customHeight="1" x14ac:dyDescent="0.3">
      <c r="A673" s="30">
        <v>670</v>
      </c>
      <c r="B673" s="30" t="s">
        <v>552</v>
      </c>
      <c r="C673" s="30" t="s">
        <v>1653</v>
      </c>
      <c r="D673" s="30" t="s">
        <v>1027</v>
      </c>
      <c r="E673" s="30"/>
      <c r="F673" s="30"/>
      <c r="G673" s="30"/>
      <c r="H673" s="30"/>
      <c r="I673" s="30"/>
      <c r="J673" s="30"/>
      <c r="K673" s="30"/>
      <c r="L673" s="30"/>
      <c r="M673" s="30"/>
      <c r="N673" s="30"/>
      <c r="O673" s="30"/>
      <c r="P673" s="30"/>
      <c r="Q673" s="30"/>
      <c r="R673" s="30"/>
      <c r="S673" s="30"/>
      <c r="T673" s="30"/>
      <c r="U673" s="30"/>
      <c r="V673" s="29" t="str">
        <f>IF(B673=SelectedScope,COUNTIFS($B$4:$B673,SelectedScope),"")</f>
        <v/>
      </c>
    </row>
    <row r="674" spans="1:22" ht="16.05" customHeight="1" x14ac:dyDescent="0.3">
      <c r="A674" s="28">
        <v>671</v>
      </c>
      <c r="B674" s="28" t="s">
        <v>552</v>
      </c>
      <c r="C674" s="28" t="s">
        <v>1654</v>
      </c>
      <c r="D674" s="28" t="s">
        <v>1027</v>
      </c>
      <c r="E674" s="28"/>
      <c r="F674" s="28"/>
      <c r="G674" s="28"/>
      <c r="H674" s="28"/>
      <c r="I674" s="28"/>
      <c r="J674" s="28"/>
      <c r="K674" s="28"/>
      <c r="L674" s="28"/>
      <c r="M674" s="28"/>
      <c r="N674" s="28"/>
      <c r="O674" s="28"/>
      <c r="P674" s="28"/>
      <c r="Q674" s="28"/>
      <c r="R674" s="28"/>
      <c r="S674" s="28"/>
      <c r="T674" s="28"/>
      <c r="U674" s="28"/>
      <c r="V674" s="29" t="str">
        <f>IF(B674=SelectedScope,COUNTIFS($B$4:$B674,SelectedScope),"")</f>
        <v/>
      </c>
    </row>
    <row r="675" spans="1:22" ht="16.05" customHeight="1" x14ac:dyDescent="0.3">
      <c r="A675" s="30">
        <v>672</v>
      </c>
      <c r="B675" s="30" t="s">
        <v>552</v>
      </c>
      <c r="C675" s="30" t="s">
        <v>1655</v>
      </c>
      <c r="D675" s="30" t="s">
        <v>1027</v>
      </c>
      <c r="E675" s="30"/>
      <c r="F675" s="30"/>
      <c r="G675" s="30"/>
      <c r="H675" s="30"/>
      <c r="I675" s="30"/>
      <c r="J675" s="30"/>
      <c r="K675" s="30"/>
      <c r="L675" s="30"/>
      <c r="M675" s="30"/>
      <c r="N675" s="30"/>
      <c r="O675" s="30"/>
      <c r="P675" s="30"/>
      <c r="Q675" s="30"/>
      <c r="R675" s="30"/>
      <c r="S675" s="30"/>
      <c r="T675" s="30"/>
      <c r="U675" s="30"/>
      <c r="V675" s="29" t="str">
        <f>IF(B675=SelectedScope,COUNTIFS($B$4:$B675,SelectedScope),"")</f>
        <v/>
      </c>
    </row>
    <row r="676" spans="1:22" ht="16.05" customHeight="1" x14ac:dyDescent="0.3">
      <c r="A676" s="28">
        <v>673</v>
      </c>
      <c r="B676" s="28" t="s">
        <v>552</v>
      </c>
      <c r="C676" s="28" t="s">
        <v>1656</v>
      </c>
      <c r="D676" s="28" t="s">
        <v>1027</v>
      </c>
      <c r="E676" s="28"/>
      <c r="F676" s="28"/>
      <c r="G676" s="28"/>
      <c r="H676" s="28"/>
      <c r="I676" s="28"/>
      <c r="J676" s="28"/>
      <c r="K676" s="28"/>
      <c r="L676" s="28"/>
      <c r="M676" s="28"/>
      <c r="N676" s="28"/>
      <c r="O676" s="28"/>
      <c r="P676" s="28"/>
      <c r="Q676" s="28"/>
      <c r="R676" s="28"/>
      <c r="S676" s="28"/>
      <c r="T676" s="28"/>
      <c r="U676" s="28"/>
      <c r="V676" s="29" t="str">
        <f>IF(B676=SelectedScope,COUNTIFS($B$4:$B676,SelectedScope),"")</f>
        <v/>
      </c>
    </row>
    <row r="677" spans="1:22" ht="16.05" customHeight="1" x14ac:dyDescent="0.3">
      <c r="A677" s="30">
        <v>674</v>
      </c>
      <c r="B677" s="30" t="s">
        <v>552</v>
      </c>
      <c r="C677" s="30" t="s">
        <v>1657</v>
      </c>
      <c r="D677" s="30" t="s">
        <v>1027</v>
      </c>
      <c r="E677" s="30"/>
      <c r="F677" s="30"/>
      <c r="G677" s="30"/>
      <c r="H677" s="30"/>
      <c r="I677" s="30"/>
      <c r="J677" s="30"/>
      <c r="K677" s="30"/>
      <c r="L677" s="30"/>
      <c r="M677" s="30"/>
      <c r="N677" s="30"/>
      <c r="O677" s="30"/>
      <c r="P677" s="30"/>
      <c r="Q677" s="30"/>
      <c r="R677" s="30"/>
      <c r="S677" s="30"/>
      <c r="T677" s="30"/>
      <c r="U677" s="30"/>
      <c r="V677" s="29" t="str">
        <f>IF(B677=SelectedScope,COUNTIFS($B$4:$B677,SelectedScope),"")</f>
        <v/>
      </c>
    </row>
    <row r="678" spans="1:22" ht="16.05" customHeight="1" x14ac:dyDescent="0.3">
      <c r="A678" s="28">
        <v>675</v>
      </c>
      <c r="B678" s="28" t="s">
        <v>552</v>
      </c>
      <c r="C678" s="28" t="s">
        <v>1658</v>
      </c>
      <c r="D678" s="28" t="s">
        <v>1027</v>
      </c>
      <c r="E678" s="28"/>
      <c r="F678" s="28"/>
      <c r="G678" s="28"/>
      <c r="H678" s="28"/>
      <c r="I678" s="28"/>
      <c r="J678" s="28"/>
      <c r="K678" s="28"/>
      <c r="L678" s="28"/>
      <c r="M678" s="28"/>
      <c r="N678" s="28"/>
      <c r="O678" s="28"/>
      <c r="P678" s="28"/>
      <c r="Q678" s="28"/>
      <c r="R678" s="28"/>
      <c r="S678" s="28"/>
      <c r="T678" s="28"/>
      <c r="U678" s="28"/>
      <c r="V678" s="29" t="str">
        <f>IF(B678=SelectedScope,COUNTIFS($B$4:$B678,SelectedScope),"")</f>
        <v/>
      </c>
    </row>
    <row r="679" spans="1:22" ht="16.05" customHeight="1" x14ac:dyDescent="0.3">
      <c r="A679" s="30">
        <v>676</v>
      </c>
      <c r="B679" s="30" t="s">
        <v>552</v>
      </c>
      <c r="C679" s="30" t="s">
        <v>1659</v>
      </c>
      <c r="D679" s="30" t="s">
        <v>1027</v>
      </c>
      <c r="E679" s="30"/>
      <c r="F679" s="30"/>
      <c r="G679" s="30"/>
      <c r="H679" s="30"/>
      <c r="I679" s="30"/>
      <c r="J679" s="30"/>
      <c r="K679" s="30"/>
      <c r="L679" s="30"/>
      <c r="M679" s="30"/>
      <c r="N679" s="30"/>
      <c r="O679" s="30"/>
      <c r="P679" s="30"/>
      <c r="Q679" s="30"/>
      <c r="R679" s="30"/>
      <c r="S679" s="30"/>
      <c r="T679" s="30"/>
      <c r="U679" s="30"/>
      <c r="V679" s="29" t="str">
        <f>IF(B679=SelectedScope,COUNTIFS($B$4:$B679,SelectedScope),"")</f>
        <v/>
      </c>
    </row>
    <row r="680" spans="1:22" ht="16.05" customHeight="1" x14ac:dyDescent="0.3">
      <c r="A680" s="28">
        <v>677</v>
      </c>
      <c r="B680" s="28" t="s">
        <v>552</v>
      </c>
      <c r="C680" s="28" t="s">
        <v>1660</v>
      </c>
      <c r="D680" s="28" t="s">
        <v>1027</v>
      </c>
      <c r="E680" s="28"/>
      <c r="F680" s="28"/>
      <c r="G680" s="28"/>
      <c r="H680" s="28"/>
      <c r="I680" s="28"/>
      <c r="J680" s="28"/>
      <c r="K680" s="28"/>
      <c r="L680" s="28"/>
      <c r="M680" s="28"/>
      <c r="N680" s="28"/>
      <c r="O680" s="28"/>
      <c r="P680" s="28"/>
      <c r="Q680" s="28"/>
      <c r="R680" s="28"/>
      <c r="S680" s="28"/>
      <c r="T680" s="28"/>
      <c r="U680" s="28"/>
      <c r="V680" s="29" t="str">
        <f>IF(B680=SelectedScope,COUNTIFS($B$4:$B680,SelectedScope),"")</f>
        <v/>
      </c>
    </row>
    <row r="681" spans="1:22" ht="16.05" customHeight="1" x14ac:dyDescent="0.3">
      <c r="A681" s="30">
        <v>678</v>
      </c>
      <c r="B681" s="30" t="s">
        <v>552</v>
      </c>
      <c r="C681" s="30" t="s">
        <v>1661</v>
      </c>
      <c r="D681" s="30" t="s">
        <v>1027</v>
      </c>
      <c r="E681" s="30"/>
      <c r="F681" s="30"/>
      <c r="G681" s="30"/>
      <c r="H681" s="30"/>
      <c r="I681" s="30"/>
      <c r="J681" s="30"/>
      <c r="K681" s="30"/>
      <c r="L681" s="30"/>
      <c r="M681" s="30"/>
      <c r="N681" s="30"/>
      <c r="O681" s="30"/>
      <c r="P681" s="30"/>
      <c r="Q681" s="30"/>
      <c r="R681" s="30"/>
      <c r="S681" s="30"/>
      <c r="T681" s="30"/>
      <c r="U681" s="30"/>
      <c r="V681" s="29" t="str">
        <f>IF(B681=SelectedScope,COUNTIFS($B$4:$B681,SelectedScope),"")</f>
        <v/>
      </c>
    </row>
    <row r="682" spans="1:22" ht="16.05" customHeight="1" x14ac:dyDescent="0.3">
      <c r="A682" s="28">
        <v>679</v>
      </c>
      <c r="B682" s="28" t="s">
        <v>552</v>
      </c>
      <c r="C682" s="28" t="s">
        <v>1662</v>
      </c>
      <c r="D682" s="28" t="s">
        <v>1027</v>
      </c>
      <c r="E682" s="28"/>
      <c r="F682" s="28"/>
      <c r="G682" s="28"/>
      <c r="H682" s="28"/>
      <c r="I682" s="28"/>
      <c r="J682" s="28"/>
      <c r="K682" s="28"/>
      <c r="L682" s="28"/>
      <c r="M682" s="28"/>
      <c r="N682" s="28"/>
      <c r="O682" s="28"/>
      <c r="P682" s="28"/>
      <c r="Q682" s="28"/>
      <c r="R682" s="28"/>
      <c r="S682" s="28"/>
      <c r="T682" s="28"/>
      <c r="U682" s="28"/>
      <c r="V682" s="29" t="str">
        <f>IF(B682=SelectedScope,COUNTIFS($B$4:$B682,SelectedScope),"")</f>
        <v/>
      </c>
    </row>
    <row r="683" spans="1:22" ht="16.05" customHeight="1" x14ac:dyDescent="0.3">
      <c r="A683" s="30">
        <v>680</v>
      </c>
      <c r="B683" s="30" t="s">
        <v>552</v>
      </c>
      <c r="C683" s="30" t="s">
        <v>1663</v>
      </c>
      <c r="D683" s="30" t="s">
        <v>1027</v>
      </c>
      <c r="E683" s="30"/>
      <c r="F683" s="30"/>
      <c r="G683" s="30"/>
      <c r="H683" s="30"/>
      <c r="I683" s="30"/>
      <c r="J683" s="30"/>
      <c r="K683" s="30"/>
      <c r="L683" s="30"/>
      <c r="M683" s="30"/>
      <c r="N683" s="30"/>
      <c r="O683" s="30"/>
      <c r="P683" s="30"/>
      <c r="Q683" s="30"/>
      <c r="R683" s="30"/>
      <c r="S683" s="30"/>
      <c r="T683" s="30"/>
      <c r="U683" s="30"/>
      <c r="V683" s="29" t="str">
        <f>IF(B683=SelectedScope,COUNTIFS($B$4:$B683,SelectedScope),"")</f>
        <v/>
      </c>
    </row>
    <row r="684" spans="1:22" ht="16.05" customHeight="1" x14ac:dyDescent="0.3">
      <c r="A684" s="28">
        <v>681</v>
      </c>
      <c r="B684" s="28" t="s">
        <v>552</v>
      </c>
      <c r="C684" s="28" t="s">
        <v>1664</v>
      </c>
      <c r="D684" s="28" t="s">
        <v>1027</v>
      </c>
      <c r="E684" s="28"/>
      <c r="F684" s="28"/>
      <c r="G684" s="28"/>
      <c r="H684" s="28"/>
      <c r="I684" s="28"/>
      <c r="J684" s="28"/>
      <c r="K684" s="28"/>
      <c r="L684" s="28"/>
      <c r="M684" s="28"/>
      <c r="N684" s="28"/>
      <c r="O684" s="28"/>
      <c r="P684" s="28"/>
      <c r="Q684" s="28"/>
      <c r="R684" s="28"/>
      <c r="S684" s="28"/>
      <c r="T684" s="28"/>
      <c r="U684" s="28"/>
      <c r="V684" s="29" t="str">
        <f>IF(B684=SelectedScope,COUNTIFS($B$4:$B684,SelectedScope),"")</f>
        <v/>
      </c>
    </row>
    <row r="685" spans="1:22" ht="16.05" customHeight="1" x14ac:dyDescent="0.3">
      <c r="A685" s="30">
        <v>682</v>
      </c>
      <c r="B685" s="30" t="s">
        <v>552</v>
      </c>
      <c r="C685" s="30" t="s">
        <v>1665</v>
      </c>
      <c r="D685" s="30" t="s">
        <v>1027</v>
      </c>
      <c r="E685" s="30"/>
      <c r="F685" s="30"/>
      <c r="G685" s="30"/>
      <c r="H685" s="30"/>
      <c r="I685" s="30"/>
      <c r="J685" s="30"/>
      <c r="K685" s="30"/>
      <c r="L685" s="30"/>
      <c r="M685" s="30"/>
      <c r="N685" s="30"/>
      <c r="O685" s="30"/>
      <c r="P685" s="30"/>
      <c r="Q685" s="30"/>
      <c r="R685" s="30"/>
      <c r="S685" s="30"/>
      <c r="T685" s="30"/>
      <c r="U685" s="30"/>
      <c r="V685" s="29" t="str">
        <f>IF(B685=SelectedScope,COUNTIFS($B$4:$B685,SelectedScope),"")</f>
        <v/>
      </c>
    </row>
    <row r="686" spans="1:22" ht="16.05" customHeight="1" x14ac:dyDescent="0.3">
      <c r="A686" s="28">
        <v>683</v>
      </c>
      <c r="B686" s="28" t="s">
        <v>552</v>
      </c>
      <c r="C686" s="28" t="s">
        <v>1666</v>
      </c>
      <c r="D686" s="28" t="s">
        <v>1027</v>
      </c>
      <c r="E686" s="28"/>
      <c r="F686" s="28"/>
      <c r="G686" s="28"/>
      <c r="H686" s="28"/>
      <c r="I686" s="28"/>
      <c r="J686" s="28"/>
      <c r="K686" s="28"/>
      <c r="L686" s="28"/>
      <c r="M686" s="28"/>
      <c r="N686" s="28"/>
      <c r="O686" s="28"/>
      <c r="P686" s="28"/>
      <c r="Q686" s="28"/>
      <c r="R686" s="28"/>
      <c r="S686" s="28"/>
      <c r="T686" s="28"/>
      <c r="U686" s="28"/>
      <c r="V686" s="29" t="str">
        <f>IF(B686=SelectedScope,COUNTIFS($B$4:$B686,SelectedScope),"")</f>
        <v/>
      </c>
    </row>
    <row r="687" spans="1:22" ht="16.05" customHeight="1" x14ac:dyDescent="0.3">
      <c r="A687" s="30">
        <v>684</v>
      </c>
      <c r="B687" s="30" t="s">
        <v>552</v>
      </c>
      <c r="C687" s="30" t="s">
        <v>1667</v>
      </c>
      <c r="D687" s="30" t="s">
        <v>1027</v>
      </c>
      <c r="E687" s="30"/>
      <c r="F687" s="30"/>
      <c r="G687" s="30"/>
      <c r="H687" s="30"/>
      <c r="I687" s="30"/>
      <c r="J687" s="30"/>
      <c r="K687" s="30"/>
      <c r="L687" s="30"/>
      <c r="M687" s="30"/>
      <c r="N687" s="30"/>
      <c r="O687" s="30"/>
      <c r="P687" s="30"/>
      <c r="Q687" s="30"/>
      <c r="R687" s="30"/>
      <c r="S687" s="30"/>
      <c r="T687" s="30"/>
      <c r="U687" s="30"/>
      <c r="V687" s="29" t="str">
        <f>IF(B687=SelectedScope,COUNTIFS($B$4:$B687,SelectedScope),"")</f>
        <v/>
      </c>
    </row>
    <row r="688" spans="1:22" ht="16.05" customHeight="1" x14ac:dyDescent="0.3">
      <c r="A688" s="28">
        <v>685</v>
      </c>
      <c r="B688" s="28" t="s">
        <v>552</v>
      </c>
      <c r="C688" s="28" t="s">
        <v>1668</v>
      </c>
      <c r="D688" s="28" t="s">
        <v>1027</v>
      </c>
      <c r="E688" s="28"/>
      <c r="F688" s="28"/>
      <c r="G688" s="28"/>
      <c r="H688" s="28"/>
      <c r="I688" s="28"/>
      <c r="J688" s="28"/>
      <c r="K688" s="28"/>
      <c r="L688" s="28"/>
      <c r="M688" s="28"/>
      <c r="N688" s="28"/>
      <c r="O688" s="28"/>
      <c r="P688" s="28"/>
      <c r="Q688" s="28"/>
      <c r="R688" s="28"/>
      <c r="S688" s="28"/>
      <c r="T688" s="28"/>
      <c r="U688" s="28"/>
      <c r="V688" s="29" t="str">
        <f>IF(B688=SelectedScope,COUNTIFS($B$4:$B688,SelectedScope),"")</f>
        <v/>
      </c>
    </row>
    <row r="689" spans="1:22" ht="16.05" customHeight="1" x14ac:dyDescent="0.3">
      <c r="A689" s="30">
        <v>686</v>
      </c>
      <c r="B689" s="30" t="s">
        <v>552</v>
      </c>
      <c r="C689" s="30" t="s">
        <v>1669</v>
      </c>
      <c r="D689" s="30" t="s">
        <v>1027</v>
      </c>
      <c r="E689" s="30"/>
      <c r="F689" s="30"/>
      <c r="G689" s="30"/>
      <c r="H689" s="30"/>
      <c r="I689" s="30"/>
      <c r="J689" s="30"/>
      <c r="K689" s="30"/>
      <c r="L689" s="30"/>
      <c r="M689" s="30"/>
      <c r="N689" s="30"/>
      <c r="O689" s="30"/>
      <c r="P689" s="30"/>
      <c r="Q689" s="30"/>
      <c r="R689" s="30"/>
      <c r="S689" s="30"/>
      <c r="T689" s="30"/>
      <c r="U689" s="30"/>
      <c r="V689" s="29" t="str">
        <f>IF(B689=SelectedScope,COUNTIFS($B$4:$B689,SelectedScope),"")</f>
        <v/>
      </c>
    </row>
    <row r="690" spans="1:22" ht="16.05" customHeight="1" x14ac:dyDescent="0.3">
      <c r="A690" s="28">
        <v>687</v>
      </c>
      <c r="B690" s="28" t="s">
        <v>552</v>
      </c>
      <c r="C690" s="28" t="s">
        <v>1670</v>
      </c>
      <c r="D690" s="28" t="s">
        <v>1027</v>
      </c>
      <c r="E690" s="28"/>
      <c r="F690" s="28"/>
      <c r="G690" s="28"/>
      <c r="H690" s="28"/>
      <c r="I690" s="28"/>
      <c r="J690" s="28"/>
      <c r="K690" s="28"/>
      <c r="L690" s="28"/>
      <c r="M690" s="28"/>
      <c r="N690" s="28"/>
      <c r="O690" s="28"/>
      <c r="P690" s="28"/>
      <c r="Q690" s="28"/>
      <c r="R690" s="28"/>
      <c r="S690" s="28"/>
      <c r="T690" s="28"/>
      <c r="U690" s="28"/>
      <c r="V690" s="29" t="str">
        <f>IF(B690=SelectedScope,COUNTIFS($B$4:$B690,SelectedScope),"")</f>
        <v/>
      </c>
    </row>
    <row r="691" spans="1:22" ht="16.05" customHeight="1" x14ac:dyDescent="0.3">
      <c r="A691" s="30">
        <v>688</v>
      </c>
      <c r="B691" s="30" t="s">
        <v>552</v>
      </c>
      <c r="C691" s="30" t="s">
        <v>1671</v>
      </c>
      <c r="D691" s="30" t="s">
        <v>1027</v>
      </c>
      <c r="E691" s="30"/>
      <c r="F691" s="30"/>
      <c r="G691" s="30"/>
      <c r="H691" s="30"/>
      <c r="I691" s="30"/>
      <c r="J691" s="30"/>
      <c r="K691" s="30"/>
      <c r="L691" s="30"/>
      <c r="M691" s="30"/>
      <c r="N691" s="30"/>
      <c r="O691" s="30"/>
      <c r="P691" s="30"/>
      <c r="Q691" s="30"/>
      <c r="R691" s="30"/>
      <c r="S691" s="30"/>
      <c r="T691" s="30"/>
      <c r="U691" s="30"/>
      <c r="V691" s="29" t="str">
        <f>IF(B691=SelectedScope,COUNTIFS($B$4:$B691,SelectedScope),"")</f>
        <v/>
      </c>
    </row>
    <row r="692" spans="1:22" ht="16.05" customHeight="1" x14ac:dyDescent="0.3">
      <c r="A692" s="28">
        <v>689</v>
      </c>
      <c r="B692" s="28" t="s">
        <v>552</v>
      </c>
      <c r="C692" s="28" t="s">
        <v>1672</v>
      </c>
      <c r="D692" s="28" t="s">
        <v>1027</v>
      </c>
      <c r="E692" s="28"/>
      <c r="F692" s="28"/>
      <c r="G692" s="28"/>
      <c r="H692" s="28"/>
      <c r="I692" s="28"/>
      <c r="J692" s="28"/>
      <c r="K692" s="28"/>
      <c r="L692" s="28"/>
      <c r="M692" s="28"/>
      <c r="N692" s="28"/>
      <c r="O692" s="28"/>
      <c r="P692" s="28"/>
      <c r="Q692" s="28"/>
      <c r="R692" s="28"/>
      <c r="S692" s="28"/>
      <c r="T692" s="28"/>
      <c r="U692" s="28"/>
      <c r="V692" s="29" t="str">
        <f>IF(B692=SelectedScope,COUNTIFS($B$4:$B692,SelectedScope),"")</f>
        <v/>
      </c>
    </row>
    <row r="693" spans="1:22" ht="16.05" customHeight="1" x14ac:dyDescent="0.3">
      <c r="A693" s="30">
        <v>690</v>
      </c>
      <c r="B693" s="30" t="s">
        <v>552</v>
      </c>
      <c r="C693" s="30" t="s">
        <v>1673</v>
      </c>
      <c r="D693" s="30" t="s">
        <v>1027</v>
      </c>
      <c r="E693" s="30"/>
      <c r="F693" s="30"/>
      <c r="G693" s="30"/>
      <c r="H693" s="30"/>
      <c r="I693" s="30"/>
      <c r="J693" s="30"/>
      <c r="K693" s="30"/>
      <c r="L693" s="30"/>
      <c r="M693" s="30"/>
      <c r="N693" s="30"/>
      <c r="O693" s="30"/>
      <c r="P693" s="30"/>
      <c r="Q693" s="30"/>
      <c r="R693" s="30"/>
      <c r="S693" s="30"/>
      <c r="T693" s="30"/>
      <c r="U693" s="30"/>
      <c r="V693" s="29" t="str">
        <f>IF(B693=SelectedScope,COUNTIFS($B$4:$B693,SelectedScope),"")</f>
        <v/>
      </c>
    </row>
    <row r="694" spans="1:22" ht="16.05" customHeight="1" x14ac:dyDescent="0.3">
      <c r="A694" s="28">
        <v>691</v>
      </c>
      <c r="B694" s="28" t="s">
        <v>552</v>
      </c>
      <c r="C694" s="28" t="s">
        <v>1528</v>
      </c>
      <c r="D694" s="28" t="s">
        <v>1027</v>
      </c>
      <c r="E694" s="28"/>
      <c r="F694" s="28"/>
      <c r="G694" s="28"/>
      <c r="H694" s="28"/>
      <c r="I694" s="28"/>
      <c r="J694" s="28"/>
      <c r="K694" s="28"/>
      <c r="L694" s="28"/>
      <c r="M694" s="28"/>
      <c r="N694" s="28"/>
      <c r="O694" s="28"/>
      <c r="P694" s="28"/>
      <c r="Q694" s="28"/>
      <c r="R694" s="28"/>
      <c r="S694" s="28"/>
      <c r="T694" s="28"/>
      <c r="U694" s="28"/>
      <c r="V694" s="29" t="str">
        <f>IF(B694=SelectedScope,COUNTIFS($B$4:$B694,SelectedScope),"")</f>
        <v/>
      </c>
    </row>
    <row r="695" spans="1:22" ht="16.05" customHeight="1" x14ac:dyDescent="0.3">
      <c r="A695" s="30">
        <v>692</v>
      </c>
      <c r="B695" s="30" t="s">
        <v>552</v>
      </c>
      <c r="C695" s="30" t="s">
        <v>1674</v>
      </c>
      <c r="D695" s="30" t="s">
        <v>1027</v>
      </c>
      <c r="E695" s="30"/>
      <c r="F695" s="30"/>
      <c r="G695" s="30"/>
      <c r="H695" s="30"/>
      <c r="I695" s="30"/>
      <c r="J695" s="30"/>
      <c r="K695" s="30"/>
      <c r="L695" s="30"/>
      <c r="M695" s="30"/>
      <c r="N695" s="30"/>
      <c r="O695" s="30"/>
      <c r="P695" s="30"/>
      <c r="Q695" s="30"/>
      <c r="R695" s="30"/>
      <c r="S695" s="30"/>
      <c r="T695" s="30"/>
      <c r="U695" s="30"/>
      <c r="V695" s="29" t="str">
        <f>IF(B695=SelectedScope,COUNTIFS($B$4:$B695,SelectedScope),"")</f>
        <v/>
      </c>
    </row>
    <row r="696" spans="1:22" ht="16.05" customHeight="1" x14ac:dyDescent="0.3">
      <c r="A696" s="28">
        <v>693</v>
      </c>
      <c r="B696" s="28" t="s">
        <v>552</v>
      </c>
      <c r="C696" s="28" t="s">
        <v>1675</v>
      </c>
      <c r="D696" s="28" t="s">
        <v>1027</v>
      </c>
      <c r="E696" s="28"/>
      <c r="F696" s="28"/>
      <c r="G696" s="28"/>
      <c r="H696" s="28"/>
      <c r="I696" s="28"/>
      <c r="J696" s="28"/>
      <c r="K696" s="28"/>
      <c r="L696" s="28"/>
      <c r="M696" s="28"/>
      <c r="N696" s="28"/>
      <c r="O696" s="28"/>
      <c r="P696" s="28"/>
      <c r="Q696" s="28"/>
      <c r="R696" s="28"/>
      <c r="S696" s="28"/>
      <c r="T696" s="28"/>
      <c r="U696" s="28"/>
      <c r="V696" s="29" t="str">
        <f>IF(B696=SelectedScope,COUNTIFS($B$4:$B696,SelectedScope),"")</f>
        <v/>
      </c>
    </row>
    <row r="697" spans="1:22" ht="16.05" customHeight="1" x14ac:dyDescent="0.3">
      <c r="A697" s="30">
        <v>694</v>
      </c>
      <c r="B697" s="30" t="s">
        <v>552</v>
      </c>
      <c r="C697" s="30" t="s">
        <v>1676</v>
      </c>
      <c r="D697" s="30" t="s">
        <v>1027</v>
      </c>
      <c r="E697" s="30"/>
      <c r="F697" s="30"/>
      <c r="G697" s="30"/>
      <c r="H697" s="30"/>
      <c r="I697" s="30"/>
      <c r="J697" s="30"/>
      <c r="K697" s="30"/>
      <c r="L697" s="30"/>
      <c r="M697" s="30"/>
      <c r="N697" s="30"/>
      <c r="O697" s="30"/>
      <c r="P697" s="30"/>
      <c r="Q697" s="30"/>
      <c r="R697" s="30"/>
      <c r="S697" s="30"/>
      <c r="T697" s="30"/>
      <c r="U697" s="30"/>
      <c r="V697" s="29" t="str">
        <f>IF(B697=SelectedScope,COUNTIFS($B$4:$B697,SelectedScope),"")</f>
        <v/>
      </c>
    </row>
    <row r="698" spans="1:22" ht="16.05" customHeight="1" x14ac:dyDescent="0.3">
      <c r="A698" s="28">
        <v>695</v>
      </c>
      <c r="B698" s="28" t="s">
        <v>552</v>
      </c>
      <c r="C698" s="28" t="s">
        <v>1677</v>
      </c>
      <c r="D698" s="28" t="s">
        <v>1027</v>
      </c>
      <c r="E698" s="28"/>
      <c r="F698" s="28"/>
      <c r="G698" s="28"/>
      <c r="H698" s="28"/>
      <c r="I698" s="28"/>
      <c r="J698" s="28"/>
      <c r="K698" s="28"/>
      <c r="L698" s="28"/>
      <c r="M698" s="28"/>
      <c r="N698" s="28"/>
      <c r="O698" s="28"/>
      <c r="P698" s="28"/>
      <c r="Q698" s="28"/>
      <c r="R698" s="28"/>
      <c r="S698" s="28"/>
      <c r="T698" s="28"/>
      <c r="U698" s="28"/>
      <c r="V698" s="29" t="str">
        <f>IF(B698=SelectedScope,COUNTIFS($B$4:$B698,SelectedScope),"")</f>
        <v/>
      </c>
    </row>
    <row r="699" spans="1:22" ht="16.05" customHeight="1" x14ac:dyDescent="0.3">
      <c r="A699" s="30">
        <v>696</v>
      </c>
      <c r="B699" s="30" t="s">
        <v>552</v>
      </c>
      <c r="C699" s="30" t="s">
        <v>1678</v>
      </c>
      <c r="D699" s="30" t="s">
        <v>1027</v>
      </c>
      <c r="E699" s="30"/>
      <c r="F699" s="30"/>
      <c r="G699" s="30"/>
      <c r="H699" s="30"/>
      <c r="I699" s="30"/>
      <c r="J699" s="30"/>
      <c r="K699" s="30"/>
      <c r="L699" s="30"/>
      <c r="M699" s="30"/>
      <c r="N699" s="30"/>
      <c r="O699" s="30"/>
      <c r="P699" s="30"/>
      <c r="Q699" s="30"/>
      <c r="R699" s="30"/>
      <c r="S699" s="30"/>
      <c r="T699" s="30"/>
      <c r="U699" s="30"/>
      <c r="V699" s="29" t="str">
        <f>IF(B699=SelectedScope,COUNTIFS($B$4:$B699,SelectedScope),"")</f>
        <v/>
      </c>
    </row>
    <row r="700" spans="1:22" ht="16.05" customHeight="1" x14ac:dyDescent="0.3">
      <c r="A700" s="28">
        <v>697</v>
      </c>
      <c r="B700" s="28" t="s">
        <v>552</v>
      </c>
      <c r="C700" s="28" t="s">
        <v>1679</v>
      </c>
      <c r="D700" s="28" t="s">
        <v>1027</v>
      </c>
      <c r="E700" s="28"/>
      <c r="F700" s="28"/>
      <c r="G700" s="28"/>
      <c r="H700" s="28"/>
      <c r="I700" s="28"/>
      <c r="J700" s="28"/>
      <c r="K700" s="28"/>
      <c r="L700" s="28"/>
      <c r="M700" s="28"/>
      <c r="N700" s="28"/>
      <c r="O700" s="28"/>
      <c r="P700" s="28"/>
      <c r="Q700" s="28"/>
      <c r="R700" s="28"/>
      <c r="S700" s="28"/>
      <c r="T700" s="28"/>
      <c r="U700" s="28"/>
      <c r="V700" s="29" t="str">
        <f>IF(B700=SelectedScope,COUNTIFS($B$4:$B700,SelectedScope),"")</f>
        <v/>
      </c>
    </row>
    <row r="701" spans="1:22" ht="16.05" customHeight="1" x14ac:dyDescent="0.3">
      <c r="A701" s="30">
        <v>698</v>
      </c>
      <c r="B701" s="30" t="s">
        <v>552</v>
      </c>
      <c r="C701" s="30" t="s">
        <v>1680</v>
      </c>
      <c r="D701" s="30" t="s">
        <v>1027</v>
      </c>
      <c r="E701" s="30"/>
      <c r="F701" s="30"/>
      <c r="G701" s="30"/>
      <c r="H701" s="30"/>
      <c r="I701" s="30"/>
      <c r="J701" s="30"/>
      <c r="K701" s="30"/>
      <c r="L701" s="30"/>
      <c r="M701" s="30"/>
      <c r="N701" s="30"/>
      <c r="O701" s="30"/>
      <c r="P701" s="30"/>
      <c r="Q701" s="30"/>
      <c r="R701" s="30"/>
      <c r="S701" s="30"/>
      <c r="T701" s="30"/>
      <c r="U701" s="30"/>
      <c r="V701" s="29" t="str">
        <f>IF(B701=SelectedScope,COUNTIFS($B$4:$B701,SelectedScope),"")</f>
        <v/>
      </c>
    </row>
    <row r="702" spans="1:22" ht="16.05" customHeight="1" x14ac:dyDescent="0.3">
      <c r="A702" s="28">
        <v>699</v>
      </c>
      <c r="B702" s="28" t="s">
        <v>552</v>
      </c>
      <c r="C702" s="28" t="s">
        <v>1681</v>
      </c>
      <c r="D702" s="28" t="s">
        <v>1027</v>
      </c>
      <c r="E702" s="28"/>
      <c r="F702" s="28"/>
      <c r="G702" s="28"/>
      <c r="H702" s="28"/>
      <c r="I702" s="28"/>
      <c r="J702" s="28"/>
      <c r="K702" s="28"/>
      <c r="L702" s="28"/>
      <c r="M702" s="28"/>
      <c r="N702" s="28"/>
      <c r="O702" s="28"/>
      <c r="P702" s="28"/>
      <c r="Q702" s="28"/>
      <c r="R702" s="28"/>
      <c r="S702" s="28"/>
      <c r="T702" s="28"/>
      <c r="U702" s="28"/>
      <c r="V702" s="29" t="str">
        <f>IF(B702=SelectedScope,COUNTIFS($B$4:$B702,SelectedScope),"")</f>
        <v/>
      </c>
    </row>
    <row r="703" spans="1:22" ht="16.05" customHeight="1" x14ac:dyDescent="0.3">
      <c r="A703" s="30">
        <v>700</v>
      </c>
      <c r="B703" s="30" t="s">
        <v>552</v>
      </c>
      <c r="C703" s="30" t="s">
        <v>1682</v>
      </c>
      <c r="D703" s="30" t="s">
        <v>1027</v>
      </c>
      <c r="E703" s="30"/>
      <c r="F703" s="30"/>
      <c r="G703" s="30"/>
      <c r="H703" s="30"/>
      <c r="I703" s="30"/>
      <c r="J703" s="30"/>
      <c r="K703" s="30"/>
      <c r="L703" s="30"/>
      <c r="M703" s="30"/>
      <c r="N703" s="30"/>
      <c r="O703" s="30"/>
      <c r="P703" s="30"/>
      <c r="Q703" s="30"/>
      <c r="R703" s="30"/>
      <c r="S703" s="30"/>
      <c r="T703" s="30"/>
      <c r="U703" s="30"/>
      <c r="V703" s="29" t="str">
        <f>IF(B703=SelectedScope,COUNTIFS($B$4:$B703,SelectedScope),"")</f>
        <v/>
      </c>
    </row>
    <row r="704" spans="1:22" ht="16.05" customHeight="1" x14ac:dyDescent="0.3">
      <c r="A704" s="28">
        <v>701</v>
      </c>
      <c r="B704" s="28" t="s">
        <v>552</v>
      </c>
      <c r="C704" s="28" t="s">
        <v>619</v>
      </c>
      <c r="D704" s="28" t="s">
        <v>1027</v>
      </c>
      <c r="E704" s="28"/>
      <c r="F704" s="28"/>
      <c r="G704" s="28"/>
      <c r="H704" s="28"/>
      <c r="I704" s="28"/>
      <c r="J704" s="28"/>
      <c r="K704" s="28"/>
      <c r="L704" s="28"/>
      <c r="M704" s="28"/>
      <c r="N704" s="28"/>
      <c r="O704" s="28"/>
      <c r="P704" s="28"/>
      <c r="Q704" s="28"/>
      <c r="R704" s="28"/>
      <c r="S704" s="28"/>
      <c r="T704" s="28"/>
      <c r="U704" s="28"/>
      <c r="V704" s="29" t="str">
        <f>IF(B704=SelectedScope,COUNTIFS($B$4:$B704,SelectedScope),"")</f>
        <v/>
      </c>
    </row>
    <row r="705" spans="1:22" ht="16.05" customHeight="1" x14ac:dyDescent="0.3">
      <c r="A705" s="30">
        <v>702</v>
      </c>
      <c r="B705" s="30" t="s">
        <v>552</v>
      </c>
      <c r="C705" s="30" t="s">
        <v>1683</v>
      </c>
      <c r="D705" s="30" t="s">
        <v>1027</v>
      </c>
      <c r="E705" s="30"/>
      <c r="F705" s="30"/>
      <c r="G705" s="30"/>
      <c r="H705" s="30"/>
      <c r="I705" s="30"/>
      <c r="J705" s="30"/>
      <c r="K705" s="30"/>
      <c r="L705" s="30"/>
      <c r="M705" s="30"/>
      <c r="N705" s="30"/>
      <c r="O705" s="30"/>
      <c r="P705" s="30"/>
      <c r="Q705" s="30"/>
      <c r="R705" s="30"/>
      <c r="S705" s="30"/>
      <c r="T705" s="30"/>
      <c r="U705" s="30"/>
      <c r="V705" s="29" t="str">
        <f>IF(B705=SelectedScope,COUNTIFS($B$4:$B705,SelectedScope),"")</f>
        <v/>
      </c>
    </row>
    <row r="706" spans="1:22" ht="16.05" customHeight="1" x14ac:dyDescent="0.3">
      <c r="A706" s="28">
        <v>703</v>
      </c>
      <c r="B706" s="28" t="s">
        <v>552</v>
      </c>
      <c r="C706" s="28" t="s">
        <v>564</v>
      </c>
      <c r="D706" s="28" t="s">
        <v>1027</v>
      </c>
      <c r="E706" s="28"/>
      <c r="F706" s="28"/>
      <c r="G706" s="28"/>
      <c r="H706" s="28"/>
      <c r="I706" s="28"/>
      <c r="J706" s="28"/>
      <c r="K706" s="28"/>
      <c r="L706" s="28"/>
      <c r="M706" s="28"/>
      <c r="N706" s="28"/>
      <c r="O706" s="28"/>
      <c r="P706" s="28"/>
      <c r="Q706" s="28"/>
      <c r="R706" s="28"/>
      <c r="S706" s="28"/>
      <c r="T706" s="28"/>
      <c r="U706" s="28"/>
      <c r="V706" s="29" t="str">
        <f>IF(B706=SelectedScope,COUNTIFS($B$4:$B706,SelectedScope),"")</f>
        <v/>
      </c>
    </row>
    <row r="707" spans="1:22" ht="16.05" customHeight="1" x14ac:dyDescent="0.3">
      <c r="A707" s="30">
        <v>704</v>
      </c>
      <c r="B707" s="30" t="s">
        <v>552</v>
      </c>
      <c r="C707" s="30" t="s">
        <v>1684</v>
      </c>
      <c r="D707" s="30" t="s">
        <v>1027</v>
      </c>
      <c r="E707" s="30"/>
      <c r="F707" s="30"/>
      <c r="G707" s="30"/>
      <c r="H707" s="30"/>
      <c r="I707" s="30"/>
      <c r="J707" s="30"/>
      <c r="K707" s="30"/>
      <c r="L707" s="30"/>
      <c r="M707" s="30"/>
      <c r="N707" s="30"/>
      <c r="O707" s="30"/>
      <c r="P707" s="30"/>
      <c r="Q707" s="30"/>
      <c r="R707" s="30"/>
      <c r="S707" s="30"/>
      <c r="T707" s="30"/>
      <c r="U707" s="30"/>
      <c r="V707" s="29" t="str">
        <f>IF(B707=SelectedScope,COUNTIFS($B$4:$B707,SelectedScope),"")</f>
        <v/>
      </c>
    </row>
    <row r="708" spans="1:22" ht="16.05" customHeight="1" x14ac:dyDescent="0.3">
      <c r="A708" s="28">
        <v>705</v>
      </c>
      <c r="B708" s="28" t="s">
        <v>552</v>
      </c>
      <c r="C708" s="28" t="s">
        <v>1685</v>
      </c>
      <c r="D708" s="28" t="s">
        <v>1027</v>
      </c>
      <c r="E708" s="28"/>
      <c r="F708" s="28"/>
      <c r="G708" s="28"/>
      <c r="H708" s="28"/>
      <c r="I708" s="28"/>
      <c r="J708" s="28"/>
      <c r="K708" s="28"/>
      <c r="L708" s="28"/>
      <c r="M708" s="28"/>
      <c r="N708" s="28"/>
      <c r="O708" s="28"/>
      <c r="P708" s="28"/>
      <c r="Q708" s="28"/>
      <c r="R708" s="28"/>
      <c r="S708" s="28"/>
      <c r="T708" s="28"/>
      <c r="U708" s="28"/>
      <c r="V708" s="29" t="str">
        <f>IF(B708=SelectedScope,COUNTIFS($B$4:$B708,SelectedScope),"")</f>
        <v/>
      </c>
    </row>
    <row r="709" spans="1:22" ht="16.05" customHeight="1" x14ac:dyDescent="0.3">
      <c r="A709" s="30">
        <v>706</v>
      </c>
      <c r="B709" s="30" t="s">
        <v>552</v>
      </c>
      <c r="C709" s="30" t="s">
        <v>1686</v>
      </c>
      <c r="D709" s="30" t="s">
        <v>1027</v>
      </c>
      <c r="E709" s="30"/>
      <c r="F709" s="30"/>
      <c r="G709" s="30"/>
      <c r="H709" s="30"/>
      <c r="I709" s="30"/>
      <c r="J709" s="30"/>
      <c r="K709" s="30"/>
      <c r="L709" s="30"/>
      <c r="M709" s="30"/>
      <c r="N709" s="30"/>
      <c r="O709" s="30"/>
      <c r="P709" s="30"/>
      <c r="Q709" s="30"/>
      <c r="R709" s="30"/>
      <c r="S709" s="30"/>
      <c r="T709" s="30"/>
      <c r="U709" s="30"/>
      <c r="V709" s="29" t="str">
        <f>IF(B709=SelectedScope,COUNTIFS($B$4:$B709,SelectedScope),"")</f>
        <v/>
      </c>
    </row>
    <row r="710" spans="1:22" ht="16.05" customHeight="1" x14ac:dyDescent="0.3">
      <c r="A710" s="28">
        <v>707</v>
      </c>
      <c r="B710" s="28" t="s">
        <v>553</v>
      </c>
      <c r="C710" s="28" t="s">
        <v>1687</v>
      </c>
      <c r="D710" s="28" t="s">
        <v>1027</v>
      </c>
      <c r="E710" s="28"/>
      <c r="F710" s="28"/>
      <c r="G710" s="28"/>
      <c r="H710" s="28"/>
      <c r="I710" s="28"/>
      <c r="J710" s="28"/>
      <c r="K710" s="28"/>
      <c r="L710" s="28"/>
      <c r="M710" s="28"/>
      <c r="N710" s="28"/>
      <c r="O710" s="28"/>
      <c r="P710" s="28"/>
      <c r="Q710" s="28"/>
      <c r="R710" s="28"/>
      <c r="S710" s="28"/>
      <c r="T710" s="28"/>
      <c r="U710" s="28"/>
      <c r="V710" s="29" t="str">
        <f>IF(B710=SelectedScope,COUNTIFS($B$4:$B710,SelectedScope),"")</f>
        <v/>
      </c>
    </row>
    <row r="711" spans="1:22" ht="16.05" customHeight="1" x14ac:dyDescent="0.3">
      <c r="A711" s="30">
        <v>708</v>
      </c>
      <c r="B711" s="30" t="s">
        <v>553</v>
      </c>
      <c r="C711" s="30" t="s">
        <v>1688</v>
      </c>
      <c r="D711" s="30" t="s">
        <v>1027</v>
      </c>
      <c r="E711" s="30"/>
      <c r="F711" s="30"/>
      <c r="G711" s="30"/>
      <c r="H711" s="30"/>
      <c r="I711" s="30"/>
      <c r="J711" s="30"/>
      <c r="K711" s="30"/>
      <c r="L711" s="30"/>
      <c r="M711" s="30"/>
      <c r="N711" s="30"/>
      <c r="O711" s="30"/>
      <c r="P711" s="30"/>
      <c r="Q711" s="30"/>
      <c r="R711" s="30"/>
      <c r="S711" s="30"/>
      <c r="T711" s="30"/>
      <c r="U711" s="30"/>
      <c r="V711" s="29" t="str">
        <f>IF(B711=SelectedScope,COUNTIFS($B$4:$B711,SelectedScope),"")</f>
        <v/>
      </c>
    </row>
    <row r="712" spans="1:22" ht="16.05" customHeight="1" x14ac:dyDescent="0.3">
      <c r="A712" s="28">
        <v>709</v>
      </c>
      <c r="B712" s="28" t="s">
        <v>553</v>
      </c>
      <c r="C712" s="28" t="s">
        <v>1689</v>
      </c>
      <c r="D712" s="28" t="s">
        <v>1027</v>
      </c>
      <c r="E712" s="28"/>
      <c r="F712" s="28"/>
      <c r="G712" s="28"/>
      <c r="H712" s="28"/>
      <c r="I712" s="28"/>
      <c r="J712" s="28"/>
      <c r="K712" s="28"/>
      <c r="L712" s="28"/>
      <c r="M712" s="28"/>
      <c r="N712" s="28"/>
      <c r="O712" s="28"/>
      <c r="P712" s="28"/>
      <c r="Q712" s="28"/>
      <c r="R712" s="28"/>
      <c r="S712" s="28"/>
      <c r="T712" s="28"/>
      <c r="U712" s="28"/>
      <c r="V712" s="29" t="str">
        <f>IF(B712=SelectedScope,COUNTIFS($B$4:$B712,SelectedScope),"")</f>
        <v/>
      </c>
    </row>
    <row r="713" spans="1:22" ht="16.05" customHeight="1" x14ac:dyDescent="0.3">
      <c r="A713" s="30">
        <v>710</v>
      </c>
      <c r="B713" s="30" t="s">
        <v>553</v>
      </c>
      <c r="C713" s="30" t="s">
        <v>1690</v>
      </c>
      <c r="D713" s="30" t="s">
        <v>1027</v>
      </c>
      <c r="E713" s="30"/>
      <c r="F713" s="30"/>
      <c r="G713" s="30"/>
      <c r="H713" s="30"/>
      <c r="I713" s="30"/>
      <c r="J713" s="30"/>
      <c r="K713" s="30"/>
      <c r="L713" s="30"/>
      <c r="M713" s="30"/>
      <c r="N713" s="30"/>
      <c r="O713" s="30"/>
      <c r="P713" s="30"/>
      <c r="Q713" s="30"/>
      <c r="R713" s="30"/>
      <c r="S713" s="30"/>
      <c r="T713" s="30"/>
      <c r="U713" s="30"/>
      <c r="V713" s="29" t="str">
        <f>IF(B713=SelectedScope,COUNTIFS($B$4:$B713,SelectedScope),"")</f>
        <v/>
      </c>
    </row>
    <row r="714" spans="1:22" ht="16.05" customHeight="1" x14ac:dyDescent="0.3">
      <c r="A714" s="28">
        <v>711</v>
      </c>
      <c r="B714" s="28" t="s">
        <v>553</v>
      </c>
      <c r="C714" s="28" t="s">
        <v>1691</v>
      </c>
      <c r="D714" s="28" t="s">
        <v>1027</v>
      </c>
      <c r="E714" s="28"/>
      <c r="F714" s="28"/>
      <c r="G714" s="28"/>
      <c r="H714" s="28"/>
      <c r="I714" s="28"/>
      <c r="J714" s="28"/>
      <c r="K714" s="28"/>
      <c r="L714" s="28"/>
      <c r="M714" s="28"/>
      <c r="N714" s="28"/>
      <c r="O714" s="28"/>
      <c r="P714" s="28"/>
      <c r="Q714" s="28"/>
      <c r="R714" s="28"/>
      <c r="S714" s="28"/>
      <c r="T714" s="28"/>
      <c r="U714" s="28"/>
      <c r="V714" s="29" t="str">
        <f>IF(B714=SelectedScope,COUNTIFS($B$4:$B714,SelectedScope),"")</f>
        <v/>
      </c>
    </row>
    <row r="715" spans="1:22" ht="16.05" customHeight="1" x14ac:dyDescent="0.3">
      <c r="A715" s="30">
        <v>712</v>
      </c>
      <c r="B715" s="30" t="s">
        <v>553</v>
      </c>
      <c r="C715" s="30" t="s">
        <v>1692</v>
      </c>
      <c r="D715" s="30" t="s">
        <v>1027</v>
      </c>
      <c r="E715" s="30"/>
      <c r="F715" s="30"/>
      <c r="G715" s="30"/>
      <c r="H715" s="30"/>
      <c r="I715" s="30"/>
      <c r="J715" s="30"/>
      <c r="K715" s="30"/>
      <c r="L715" s="30"/>
      <c r="M715" s="30"/>
      <c r="N715" s="30"/>
      <c r="O715" s="30"/>
      <c r="P715" s="30"/>
      <c r="Q715" s="30"/>
      <c r="R715" s="30"/>
      <c r="S715" s="30"/>
      <c r="T715" s="30"/>
      <c r="U715" s="30"/>
      <c r="V715" s="29" t="str">
        <f>IF(B715=SelectedScope,COUNTIFS($B$4:$B715,SelectedScope),"")</f>
        <v/>
      </c>
    </row>
    <row r="716" spans="1:22" ht="16.05" customHeight="1" x14ac:dyDescent="0.3">
      <c r="A716" s="28">
        <v>713</v>
      </c>
      <c r="B716" s="28" t="s">
        <v>553</v>
      </c>
      <c r="C716" s="28" t="s">
        <v>1693</v>
      </c>
      <c r="D716" s="28" t="s">
        <v>1027</v>
      </c>
      <c r="E716" s="28"/>
      <c r="F716" s="28"/>
      <c r="G716" s="28"/>
      <c r="H716" s="28"/>
      <c r="I716" s="28"/>
      <c r="J716" s="28"/>
      <c r="K716" s="28"/>
      <c r="L716" s="28"/>
      <c r="M716" s="28"/>
      <c r="N716" s="28"/>
      <c r="O716" s="28"/>
      <c r="P716" s="28"/>
      <c r="Q716" s="28"/>
      <c r="R716" s="28"/>
      <c r="S716" s="28"/>
      <c r="T716" s="28"/>
      <c r="U716" s="28"/>
      <c r="V716" s="29" t="str">
        <f>IF(B716=SelectedScope,COUNTIFS($B$4:$B716,SelectedScope),"")</f>
        <v/>
      </c>
    </row>
    <row r="717" spans="1:22" ht="16.05" customHeight="1" x14ac:dyDescent="0.3">
      <c r="A717" s="30">
        <v>714</v>
      </c>
      <c r="B717" s="30" t="s">
        <v>553</v>
      </c>
      <c r="C717" s="30" t="s">
        <v>1694</v>
      </c>
      <c r="D717" s="30" t="s">
        <v>1027</v>
      </c>
      <c r="E717" s="30"/>
      <c r="F717" s="30"/>
      <c r="G717" s="30"/>
      <c r="H717" s="30"/>
      <c r="I717" s="30"/>
      <c r="J717" s="30"/>
      <c r="K717" s="30"/>
      <c r="L717" s="30"/>
      <c r="M717" s="30"/>
      <c r="N717" s="30"/>
      <c r="O717" s="30"/>
      <c r="P717" s="30"/>
      <c r="Q717" s="30"/>
      <c r="R717" s="30"/>
      <c r="S717" s="30"/>
      <c r="T717" s="30"/>
      <c r="U717" s="30"/>
      <c r="V717" s="29" t="str">
        <f>IF(B717=SelectedScope,COUNTIFS($B$4:$B717,SelectedScope),"")</f>
        <v/>
      </c>
    </row>
    <row r="718" spans="1:22" ht="16.05" customHeight="1" x14ac:dyDescent="0.3">
      <c r="A718" s="28">
        <v>715</v>
      </c>
      <c r="B718" s="28" t="s">
        <v>553</v>
      </c>
      <c r="C718" s="28" t="s">
        <v>1695</v>
      </c>
      <c r="D718" s="28" t="s">
        <v>1027</v>
      </c>
      <c r="E718" s="28"/>
      <c r="F718" s="28"/>
      <c r="G718" s="28"/>
      <c r="H718" s="28"/>
      <c r="I718" s="28"/>
      <c r="J718" s="28"/>
      <c r="K718" s="28"/>
      <c r="L718" s="28"/>
      <c r="M718" s="28"/>
      <c r="N718" s="28"/>
      <c r="O718" s="28"/>
      <c r="P718" s="28"/>
      <c r="Q718" s="28"/>
      <c r="R718" s="28"/>
      <c r="S718" s="28"/>
      <c r="T718" s="28"/>
      <c r="U718" s="28"/>
      <c r="V718" s="29" t="str">
        <f>IF(B718=SelectedScope,COUNTIFS($B$4:$B718,SelectedScope),"")</f>
        <v/>
      </c>
    </row>
    <row r="719" spans="1:22" ht="16.05" customHeight="1" x14ac:dyDescent="0.3">
      <c r="A719" s="30">
        <v>716</v>
      </c>
      <c r="B719" s="30" t="s">
        <v>553</v>
      </c>
      <c r="C719" s="30" t="s">
        <v>1696</v>
      </c>
      <c r="D719" s="30" t="s">
        <v>1027</v>
      </c>
      <c r="E719" s="30"/>
      <c r="F719" s="30"/>
      <c r="G719" s="30"/>
      <c r="H719" s="30"/>
      <c r="I719" s="30"/>
      <c r="J719" s="30"/>
      <c r="K719" s="30"/>
      <c r="L719" s="30"/>
      <c r="M719" s="30"/>
      <c r="N719" s="30"/>
      <c r="O719" s="30"/>
      <c r="P719" s="30"/>
      <c r="Q719" s="30"/>
      <c r="R719" s="30"/>
      <c r="S719" s="30"/>
      <c r="T719" s="30"/>
      <c r="U719" s="30"/>
      <c r="V719" s="29" t="str">
        <f>IF(B719=SelectedScope,COUNTIFS($B$4:$B719,SelectedScope),"")</f>
        <v/>
      </c>
    </row>
    <row r="720" spans="1:22" ht="16.05" customHeight="1" x14ac:dyDescent="0.3">
      <c r="A720" s="28">
        <v>717</v>
      </c>
      <c r="B720" s="28" t="s">
        <v>553</v>
      </c>
      <c r="C720" s="28" t="s">
        <v>1697</v>
      </c>
      <c r="D720" s="28" t="s">
        <v>1027</v>
      </c>
      <c r="E720" s="28"/>
      <c r="F720" s="28"/>
      <c r="G720" s="28"/>
      <c r="H720" s="28"/>
      <c r="I720" s="28"/>
      <c r="J720" s="28"/>
      <c r="K720" s="28"/>
      <c r="L720" s="28"/>
      <c r="M720" s="28"/>
      <c r="N720" s="28"/>
      <c r="O720" s="28"/>
      <c r="P720" s="28"/>
      <c r="Q720" s="28"/>
      <c r="R720" s="28"/>
      <c r="S720" s="28"/>
      <c r="T720" s="28"/>
      <c r="U720" s="28"/>
      <c r="V720" s="29" t="str">
        <f>IF(B720=SelectedScope,COUNTIFS($B$4:$B720,SelectedScope),"")</f>
        <v/>
      </c>
    </row>
    <row r="721" spans="1:22" ht="16.05" customHeight="1" x14ac:dyDescent="0.3">
      <c r="A721" s="30">
        <v>718</v>
      </c>
      <c r="B721" s="30" t="s">
        <v>553</v>
      </c>
      <c r="C721" s="30" t="s">
        <v>1698</v>
      </c>
      <c r="D721" s="30" t="s">
        <v>1027</v>
      </c>
      <c r="E721" s="30"/>
      <c r="F721" s="30"/>
      <c r="G721" s="30"/>
      <c r="H721" s="30"/>
      <c r="I721" s="30"/>
      <c r="J721" s="30"/>
      <c r="K721" s="30"/>
      <c r="L721" s="30"/>
      <c r="M721" s="30"/>
      <c r="N721" s="30"/>
      <c r="O721" s="30"/>
      <c r="P721" s="30"/>
      <c r="Q721" s="30"/>
      <c r="R721" s="30"/>
      <c r="S721" s="30"/>
      <c r="T721" s="30"/>
      <c r="U721" s="30"/>
      <c r="V721" s="29" t="str">
        <f>IF(B721=SelectedScope,COUNTIFS($B$4:$B721,SelectedScope),"")</f>
        <v/>
      </c>
    </row>
    <row r="722" spans="1:22" ht="16.05" customHeight="1" x14ac:dyDescent="0.3">
      <c r="A722" s="28">
        <v>719</v>
      </c>
      <c r="B722" s="28" t="s">
        <v>553</v>
      </c>
      <c r="C722" s="28" t="s">
        <v>1699</v>
      </c>
      <c r="D722" s="28" t="s">
        <v>1027</v>
      </c>
      <c r="E722" s="28"/>
      <c r="F722" s="28"/>
      <c r="G722" s="28"/>
      <c r="H722" s="28"/>
      <c r="I722" s="28"/>
      <c r="J722" s="28"/>
      <c r="K722" s="28"/>
      <c r="L722" s="28"/>
      <c r="M722" s="28"/>
      <c r="N722" s="28"/>
      <c r="O722" s="28"/>
      <c r="P722" s="28"/>
      <c r="Q722" s="28"/>
      <c r="R722" s="28"/>
      <c r="S722" s="28"/>
      <c r="T722" s="28"/>
      <c r="U722" s="28"/>
      <c r="V722" s="29" t="str">
        <f>IF(B722=SelectedScope,COUNTIFS($B$4:$B722,SelectedScope),"")</f>
        <v/>
      </c>
    </row>
    <row r="723" spans="1:22" ht="16.05" customHeight="1" x14ac:dyDescent="0.3">
      <c r="A723" s="30">
        <v>720</v>
      </c>
      <c r="B723" s="30" t="s">
        <v>554</v>
      </c>
      <c r="C723" s="30" t="s">
        <v>1700</v>
      </c>
      <c r="D723" s="30" t="s">
        <v>1027</v>
      </c>
      <c r="E723" s="30"/>
      <c r="F723" s="30"/>
      <c r="G723" s="30"/>
      <c r="H723" s="30"/>
      <c r="I723" s="30"/>
      <c r="J723" s="30"/>
      <c r="K723" s="30"/>
      <c r="L723" s="30"/>
      <c r="M723" s="30"/>
      <c r="N723" s="30"/>
      <c r="O723" s="30"/>
      <c r="P723" s="30"/>
      <c r="Q723" s="30"/>
      <c r="R723" s="30"/>
      <c r="S723" s="30"/>
      <c r="T723" s="30"/>
      <c r="U723" s="30"/>
      <c r="V723" s="29" t="str">
        <f>IF(B723=SelectedScope,COUNTIFS($B$4:$B723,SelectedScope),"")</f>
        <v/>
      </c>
    </row>
    <row r="724" spans="1:22" ht="16.05" customHeight="1" x14ac:dyDescent="0.3">
      <c r="A724" s="28">
        <v>721</v>
      </c>
      <c r="B724" s="28" t="s">
        <v>554</v>
      </c>
      <c r="C724" s="28" t="s">
        <v>1701</v>
      </c>
      <c r="D724" s="28" t="s">
        <v>1027</v>
      </c>
      <c r="E724" s="28"/>
      <c r="F724" s="28"/>
      <c r="G724" s="28"/>
      <c r="H724" s="28"/>
      <c r="I724" s="28"/>
      <c r="J724" s="28"/>
      <c r="K724" s="28"/>
      <c r="L724" s="28"/>
      <c r="M724" s="28"/>
      <c r="N724" s="28"/>
      <c r="O724" s="28"/>
      <c r="P724" s="28"/>
      <c r="Q724" s="28"/>
      <c r="R724" s="28"/>
      <c r="S724" s="28"/>
      <c r="T724" s="28"/>
      <c r="U724" s="28"/>
      <c r="V724" s="29" t="str">
        <f>IF(B724=SelectedScope,COUNTIFS($B$4:$B724,SelectedScope),"")</f>
        <v/>
      </c>
    </row>
    <row r="725" spans="1:22" ht="16.05" customHeight="1" x14ac:dyDescent="0.3">
      <c r="A725" s="30">
        <v>722</v>
      </c>
      <c r="B725" s="30" t="s">
        <v>554</v>
      </c>
      <c r="C725" s="30" t="s">
        <v>1702</v>
      </c>
      <c r="D725" s="30" t="s">
        <v>1027</v>
      </c>
      <c r="E725" s="30"/>
      <c r="F725" s="30"/>
      <c r="G725" s="30"/>
      <c r="H725" s="30"/>
      <c r="I725" s="30"/>
      <c r="J725" s="30"/>
      <c r="K725" s="30"/>
      <c r="L725" s="30"/>
      <c r="M725" s="30"/>
      <c r="N725" s="30"/>
      <c r="O725" s="30"/>
      <c r="P725" s="30"/>
      <c r="Q725" s="30"/>
      <c r="R725" s="30"/>
      <c r="S725" s="30"/>
      <c r="T725" s="30"/>
      <c r="U725" s="30"/>
      <c r="V725" s="29" t="str">
        <f>IF(B725=SelectedScope,COUNTIFS($B$4:$B725,SelectedScope),"")</f>
        <v/>
      </c>
    </row>
    <row r="726" spans="1:22" ht="16.05" customHeight="1" x14ac:dyDescent="0.3">
      <c r="A726" s="28">
        <v>723</v>
      </c>
      <c r="B726" s="28" t="s">
        <v>554</v>
      </c>
      <c r="C726" s="28" t="s">
        <v>1703</v>
      </c>
      <c r="D726" s="28" t="s">
        <v>1027</v>
      </c>
      <c r="E726" s="28"/>
      <c r="F726" s="28"/>
      <c r="G726" s="28"/>
      <c r="H726" s="28"/>
      <c r="I726" s="28"/>
      <c r="J726" s="28"/>
      <c r="K726" s="28"/>
      <c r="L726" s="28"/>
      <c r="M726" s="28"/>
      <c r="N726" s="28"/>
      <c r="O726" s="28"/>
      <c r="P726" s="28"/>
      <c r="Q726" s="28"/>
      <c r="R726" s="28"/>
      <c r="S726" s="28"/>
      <c r="T726" s="28"/>
      <c r="U726" s="28"/>
      <c r="V726" s="29" t="str">
        <f>IF(B726=SelectedScope,COUNTIFS($B$4:$B726,SelectedScope),"")</f>
        <v/>
      </c>
    </row>
    <row r="727" spans="1:22" ht="16.05" customHeight="1" x14ac:dyDescent="0.3">
      <c r="A727" s="30">
        <v>724</v>
      </c>
      <c r="B727" s="30" t="s">
        <v>554</v>
      </c>
      <c r="C727" s="30" t="s">
        <v>1704</v>
      </c>
      <c r="D727" s="30" t="s">
        <v>1027</v>
      </c>
      <c r="E727" s="30"/>
      <c r="F727" s="30"/>
      <c r="G727" s="30"/>
      <c r="H727" s="30"/>
      <c r="I727" s="30"/>
      <c r="J727" s="30"/>
      <c r="K727" s="30"/>
      <c r="L727" s="30"/>
      <c r="M727" s="30"/>
      <c r="N727" s="30"/>
      <c r="O727" s="30"/>
      <c r="P727" s="30"/>
      <c r="Q727" s="30"/>
      <c r="R727" s="30"/>
      <c r="S727" s="30"/>
      <c r="T727" s="30"/>
      <c r="U727" s="30"/>
      <c r="V727" s="29" t="str">
        <f>IF(B727=SelectedScope,COUNTIFS($B$4:$B727,SelectedScope),"")</f>
        <v/>
      </c>
    </row>
    <row r="728" spans="1:22" ht="16.05" customHeight="1" x14ac:dyDescent="0.3">
      <c r="A728" s="28">
        <v>725</v>
      </c>
      <c r="B728" s="28" t="s">
        <v>554</v>
      </c>
      <c r="C728" s="28" t="s">
        <v>1705</v>
      </c>
      <c r="D728" s="28" t="s">
        <v>1027</v>
      </c>
      <c r="E728" s="28"/>
      <c r="F728" s="28"/>
      <c r="G728" s="28"/>
      <c r="H728" s="28"/>
      <c r="I728" s="28"/>
      <c r="J728" s="28"/>
      <c r="K728" s="28"/>
      <c r="L728" s="28"/>
      <c r="M728" s="28"/>
      <c r="N728" s="28"/>
      <c r="O728" s="28"/>
      <c r="P728" s="28"/>
      <c r="Q728" s="28"/>
      <c r="R728" s="28"/>
      <c r="S728" s="28"/>
      <c r="T728" s="28"/>
      <c r="U728" s="28"/>
      <c r="V728" s="29" t="str">
        <f>IF(B728=SelectedScope,COUNTIFS($B$4:$B728,SelectedScope),"")</f>
        <v/>
      </c>
    </row>
    <row r="729" spans="1:22" ht="16.05" customHeight="1" x14ac:dyDescent="0.3">
      <c r="A729" s="30">
        <v>726</v>
      </c>
      <c r="B729" s="30" t="s">
        <v>554</v>
      </c>
      <c r="C729" s="30" t="s">
        <v>1706</v>
      </c>
      <c r="D729" s="30" t="s">
        <v>1027</v>
      </c>
      <c r="E729" s="30"/>
      <c r="F729" s="30"/>
      <c r="G729" s="30"/>
      <c r="H729" s="30"/>
      <c r="I729" s="30"/>
      <c r="J729" s="30"/>
      <c r="K729" s="30"/>
      <c r="L729" s="30"/>
      <c r="M729" s="30"/>
      <c r="N729" s="30"/>
      <c r="O729" s="30"/>
      <c r="P729" s="30"/>
      <c r="Q729" s="30"/>
      <c r="R729" s="30"/>
      <c r="S729" s="30"/>
      <c r="T729" s="30"/>
      <c r="U729" s="30"/>
      <c r="V729" s="29" t="str">
        <f>IF(B729=SelectedScope,COUNTIFS($B$4:$B729,SelectedScope),"")</f>
        <v/>
      </c>
    </row>
    <row r="730" spans="1:22" ht="16.05" customHeight="1" x14ac:dyDescent="0.3">
      <c r="A730" s="28">
        <v>727</v>
      </c>
      <c r="B730" s="28" t="s">
        <v>554</v>
      </c>
      <c r="C730" s="28" t="s">
        <v>1707</v>
      </c>
      <c r="D730" s="28" t="s">
        <v>1027</v>
      </c>
      <c r="E730" s="28"/>
      <c r="F730" s="28"/>
      <c r="G730" s="28"/>
      <c r="H730" s="28"/>
      <c r="I730" s="28"/>
      <c r="J730" s="28"/>
      <c r="K730" s="28"/>
      <c r="L730" s="28"/>
      <c r="M730" s="28"/>
      <c r="N730" s="28"/>
      <c r="O730" s="28"/>
      <c r="P730" s="28"/>
      <c r="Q730" s="28"/>
      <c r="R730" s="28"/>
      <c r="S730" s="28"/>
      <c r="T730" s="28"/>
      <c r="U730" s="28"/>
      <c r="V730" s="29" t="str">
        <f>IF(B730=SelectedScope,COUNTIFS($B$4:$B730,SelectedScope),"")</f>
        <v/>
      </c>
    </row>
    <row r="731" spans="1:22" ht="16.05" customHeight="1" x14ac:dyDescent="0.3">
      <c r="A731" s="30">
        <v>728</v>
      </c>
      <c r="B731" s="30" t="s">
        <v>554</v>
      </c>
      <c r="C731" s="30" t="s">
        <v>1708</v>
      </c>
      <c r="D731" s="30" t="s">
        <v>1027</v>
      </c>
      <c r="E731" s="30"/>
      <c r="F731" s="30"/>
      <c r="G731" s="30"/>
      <c r="H731" s="30"/>
      <c r="I731" s="30"/>
      <c r="J731" s="30"/>
      <c r="K731" s="30"/>
      <c r="L731" s="30"/>
      <c r="M731" s="30"/>
      <c r="N731" s="30"/>
      <c r="O731" s="30"/>
      <c r="P731" s="30"/>
      <c r="Q731" s="30"/>
      <c r="R731" s="30"/>
      <c r="S731" s="30"/>
      <c r="T731" s="30"/>
      <c r="U731" s="30"/>
      <c r="V731" s="29" t="str">
        <f>IF(B731=SelectedScope,COUNTIFS($B$4:$B731,SelectedScope),"")</f>
        <v/>
      </c>
    </row>
    <row r="732" spans="1:22" ht="16.05" customHeight="1" x14ac:dyDescent="0.3">
      <c r="A732" s="28">
        <v>729</v>
      </c>
      <c r="B732" s="28" t="s">
        <v>554</v>
      </c>
      <c r="C732" s="28" t="s">
        <v>1709</v>
      </c>
      <c r="D732" s="28" t="s">
        <v>1027</v>
      </c>
      <c r="E732" s="28"/>
      <c r="F732" s="28"/>
      <c r="G732" s="28"/>
      <c r="H732" s="28"/>
      <c r="I732" s="28"/>
      <c r="J732" s="28"/>
      <c r="K732" s="28"/>
      <c r="L732" s="28"/>
      <c r="M732" s="28"/>
      <c r="N732" s="28"/>
      <c r="O732" s="28"/>
      <c r="P732" s="28"/>
      <c r="Q732" s="28"/>
      <c r="R732" s="28"/>
      <c r="S732" s="28"/>
      <c r="T732" s="28"/>
      <c r="U732" s="28"/>
      <c r="V732" s="29" t="str">
        <f>IF(B732=SelectedScope,COUNTIFS($B$4:$B732,SelectedScope),"")</f>
        <v/>
      </c>
    </row>
    <row r="733" spans="1:22" ht="16.05" customHeight="1" x14ac:dyDescent="0.3">
      <c r="A733" s="30">
        <v>730</v>
      </c>
      <c r="B733" s="30" t="s">
        <v>554</v>
      </c>
      <c r="C733" s="30" t="s">
        <v>1710</v>
      </c>
      <c r="D733" s="30" t="s">
        <v>1027</v>
      </c>
      <c r="E733" s="30"/>
      <c r="F733" s="30"/>
      <c r="G733" s="30"/>
      <c r="H733" s="30"/>
      <c r="I733" s="30"/>
      <c r="J733" s="30"/>
      <c r="K733" s="30"/>
      <c r="L733" s="30"/>
      <c r="M733" s="30"/>
      <c r="N733" s="30"/>
      <c r="O733" s="30"/>
      <c r="P733" s="30"/>
      <c r="Q733" s="30"/>
      <c r="R733" s="30"/>
      <c r="S733" s="30"/>
      <c r="T733" s="30"/>
      <c r="U733" s="30"/>
      <c r="V733" s="29" t="str">
        <f>IF(B733=SelectedScope,COUNTIFS($B$4:$B733,SelectedScope),"")</f>
        <v/>
      </c>
    </row>
    <row r="734" spans="1:22" ht="16.05" customHeight="1" x14ac:dyDescent="0.3">
      <c r="A734" s="28">
        <v>731</v>
      </c>
      <c r="B734" s="28" t="s">
        <v>554</v>
      </c>
      <c r="C734" s="28" t="s">
        <v>1711</v>
      </c>
      <c r="D734" s="28" t="s">
        <v>1027</v>
      </c>
      <c r="E734" s="28"/>
      <c r="F734" s="28"/>
      <c r="G734" s="28"/>
      <c r="H734" s="28"/>
      <c r="I734" s="28"/>
      <c r="J734" s="28"/>
      <c r="K734" s="28"/>
      <c r="L734" s="28"/>
      <c r="M734" s="28"/>
      <c r="N734" s="28"/>
      <c r="O734" s="28"/>
      <c r="P734" s="28"/>
      <c r="Q734" s="28"/>
      <c r="R734" s="28"/>
      <c r="S734" s="28"/>
      <c r="T734" s="28"/>
      <c r="U734" s="28"/>
      <c r="V734" s="29" t="str">
        <f>IF(B734=SelectedScope,COUNTIFS($B$4:$B734,SelectedScope),"")</f>
        <v/>
      </c>
    </row>
    <row r="735" spans="1:22" ht="16.05" customHeight="1" x14ac:dyDescent="0.3">
      <c r="A735" s="30">
        <v>732</v>
      </c>
      <c r="B735" s="30" t="s">
        <v>554</v>
      </c>
      <c r="C735" s="30" t="s">
        <v>1712</v>
      </c>
      <c r="D735" s="30" t="s">
        <v>1027</v>
      </c>
      <c r="E735" s="30"/>
      <c r="F735" s="30"/>
      <c r="G735" s="30"/>
      <c r="H735" s="30"/>
      <c r="I735" s="30"/>
      <c r="J735" s="30"/>
      <c r="K735" s="30"/>
      <c r="L735" s="30"/>
      <c r="M735" s="30"/>
      <c r="N735" s="30"/>
      <c r="O735" s="30"/>
      <c r="P735" s="30"/>
      <c r="Q735" s="30"/>
      <c r="R735" s="30"/>
      <c r="S735" s="30"/>
      <c r="T735" s="30"/>
      <c r="U735" s="30"/>
      <c r="V735" s="29" t="str">
        <f>IF(B735=SelectedScope,COUNTIFS($B$4:$B735,SelectedScope),"")</f>
        <v/>
      </c>
    </row>
    <row r="736" spans="1:22" ht="16.05" customHeight="1" x14ac:dyDescent="0.3">
      <c r="A736" s="28">
        <v>733</v>
      </c>
      <c r="B736" s="28" t="s">
        <v>554</v>
      </c>
      <c r="C736" s="28" t="s">
        <v>1713</v>
      </c>
      <c r="D736" s="28" t="s">
        <v>1027</v>
      </c>
      <c r="E736" s="28"/>
      <c r="F736" s="28"/>
      <c r="G736" s="28"/>
      <c r="H736" s="28"/>
      <c r="I736" s="28"/>
      <c r="J736" s="28"/>
      <c r="K736" s="28"/>
      <c r="L736" s="28"/>
      <c r="M736" s="28"/>
      <c r="N736" s="28"/>
      <c r="O736" s="28"/>
      <c r="P736" s="28"/>
      <c r="Q736" s="28"/>
      <c r="R736" s="28"/>
      <c r="S736" s="28"/>
      <c r="T736" s="28"/>
      <c r="U736" s="28"/>
      <c r="V736" s="29" t="str">
        <f>IF(B736=SelectedScope,COUNTIFS($B$4:$B736,SelectedScope),"")</f>
        <v/>
      </c>
    </row>
    <row r="737" spans="1:22" ht="16.05" customHeight="1" x14ac:dyDescent="0.3">
      <c r="A737" s="30">
        <v>734</v>
      </c>
      <c r="B737" s="30" t="s">
        <v>554</v>
      </c>
      <c r="C737" s="30" t="s">
        <v>1714</v>
      </c>
      <c r="D737" s="30" t="s">
        <v>1027</v>
      </c>
      <c r="E737" s="30"/>
      <c r="F737" s="30"/>
      <c r="G737" s="30"/>
      <c r="H737" s="30"/>
      <c r="I737" s="30"/>
      <c r="J737" s="30"/>
      <c r="K737" s="30"/>
      <c r="L737" s="30"/>
      <c r="M737" s="30"/>
      <c r="N737" s="30"/>
      <c r="O737" s="30"/>
      <c r="P737" s="30"/>
      <c r="Q737" s="30"/>
      <c r="R737" s="30"/>
      <c r="S737" s="30"/>
      <c r="T737" s="30"/>
      <c r="U737" s="30"/>
      <c r="V737" s="29" t="str">
        <f>IF(B737=SelectedScope,COUNTIFS($B$4:$B737,SelectedScope),"")</f>
        <v/>
      </c>
    </row>
    <row r="738" spans="1:22" ht="16.05" customHeight="1" x14ac:dyDescent="0.3">
      <c r="A738" s="28">
        <v>735</v>
      </c>
      <c r="B738" s="28" t="s">
        <v>554</v>
      </c>
      <c r="C738" s="28" t="s">
        <v>1715</v>
      </c>
      <c r="D738" s="28" t="s">
        <v>1027</v>
      </c>
      <c r="E738" s="28"/>
      <c r="F738" s="28"/>
      <c r="G738" s="28"/>
      <c r="H738" s="28"/>
      <c r="I738" s="28"/>
      <c r="J738" s="28"/>
      <c r="K738" s="28"/>
      <c r="L738" s="28"/>
      <c r="M738" s="28"/>
      <c r="N738" s="28"/>
      <c r="O738" s="28"/>
      <c r="P738" s="28"/>
      <c r="Q738" s="28"/>
      <c r="R738" s="28"/>
      <c r="S738" s="28"/>
      <c r="T738" s="28"/>
      <c r="U738" s="28"/>
      <c r="V738" s="29" t="str">
        <f>IF(B738=SelectedScope,COUNTIFS($B$4:$B738,SelectedScope),"")</f>
        <v/>
      </c>
    </row>
    <row r="739" spans="1:22" ht="16.05" customHeight="1" x14ac:dyDescent="0.3">
      <c r="A739" s="30">
        <v>736</v>
      </c>
      <c r="B739" s="30" t="s">
        <v>554</v>
      </c>
      <c r="C739" s="30" t="s">
        <v>1716</v>
      </c>
      <c r="D739" s="30" t="s">
        <v>1027</v>
      </c>
      <c r="E739" s="30"/>
      <c r="F739" s="30"/>
      <c r="G739" s="30"/>
      <c r="H739" s="30"/>
      <c r="I739" s="30"/>
      <c r="J739" s="30"/>
      <c r="K739" s="30"/>
      <c r="L739" s="30"/>
      <c r="M739" s="30"/>
      <c r="N739" s="30"/>
      <c r="O739" s="30"/>
      <c r="P739" s="30"/>
      <c r="Q739" s="30"/>
      <c r="R739" s="30"/>
      <c r="S739" s="30"/>
      <c r="T739" s="30"/>
      <c r="U739" s="30"/>
      <c r="V739" s="29" t="str">
        <f>IF(B739=SelectedScope,COUNTIFS($B$4:$B739,SelectedScope),"")</f>
        <v/>
      </c>
    </row>
    <row r="740" spans="1:22" ht="16.05" customHeight="1" x14ac:dyDescent="0.3">
      <c r="A740" s="28">
        <v>737</v>
      </c>
      <c r="B740" s="28" t="s">
        <v>554</v>
      </c>
      <c r="C740" s="28" t="s">
        <v>1717</v>
      </c>
      <c r="D740" s="28" t="s">
        <v>1027</v>
      </c>
      <c r="E740" s="28"/>
      <c r="F740" s="28"/>
      <c r="G740" s="28"/>
      <c r="H740" s="28"/>
      <c r="I740" s="28"/>
      <c r="J740" s="28"/>
      <c r="K740" s="28"/>
      <c r="L740" s="28"/>
      <c r="M740" s="28"/>
      <c r="N740" s="28"/>
      <c r="O740" s="28"/>
      <c r="P740" s="28"/>
      <c r="Q740" s="28"/>
      <c r="R740" s="28"/>
      <c r="S740" s="28"/>
      <c r="T740" s="28"/>
      <c r="U740" s="28"/>
      <c r="V740" s="29" t="str">
        <f>IF(B740=SelectedScope,COUNTIFS($B$4:$B740,SelectedScope),"")</f>
        <v/>
      </c>
    </row>
    <row r="741" spans="1:22" ht="16.05" customHeight="1" x14ac:dyDescent="0.3">
      <c r="A741" s="30">
        <v>738</v>
      </c>
      <c r="B741" s="30" t="s">
        <v>554</v>
      </c>
      <c r="C741" s="30" t="s">
        <v>1718</v>
      </c>
      <c r="D741" s="30" t="s">
        <v>1027</v>
      </c>
      <c r="E741" s="30"/>
      <c r="F741" s="30"/>
      <c r="G741" s="30"/>
      <c r="H741" s="30"/>
      <c r="I741" s="30"/>
      <c r="J741" s="30"/>
      <c r="K741" s="30"/>
      <c r="L741" s="30"/>
      <c r="M741" s="30"/>
      <c r="N741" s="30"/>
      <c r="O741" s="30"/>
      <c r="P741" s="30"/>
      <c r="Q741" s="30"/>
      <c r="R741" s="30"/>
      <c r="S741" s="30"/>
      <c r="T741" s="30"/>
      <c r="U741" s="30"/>
      <c r="V741" s="29" t="str">
        <f>IF(B741=SelectedScope,COUNTIFS($B$4:$B741,SelectedScope),"")</f>
        <v/>
      </c>
    </row>
    <row r="742" spans="1:22" ht="16.05" customHeight="1" x14ac:dyDescent="0.3">
      <c r="A742" s="28">
        <v>739</v>
      </c>
      <c r="B742" s="28" t="s">
        <v>554</v>
      </c>
      <c r="C742" s="28" t="s">
        <v>1719</v>
      </c>
      <c r="D742" s="28" t="s">
        <v>1027</v>
      </c>
      <c r="E742" s="28"/>
      <c r="F742" s="28"/>
      <c r="G742" s="28"/>
      <c r="H742" s="28"/>
      <c r="I742" s="28"/>
      <c r="J742" s="28"/>
      <c r="K742" s="28"/>
      <c r="L742" s="28"/>
      <c r="M742" s="28"/>
      <c r="N742" s="28"/>
      <c r="O742" s="28"/>
      <c r="P742" s="28"/>
      <c r="Q742" s="28"/>
      <c r="R742" s="28"/>
      <c r="S742" s="28"/>
      <c r="T742" s="28"/>
      <c r="U742" s="28"/>
      <c r="V742" s="29" t="str">
        <f>IF(B742=SelectedScope,COUNTIFS($B$4:$B742,SelectedScope),"")</f>
        <v/>
      </c>
    </row>
    <row r="743" spans="1:22" ht="16.05" customHeight="1" x14ac:dyDescent="0.3">
      <c r="A743" s="30">
        <v>740</v>
      </c>
      <c r="B743" s="30" t="s">
        <v>554</v>
      </c>
      <c r="C743" s="30" t="s">
        <v>1720</v>
      </c>
      <c r="D743" s="30" t="s">
        <v>1027</v>
      </c>
      <c r="E743" s="30"/>
      <c r="F743" s="30"/>
      <c r="G743" s="30"/>
      <c r="H743" s="30"/>
      <c r="I743" s="30"/>
      <c r="J743" s="30"/>
      <c r="K743" s="30"/>
      <c r="L743" s="30"/>
      <c r="M743" s="30"/>
      <c r="N743" s="30"/>
      <c r="O743" s="30"/>
      <c r="P743" s="30"/>
      <c r="Q743" s="30"/>
      <c r="R743" s="30"/>
      <c r="S743" s="30"/>
      <c r="T743" s="30"/>
      <c r="U743" s="30"/>
      <c r="V743" s="29" t="str">
        <f>IF(B743=SelectedScope,COUNTIFS($B$4:$B743,SelectedScope),"")</f>
        <v/>
      </c>
    </row>
    <row r="744" spans="1:22" ht="16.05" customHeight="1" x14ac:dyDescent="0.3">
      <c r="A744" s="28">
        <v>741</v>
      </c>
      <c r="B744" s="28" t="s">
        <v>554</v>
      </c>
      <c r="C744" s="28" t="s">
        <v>1721</v>
      </c>
      <c r="D744" s="28" t="s">
        <v>1027</v>
      </c>
      <c r="E744" s="28"/>
      <c r="F744" s="28"/>
      <c r="G744" s="28"/>
      <c r="H744" s="28"/>
      <c r="I744" s="28"/>
      <c r="J744" s="28"/>
      <c r="K744" s="28"/>
      <c r="L744" s="28"/>
      <c r="M744" s="28"/>
      <c r="N744" s="28"/>
      <c r="O744" s="28"/>
      <c r="P744" s="28"/>
      <c r="Q744" s="28"/>
      <c r="R744" s="28"/>
      <c r="S744" s="28"/>
      <c r="T744" s="28"/>
      <c r="U744" s="28"/>
      <c r="V744" s="29" t="str">
        <f>IF(B744=SelectedScope,COUNTIFS($B$4:$B744,SelectedScope),"")</f>
        <v/>
      </c>
    </row>
    <row r="745" spans="1:22" ht="16.05" customHeight="1" x14ac:dyDescent="0.3">
      <c r="A745" s="30">
        <v>742</v>
      </c>
      <c r="B745" s="30" t="s">
        <v>554</v>
      </c>
      <c r="C745" s="30" t="s">
        <v>621</v>
      </c>
      <c r="D745" s="30" t="s">
        <v>1027</v>
      </c>
      <c r="E745" s="30"/>
      <c r="F745" s="30"/>
      <c r="G745" s="30"/>
      <c r="H745" s="30"/>
      <c r="I745" s="30"/>
      <c r="J745" s="30"/>
      <c r="K745" s="30"/>
      <c r="L745" s="30"/>
      <c r="M745" s="30"/>
      <c r="N745" s="30"/>
      <c r="O745" s="30"/>
      <c r="P745" s="30"/>
      <c r="Q745" s="30"/>
      <c r="R745" s="30"/>
      <c r="S745" s="30"/>
      <c r="T745" s="30"/>
      <c r="U745" s="30"/>
      <c r="V745" s="29" t="str">
        <f>IF(B745=SelectedScope,COUNTIFS($B$4:$B745,SelectedScope),"")</f>
        <v/>
      </c>
    </row>
  </sheetData>
  <mergeCells count="2">
    <mergeCell ref="A1:U1"/>
    <mergeCell ref="A2:U2"/>
  </mergeCell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6">
        <x14:dataValidation type="list" allowBlank="1" xr:uid="{00000000-0002-0000-1700-000000000000}">
          <x14:formula1>
            <xm:f>REF!$A$2:$A$37</xm:f>
          </x14:formula1>
          <xm:sqref>B4:B745</xm:sqref>
        </x14:dataValidation>
        <x14:dataValidation type="list" allowBlank="1" xr:uid="{00000000-0002-0000-1700-000001000000}">
          <x14:formula1>
            <xm:f>REF!$N$2:$N$13</xm:f>
          </x14:formula1>
          <xm:sqref>D4:D745</xm:sqref>
        </x14:dataValidation>
        <x14:dataValidation type="list" allowBlank="1" xr:uid="{00000000-0002-0000-1700-000002000000}">
          <x14:formula1>
            <xm:f>REF!$G$2:$G$5</xm:f>
          </x14:formula1>
          <xm:sqref>E4:E745</xm:sqref>
        </x14:dataValidation>
        <x14:dataValidation type="list" allowBlank="1" xr:uid="{00000000-0002-0000-1700-000003000000}">
          <x14:formula1>
            <xm:f>REF!$L$2:$L$6</xm:f>
          </x14:formula1>
          <xm:sqref>R4:R745</xm:sqref>
        </x14:dataValidation>
        <x14:dataValidation type="list" allowBlank="1" xr:uid="{00000000-0002-0000-1700-000004000000}">
          <x14:formula1>
            <xm:f>REF!$O$2:$O$5</xm:f>
          </x14:formula1>
          <xm:sqref>S4:S745</xm:sqref>
        </x14:dataValidation>
        <x14:dataValidation type="list" allowBlank="1" xr:uid="{00000000-0002-0000-1700-000005000000}">
          <x14:formula1>
            <xm:f>REF!$K$2:$K$5</xm:f>
          </x14:formula1>
          <xm:sqref>T4:T745</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R543"/>
  <sheetViews>
    <sheetView showGridLines="0" workbookViewId="0">
      <pane xSplit="4" ySplit="3" topLeftCell="E4" activePane="bottomRight" state="frozen"/>
      <selection pane="topRight"/>
      <selection pane="bottomLeft"/>
      <selection pane="bottomRight" activeCell="H13" sqref="H13"/>
    </sheetView>
  </sheetViews>
  <sheetFormatPr defaultRowHeight="14.4" x14ac:dyDescent="0.3"/>
  <cols>
    <col min="1" max="1" width="4" customWidth="1"/>
    <col min="2" max="2" width="22" customWidth="1"/>
    <col min="3" max="3" width="14" customWidth="1"/>
    <col min="4" max="4" width="11" customWidth="1"/>
    <col min="5" max="5" width="26" customWidth="1"/>
    <col min="6" max="6" width="13" customWidth="1"/>
    <col min="7" max="7" width="11" customWidth="1"/>
    <col min="8" max="8" width="10" customWidth="1"/>
    <col min="9" max="12" width="11" customWidth="1"/>
    <col min="13" max="16" width="12" customWidth="1"/>
    <col min="17" max="17" width="16" customWidth="1"/>
    <col min="18" max="18" width="22" customWidth="1"/>
  </cols>
  <sheetData>
    <row r="1" spans="1:18" ht="28.05" customHeight="1" x14ac:dyDescent="0.3">
      <c r="A1" s="45" t="s">
        <v>1722</v>
      </c>
      <c r="B1" s="33"/>
      <c r="C1" s="33"/>
      <c r="D1" s="33"/>
      <c r="E1" s="33"/>
      <c r="F1" s="33"/>
      <c r="G1" s="33"/>
      <c r="H1" s="33"/>
      <c r="I1" s="33"/>
      <c r="J1" s="33"/>
      <c r="K1" s="33"/>
      <c r="L1" s="33"/>
      <c r="M1" s="33"/>
      <c r="N1" s="33"/>
      <c r="O1" s="33"/>
      <c r="P1" s="33"/>
      <c r="Q1" s="33"/>
      <c r="R1" s="33"/>
    </row>
    <row r="2" spans="1:18" ht="16.05" customHeight="1" x14ac:dyDescent="0.3">
      <c r="A2" s="39" t="s">
        <v>1723</v>
      </c>
      <c r="B2" s="33"/>
      <c r="C2" s="33"/>
      <c r="D2" s="33"/>
      <c r="E2" s="33"/>
      <c r="F2" s="33"/>
      <c r="G2" s="33"/>
      <c r="H2" s="33"/>
      <c r="I2" s="33"/>
      <c r="J2" s="33"/>
      <c r="K2" s="33"/>
      <c r="L2" s="33"/>
      <c r="M2" s="33"/>
      <c r="N2" s="33"/>
      <c r="O2" s="33"/>
      <c r="P2" s="33"/>
      <c r="Q2" s="33"/>
      <c r="R2" s="33"/>
    </row>
    <row r="3" spans="1:18" ht="31.95" customHeight="1" x14ac:dyDescent="0.3">
      <c r="A3" s="27" t="s">
        <v>78</v>
      </c>
      <c r="B3" s="27" t="s">
        <v>192</v>
      </c>
      <c r="C3" s="27" t="s">
        <v>135</v>
      </c>
      <c r="D3" s="27" t="s">
        <v>157</v>
      </c>
      <c r="E3" s="27" t="s">
        <v>156</v>
      </c>
      <c r="F3" s="27" t="s">
        <v>162</v>
      </c>
      <c r="G3" s="27" t="s">
        <v>247</v>
      </c>
      <c r="H3" s="27" t="s">
        <v>248</v>
      </c>
      <c r="I3" s="27" t="s">
        <v>249</v>
      </c>
      <c r="J3" s="27" t="s">
        <v>221</v>
      </c>
      <c r="K3" s="27" t="s">
        <v>250</v>
      </c>
      <c r="L3" s="27" t="s">
        <v>251</v>
      </c>
      <c r="M3" s="27" t="s">
        <v>252</v>
      </c>
      <c r="N3" s="27" t="s">
        <v>159</v>
      </c>
      <c r="O3" s="27" t="s">
        <v>161</v>
      </c>
      <c r="P3" s="27" t="s">
        <v>253</v>
      </c>
      <c r="Q3" s="27" t="s">
        <v>254</v>
      </c>
      <c r="R3" s="27" t="s">
        <v>255</v>
      </c>
    </row>
    <row r="4" spans="1:18" ht="16.05" customHeight="1" x14ac:dyDescent="0.3">
      <c r="A4" s="28">
        <v>1</v>
      </c>
      <c r="B4" s="28" t="s">
        <v>519</v>
      </c>
      <c r="C4" s="28" t="s">
        <v>142</v>
      </c>
      <c r="D4" s="28" t="s">
        <v>164</v>
      </c>
      <c r="E4" s="28" t="s">
        <v>163</v>
      </c>
      <c r="F4" s="28" t="s">
        <v>165</v>
      </c>
      <c r="G4" s="28" t="s">
        <v>1724</v>
      </c>
      <c r="H4" s="28"/>
      <c r="I4" s="28"/>
      <c r="J4" s="28"/>
      <c r="K4" s="28"/>
      <c r="L4" s="28"/>
      <c r="M4" s="28"/>
      <c r="N4" s="28"/>
      <c r="O4" s="28"/>
      <c r="P4" s="28"/>
      <c r="Q4" s="28"/>
      <c r="R4" s="28"/>
    </row>
    <row r="5" spans="1:18" ht="16.05" customHeight="1" x14ac:dyDescent="0.3">
      <c r="A5" s="30">
        <v>2</v>
      </c>
      <c r="B5" s="30" t="s">
        <v>519</v>
      </c>
      <c r="C5" s="30" t="s">
        <v>146</v>
      </c>
      <c r="D5" s="30" t="s">
        <v>168</v>
      </c>
      <c r="E5" s="30" t="s">
        <v>167</v>
      </c>
      <c r="F5" s="30" t="s">
        <v>169</v>
      </c>
      <c r="G5" s="30" t="s">
        <v>1724</v>
      </c>
      <c r="H5" s="30"/>
      <c r="I5" s="30"/>
      <c r="J5" s="30"/>
      <c r="K5" s="30"/>
      <c r="L5" s="30"/>
      <c r="M5" s="30"/>
      <c r="N5" s="30"/>
      <c r="O5" s="30"/>
      <c r="P5" s="30"/>
      <c r="Q5" s="30"/>
      <c r="R5" s="30"/>
    </row>
    <row r="6" spans="1:18" ht="16.05" customHeight="1" x14ac:dyDescent="0.3">
      <c r="A6" s="28">
        <v>3</v>
      </c>
      <c r="B6" s="28" t="s">
        <v>519</v>
      </c>
      <c r="C6" s="28" t="s">
        <v>147</v>
      </c>
      <c r="D6" s="28" t="s">
        <v>168</v>
      </c>
      <c r="E6" s="28" t="s">
        <v>170</v>
      </c>
      <c r="F6" s="28" t="s">
        <v>165</v>
      </c>
      <c r="G6" s="28" t="s">
        <v>1724</v>
      </c>
      <c r="H6" s="28"/>
      <c r="I6" s="28"/>
      <c r="J6" s="28"/>
      <c r="K6" s="28"/>
      <c r="L6" s="28"/>
      <c r="M6" s="28"/>
      <c r="N6" s="28"/>
      <c r="O6" s="28"/>
      <c r="P6" s="28"/>
      <c r="Q6" s="28"/>
      <c r="R6" s="28"/>
    </row>
    <row r="7" spans="1:18" ht="16.05" customHeight="1" x14ac:dyDescent="0.3">
      <c r="A7" s="30">
        <v>4</v>
      </c>
      <c r="B7" s="30" t="s">
        <v>519</v>
      </c>
      <c r="C7" s="30" t="s">
        <v>146</v>
      </c>
      <c r="D7" s="30" t="s">
        <v>172</v>
      </c>
      <c r="E7" s="30" t="s">
        <v>171</v>
      </c>
      <c r="F7" s="30" t="s">
        <v>173</v>
      </c>
      <c r="G7" s="30" t="s">
        <v>1724</v>
      </c>
      <c r="H7" s="30"/>
      <c r="I7" s="30"/>
      <c r="J7" s="30"/>
      <c r="K7" s="30"/>
      <c r="L7" s="30"/>
      <c r="M7" s="30"/>
      <c r="N7" s="30"/>
      <c r="O7" s="30"/>
      <c r="P7" s="30"/>
      <c r="Q7" s="30"/>
      <c r="R7" s="30"/>
    </row>
    <row r="8" spans="1:18" ht="16.05" customHeight="1" x14ac:dyDescent="0.3">
      <c r="A8" s="28">
        <v>5</v>
      </c>
      <c r="B8" s="28" t="s">
        <v>519</v>
      </c>
      <c r="C8" s="28" t="s">
        <v>143</v>
      </c>
      <c r="D8" s="28" t="s">
        <v>172</v>
      </c>
      <c r="E8" s="28" t="s">
        <v>174</v>
      </c>
      <c r="F8" s="28" t="s">
        <v>169</v>
      </c>
      <c r="G8" s="28" t="s">
        <v>1724</v>
      </c>
      <c r="H8" s="28"/>
      <c r="I8" s="28"/>
      <c r="J8" s="28"/>
      <c r="K8" s="28"/>
      <c r="L8" s="28"/>
      <c r="M8" s="28"/>
      <c r="N8" s="28"/>
      <c r="O8" s="28"/>
      <c r="P8" s="28"/>
      <c r="Q8" s="28"/>
      <c r="R8" s="28"/>
    </row>
    <row r="9" spans="1:18" ht="16.05" customHeight="1" x14ac:dyDescent="0.3">
      <c r="A9" s="30">
        <v>6</v>
      </c>
      <c r="B9" s="30" t="s">
        <v>519</v>
      </c>
      <c r="C9" s="30" t="s">
        <v>143</v>
      </c>
      <c r="D9" s="30" t="s">
        <v>176</v>
      </c>
      <c r="E9" s="30" t="s">
        <v>175</v>
      </c>
      <c r="F9" s="30" t="s">
        <v>165</v>
      </c>
      <c r="G9" s="30" t="s">
        <v>1724</v>
      </c>
      <c r="H9" s="30"/>
      <c r="I9" s="30"/>
      <c r="J9" s="30"/>
      <c r="K9" s="30"/>
      <c r="L9" s="30"/>
      <c r="M9" s="30"/>
      <c r="N9" s="30"/>
      <c r="O9" s="30"/>
      <c r="P9" s="30"/>
      <c r="Q9" s="30"/>
      <c r="R9" s="30"/>
    </row>
    <row r="10" spans="1:18" ht="16.05" customHeight="1" x14ac:dyDescent="0.3">
      <c r="A10" s="28">
        <v>7</v>
      </c>
      <c r="B10" s="28" t="s">
        <v>519</v>
      </c>
      <c r="C10" s="28" t="s">
        <v>144</v>
      </c>
      <c r="D10" s="28" t="s">
        <v>176</v>
      </c>
      <c r="E10" s="28" t="s">
        <v>177</v>
      </c>
      <c r="F10" s="28" t="s">
        <v>173</v>
      </c>
      <c r="G10" s="28" t="s">
        <v>1724</v>
      </c>
      <c r="H10" s="28"/>
      <c r="I10" s="28"/>
      <c r="J10" s="28"/>
      <c r="K10" s="28"/>
      <c r="L10" s="28"/>
      <c r="M10" s="28"/>
      <c r="N10" s="28"/>
      <c r="O10" s="28"/>
      <c r="P10" s="28"/>
      <c r="Q10" s="28"/>
      <c r="R10" s="28"/>
    </row>
    <row r="11" spans="1:18" ht="16.05" customHeight="1" x14ac:dyDescent="0.3">
      <c r="A11" s="30">
        <v>8</v>
      </c>
      <c r="B11" s="30" t="s">
        <v>519</v>
      </c>
      <c r="C11" s="30" t="s">
        <v>145</v>
      </c>
      <c r="D11" s="30" t="s">
        <v>179</v>
      </c>
      <c r="E11" s="30" t="s">
        <v>178</v>
      </c>
      <c r="F11" s="30" t="s">
        <v>165</v>
      </c>
      <c r="G11" s="30" t="s">
        <v>1724</v>
      </c>
      <c r="H11" s="30"/>
      <c r="I11" s="30"/>
      <c r="J11" s="30"/>
      <c r="K11" s="30"/>
      <c r="L11" s="30"/>
      <c r="M11" s="30"/>
      <c r="N11" s="30"/>
      <c r="O11" s="30"/>
      <c r="P11" s="30"/>
      <c r="Q11" s="30"/>
      <c r="R11" s="30"/>
    </row>
    <row r="12" spans="1:18" ht="16.05" customHeight="1" x14ac:dyDescent="0.3">
      <c r="A12" s="28">
        <v>9</v>
      </c>
      <c r="B12" s="28" t="s">
        <v>519</v>
      </c>
      <c r="C12" s="28" t="s">
        <v>146</v>
      </c>
      <c r="D12" s="28" t="s">
        <v>181</v>
      </c>
      <c r="E12" s="28" t="s">
        <v>180</v>
      </c>
      <c r="F12" s="28" t="s">
        <v>182</v>
      </c>
      <c r="G12" s="28" t="s">
        <v>1724</v>
      </c>
      <c r="H12" s="28"/>
      <c r="I12" s="28"/>
      <c r="J12" s="28"/>
      <c r="K12" s="28"/>
      <c r="L12" s="28"/>
      <c r="M12" s="28"/>
      <c r="N12" s="28"/>
      <c r="O12" s="28"/>
      <c r="P12" s="28"/>
      <c r="Q12" s="28"/>
      <c r="R12" s="28"/>
    </row>
    <row r="13" spans="1:18" ht="16.05" customHeight="1" x14ac:dyDescent="0.3">
      <c r="A13" s="30">
        <v>10</v>
      </c>
      <c r="B13" s="30" t="s">
        <v>519</v>
      </c>
      <c r="C13" s="30" t="s">
        <v>148</v>
      </c>
      <c r="D13" s="30" t="s">
        <v>168</v>
      </c>
      <c r="E13" s="30" t="s">
        <v>183</v>
      </c>
      <c r="F13" s="30" t="s">
        <v>169</v>
      </c>
      <c r="G13" s="30" t="s">
        <v>1724</v>
      </c>
      <c r="H13" s="30"/>
      <c r="I13" s="30"/>
      <c r="J13" s="30"/>
      <c r="K13" s="30"/>
      <c r="L13" s="30"/>
      <c r="M13" s="30"/>
      <c r="N13" s="30"/>
      <c r="O13" s="30"/>
      <c r="P13" s="30"/>
      <c r="Q13" s="30"/>
      <c r="R13" s="30"/>
    </row>
    <row r="14" spans="1:18" ht="16.05" customHeight="1" x14ac:dyDescent="0.3">
      <c r="A14" s="28">
        <v>11</v>
      </c>
      <c r="B14" s="28" t="s">
        <v>519</v>
      </c>
      <c r="C14" s="28" t="s">
        <v>147</v>
      </c>
      <c r="D14" s="28" t="s">
        <v>181</v>
      </c>
      <c r="E14" s="28" t="s">
        <v>184</v>
      </c>
      <c r="F14" s="28" t="s">
        <v>169</v>
      </c>
      <c r="G14" s="28" t="s">
        <v>1724</v>
      </c>
      <c r="H14" s="28"/>
      <c r="I14" s="28"/>
      <c r="J14" s="28"/>
      <c r="K14" s="28"/>
      <c r="L14" s="28"/>
      <c r="M14" s="28"/>
      <c r="N14" s="28"/>
      <c r="O14" s="28"/>
      <c r="P14" s="28"/>
      <c r="Q14" s="28"/>
      <c r="R14" s="28"/>
    </row>
    <row r="15" spans="1:18" ht="16.05" customHeight="1" x14ac:dyDescent="0.3">
      <c r="A15" s="30">
        <v>12</v>
      </c>
      <c r="B15" s="30" t="s">
        <v>519</v>
      </c>
      <c r="C15" s="30" t="s">
        <v>148</v>
      </c>
      <c r="D15" s="30" t="s">
        <v>176</v>
      </c>
      <c r="E15" s="30" t="s">
        <v>185</v>
      </c>
      <c r="F15" s="30" t="s">
        <v>169</v>
      </c>
      <c r="G15" s="30" t="s">
        <v>1724</v>
      </c>
      <c r="H15" s="30"/>
      <c r="I15" s="30"/>
      <c r="J15" s="30"/>
      <c r="K15" s="30"/>
      <c r="L15" s="30"/>
      <c r="M15" s="30"/>
      <c r="N15" s="30"/>
      <c r="O15" s="30"/>
      <c r="P15" s="30"/>
      <c r="Q15" s="30"/>
      <c r="R15" s="30"/>
    </row>
    <row r="16" spans="1:18" ht="16.05" customHeight="1" x14ac:dyDescent="0.3">
      <c r="A16" s="28">
        <v>13</v>
      </c>
      <c r="B16" s="28" t="s">
        <v>519</v>
      </c>
      <c r="C16" s="28" t="s">
        <v>152</v>
      </c>
      <c r="D16" s="28" t="s">
        <v>168</v>
      </c>
      <c r="E16" s="28" t="s">
        <v>186</v>
      </c>
      <c r="F16" s="28" t="s">
        <v>173</v>
      </c>
      <c r="G16" s="28" t="s">
        <v>1724</v>
      </c>
      <c r="H16" s="28"/>
      <c r="I16" s="28"/>
      <c r="J16" s="28"/>
      <c r="K16" s="28"/>
      <c r="L16" s="28"/>
      <c r="M16" s="28"/>
      <c r="N16" s="28"/>
      <c r="O16" s="28"/>
      <c r="P16" s="28"/>
      <c r="Q16" s="28"/>
      <c r="R16" s="28"/>
    </row>
    <row r="17" spans="1:18" ht="16.05" customHeight="1" x14ac:dyDescent="0.3">
      <c r="A17" s="30">
        <v>14</v>
      </c>
      <c r="B17" s="30" t="s">
        <v>519</v>
      </c>
      <c r="C17" s="30" t="s">
        <v>151</v>
      </c>
      <c r="D17" s="30" t="s">
        <v>179</v>
      </c>
      <c r="E17" s="30" t="s">
        <v>187</v>
      </c>
      <c r="F17" s="30" t="s">
        <v>165</v>
      </c>
      <c r="G17" s="30" t="s">
        <v>1724</v>
      </c>
      <c r="H17" s="30"/>
      <c r="I17" s="30"/>
      <c r="J17" s="30"/>
      <c r="K17" s="30"/>
      <c r="L17" s="30"/>
      <c r="M17" s="30"/>
      <c r="N17" s="30"/>
      <c r="O17" s="30"/>
      <c r="P17" s="30"/>
      <c r="Q17" s="30"/>
      <c r="R17" s="30"/>
    </row>
    <row r="18" spans="1:18" ht="16.05" customHeight="1" x14ac:dyDescent="0.3">
      <c r="A18" s="28">
        <v>15</v>
      </c>
      <c r="B18" s="28" t="s">
        <v>519</v>
      </c>
      <c r="C18" s="28" t="s">
        <v>143</v>
      </c>
      <c r="D18" s="28" t="s">
        <v>176</v>
      </c>
      <c r="E18" s="28" t="s">
        <v>188</v>
      </c>
      <c r="F18" s="28" t="s">
        <v>165</v>
      </c>
      <c r="G18" s="28" t="s">
        <v>1724</v>
      </c>
      <c r="H18" s="28"/>
      <c r="I18" s="28"/>
      <c r="J18" s="28"/>
      <c r="K18" s="28"/>
      <c r="L18" s="28"/>
      <c r="M18" s="28"/>
      <c r="N18" s="28"/>
      <c r="O18" s="28"/>
      <c r="P18" s="28"/>
      <c r="Q18" s="28"/>
      <c r="R18" s="28"/>
    </row>
    <row r="19" spans="1:18" ht="16.05" customHeight="1" x14ac:dyDescent="0.3">
      <c r="A19" s="30">
        <v>16</v>
      </c>
      <c r="B19" s="30" t="s">
        <v>520</v>
      </c>
      <c r="C19" s="30" t="s">
        <v>142</v>
      </c>
      <c r="D19" s="30" t="s">
        <v>164</v>
      </c>
      <c r="E19" s="30" t="s">
        <v>163</v>
      </c>
      <c r="F19" s="30" t="s">
        <v>165</v>
      </c>
      <c r="G19" s="30" t="s">
        <v>1724</v>
      </c>
      <c r="H19" s="30"/>
      <c r="I19" s="30"/>
      <c r="J19" s="30"/>
      <c r="K19" s="30"/>
      <c r="L19" s="30"/>
      <c r="M19" s="30"/>
      <c r="N19" s="30"/>
      <c r="O19" s="30"/>
      <c r="P19" s="30"/>
      <c r="Q19" s="30"/>
      <c r="R19" s="30"/>
    </row>
    <row r="20" spans="1:18" ht="16.05" customHeight="1" x14ac:dyDescent="0.3">
      <c r="A20" s="28">
        <v>17</v>
      </c>
      <c r="B20" s="28" t="s">
        <v>520</v>
      </c>
      <c r="C20" s="28" t="s">
        <v>146</v>
      </c>
      <c r="D20" s="28" t="s">
        <v>168</v>
      </c>
      <c r="E20" s="28" t="s">
        <v>167</v>
      </c>
      <c r="F20" s="28" t="s">
        <v>169</v>
      </c>
      <c r="G20" s="28" t="s">
        <v>1724</v>
      </c>
      <c r="H20" s="28"/>
      <c r="I20" s="28"/>
      <c r="J20" s="28"/>
      <c r="K20" s="28"/>
      <c r="L20" s="28"/>
      <c r="M20" s="28"/>
      <c r="N20" s="28"/>
      <c r="O20" s="28"/>
      <c r="P20" s="28"/>
      <c r="Q20" s="28"/>
      <c r="R20" s="28"/>
    </row>
    <row r="21" spans="1:18" ht="16.05" customHeight="1" x14ac:dyDescent="0.3">
      <c r="A21" s="30">
        <v>18</v>
      </c>
      <c r="B21" s="30" t="s">
        <v>520</v>
      </c>
      <c r="C21" s="30" t="s">
        <v>147</v>
      </c>
      <c r="D21" s="30" t="s">
        <v>168</v>
      </c>
      <c r="E21" s="30" t="s">
        <v>170</v>
      </c>
      <c r="F21" s="30" t="s">
        <v>165</v>
      </c>
      <c r="G21" s="30" t="s">
        <v>1724</v>
      </c>
      <c r="H21" s="30"/>
      <c r="I21" s="30"/>
      <c r="J21" s="30"/>
      <c r="K21" s="30"/>
      <c r="L21" s="30"/>
      <c r="M21" s="30"/>
      <c r="N21" s="30"/>
      <c r="O21" s="30"/>
      <c r="P21" s="30"/>
      <c r="Q21" s="30"/>
      <c r="R21" s="30"/>
    </row>
    <row r="22" spans="1:18" ht="16.05" customHeight="1" x14ac:dyDescent="0.3">
      <c r="A22" s="28">
        <v>19</v>
      </c>
      <c r="B22" s="28" t="s">
        <v>520</v>
      </c>
      <c r="C22" s="28" t="s">
        <v>146</v>
      </c>
      <c r="D22" s="28" t="s">
        <v>172</v>
      </c>
      <c r="E22" s="28" t="s">
        <v>171</v>
      </c>
      <c r="F22" s="28" t="s">
        <v>173</v>
      </c>
      <c r="G22" s="28" t="s">
        <v>1724</v>
      </c>
      <c r="H22" s="28"/>
      <c r="I22" s="28"/>
      <c r="J22" s="28"/>
      <c r="K22" s="28"/>
      <c r="L22" s="28"/>
      <c r="M22" s="28"/>
      <c r="N22" s="28"/>
      <c r="O22" s="28"/>
      <c r="P22" s="28"/>
      <c r="Q22" s="28"/>
      <c r="R22" s="28"/>
    </row>
    <row r="23" spans="1:18" ht="16.05" customHeight="1" x14ac:dyDescent="0.3">
      <c r="A23" s="30">
        <v>20</v>
      </c>
      <c r="B23" s="30" t="s">
        <v>520</v>
      </c>
      <c r="C23" s="30" t="s">
        <v>143</v>
      </c>
      <c r="D23" s="30" t="s">
        <v>172</v>
      </c>
      <c r="E23" s="30" t="s">
        <v>174</v>
      </c>
      <c r="F23" s="30" t="s">
        <v>169</v>
      </c>
      <c r="G23" s="30" t="s">
        <v>1724</v>
      </c>
      <c r="H23" s="30"/>
      <c r="I23" s="30"/>
      <c r="J23" s="30"/>
      <c r="K23" s="30"/>
      <c r="L23" s="30"/>
      <c r="M23" s="30"/>
      <c r="N23" s="30"/>
      <c r="O23" s="30"/>
      <c r="P23" s="30"/>
      <c r="Q23" s="30"/>
      <c r="R23" s="30"/>
    </row>
    <row r="24" spans="1:18" ht="16.05" customHeight="1" x14ac:dyDescent="0.3">
      <c r="A24" s="28">
        <v>21</v>
      </c>
      <c r="B24" s="28" t="s">
        <v>520</v>
      </c>
      <c r="C24" s="28" t="s">
        <v>143</v>
      </c>
      <c r="D24" s="28" t="s">
        <v>176</v>
      </c>
      <c r="E24" s="28" t="s">
        <v>175</v>
      </c>
      <c r="F24" s="28" t="s">
        <v>165</v>
      </c>
      <c r="G24" s="28" t="s">
        <v>1724</v>
      </c>
      <c r="H24" s="28"/>
      <c r="I24" s="28"/>
      <c r="J24" s="28"/>
      <c r="K24" s="28"/>
      <c r="L24" s="28"/>
      <c r="M24" s="28"/>
      <c r="N24" s="28"/>
      <c r="O24" s="28"/>
      <c r="P24" s="28"/>
      <c r="Q24" s="28"/>
      <c r="R24" s="28"/>
    </row>
    <row r="25" spans="1:18" ht="16.05" customHeight="1" x14ac:dyDescent="0.3">
      <c r="A25" s="30">
        <v>22</v>
      </c>
      <c r="B25" s="30" t="s">
        <v>520</v>
      </c>
      <c r="C25" s="30" t="s">
        <v>144</v>
      </c>
      <c r="D25" s="30" t="s">
        <v>176</v>
      </c>
      <c r="E25" s="30" t="s">
        <v>177</v>
      </c>
      <c r="F25" s="30" t="s">
        <v>173</v>
      </c>
      <c r="G25" s="30" t="s">
        <v>1724</v>
      </c>
      <c r="H25" s="30"/>
      <c r="I25" s="30"/>
      <c r="J25" s="30"/>
      <c r="K25" s="30"/>
      <c r="L25" s="30"/>
      <c r="M25" s="30"/>
      <c r="N25" s="30"/>
      <c r="O25" s="30"/>
      <c r="P25" s="30"/>
      <c r="Q25" s="30"/>
      <c r="R25" s="30"/>
    </row>
    <row r="26" spans="1:18" ht="16.05" customHeight="1" x14ac:dyDescent="0.3">
      <c r="A26" s="28">
        <v>23</v>
      </c>
      <c r="B26" s="28" t="s">
        <v>520</v>
      </c>
      <c r="C26" s="28" t="s">
        <v>145</v>
      </c>
      <c r="D26" s="28" t="s">
        <v>179</v>
      </c>
      <c r="E26" s="28" t="s">
        <v>178</v>
      </c>
      <c r="F26" s="28" t="s">
        <v>165</v>
      </c>
      <c r="G26" s="28" t="s">
        <v>1724</v>
      </c>
      <c r="H26" s="28"/>
      <c r="I26" s="28"/>
      <c r="J26" s="28"/>
      <c r="K26" s="28"/>
      <c r="L26" s="28"/>
      <c r="M26" s="28"/>
      <c r="N26" s="28"/>
      <c r="O26" s="28"/>
      <c r="P26" s="28"/>
      <c r="Q26" s="28"/>
      <c r="R26" s="28"/>
    </row>
    <row r="27" spans="1:18" ht="16.05" customHeight="1" x14ac:dyDescent="0.3">
      <c r="A27" s="30">
        <v>24</v>
      </c>
      <c r="B27" s="30" t="s">
        <v>520</v>
      </c>
      <c r="C27" s="30" t="s">
        <v>146</v>
      </c>
      <c r="D27" s="30" t="s">
        <v>181</v>
      </c>
      <c r="E27" s="30" t="s">
        <v>180</v>
      </c>
      <c r="F27" s="30" t="s">
        <v>182</v>
      </c>
      <c r="G27" s="30" t="s">
        <v>1724</v>
      </c>
      <c r="H27" s="30"/>
      <c r="I27" s="30"/>
      <c r="J27" s="30"/>
      <c r="K27" s="30"/>
      <c r="L27" s="30"/>
      <c r="M27" s="30"/>
      <c r="N27" s="30"/>
      <c r="O27" s="30"/>
      <c r="P27" s="30"/>
      <c r="Q27" s="30"/>
      <c r="R27" s="30"/>
    </row>
    <row r="28" spans="1:18" ht="16.05" customHeight="1" x14ac:dyDescent="0.3">
      <c r="A28" s="28">
        <v>25</v>
      </c>
      <c r="B28" s="28" t="s">
        <v>520</v>
      </c>
      <c r="C28" s="28" t="s">
        <v>148</v>
      </c>
      <c r="D28" s="28" t="s">
        <v>168</v>
      </c>
      <c r="E28" s="28" t="s">
        <v>183</v>
      </c>
      <c r="F28" s="28" t="s">
        <v>169</v>
      </c>
      <c r="G28" s="28" t="s">
        <v>1724</v>
      </c>
      <c r="H28" s="28"/>
      <c r="I28" s="28"/>
      <c r="J28" s="28"/>
      <c r="K28" s="28"/>
      <c r="L28" s="28"/>
      <c r="M28" s="28"/>
      <c r="N28" s="28"/>
      <c r="O28" s="28"/>
      <c r="P28" s="28"/>
      <c r="Q28" s="28"/>
      <c r="R28" s="28"/>
    </row>
    <row r="29" spans="1:18" ht="16.05" customHeight="1" x14ac:dyDescent="0.3">
      <c r="A29" s="30">
        <v>26</v>
      </c>
      <c r="B29" s="30" t="s">
        <v>520</v>
      </c>
      <c r="C29" s="30" t="s">
        <v>147</v>
      </c>
      <c r="D29" s="30" t="s">
        <v>181</v>
      </c>
      <c r="E29" s="30" t="s">
        <v>184</v>
      </c>
      <c r="F29" s="30" t="s">
        <v>169</v>
      </c>
      <c r="G29" s="30" t="s">
        <v>1724</v>
      </c>
      <c r="H29" s="30"/>
      <c r="I29" s="30"/>
      <c r="J29" s="30"/>
      <c r="K29" s="30"/>
      <c r="L29" s="30"/>
      <c r="M29" s="30"/>
      <c r="N29" s="30"/>
      <c r="O29" s="30"/>
      <c r="P29" s="30"/>
      <c r="Q29" s="30"/>
      <c r="R29" s="30"/>
    </row>
    <row r="30" spans="1:18" ht="16.05" customHeight="1" x14ac:dyDescent="0.3">
      <c r="A30" s="28">
        <v>27</v>
      </c>
      <c r="B30" s="28" t="s">
        <v>520</v>
      </c>
      <c r="C30" s="28" t="s">
        <v>148</v>
      </c>
      <c r="D30" s="28" t="s">
        <v>176</v>
      </c>
      <c r="E30" s="28" t="s">
        <v>185</v>
      </c>
      <c r="F30" s="28" t="s">
        <v>169</v>
      </c>
      <c r="G30" s="28" t="s">
        <v>1724</v>
      </c>
      <c r="H30" s="28"/>
      <c r="I30" s="28"/>
      <c r="J30" s="28"/>
      <c r="K30" s="28"/>
      <c r="L30" s="28"/>
      <c r="M30" s="28"/>
      <c r="N30" s="28"/>
      <c r="O30" s="28"/>
      <c r="P30" s="28"/>
      <c r="Q30" s="28"/>
      <c r="R30" s="28"/>
    </row>
    <row r="31" spans="1:18" ht="16.05" customHeight="1" x14ac:dyDescent="0.3">
      <c r="A31" s="30">
        <v>28</v>
      </c>
      <c r="B31" s="30" t="s">
        <v>520</v>
      </c>
      <c r="C31" s="30" t="s">
        <v>152</v>
      </c>
      <c r="D31" s="30" t="s">
        <v>168</v>
      </c>
      <c r="E31" s="30" t="s">
        <v>186</v>
      </c>
      <c r="F31" s="30" t="s">
        <v>173</v>
      </c>
      <c r="G31" s="30" t="s">
        <v>1724</v>
      </c>
      <c r="H31" s="30"/>
      <c r="I31" s="30"/>
      <c r="J31" s="30"/>
      <c r="K31" s="30"/>
      <c r="L31" s="30"/>
      <c r="M31" s="30"/>
      <c r="N31" s="30"/>
      <c r="O31" s="30"/>
      <c r="P31" s="30"/>
      <c r="Q31" s="30"/>
      <c r="R31" s="30"/>
    </row>
    <row r="32" spans="1:18" ht="16.05" customHeight="1" x14ac:dyDescent="0.3">
      <c r="A32" s="28">
        <v>29</v>
      </c>
      <c r="B32" s="28" t="s">
        <v>520</v>
      </c>
      <c r="C32" s="28" t="s">
        <v>151</v>
      </c>
      <c r="D32" s="28" t="s">
        <v>179</v>
      </c>
      <c r="E32" s="28" t="s">
        <v>187</v>
      </c>
      <c r="F32" s="28" t="s">
        <v>165</v>
      </c>
      <c r="G32" s="28" t="s">
        <v>1724</v>
      </c>
      <c r="H32" s="28"/>
      <c r="I32" s="28"/>
      <c r="J32" s="28"/>
      <c r="K32" s="28"/>
      <c r="L32" s="28"/>
      <c r="M32" s="28"/>
      <c r="N32" s="28"/>
      <c r="O32" s="28"/>
      <c r="P32" s="28"/>
      <c r="Q32" s="28"/>
      <c r="R32" s="28"/>
    </row>
    <row r="33" spans="1:18" ht="16.05" customHeight="1" x14ac:dyDescent="0.3">
      <c r="A33" s="30">
        <v>30</v>
      </c>
      <c r="B33" s="30" t="s">
        <v>520</v>
      </c>
      <c r="C33" s="30" t="s">
        <v>143</v>
      </c>
      <c r="D33" s="30" t="s">
        <v>176</v>
      </c>
      <c r="E33" s="30" t="s">
        <v>188</v>
      </c>
      <c r="F33" s="30" t="s">
        <v>165</v>
      </c>
      <c r="G33" s="30" t="s">
        <v>1724</v>
      </c>
      <c r="H33" s="30"/>
      <c r="I33" s="30"/>
      <c r="J33" s="30"/>
      <c r="K33" s="30"/>
      <c r="L33" s="30"/>
      <c r="M33" s="30"/>
      <c r="N33" s="30"/>
      <c r="O33" s="30"/>
      <c r="P33" s="30"/>
      <c r="Q33" s="30"/>
      <c r="R33" s="30"/>
    </row>
    <row r="34" spans="1:18" ht="16.05" customHeight="1" x14ac:dyDescent="0.3">
      <c r="A34" s="28">
        <v>31</v>
      </c>
      <c r="B34" s="28" t="s">
        <v>521</v>
      </c>
      <c r="C34" s="28" t="s">
        <v>142</v>
      </c>
      <c r="D34" s="28" t="s">
        <v>164</v>
      </c>
      <c r="E34" s="28" t="s">
        <v>163</v>
      </c>
      <c r="F34" s="28" t="s">
        <v>165</v>
      </c>
      <c r="G34" s="28" t="s">
        <v>1724</v>
      </c>
      <c r="H34" s="28"/>
      <c r="I34" s="28"/>
      <c r="J34" s="28"/>
      <c r="K34" s="28"/>
      <c r="L34" s="28"/>
      <c r="M34" s="28"/>
      <c r="N34" s="28"/>
      <c r="O34" s="28"/>
      <c r="P34" s="28"/>
      <c r="Q34" s="28"/>
      <c r="R34" s="28"/>
    </row>
    <row r="35" spans="1:18" ht="16.05" customHeight="1" x14ac:dyDescent="0.3">
      <c r="A35" s="30">
        <v>32</v>
      </c>
      <c r="B35" s="30" t="s">
        <v>521</v>
      </c>
      <c r="C35" s="30" t="s">
        <v>146</v>
      </c>
      <c r="D35" s="30" t="s">
        <v>168</v>
      </c>
      <c r="E35" s="30" t="s">
        <v>167</v>
      </c>
      <c r="F35" s="30" t="s">
        <v>169</v>
      </c>
      <c r="G35" s="30" t="s">
        <v>1724</v>
      </c>
      <c r="H35" s="30"/>
      <c r="I35" s="30"/>
      <c r="J35" s="30"/>
      <c r="K35" s="30"/>
      <c r="L35" s="30"/>
      <c r="M35" s="30"/>
      <c r="N35" s="30"/>
      <c r="O35" s="30"/>
      <c r="P35" s="30"/>
      <c r="Q35" s="30"/>
      <c r="R35" s="30"/>
    </row>
    <row r="36" spans="1:18" ht="16.05" customHeight="1" x14ac:dyDescent="0.3">
      <c r="A36" s="28">
        <v>33</v>
      </c>
      <c r="B36" s="28" t="s">
        <v>521</v>
      </c>
      <c r="C36" s="28" t="s">
        <v>147</v>
      </c>
      <c r="D36" s="28" t="s">
        <v>168</v>
      </c>
      <c r="E36" s="28" t="s">
        <v>170</v>
      </c>
      <c r="F36" s="28" t="s">
        <v>165</v>
      </c>
      <c r="G36" s="28" t="s">
        <v>1724</v>
      </c>
      <c r="H36" s="28"/>
      <c r="I36" s="28"/>
      <c r="J36" s="28"/>
      <c r="K36" s="28"/>
      <c r="L36" s="28"/>
      <c r="M36" s="28"/>
      <c r="N36" s="28"/>
      <c r="O36" s="28"/>
      <c r="P36" s="28"/>
      <c r="Q36" s="28"/>
      <c r="R36" s="28"/>
    </row>
    <row r="37" spans="1:18" ht="16.05" customHeight="1" x14ac:dyDescent="0.3">
      <c r="A37" s="30">
        <v>34</v>
      </c>
      <c r="B37" s="30" t="s">
        <v>521</v>
      </c>
      <c r="C37" s="30" t="s">
        <v>146</v>
      </c>
      <c r="D37" s="30" t="s">
        <v>172</v>
      </c>
      <c r="E37" s="30" t="s">
        <v>171</v>
      </c>
      <c r="F37" s="30" t="s">
        <v>173</v>
      </c>
      <c r="G37" s="30" t="s">
        <v>1724</v>
      </c>
      <c r="H37" s="30"/>
      <c r="I37" s="30"/>
      <c r="J37" s="30"/>
      <c r="K37" s="30"/>
      <c r="L37" s="30"/>
      <c r="M37" s="30"/>
      <c r="N37" s="30"/>
      <c r="O37" s="30"/>
      <c r="P37" s="30"/>
      <c r="Q37" s="30"/>
      <c r="R37" s="30"/>
    </row>
    <row r="38" spans="1:18" ht="16.05" customHeight="1" x14ac:dyDescent="0.3">
      <c r="A38" s="28">
        <v>35</v>
      </c>
      <c r="B38" s="28" t="s">
        <v>521</v>
      </c>
      <c r="C38" s="28" t="s">
        <v>143</v>
      </c>
      <c r="D38" s="28" t="s">
        <v>172</v>
      </c>
      <c r="E38" s="28" t="s">
        <v>174</v>
      </c>
      <c r="F38" s="28" t="s">
        <v>169</v>
      </c>
      <c r="G38" s="28" t="s">
        <v>1724</v>
      </c>
      <c r="H38" s="28"/>
      <c r="I38" s="28"/>
      <c r="J38" s="28"/>
      <c r="K38" s="28"/>
      <c r="L38" s="28"/>
      <c r="M38" s="28"/>
      <c r="N38" s="28"/>
      <c r="O38" s="28"/>
      <c r="P38" s="28"/>
      <c r="Q38" s="28"/>
      <c r="R38" s="28"/>
    </row>
    <row r="39" spans="1:18" ht="16.05" customHeight="1" x14ac:dyDescent="0.3">
      <c r="A39" s="30">
        <v>36</v>
      </c>
      <c r="B39" s="30" t="s">
        <v>521</v>
      </c>
      <c r="C39" s="30" t="s">
        <v>143</v>
      </c>
      <c r="D39" s="30" t="s">
        <v>176</v>
      </c>
      <c r="E39" s="30" t="s">
        <v>175</v>
      </c>
      <c r="F39" s="30" t="s">
        <v>165</v>
      </c>
      <c r="G39" s="30" t="s">
        <v>1724</v>
      </c>
      <c r="H39" s="30"/>
      <c r="I39" s="30"/>
      <c r="J39" s="30"/>
      <c r="K39" s="30"/>
      <c r="L39" s="30"/>
      <c r="M39" s="30"/>
      <c r="N39" s="30"/>
      <c r="O39" s="30"/>
      <c r="P39" s="30"/>
      <c r="Q39" s="30"/>
      <c r="R39" s="30"/>
    </row>
    <row r="40" spans="1:18" ht="16.05" customHeight="1" x14ac:dyDescent="0.3">
      <c r="A40" s="28">
        <v>37</v>
      </c>
      <c r="B40" s="28" t="s">
        <v>521</v>
      </c>
      <c r="C40" s="28" t="s">
        <v>144</v>
      </c>
      <c r="D40" s="28" t="s">
        <v>176</v>
      </c>
      <c r="E40" s="28" t="s">
        <v>177</v>
      </c>
      <c r="F40" s="28" t="s">
        <v>173</v>
      </c>
      <c r="G40" s="28" t="s">
        <v>1724</v>
      </c>
      <c r="H40" s="28"/>
      <c r="I40" s="28"/>
      <c r="J40" s="28"/>
      <c r="K40" s="28"/>
      <c r="L40" s="28"/>
      <c r="M40" s="28"/>
      <c r="N40" s="28"/>
      <c r="O40" s="28"/>
      <c r="P40" s="28"/>
      <c r="Q40" s="28"/>
      <c r="R40" s="28"/>
    </row>
    <row r="41" spans="1:18" ht="16.05" customHeight="1" x14ac:dyDescent="0.3">
      <c r="A41" s="30">
        <v>38</v>
      </c>
      <c r="B41" s="30" t="s">
        <v>521</v>
      </c>
      <c r="C41" s="30" t="s">
        <v>145</v>
      </c>
      <c r="D41" s="30" t="s">
        <v>179</v>
      </c>
      <c r="E41" s="30" t="s">
        <v>178</v>
      </c>
      <c r="F41" s="30" t="s">
        <v>165</v>
      </c>
      <c r="G41" s="30" t="s">
        <v>1724</v>
      </c>
      <c r="H41" s="30"/>
      <c r="I41" s="30"/>
      <c r="J41" s="30"/>
      <c r="K41" s="30"/>
      <c r="L41" s="30"/>
      <c r="M41" s="30"/>
      <c r="N41" s="30"/>
      <c r="O41" s="30"/>
      <c r="P41" s="30"/>
      <c r="Q41" s="30"/>
      <c r="R41" s="30"/>
    </row>
    <row r="42" spans="1:18" ht="16.05" customHeight="1" x14ac:dyDescent="0.3">
      <c r="A42" s="28">
        <v>39</v>
      </c>
      <c r="B42" s="28" t="s">
        <v>521</v>
      </c>
      <c r="C42" s="28" t="s">
        <v>146</v>
      </c>
      <c r="D42" s="28" t="s">
        <v>181</v>
      </c>
      <c r="E42" s="28" t="s">
        <v>180</v>
      </c>
      <c r="F42" s="28" t="s">
        <v>182</v>
      </c>
      <c r="G42" s="28" t="s">
        <v>1724</v>
      </c>
      <c r="H42" s="28"/>
      <c r="I42" s="28"/>
      <c r="J42" s="28"/>
      <c r="K42" s="28"/>
      <c r="L42" s="28"/>
      <c r="M42" s="28"/>
      <c r="N42" s="28"/>
      <c r="O42" s="28"/>
      <c r="P42" s="28"/>
      <c r="Q42" s="28"/>
      <c r="R42" s="28"/>
    </row>
    <row r="43" spans="1:18" ht="16.05" customHeight="1" x14ac:dyDescent="0.3">
      <c r="A43" s="30">
        <v>40</v>
      </c>
      <c r="B43" s="30" t="s">
        <v>521</v>
      </c>
      <c r="C43" s="30" t="s">
        <v>148</v>
      </c>
      <c r="D43" s="30" t="s">
        <v>168</v>
      </c>
      <c r="E43" s="30" t="s">
        <v>183</v>
      </c>
      <c r="F43" s="30" t="s">
        <v>169</v>
      </c>
      <c r="G43" s="30" t="s">
        <v>1724</v>
      </c>
      <c r="H43" s="30"/>
      <c r="I43" s="30"/>
      <c r="J43" s="30"/>
      <c r="K43" s="30"/>
      <c r="L43" s="30"/>
      <c r="M43" s="30"/>
      <c r="N43" s="30"/>
      <c r="O43" s="30"/>
      <c r="P43" s="30"/>
      <c r="Q43" s="30"/>
      <c r="R43" s="30"/>
    </row>
    <row r="44" spans="1:18" ht="16.05" customHeight="1" x14ac:dyDescent="0.3">
      <c r="A44" s="28">
        <v>41</v>
      </c>
      <c r="B44" s="28" t="s">
        <v>521</v>
      </c>
      <c r="C44" s="28" t="s">
        <v>147</v>
      </c>
      <c r="D44" s="28" t="s">
        <v>181</v>
      </c>
      <c r="E44" s="28" t="s">
        <v>184</v>
      </c>
      <c r="F44" s="28" t="s">
        <v>169</v>
      </c>
      <c r="G44" s="28" t="s">
        <v>1724</v>
      </c>
      <c r="H44" s="28"/>
      <c r="I44" s="28"/>
      <c r="J44" s="28"/>
      <c r="K44" s="28"/>
      <c r="L44" s="28"/>
      <c r="M44" s="28"/>
      <c r="N44" s="28"/>
      <c r="O44" s="28"/>
      <c r="P44" s="28"/>
      <c r="Q44" s="28"/>
      <c r="R44" s="28"/>
    </row>
    <row r="45" spans="1:18" ht="16.05" customHeight="1" x14ac:dyDescent="0.3">
      <c r="A45" s="30">
        <v>42</v>
      </c>
      <c r="B45" s="30" t="s">
        <v>521</v>
      </c>
      <c r="C45" s="30" t="s">
        <v>148</v>
      </c>
      <c r="D45" s="30" t="s">
        <v>176</v>
      </c>
      <c r="E45" s="30" t="s">
        <v>185</v>
      </c>
      <c r="F45" s="30" t="s">
        <v>169</v>
      </c>
      <c r="G45" s="30" t="s">
        <v>1724</v>
      </c>
      <c r="H45" s="30"/>
      <c r="I45" s="30"/>
      <c r="J45" s="30"/>
      <c r="K45" s="30"/>
      <c r="L45" s="30"/>
      <c r="M45" s="30"/>
      <c r="N45" s="30"/>
      <c r="O45" s="30"/>
      <c r="P45" s="30"/>
      <c r="Q45" s="30"/>
      <c r="R45" s="30"/>
    </row>
    <row r="46" spans="1:18" ht="16.05" customHeight="1" x14ac:dyDescent="0.3">
      <c r="A46" s="28">
        <v>43</v>
      </c>
      <c r="B46" s="28" t="s">
        <v>521</v>
      </c>
      <c r="C46" s="28" t="s">
        <v>152</v>
      </c>
      <c r="D46" s="28" t="s">
        <v>168</v>
      </c>
      <c r="E46" s="28" t="s">
        <v>186</v>
      </c>
      <c r="F46" s="28" t="s">
        <v>173</v>
      </c>
      <c r="G46" s="28" t="s">
        <v>1724</v>
      </c>
      <c r="H46" s="28"/>
      <c r="I46" s="28"/>
      <c r="J46" s="28"/>
      <c r="K46" s="28"/>
      <c r="L46" s="28"/>
      <c r="M46" s="28"/>
      <c r="N46" s="28"/>
      <c r="O46" s="28"/>
      <c r="P46" s="28"/>
      <c r="Q46" s="28"/>
      <c r="R46" s="28"/>
    </row>
    <row r="47" spans="1:18" ht="16.05" customHeight="1" x14ac:dyDescent="0.3">
      <c r="A47" s="30">
        <v>44</v>
      </c>
      <c r="B47" s="30" t="s">
        <v>521</v>
      </c>
      <c r="C47" s="30" t="s">
        <v>151</v>
      </c>
      <c r="D47" s="30" t="s">
        <v>179</v>
      </c>
      <c r="E47" s="30" t="s">
        <v>187</v>
      </c>
      <c r="F47" s="30" t="s">
        <v>165</v>
      </c>
      <c r="G47" s="30" t="s">
        <v>1724</v>
      </c>
      <c r="H47" s="30"/>
      <c r="I47" s="30"/>
      <c r="J47" s="30"/>
      <c r="K47" s="30"/>
      <c r="L47" s="30"/>
      <c r="M47" s="30"/>
      <c r="N47" s="30"/>
      <c r="O47" s="30"/>
      <c r="P47" s="30"/>
      <c r="Q47" s="30"/>
      <c r="R47" s="30"/>
    </row>
    <row r="48" spans="1:18" ht="16.05" customHeight="1" x14ac:dyDescent="0.3">
      <c r="A48" s="28">
        <v>45</v>
      </c>
      <c r="B48" s="28" t="s">
        <v>521</v>
      </c>
      <c r="C48" s="28" t="s">
        <v>143</v>
      </c>
      <c r="D48" s="28" t="s">
        <v>176</v>
      </c>
      <c r="E48" s="28" t="s">
        <v>188</v>
      </c>
      <c r="F48" s="28" t="s">
        <v>165</v>
      </c>
      <c r="G48" s="28" t="s">
        <v>1724</v>
      </c>
      <c r="H48" s="28"/>
      <c r="I48" s="28"/>
      <c r="J48" s="28"/>
      <c r="K48" s="28"/>
      <c r="L48" s="28"/>
      <c r="M48" s="28"/>
      <c r="N48" s="28"/>
      <c r="O48" s="28"/>
      <c r="P48" s="28"/>
      <c r="Q48" s="28"/>
      <c r="R48" s="28"/>
    </row>
    <row r="49" spans="1:18" ht="16.05" customHeight="1" x14ac:dyDescent="0.3">
      <c r="A49" s="30">
        <v>46</v>
      </c>
      <c r="B49" s="30" t="s">
        <v>522</v>
      </c>
      <c r="C49" s="30" t="s">
        <v>142</v>
      </c>
      <c r="D49" s="30" t="s">
        <v>164</v>
      </c>
      <c r="E49" s="30" t="s">
        <v>163</v>
      </c>
      <c r="F49" s="30" t="s">
        <v>165</v>
      </c>
      <c r="G49" s="30" t="s">
        <v>1724</v>
      </c>
      <c r="H49" s="30"/>
      <c r="I49" s="30"/>
      <c r="J49" s="30"/>
      <c r="K49" s="30"/>
      <c r="L49" s="30"/>
      <c r="M49" s="30"/>
      <c r="N49" s="30"/>
      <c r="O49" s="30"/>
      <c r="P49" s="30"/>
      <c r="Q49" s="30"/>
      <c r="R49" s="30"/>
    </row>
    <row r="50" spans="1:18" ht="16.05" customHeight="1" x14ac:dyDescent="0.3">
      <c r="A50" s="28">
        <v>47</v>
      </c>
      <c r="B50" s="28" t="s">
        <v>522</v>
      </c>
      <c r="C50" s="28" t="s">
        <v>146</v>
      </c>
      <c r="D50" s="28" t="s">
        <v>168</v>
      </c>
      <c r="E50" s="28" t="s">
        <v>167</v>
      </c>
      <c r="F50" s="28" t="s">
        <v>169</v>
      </c>
      <c r="G50" s="28" t="s">
        <v>1724</v>
      </c>
      <c r="H50" s="28"/>
      <c r="I50" s="28"/>
      <c r="J50" s="28"/>
      <c r="K50" s="28"/>
      <c r="L50" s="28"/>
      <c r="M50" s="28"/>
      <c r="N50" s="28"/>
      <c r="O50" s="28"/>
      <c r="P50" s="28"/>
      <c r="Q50" s="28"/>
      <c r="R50" s="28"/>
    </row>
    <row r="51" spans="1:18" ht="16.05" customHeight="1" x14ac:dyDescent="0.3">
      <c r="A51" s="30">
        <v>48</v>
      </c>
      <c r="B51" s="30" t="s">
        <v>522</v>
      </c>
      <c r="C51" s="30" t="s">
        <v>147</v>
      </c>
      <c r="D51" s="30" t="s">
        <v>168</v>
      </c>
      <c r="E51" s="30" t="s">
        <v>170</v>
      </c>
      <c r="F51" s="30" t="s">
        <v>165</v>
      </c>
      <c r="G51" s="30" t="s">
        <v>1724</v>
      </c>
      <c r="H51" s="30"/>
      <c r="I51" s="30"/>
      <c r="J51" s="30"/>
      <c r="K51" s="30"/>
      <c r="L51" s="30"/>
      <c r="M51" s="30"/>
      <c r="N51" s="30"/>
      <c r="O51" s="30"/>
      <c r="P51" s="30"/>
      <c r="Q51" s="30"/>
      <c r="R51" s="30"/>
    </row>
    <row r="52" spans="1:18" ht="16.05" customHeight="1" x14ac:dyDescent="0.3">
      <c r="A52" s="28">
        <v>49</v>
      </c>
      <c r="B52" s="28" t="s">
        <v>522</v>
      </c>
      <c r="C52" s="28" t="s">
        <v>146</v>
      </c>
      <c r="D52" s="28" t="s">
        <v>172</v>
      </c>
      <c r="E52" s="28" t="s">
        <v>171</v>
      </c>
      <c r="F52" s="28" t="s">
        <v>173</v>
      </c>
      <c r="G52" s="28" t="s">
        <v>1724</v>
      </c>
      <c r="H52" s="28"/>
      <c r="I52" s="28"/>
      <c r="J52" s="28"/>
      <c r="K52" s="28"/>
      <c r="L52" s="28"/>
      <c r="M52" s="28"/>
      <c r="N52" s="28"/>
      <c r="O52" s="28"/>
      <c r="P52" s="28"/>
      <c r="Q52" s="28"/>
      <c r="R52" s="28"/>
    </row>
    <row r="53" spans="1:18" ht="16.05" customHeight="1" x14ac:dyDescent="0.3">
      <c r="A53" s="30">
        <v>50</v>
      </c>
      <c r="B53" s="30" t="s">
        <v>522</v>
      </c>
      <c r="C53" s="30" t="s">
        <v>143</v>
      </c>
      <c r="D53" s="30" t="s">
        <v>172</v>
      </c>
      <c r="E53" s="30" t="s">
        <v>174</v>
      </c>
      <c r="F53" s="30" t="s">
        <v>169</v>
      </c>
      <c r="G53" s="30" t="s">
        <v>1724</v>
      </c>
      <c r="H53" s="30"/>
      <c r="I53" s="30"/>
      <c r="J53" s="30"/>
      <c r="K53" s="30"/>
      <c r="L53" s="30"/>
      <c r="M53" s="30"/>
      <c r="N53" s="30"/>
      <c r="O53" s="30"/>
      <c r="P53" s="30"/>
      <c r="Q53" s="30"/>
      <c r="R53" s="30"/>
    </row>
    <row r="54" spans="1:18" ht="16.05" customHeight="1" x14ac:dyDescent="0.3">
      <c r="A54" s="28">
        <v>51</v>
      </c>
      <c r="B54" s="28" t="s">
        <v>522</v>
      </c>
      <c r="C54" s="28" t="s">
        <v>143</v>
      </c>
      <c r="D54" s="28" t="s">
        <v>176</v>
      </c>
      <c r="E54" s="28" t="s">
        <v>175</v>
      </c>
      <c r="F54" s="28" t="s">
        <v>165</v>
      </c>
      <c r="G54" s="28" t="s">
        <v>1724</v>
      </c>
      <c r="H54" s="28"/>
      <c r="I54" s="28"/>
      <c r="J54" s="28"/>
      <c r="K54" s="28"/>
      <c r="L54" s="28"/>
      <c r="M54" s="28"/>
      <c r="N54" s="28"/>
      <c r="O54" s="28"/>
      <c r="P54" s="28"/>
      <c r="Q54" s="28"/>
      <c r="R54" s="28"/>
    </row>
    <row r="55" spans="1:18" ht="16.05" customHeight="1" x14ac:dyDescent="0.3">
      <c r="A55" s="30">
        <v>52</v>
      </c>
      <c r="B55" s="30" t="s">
        <v>522</v>
      </c>
      <c r="C55" s="30" t="s">
        <v>144</v>
      </c>
      <c r="D55" s="30" t="s">
        <v>176</v>
      </c>
      <c r="E55" s="30" t="s">
        <v>177</v>
      </c>
      <c r="F55" s="30" t="s">
        <v>173</v>
      </c>
      <c r="G55" s="30" t="s">
        <v>1724</v>
      </c>
      <c r="H55" s="30"/>
      <c r="I55" s="30"/>
      <c r="J55" s="30"/>
      <c r="K55" s="30"/>
      <c r="L55" s="30"/>
      <c r="M55" s="30"/>
      <c r="N55" s="30"/>
      <c r="O55" s="30"/>
      <c r="P55" s="30"/>
      <c r="Q55" s="30"/>
      <c r="R55" s="30"/>
    </row>
    <row r="56" spans="1:18" ht="16.05" customHeight="1" x14ac:dyDescent="0.3">
      <c r="A56" s="28">
        <v>53</v>
      </c>
      <c r="B56" s="28" t="s">
        <v>522</v>
      </c>
      <c r="C56" s="28" t="s">
        <v>145</v>
      </c>
      <c r="D56" s="28" t="s">
        <v>179</v>
      </c>
      <c r="E56" s="28" t="s">
        <v>178</v>
      </c>
      <c r="F56" s="28" t="s">
        <v>165</v>
      </c>
      <c r="G56" s="28" t="s">
        <v>1724</v>
      </c>
      <c r="H56" s="28"/>
      <c r="I56" s="28"/>
      <c r="J56" s="28"/>
      <c r="K56" s="28"/>
      <c r="L56" s="28"/>
      <c r="M56" s="28"/>
      <c r="N56" s="28"/>
      <c r="O56" s="28"/>
      <c r="P56" s="28"/>
      <c r="Q56" s="28"/>
      <c r="R56" s="28"/>
    </row>
    <row r="57" spans="1:18" ht="16.05" customHeight="1" x14ac:dyDescent="0.3">
      <c r="A57" s="30">
        <v>54</v>
      </c>
      <c r="B57" s="30" t="s">
        <v>522</v>
      </c>
      <c r="C57" s="30" t="s">
        <v>146</v>
      </c>
      <c r="D57" s="30" t="s">
        <v>181</v>
      </c>
      <c r="E57" s="30" t="s">
        <v>180</v>
      </c>
      <c r="F57" s="30" t="s">
        <v>182</v>
      </c>
      <c r="G57" s="30" t="s">
        <v>1724</v>
      </c>
      <c r="H57" s="30"/>
      <c r="I57" s="30"/>
      <c r="J57" s="30"/>
      <c r="K57" s="30"/>
      <c r="L57" s="30"/>
      <c r="M57" s="30"/>
      <c r="N57" s="30"/>
      <c r="O57" s="30"/>
      <c r="P57" s="30"/>
      <c r="Q57" s="30"/>
      <c r="R57" s="30"/>
    </row>
    <row r="58" spans="1:18" ht="16.05" customHeight="1" x14ac:dyDescent="0.3">
      <c r="A58" s="28">
        <v>55</v>
      </c>
      <c r="B58" s="28" t="s">
        <v>522</v>
      </c>
      <c r="C58" s="28" t="s">
        <v>148</v>
      </c>
      <c r="D58" s="28" t="s">
        <v>168</v>
      </c>
      <c r="E58" s="28" t="s">
        <v>183</v>
      </c>
      <c r="F58" s="28" t="s">
        <v>169</v>
      </c>
      <c r="G58" s="28" t="s">
        <v>1724</v>
      </c>
      <c r="H58" s="28"/>
      <c r="I58" s="28"/>
      <c r="J58" s="28"/>
      <c r="K58" s="28"/>
      <c r="L58" s="28"/>
      <c r="M58" s="28"/>
      <c r="N58" s="28"/>
      <c r="O58" s="28"/>
      <c r="P58" s="28"/>
      <c r="Q58" s="28"/>
      <c r="R58" s="28"/>
    </row>
    <row r="59" spans="1:18" ht="16.05" customHeight="1" x14ac:dyDescent="0.3">
      <c r="A59" s="30">
        <v>56</v>
      </c>
      <c r="B59" s="30" t="s">
        <v>522</v>
      </c>
      <c r="C59" s="30" t="s">
        <v>147</v>
      </c>
      <c r="D59" s="30" t="s">
        <v>181</v>
      </c>
      <c r="E59" s="30" t="s">
        <v>184</v>
      </c>
      <c r="F59" s="30" t="s">
        <v>169</v>
      </c>
      <c r="G59" s="30" t="s">
        <v>1724</v>
      </c>
      <c r="H59" s="30"/>
      <c r="I59" s="30"/>
      <c r="J59" s="30"/>
      <c r="K59" s="30"/>
      <c r="L59" s="30"/>
      <c r="M59" s="30"/>
      <c r="N59" s="30"/>
      <c r="O59" s="30"/>
      <c r="P59" s="30"/>
      <c r="Q59" s="30"/>
      <c r="R59" s="30"/>
    </row>
    <row r="60" spans="1:18" ht="16.05" customHeight="1" x14ac:dyDescent="0.3">
      <c r="A60" s="28">
        <v>57</v>
      </c>
      <c r="B60" s="28" t="s">
        <v>522</v>
      </c>
      <c r="C60" s="28" t="s">
        <v>148</v>
      </c>
      <c r="D60" s="28" t="s">
        <v>176</v>
      </c>
      <c r="E60" s="28" t="s">
        <v>185</v>
      </c>
      <c r="F60" s="28" t="s">
        <v>169</v>
      </c>
      <c r="G60" s="28" t="s">
        <v>1724</v>
      </c>
      <c r="H60" s="28"/>
      <c r="I60" s="28"/>
      <c r="J60" s="28"/>
      <c r="K60" s="28"/>
      <c r="L60" s="28"/>
      <c r="M60" s="28"/>
      <c r="N60" s="28"/>
      <c r="O60" s="28"/>
      <c r="P60" s="28"/>
      <c r="Q60" s="28"/>
      <c r="R60" s="28"/>
    </row>
    <row r="61" spans="1:18" ht="16.05" customHeight="1" x14ac:dyDescent="0.3">
      <c r="A61" s="30">
        <v>58</v>
      </c>
      <c r="B61" s="30" t="s">
        <v>522</v>
      </c>
      <c r="C61" s="30" t="s">
        <v>152</v>
      </c>
      <c r="D61" s="30" t="s">
        <v>168</v>
      </c>
      <c r="E61" s="30" t="s">
        <v>186</v>
      </c>
      <c r="F61" s="30" t="s">
        <v>173</v>
      </c>
      <c r="G61" s="30" t="s">
        <v>1724</v>
      </c>
      <c r="H61" s="30"/>
      <c r="I61" s="30"/>
      <c r="J61" s="30"/>
      <c r="K61" s="30"/>
      <c r="L61" s="30"/>
      <c r="M61" s="30"/>
      <c r="N61" s="30"/>
      <c r="O61" s="30"/>
      <c r="P61" s="30"/>
      <c r="Q61" s="30"/>
      <c r="R61" s="30"/>
    </row>
    <row r="62" spans="1:18" ht="16.05" customHeight="1" x14ac:dyDescent="0.3">
      <c r="A62" s="28">
        <v>59</v>
      </c>
      <c r="B62" s="28" t="s">
        <v>522</v>
      </c>
      <c r="C62" s="28" t="s">
        <v>151</v>
      </c>
      <c r="D62" s="28" t="s">
        <v>179</v>
      </c>
      <c r="E62" s="28" t="s">
        <v>187</v>
      </c>
      <c r="F62" s="28" t="s">
        <v>165</v>
      </c>
      <c r="G62" s="28" t="s">
        <v>1724</v>
      </c>
      <c r="H62" s="28"/>
      <c r="I62" s="28"/>
      <c r="J62" s="28"/>
      <c r="K62" s="28"/>
      <c r="L62" s="28"/>
      <c r="M62" s="28"/>
      <c r="N62" s="28"/>
      <c r="O62" s="28"/>
      <c r="P62" s="28"/>
      <c r="Q62" s="28"/>
      <c r="R62" s="28"/>
    </row>
    <row r="63" spans="1:18" ht="16.05" customHeight="1" x14ac:dyDescent="0.3">
      <c r="A63" s="30">
        <v>60</v>
      </c>
      <c r="B63" s="30" t="s">
        <v>522</v>
      </c>
      <c r="C63" s="30" t="s">
        <v>143</v>
      </c>
      <c r="D63" s="30" t="s">
        <v>176</v>
      </c>
      <c r="E63" s="30" t="s">
        <v>188</v>
      </c>
      <c r="F63" s="30" t="s">
        <v>165</v>
      </c>
      <c r="G63" s="30" t="s">
        <v>1724</v>
      </c>
      <c r="H63" s="30"/>
      <c r="I63" s="30"/>
      <c r="J63" s="30"/>
      <c r="K63" s="30"/>
      <c r="L63" s="30"/>
      <c r="M63" s="30"/>
      <c r="N63" s="30"/>
      <c r="O63" s="30"/>
      <c r="P63" s="30"/>
      <c r="Q63" s="30"/>
      <c r="R63" s="30"/>
    </row>
    <row r="64" spans="1:18" ht="16.05" customHeight="1" x14ac:dyDescent="0.3">
      <c r="A64" s="28">
        <v>61</v>
      </c>
      <c r="B64" s="28" t="s">
        <v>523</v>
      </c>
      <c r="C64" s="28" t="s">
        <v>142</v>
      </c>
      <c r="D64" s="28" t="s">
        <v>164</v>
      </c>
      <c r="E64" s="28" t="s">
        <v>163</v>
      </c>
      <c r="F64" s="28" t="s">
        <v>165</v>
      </c>
      <c r="G64" s="28" t="s">
        <v>1724</v>
      </c>
      <c r="H64" s="28"/>
      <c r="I64" s="28"/>
      <c r="J64" s="28"/>
      <c r="K64" s="28"/>
      <c r="L64" s="28"/>
      <c r="M64" s="28"/>
      <c r="N64" s="28"/>
      <c r="O64" s="28"/>
      <c r="P64" s="28"/>
      <c r="Q64" s="28"/>
      <c r="R64" s="28"/>
    </row>
    <row r="65" spans="1:18" ht="16.05" customHeight="1" x14ac:dyDescent="0.3">
      <c r="A65" s="30">
        <v>62</v>
      </c>
      <c r="B65" s="30" t="s">
        <v>523</v>
      </c>
      <c r="C65" s="30" t="s">
        <v>146</v>
      </c>
      <c r="D65" s="30" t="s">
        <v>168</v>
      </c>
      <c r="E65" s="30" t="s">
        <v>167</v>
      </c>
      <c r="F65" s="30" t="s">
        <v>169</v>
      </c>
      <c r="G65" s="30" t="s">
        <v>1724</v>
      </c>
      <c r="H65" s="30"/>
      <c r="I65" s="30"/>
      <c r="J65" s="30"/>
      <c r="K65" s="30"/>
      <c r="L65" s="30"/>
      <c r="M65" s="30"/>
      <c r="N65" s="30"/>
      <c r="O65" s="30"/>
      <c r="P65" s="30"/>
      <c r="Q65" s="30"/>
      <c r="R65" s="30"/>
    </row>
    <row r="66" spans="1:18" ht="16.05" customHeight="1" x14ac:dyDescent="0.3">
      <c r="A66" s="28">
        <v>63</v>
      </c>
      <c r="B66" s="28" t="s">
        <v>523</v>
      </c>
      <c r="C66" s="28" t="s">
        <v>147</v>
      </c>
      <c r="D66" s="28" t="s">
        <v>168</v>
      </c>
      <c r="E66" s="28" t="s">
        <v>170</v>
      </c>
      <c r="F66" s="28" t="s">
        <v>165</v>
      </c>
      <c r="G66" s="28" t="s">
        <v>1724</v>
      </c>
      <c r="H66" s="28"/>
      <c r="I66" s="28"/>
      <c r="J66" s="28"/>
      <c r="K66" s="28"/>
      <c r="L66" s="28"/>
      <c r="M66" s="28"/>
      <c r="N66" s="28"/>
      <c r="O66" s="28"/>
      <c r="P66" s="28"/>
      <c r="Q66" s="28"/>
      <c r="R66" s="28"/>
    </row>
    <row r="67" spans="1:18" ht="16.05" customHeight="1" x14ac:dyDescent="0.3">
      <c r="A67" s="30">
        <v>64</v>
      </c>
      <c r="B67" s="30" t="s">
        <v>523</v>
      </c>
      <c r="C67" s="30" t="s">
        <v>146</v>
      </c>
      <c r="D67" s="30" t="s">
        <v>172</v>
      </c>
      <c r="E67" s="30" t="s">
        <v>171</v>
      </c>
      <c r="F67" s="30" t="s">
        <v>173</v>
      </c>
      <c r="G67" s="30" t="s">
        <v>1724</v>
      </c>
      <c r="H67" s="30"/>
      <c r="I67" s="30"/>
      <c r="J67" s="30"/>
      <c r="K67" s="30"/>
      <c r="L67" s="30"/>
      <c r="M67" s="30"/>
      <c r="N67" s="30"/>
      <c r="O67" s="30"/>
      <c r="P67" s="30"/>
      <c r="Q67" s="30"/>
      <c r="R67" s="30"/>
    </row>
    <row r="68" spans="1:18" ht="16.05" customHeight="1" x14ac:dyDescent="0.3">
      <c r="A68" s="28">
        <v>65</v>
      </c>
      <c r="B68" s="28" t="s">
        <v>523</v>
      </c>
      <c r="C68" s="28" t="s">
        <v>143</v>
      </c>
      <c r="D68" s="28" t="s">
        <v>172</v>
      </c>
      <c r="E68" s="28" t="s">
        <v>174</v>
      </c>
      <c r="F68" s="28" t="s">
        <v>169</v>
      </c>
      <c r="G68" s="28" t="s">
        <v>1724</v>
      </c>
      <c r="H68" s="28"/>
      <c r="I68" s="28"/>
      <c r="J68" s="28"/>
      <c r="K68" s="28"/>
      <c r="L68" s="28"/>
      <c r="M68" s="28"/>
      <c r="N68" s="28"/>
      <c r="O68" s="28"/>
      <c r="P68" s="28"/>
      <c r="Q68" s="28"/>
      <c r="R68" s="28"/>
    </row>
    <row r="69" spans="1:18" ht="16.05" customHeight="1" x14ac:dyDescent="0.3">
      <c r="A69" s="30">
        <v>66</v>
      </c>
      <c r="B69" s="30" t="s">
        <v>523</v>
      </c>
      <c r="C69" s="30" t="s">
        <v>143</v>
      </c>
      <c r="D69" s="30" t="s">
        <v>176</v>
      </c>
      <c r="E69" s="30" t="s">
        <v>175</v>
      </c>
      <c r="F69" s="30" t="s">
        <v>165</v>
      </c>
      <c r="G69" s="30" t="s">
        <v>1724</v>
      </c>
      <c r="H69" s="30"/>
      <c r="I69" s="30"/>
      <c r="J69" s="30"/>
      <c r="K69" s="30"/>
      <c r="L69" s="30"/>
      <c r="M69" s="30"/>
      <c r="N69" s="30"/>
      <c r="O69" s="30"/>
      <c r="P69" s="30"/>
      <c r="Q69" s="30"/>
      <c r="R69" s="30"/>
    </row>
    <row r="70" spans="1:18" ht="16.05" customHeight="1" x14ac:dyDescent="0.3">
      <c r="A70" s="28">
        <v>67</v>
      </c>
      <c r="B70" s="28" t="s">
        <v>523</v>
      </c>
      <c r="C70" s="28" t="s">
        <v>144</v>
      </c>
      <c r="D70" s="28" t="s">
        <v>176</v>
      </c>
      <c r="E70" s="28" t="s">
        <v>177</v>
      </c>
      <c r="F70" s="28" t="s">
        <v>173</v>
      </c>
      <c r="G70" s="28" t="s">
        <v>1724</v>
      </c>
      <c r="H70" s="28"/>
      <c r="I70" s="28"/>
      <c r="J70" s="28"/>
      <c r="K70" s="28"/>
      <c r="L70" s="28"/>
      <c r="M70" s="28"/>
      <c r="N70" s="28"/>
      <c r="O70" s="28"/>
      <c r="P70" s="28"/>
      <c r="Q70" s="28"/>
      <c r="R70" s="28"/>
    </row>
    <row r="71" spans="1:18" ht="16.05" customHeight="1" x14ac:dyDescent="0.3">
      <c r="A71" s="30">
        <v>68</v>
      </c>
      <c r="B71" s="30" t="s">
        <v>523</v>
      </c>
      <c r="C71" s="30" t="s">
        <v>145</v>
      </c>
      <c r="D71" s="30" t="s">
        <v>179</v>
      </c>
      <c r="E71" s="30" t="s">
        <v>178</v>
      </c>
      <c r="F71" s="30" t="s">
        <v>165</v>
      </c>
      <c r="G71" s="30" t="s">
        <v>1724</v>
      </c>
      <c r="H71" s="30"/>
      <c r="I71" s="30"/>
      <c r="J71" s="30"/>
      <c r="K71" s="30"/>
      <c r="L71" s="30"/>
      <c r="M71" s="30"/>
      <c r="N71" s="30"/>
      <c r="O71" s="30"/>
      <c r="P71" s="30"/>
      <c r="Q71" s="30"/>
      <c r="R71" s="30"/>
    </row>
    <row r="72" spans="1:18" ht="16.05" customHeight="1" x14ac:dyDescent="0.3">
      <c r="A72" s="28">
        <v>69</v>
      </c>
      <c r="B72" s="28" t="s">
        <v>523</v>
      </c>
      <c r="C72" s="28" t="s">
        <v>146</v>
      </c>
      <c r="D72" s="28" t="s">
        <v>181</v>
      </c>
      <c r="E72" s="28" t="s">
        <v>180</v>
      </c>
      <c r="F72" s="28" t="s">
        <v>182</v>
      </c>
      <c r="G72" s="28" t="s">
        <v>1724</v>
      </c>
      <c r="H72" s="28"/>
      <c r="I72" s="28"/>
      <c r="J72" s="28"/>
      <c r="K72" s="28"/>
      <c r="L72" s="28"/>
      <c r="M72" s="28"/>
      <c r="N72" s="28"/>
      <c r="O72" s="28"/>
      <c r="P72" s="28"/>
      <c r="Q72" s="28"/>
      <c r="R72" s="28"/>
    </row>
    <row r="73" spans="1:18" ht="16.05" customHeight="1" x14ac:dyDescent="0.3">
      <c r="A73" s="30">
        <v>70</v>
      </c>
      <c r="B73" s="30" t="s">
        <v>523</v>
      </c>
      <c r="C73" s="30" t="s">
        <v>148</v>
      </c>
      <c r="D73" s="30" t="s">
        <v>168</v>
      </c>
      <c r="E73" s="30" t="s">
        <v>183</v>
      </c>
      <c r="F73" s="30" t="s">
        <v>169</v>
      </c>
      <c r="G73" s="30" t="s">
        <v>1724</v>
      </c>
      <c r="H73" s="30"/>
      <c r="I73" s="30"/>
      <c r="J73" s="30"/>
      <c r="K73" s="30"/>
      <c r="L73" s="30"/>
      <c r="M73" s="30"/>
      <c r="N73" s="30"/>
      <c r="O73" s="30"/>
      <c r="P73" s="30"/>
      <c r="Q73" s="30"/>
      <c r="R73" s="30"/>
    </row>
    <row r="74" spans="1:18" ht="16.05" customHeight="1" x14ac:dyDescent="0.3">
      <c r="A74" s="28">
        <v>71</v>
      </c>
      <c r="B74" s="28" t="s">
        <v>523</v>
      </c>
      <c r="C74" s="28" t="s">
        <v>147</v>
      </c>
      <c r="D74" s="28" t="s">
        <v>181</v>
      </c>
      <c r="E74" s="28" t="s">
        <v>184</v>
      </c>
      <c r="F74" s="28" t="s">
        <v>169</v>
      </c>
      <c r="G74" s="28" t="s">
        <v>1724</v>
      </c>
      <c r="H74" s="28"/>
      <c r="I74" s="28"/>
      <c r="J74" s="28"/>
      <c r="K74" s="28"/>
      <c r="L74" s="28"/>
      <c r="M74" s="28"/>
      <c r="N74" s="28"/>
      <c r="O74" s="28"/>
      <c r="P74" s="28"/>
      <c r="Q74" s="28"/>
      <c r="R74" s="28"/>
    </row>
    <row r="75" spans="1:18" ht="16.05" customHeight="1" x14ac:dyDescent="0.3">
      <c r="A75" s="30">
        <v>72</v>
      </c>
      <c r="B75" s="30" t="s">
        <v>523</v>
      </c>
      <c r="C75" s="30" t="s">
        <v>148</v>
      </c>
      <c r="D75" s="30" t="s">
        <v>176</v>
      </c>
      <c r="E75" s="30" t="s">
        <v>185</v>
      </c>
      <c r="F75" s="30" t="s">
        <v>169</v>
      </c>
      <c r="G75" s="30" t="s">
        <v>1724</v>
      </c>
      <c r="H75" s="30"/>
      <c r="I75" s="30"/>
      <c r="J75" s="30"/>
      <c r="K75" s="30"/>
      <c r="L75" s="30"/>
      <c r="M75" s="30"/>
      <c r="N75" s="30"/>
      <c r="O75" s="30"/>
      <c r="P75" s="30"/>
      <c r="Q75" s="30"/>
      <c r="R75" s="30"/>
    </row>
    <row r="76" spans="1:18" ht="16.05" customHeight="1" x14ac:dyDescent="0.3">
      <c r="A76" s="28">
        <v>73</v>
      </c>
      <c r="B76" s="28" t="s">
        <v>523</v>
      </c>
      <c r="C76" s="28" t="s">
        <v>152</v>
      </c>
      <c r="D76" s="28" t="s">
        <v>168</v>
      </c>
      <c r="E76" s="28" t="s">
        <v>186</v>
      </c>
      <c r="F76" s="28" t="s">
        <v>173</v>
      </c>
      <c r="G76" s="28" t="s">
        <v>1724</v>
      </c>
      <c r="H76" s="28"/>
      <c r="I76" s="28"/>
      <c r="J76" s="28"/>
      <c r="K76" s="28"/>
      <c r="L76" s="28"/>
      <c r="M76" s="28"/>
      <c r="N76" s="28"/>
      <c r="O76" s="28"/>
      <c r="P76" s="28"/>
      <c r="Q76" s="28"/>
      <c r="R76" s="28"/>
    </row>
    <row r="77" spans="1:18" ht="16.05" customHeight="1" x14ac:dyDescent="0.3">
      <c r="A77" s="30">
        <v>74</v>
      </c>
      <c r="B77" s="30" t="s">
        <v>523</v>
      </c>
      <c r="C77" s="30" t="s">
        <v>151</v>
      </c>
      <c r="D77" s="30" t="s">
        <v>179</v>
      </c>
      <c r="E77" s="30" t="s">
        <v>187</v>
      </c>
      <c r="F77" s="30" t="s">
        <v>165</v>
      </c>
      <c r="G77" s="30" t="s">
        <v>1724</v>
      </c>
      <c r="H77" s="30"/>
      <c r="I77" s="30"/>
      <c r="J77" s="30"/>
      <c r="K77" s="30"/>
      <c r="L77" s="30"/>
      <c r="M77" s="30"/>
      <c r="N77" s="30"/>
      <c r="O77" s="30"/>
      <c r="P77" s="30"/>
      <c r="Q77" s="30"/>
      <c r="R77" s="30"/>
    </row>
    <row r="78" spans="1:18" ht="16.05" customHeight="1" x14ac:dyDescent="0.3">
      <c r="A78" s="28">
        <v>75</v>
      </c>
      <c r="B78" s="28" t="s">
        <v>523</v>
      </c>
      <c r="C78" s="28" t="s">
        <v>143</v>
      </c>
      <c r="D78" s="28" t="s">
        <v>176</v>
      </c>
      <c r="E78" s="28" t="s">
        <v>188</v>
      </c>
      <c r="F78" s="28" t="s">
        <v>165</v>
      </c>
      <c r="G78" s="28" t="s">
        <v>1724</v>
      </c>
      <c r="H78" s="28"/>
      <c r="I78" s="28"/>
      <c r="J78" s="28"/>
      <c r="K78" s="28"/>
      <c r="L78" s="28"/>
      <c r="M78" s="28"/>
      <c r="N78" s="28"/>
      <c r="O78" s="28"/>
      <c r="P78" s="28"/>
      <c r="Q78" s="28"/>
      <c r="R78" s="28"/>
    </row>
    <row r="79" spans="1:18" ht="16.05" customHeight="1" x14ac:dyDescent="0.3">
      <c r="A79" s="30">
        <v>76</v>
      </c>
      <c r="B79" s="30" t="s">
        <v>524</v>
      </c>
      <c r="C79" s="30" t="s">
        <v>142</v>
      </c>
      <c r="D79" s="30" t="s">
        <v>164</v>
      </c>
      <c r="E79" s="30" t="s">
        <v>163</v>
      </c>
      <c r="F79" s="30" t="s">
        <v>165</v>
      </c>
      <c r="G79" s="30" t="s">
        <v>1724</v>
      </c>
      <c r="H79" s="30"/>
      <c r="I79" s="30"/>
      <c r="J79" s="30"/>
      <c r="K79" s="30"/>
      <c r="L79" s="30"/>
      <c r="M79" s="30"/>
      <c r="N79" s="30"/>
      <c r="O79" s="30"/>
      <c r="P79" s="30"/>
      <c r="Q79" s="30"/>
      <c r="R79" s="30"/>
    </row>
    <row r="80" spans="1:18" ht="16.05" customHeight="1" x14ac:dyDescent="0.3">
      <c r="A80" s="28">
        <v>77</v>
      </c>
      <c r="B80" s="28" t="s">
        <v>524</v>
      </c>
      <c r="C80" s="28" t="s">
        <v>146</v>
      </c>
      <c r="D80" s="28" t="s">
        <v>168</v>
      </c>
      <c r="E80" s="28" t="s">
        <v>167</v>
      </c>
      <c r="F80" s="28" t="s">
        <v>169</v>
      </c>
      <c r="G80" s="28" t="s">
        <v>1724</v>
      </c>
      <c r="H80" s="28"/>
      <c r="I80" s="28"/>
      <c r="J80" s="28"/>
      <c r="K80" s="28"/>
      <c r="L80" s="28"/>
      <c r="M80" s="28"/>
      <c r="N80" s="28"/>
      <c r="O80" s="28"/>
      <c r="P80" s="28"/>
      <c r="Q80" s="28"/>
      <c r="R80" s="28"/>
    </row>
    <row r="81" spans="1:18" ht="16.05" customHeight="1" x14ac:dyDescent="0.3">
      <c r="A81" s="30">
        <v>78</v>
      </c>
      <c r="B81" s="30" t="s">
        <v>524</v>
      </c>
      <c r="C81" s="30" t="s">
        <v>147</v>
      </c>
      <c r="D81" s="30" t="s">
        <v>168</v>
      </c>
      <c r="E81" s="30" t="s">
        <v>170</v>
      </c>
      <c r="F81" s="30" t="s">
        <v>165</v>
      </c>
      <c r="G81" s="30" t="s">
        <v>1724</v>
      </c>
      <c r="H81" s="30"/>
      <c r="I81" s="30"/>
      <c r="J81" s="30"/>
      <c r="K81" s="30"/>
      <c r="L81" s="30"/>
      <c r="M81" s="30"/>
      <c r="N81" s="30"/>
      <c r="O81" s="30"/>
      <c r="P81" s="30"/>
      <c r="Q81" s="30"/>
      <c r="R81" s="30"/>
    </row>
    <row r="82" spans="1:18" ht="16.05" customHeight="1" x14ac:dyDescent="0.3">
      <c r="A82" s="28">
        <v>79</v>
      </c>
      <c r="B82" s="28" t="s">
        <v>524</v>
      </c>
      <c r="C82" s="28" t="s">
        <v>146</v>
      </c>
      <c r="D82" s="28" t="s">
        <v>172</v>
      </c>
      <c r="E82" s="28" t="s">
        <v>171</v>
      </c>
      <c r="F82" s="28" t="s">
        <v>173</v>
      </c>
      <c r="G82" s="28" t="s">
        <v>1724</v>
      </c>
      <c r="H82" s="28"/>
      <c r="I82" s="28"/>
      <c r="J82" s="28"/>
      <c r="K82" s="28"/>
      <c r="L82" s="28"/>
      <c r="M82" s="28"/>
      <c r="N82" s="28"/>
      <c r="O82" s="28"/>
      <c r="P82" s="28"/>
      <c r="Q82" s="28"/>
      <c r="R82" s="28"/>
    </row>
    <row r="83" spans="1:18" ht="16.05" customHeight="1" x14ac:dyDescent="0.3">
      <c r="A83" s="30">
        <v>80</v>
      </c>
      <c r="B83" s="30" t="s">
        <v>524</v>
      </c>
      <c r="C83" s="30" t="s">
        <v>143</v>
      </c>
      <c r="D83" s="30" t="s">
        <v>172</v>
      </c>
      <c r="E83" s="30" t="s">
        <v>174</v>
      </c>
      <c r="F83" s="30" t="s">
        <v>169</v>
      </c>
      <c r="G83" s="30" t="s">
        <v>1724</v>
      </c>
      <c r="H83" s="30"/>
      <c r="I83" s="30"/>
      <c r="J83" s="30"/>
      <c r="K83" s="30"/>
      <c r="L83" s="30"/>
      <c r="M83" s="30"/>
      <c r="N83" s="30"/>
      <c r="O83" s="30"/>
      <c r="P83" s="30"/>
      <c r="Q83" s="30"/>
      <c r="R83" s="30"/>
    </row>
    <row r="84" spans="1:18" ht="16.05" customHeight="1" x14ac:dyDescent="0.3">
      <c r="A84" s="28">
        <v>81</v>
      </c>
      <c r="B84" s="28" t="s">
        <v>524</v>
      </c>
      <c r="C84" s="28" t="s">
        <v>143</v>
      </c>
      <c r="D84" s="28" t="s">
        <v>176</v>
      </c>
      <c r="E84" s="28" t="s">
        <v>175</v>
      </c>
      <c r="F84" s="28" t="s">
        <v>165</v>
      </c>
      <c r="G84" s="28" t="s">
        <v>1724</v>
      </c>
      <c r="H84" s="28"/>
      <c r="I84" s="28"/>
      <c r="J84" s="28"/>
      <c r="K84" s="28"/>
      <c r="L84" s="28"/>
      <c r="M84" s="28"/>
      <c r="N84" s="28"/>
      <c r="O84" s="28"/>
      <c r="P84" s="28"/>
      <c r="Q84" s="28"/>
      <c r="R84" s="28"/>
    </row>
    <row r="85" spans="1:18" ht="16.05" customHeight="1" x14ac:dyDescent="0.3">
      <c r="A85" s="30">
        <v>82</v>
      </c>
      <c r="B85" s="30" t="s">
        <v>524</v>
      </c>
      <c r="C85" s="30" t="s">
        <v>144</v>
      </c>
      <c r="D85" s="30" t="s">
        <v>176</v>
      </c>
      <c r="E85" s="30" t="s">
        <v>177</v>
      </c>
      <c r="F85" s="30" t="s">
        <v>173</v>
      </c>
      <c r="G85" s="30" t="s">
        <v>1724</v>
      </c>
      <c r="H85" s="30"/>
      <c r="I85" s="30"/>
      <c r="J85" s="30"/>
      <c r="K85" s="30"/>
      <c r="L85" s="30"/>
      <c r="M85" s="30"/>
      <c r="N85" s="30"/>
      <c r="O85" s="30"/>
      <c r="P85" s="30"/>
      <c r="Q85" s="30"/>
      <c r="R85" s="30"/>
    </row>
    <row r="86" spans="1:18" ht="16.05" customHeight="1" x14ac:dyDescent="0.3">
      <c r="A86" s="28">
        <v>83</v>
      </c>
      <c r="B86" s="28" t="s">
        <v>524</v>
      </c>
      <c r="C86" s="28" t="s">
        <v>145</v>
      </c>
      <c r="D86" s="28" t="s">
        <v>179</v>
      </c>
      <c r="E86" s="28" t="s">
        <v>178</v>
      </c>
      <c r="F86" s="28" t="s">
        <v>165</v>
      </c>
      <c r="G86" s="28" t="s">
        <v>1724</v>
      </c>
      <c r="H86" s="28"/>
      <c r="I86" s="28"/>
      <c r="J86" s="28"/>
      <c r="K86" s="28"/>
      <c r="L86" s="28"/>
      <c r="M86" s="28"/>
      <c r="N86" s="28"/>
      <c r="O86" s="28"/>
      <c r="P86" s="28"/>
      <c r="Q86" s="28"/>
      <c r="R86" s="28"/>
    </row>
    <row r="87" spans="1:18" ht="16.05" customHeight="1" x14ac:dyDescent="0.3">
      <c r="A87" s="30">
        <v>84</v>
      </c>
      <c r="B87" s="30" t="s">
        <v>524</v>
      </c>
      <c r="C87" s="30" t="s">
        <v>146</v>
      </c>
      <c r="D87" s="30" t="s">
        <v>181</v>
      </c>
      <c r="E87" s="30" t="s">
        <v>180</v>
      </c>
      <c r="F87" s="30" t="s">
        <v>182</v>
      </c>
      <c r="G87" s="30" t="s">
        <v>1724</v>
      </c>
      <c r="H87" s="30"/>
      <c r="I87" s="30"/>
      <c r="J87" s="30"/>
      <c r="K87" s="30"/>
      <c r="L87" s="30"/>
      <c r="M87" s="30"/>
      <c r="N87" s="30"/>
      <c r="O87" s="30"/>
      <c r="P87" s="30"/>
      <c r="Q87" s="30"/>
      <c r="R87" s="30"/>
    </row>
    <row r="88" spans="1:18" ht="16.05" customHeight="1" x14ac:dyDescent="0.3">
      <c r="A88" s="28">
        <v>85</v>
      </c>
      <c r="B88" s="28" t="s">
        <v>524</v>
      </c>
      <c r="C88" s="28" t="s">
        <v>148</v>
      </c>
      <c r="D88" s="28" t="s">
        <v>168</v>
      </c>
      <c r="E88" s="28" t="s">
        <v>183</v>
      </c>
      <c r="F88" s="28" t="s">
        <v>169</v>
      </c>
      <c r="G88" s="28" t="s">
        <v>1724</v>
      </c>
      <c r="H88" s="28"/>
      <c r="I88" s="28"/>
      <c r="J88" s="28"/>
      <c r="K88" s="28"/>
      <c r="L88" s="28"/>
      <c r="M88" s="28"/>
      <c r="N88" s="28"/>
      <c r="O88" s="28"/>
      <c r="P88" s="28"/>
      <c r="Q88" s="28"/>
      <c r="R88" s="28"/>
    </row>
    <row r="89" spans="1:18" ht="16.05" customHeight="1" x14ac:dyDescent="0.3">
      <c r="A89" s="30">
        <v>86</v>
      </c>
      <c r="B89" s="30" t="s">
        <v>524</v>
      </c>
      <c r="C89" s="30" t="s">
        <v>147</v>
      </c>
      <c r="D89" s="30" t="s">
        <v>181</v>
      </c>
      <c r="E89" s="30" t="s">
        <v>184</v>
      </c>
      <c r="F89" s="30" t="s">
        <v>169</v>
      </c>
      <c r="G89" s="30" t="s">
        <v>1724</v>
      </c>
      <c r="H89" s="30"/>
      <c r="I89" s="30"/>
      <c r="J89" s="30"/>
      <c r="K89" s="30"/>
      <c r="L89" s="30"/>
      <c r="M89" s="30"/>
      <c r="N89" s="30"/>
      <c r="O89" s="30"/>
      <c r="P89" s="30"/>
      <c r="Q89" s="30"/>
      <c r="R89" s="30"/>
    </row>
    <row r="90" spans="1:18" ht="16.05" customHeight="1" x14ac:dyDescent="0.3">
      <c r="A90" s="28">
        <v>87</v>
      </c>
      <c r="B90" s="28" t="s">
        <v>524</v>
      </c>
      <c r="C90" s="28" t="s">
        <v>148</v>
      </c>
      <c r="D90" s="28" t="s">
        <v>176</v>
      </c>
      <c r="E90" s="28" t="s">
        <v>185</v>
      </c>
      <c r="F90" s="28" t="s">
        <v>169</v>
      </c>
      <c r="G90" s="28" t="s">
        <v>1724</v>
      </c>
      <c r="H90" s="28"/>
      <c r="I90" s="28"/>
      <c r="J90" s="28"/>
      <c r="K90" s="28"/>
      <c r="L90" s="28"/>
      <c r="M90" s="28"/>
      <c r="N90" s="28"/>
      <c r="O90" s="28"/>
      <c r="P90" s="28"/>
      <c r="Q90" s="28"/>
      <c r="R90" s="28"/>
    </row>
    <row r="91" spans="1:18" ht="16.05" customHeight="1" x14ac:dyDescent="0.3">
      <c r="A91" s="30">
        <v>88</v>
      </c>
      <c r="B91" s="30" t="s">
        <v>524</v>
      </c>
      <c r="C91" s="30" t="s">
        <v>152</v>
      </c>
      <c r="D91" s="30" t="s">
        <v>168</v>
      </c>
      <c r="E91" s="30" t="s">
        <v>186</v>
      </c>
      <c r="F91" s="30" t="s">
        <v>173</v>
      </c>
      <c r="G91" s="30" t="s">
        <v>1724</v>
      </c>
      <c r="H91" s="30"/>
      <c r="I91" s="30"/>
      <c r="J91" s="30"/>
      <c r="K91" s="30"/>
      <c r="L91" s="30"/>
      <c r="M91" s="30"/>
      <c r="N91" s="30"/>
      <c r="O91" s="30"/>
      <c r="P91" s="30"/>
      <c r="Q91" s="30"/>
      <c r="R91" s="30"/>
    </row>
    <row r="92" spans="1:18" ht="16.05" customHeight="1" x14ac:dyDescent="0.3">
      <c r="A92" s="28">
        <v>89</v>
      </c>
      <c r="B92" s="28" t="s">
        <v>524</v>
      </c>
      <c r="C92" s="28" t="s">
        <v>151</v>
      </c>
      <c r="D92" s="28" t="s">
        <v>179</v>
      </c>
      <c r="E92" s="28" t="s">
        <v>187</v>
      </c>
      <c r="F92" s="28" t="s">
        <v>165</v>
      </c>
      <c r="G92" s="28" t="s">
        <v>1724</v>
      </c>
      <c r="H92" s="28"/>
      <c r="I92" s="28"/>
      <c r="J92" s="28"/>
      <c r="K92" s="28"/>
      <c r="L92" s="28"/>
      <c r="M92" s="28"/>
      <c r="N92" s="28"/>
      <c r="O92" s="28"/>
      <c r="P92" s="28"/>
      <c r="Q92" s="28"/>
      <c r="R92" s="28"/>
    </row>
    <row r="93" spans="1:18" ht="16.05" customHeight="1" x14ac:dyDescent="0.3">
      <c r="A93" s="30">
        <v>90</v>
      </c>
      <c r="B93" s="30" t="s">
        <v>524</v>
      </c>
      <c r="C93" s="30" t="s">
        <v>143</v>
      </c>
      <c r="D93" s="30" t="s">
        <v>176</v>
      </c>
      <c r="E93" s="30" t="s">
        <v>188</v>
      </c>
      <c r="F93" s="30" t="s">
        <v>165</v>
      </c>
      <c r="G93" s="30" t="s">
        <v>1724</v>
      </c>
      <c r="H93" s="30"/>
      <c r="I93" s="30"/>
      <c r="J93" s="30"/>
      <c r="K93" s="30"/>
      <c r="L93" s="30"/>
      <c r="M93" s="30"/>
      <c r="N93" s="30"/>
      <c r="O93" s="30"/>
      <c r="P93" s="30"/>
      <c r="Q93" s="30"/>
      <c r="R93" s="30"/>
    </row>
    <row r="94" spans="1:18" ht="16.05" customHeight="1" x14ac:dyDescent="0.3">
      <c r="A94" s="28">
        <v>91</v>
      </c>
      <c r="B94" s="28" t="s">
        <v>525</v>
      </c>
      <c r="C94" s="28" t="s">
        <v>142</v>
      </c>
      <c r="D94" s="28" t="s">
        <v>164</v>
      </c>
      <c r="E94" s="28" t="s">
        <v>163</v>
      </c>
      <c r="F94" s="28" t="s">
        <v>165</v>
      </c>
      <c r="G94" s="28" t="s">
        <v>1724</v>
      </c>
      <c r="H94" s="28"/>
      <c r="I94" s="28"/>
      <c r="J94" s="28"/>
      <c r="K94" s="28"/>
      <c r="L94" s="28"/>
      <c r="M94" s="28"/>
      <c r="N94" s="28"/>
      <c r="O94" s="28"/>
      <c r="P94" s="28"/>
      <c r="Q94" s="28"/>
      <c r="R94" s="28"/>
    </row>
    <row r="95" spans="1:18" ht="16.05" customHeight="1" x14ac:dyDescent="0.3">
      <c r="A95" s="30">
        <v>92</v>
      </c>
      <c r="B95" s="30" t="s">
        <v>525</v>
      </c>
      <c r="C95" s="30" t="s">
        <v>146</v>
      </c>
      <c r="D95" s="30" t="s">
        <v>168</v>
      </c>
      <c r="E95" s="30" t="s">
        <v>167</v>
      </c>
      <c r="F95" s="30" t="s">
        <v>169</v>
      </c>
      <c r="G95" s="30" t="s">
        <v>1724</v>
      </c>
      <c r="H95" s="30"/>
      <c r="I95" s="30"/>
      <c r="J95" s="30"/>
      <c r="K95" s="30"/>
      <c r="L95" s="30"/>
      <c r="M95" s="30"/>
      <c r="N95" s="30"/>
      <c r="O95" s="30"/>
      <c r="P95" s="30"/>
      <c r="Q95" s="30"/>
      <c r="R95" s="30"/>
    </row>
    <row r="96" spans="1:18" ht="16.05" customHeight="1" x14ac:dyDescent="0.3">
      <c r="A96" s="28">
        <v>93</v>
      </c>
      <c r="B96" s="28" t="s">
        <v>525</v>
      </c>
      <c r="C96" s="28" t="s">
        <v>147</v>
      </c>
      <c r="D96" s="28" t="s">
        <v>168</v>
      </c>
      <c r="E96" s="28" t="s">
        <v>170</v>
      </c>
      <c r="F96" s="28" t="s">
        <v>165</v>
      </c>
      <c r="G96" s="28" t="s">
        <v>1724</v>
      </c>
      <c r="H96" s="28"/>
      <c r="I96" s="28"/>
      <c r="J96" s="28"/>
      <c r="K96" s="28"/>
      <c r="L96" s="28"/>
      <c r="M96" s="28"/>
      <c r="N96" s="28"/>
      <c r="O96" s="28"/>
      <c r="P96" s="28"/>
      <c r="Q96" s="28"/>
      <c r="R96" s="28"/>
    </row>
    <row r="97" spans="1:18" ht="16.05" customHeight="1" x14ac:dyDescent="0.3">
      <c r="A97" s="30">
        <v>94</v>
      </c>
      <c r="B97" s="30" t="s">
        <v>525</v>
      </c>
      <c r="C97" s="30" t="s">
        <v>146</v>
      </c>
      <c r="D97" s="30" t="s">
        <v>172</v>
      </c>
      <c r="E97" s="30" t="s">
        <v>171</v>
      </c>
      <c r="F97" s="30" t="s">
        <v>173</v>
      </c>
      <c r="G97" s="30" t="s">
        <v>1724</v>
      </c>
      <c r="H97" s="30"/>
      <c r="I97" s="30"/>
      <c r="J97" s="30"/>
      <c r="K97" s="30"/>
      <c r="L97" s="30"/>
      <c r="M97" s="30"/>
      <c r="N97" s="30"/>
      <c r="O97" s="30"/>
      <c r="P97" s="30"/>
      <c r="Q97" s="30"/>
      <c r="R97" s="30"/>
    </row>
    <row r="98" spans="1:18" ht="16.05" customHeight="1" x14ac:dyDescent="0.3">
      <c r="A98" s="28">
        <v>95</v>
      </c>
      <c r="B98" s="28" t="s">
        <v>525</v>
      </c>
      <c r="C98" s="28" t="s">
        <v>143</v>
      </c>
      <c r="D98" s="28" t="s">
        <v>172</v>
      </c>
      <c r="E98" s="28" t="s">
        <v>174</v>
      </c>
      <c r="F98" s="28" t="s">
        <v>169</v>
      </c>
      <c r="G98" s="28" t="s">
        <v>1724</v>
      </c>
      <c r="H98" s="28"/>
      <c r="I98" s="28"/>
      <c r="J98" s="28"/>
      <c r="K98" s="28"/>
      <c r="L98" s="28"/>
      <c r="M98" s="28"/>
      <c r="N98" s="28"/>
      <c r="O98" s="28"/>
      <c r="P98" s="28"/>
      <c r="Q98" s="28"/>
      <c r="R98" s="28"/>
    </row>
    <row r="99" spans="1:18" ht="16.05" customHeight="1" x14ac:dyDescent="0.3">
      <c r="A99" s="30">
        <v>96</v>
      </c>
      <c r="B99" s="30" t="s">
        <v>525</v>
      </c>
      <c r="C99" s="30" t="s">
        <v>143</v>
      </c>
      <c r="D99" s="30" t="s">
        <v>176</v>
      </c>
      <c r="E99" s="30" t="s">
        <v>175</v>
      </c>
      <c r="F99" s="30" t="s">
        <v>165</v>
      </c>
      <c r="G99" s="30" t="s">
        <v>1724</v>
      </c>
      <c r="H99" s="30"/>
      <c r="I99" s="30"/>
      <c r="J99" s="30"/>
      <c r="K99" s="30"/>
      <c r="L99" s="30"/>
      <c r="M99" s="30"/>
      <c r="N99" s="30"/>
      <c r="O99" s="30"/>
      <c r="P99" s="30"/>
      <c r="Q99" s="30"/>
      <c r="R99" s="30"/>
    </row>
    <row r="100" spans="1:18" ht="16.05" customHeight="1" x14ac:dyDescent="0.3">
      <c r="A100" s="28">
        <v>97</v>
      </c>
      <c r="B100" s="28" t="s">
        <v>525</v>
      </c>
      <c r="C100" s="28" t="s">
        <v>144</v>
      </c>
      <c r="D100" s="28" t="s">
        <v>176</v>
      </c>
      <c r="E100" s="28" t="s">
        <v>177</v>
      </c>
      <c r="F100" s="28" t="s">
        <v>173</v>
      </c>
      <c r="G100" s="28" t="s">
        <v>1724</v>
      </c>
      <c r="H100" s="28"/>
      <c r="I100" s="28"/>
      <c r="J100" s="28"/>
      <c r="K100" s="28"/>
      <c r="L100" s="28"/>
      <c r="M100" s="28"/>
      <c r="N100" s="28"/>
      <c r="O100" s="28"/>
      <c r="P100" s="28"/>
      <c r="Q100" s="28"/>
      <c r="R100" s="28"/>
    </row>
    <row r="101" spans="1:18" ht="16.05" customHeight="1" x14ac:dyDescent="0.3">
      <c r="A101" s="30">
        <v>98</v>
      </c>
      <c r="B101" s="30" t="s">
        <v>525</v>
      </c>
      <c r="C101" s="30" t="s">
        <v>145</v>
      </c>
      <c r="D101" s="30" t="s">
        <v>179</v>
      </c>
      <c r="E101" s="30" t="s">
        <v>178</v>
      </c>
      <c r="F101" s="30" t="s">
        <v>165</v>
      </c>
      <c r="G101" s="30" t="s">
        <v>1724</v>
      </c>
      <c r="H101" s="30"/>
      <c r="I101" s="30"/>
      <c r="J101" s="30"/>
      <c r="K101" s="30"/>
      <c r="L101" s="30"/>
      <c r="M101" s="30"/>
      <c r="N101" s="30"/>
      <c r="O101" s="30"/>
      <c r="P101" s="30"/>
      <c r="Q101" s="30"/>
      <c r="R101" s="30"/>
    </row>
    <row r="102" spans="1:18" ht="16.05" customHeight="1" x14ac:dyDescent="0.3">
      <c r="A102" s="28">
        <v>99</v>
      </c>
      <c r="B102" s="28" t="s">
        <v>525</v>
      </c>
      <c r="C102" s="28" t="s">
        <v>146</v>
      </c>
      <c r="D102" s="28" t="s">
        <v>181</v>
      </c>
      <c r="E102" s="28" t="s">
        <v>180</v>
      </c>
      <c r="F102" s="28" t="s">
        <v>182</v>
      </c>
      <c r="G102" s="28" t="s">
        <v>1724</v>
      </c>
      <c r="H102" s="28"/>
      <c r="I102" s="28"/>
      <c r="J102" s="28"/>
      <c r="K102" s="28"/>
      <c r="L102" s="28"/>
      <c r="M102" s="28"/>
      <c r="N102" s="28"/>
      <c r="O102" s="28"/>
      <c r="P102" s="28"/>
      <c r="Q102" s="28"/>
      <c r="R102" s="28"/>
    </row>
    <row r="103" spans="1:18" ht="16.05" customHeight="1" x14ac:dyDescent="0.3">
      <c r="A103" s="30">
        <v>100</v>
      </c>
      <c r="B103" s="30" t="s">
        <v>525</v>
      </c>
      <c r="C103" s="30" t="s">
        <v>148</v>
      </c>
      <c r="D103" s="30" t="s">
        <v>168</v>
      </c>
      <c r="E103" s="30" t="s">
        <v>183</v>
      </c>
      <c r="F103" s="30" t="s">
        <v>169</v>
      </c>
      <c r="G103" s="30" t="s">
        <v>1724</v>
      </c>
      <c r="H103" s="30"/>
      <c r="I103" s="30"/>
      <c r="J103" s="30"/>
      <c r="K103" s="30"/>
      <c r="L103" s="30"/>
      <c r="M103" s="30"/>
      <c r="N103" s="30"/>
      <c r="O103" s="30"/>
      <c r="P103" s="30"/>
      <c r="Q103" s="30"/>
      <c r="R103" s="30"/>
    </row>
    <row r="104" spans="1:18" ht="16.05" customHeight="1" x14ac:dyDescent="0.3">
      <c r="A104" s="28">
        <v>101</v>
      </c>
      <c r="B104" s="28" t="s">
        <v>525</v>
      </c>
      <c r="C104" s="28" t="s">
        <v>147</v>
      </c>
      <c r="D104" s="28" t="s">
        <v>181</v>
      </c>
      <c r="E104" s="28" t="s">
        <v>184</v>
      </c>
      <c r="F104" s="28" t="s">
        <v>169</v>
      </c>
      <c r="G104" s="28" t="s">
        <v>1724</v>
      </c>
      <c r="H104" s="28"/>
      <c r="I104" s="28"/>
      <c r="J104" s="28"/>
      <c r="K104" s="28"/>
      <c r="L104" s="28"/>
      <c r="M104" s="28"/>
      <c r="N104" s="28"/>
      <c r="O104" s="28"/>
      <c r="P104" s="28"/>
      <c r="Q104" s="28"/>
      <c r="R104" s="28"/>
    </row>
    <row r="105" spans="1:18" ht="16.05" customHeight="1" x14ac:dyDescent="0.3">
      <c r="A105" s="30">
        <v>102</v>
      </c>
      <c r="B105" s="30" t="s">
        <v>525</v>
      </c>
      <c r="C105" s="30" t="s">
        <v>148</v>
      </c>
      <c r="D105" s="30" t="s">
        <v>176</v>
      </c>
      <c r="E105" s="30" t="s">
        <v>185</v>
      </c>
      <c r="F105" s="30" t="s">
        <v>169</v>
      </c>
      <c r="G105" s="30" t="s">
        <v>1724</v>
      </c>
      <c r="H105" s="30"/>
      <c r="I105" s="30"/>
      <c r="J105" s="30"/>
      <c r="K105" s="30"/>
      <c r="L105" s="30"/>
      <c r="M105" s="30"/>
      <c r="N105" s="30"/>
      <c r="O105" s="30"/>
      <c r="P105" s="30"/>
      <c r="Q105" s="30"/>
      <c r="R105" s="30"/>
    </row>
    <row r="106" spans="1:18" ht="16.05" customHeight="1" x14ac:dyDescent="0.3">
      <c r="A106" s="28">
        <v>103</v>
      </c>
      <c r="B106" s="28" t="s">
        <v>525</v>
      </c>
      <c r="C106" s="28" t="s">
        <v>152</v>
      </c>
      <c r="D106" s="28" t="s">
        <v>168</v>
      </c>
      <c r="E106" s="28" t="s">
        <v>186</v>
      </c>
      <c r="F106" s="28" t="s">
        <v>173</v>
      </c>
      <c r="G106" s="28" t="s">
        <v>1724</v>
      </c>
      <c r="H106" s="28"/>
      <c r="I106" s="28"/>
      <c r="J106" s="28"/>
      <c r="K106" s="28"/>
      <c r="L106" s="28"/>
      <c r="M106" s="28"/>
      <c r="N106" s="28"/>
      <c r="O106" s="28"/>
      <c r="P106" s="28"/>
      <c r="Q106" s="28"/>
      <c r="R106" s="28"/>
    </row>
    <row r="107" spans="1:18" ht="16.05" customHeight="1" x14ac:dyDescent="0.3">
      <c r="A107" s="30">
        <v>104</v>
      </c>
      <c r="B107" s="30" t="s">
        <v>525</v>
      </c>
      <c r="C107" s="30" t="s">
        <v>151</v>
      </c>
      <c r="D107" s="30" t="s">
        <v>179</v>
      </c>
      <c r="E107" s="30" t="s">
        <v>187</v>
      </c>
      <c r="F107" s="30" t="s">
        <v>165</v>
      </c>
      <c r="G107" s="30" t="s">
        <v>1724</v>
      </c>
      <c r="H107" s="30"/>
      <c r="I107" s="30"/>
      <c r="J107" s="30"/>
      <c r="K107" s="30"/>
      <c r="L107" s="30"/>
      <c r="M107" s="30"/>
      <c r="N107" s="30"/>
      <c r="O107" s="30"/>
      <c r="P107" s="30"/>
      <c r="Q107" s="30"/>
      <c r="R107" s="30"/>
    </row>
    <row r="108" spans="1:18" ht="16.05" customHeight="1" x14ac:dyDescent="0.3">
      <c r="A108" s="28">
        <v>105</v>
      </c>
      <c r="B108" s="28" t="s">
        <v>525</v>
      </c>
      <c r="C108" s="28" t="s">
        <v>143</v>
      </c>
      <c r="D108" s="28" t="s">
        <v>176</v>
      </c>
      <c r="E108" s="28" t="s">
        <v>188</v>
      </c>
      <c r="F108" s="28" t="s">
        <v>165</v>
      </c>
      <c r="G108" s="28" t="s">
        <v>1724</v>
      </c>
      <c r="H108" s="28"/>
      <c r="I108" s="28"/>
      <c r="J108" s="28"/>
      <c r="K108" s="28"/>
      <c r="L108" s="28"/>
      <c r="M108" s="28"/>
      <c r="N108" s="28"/>
      <c r="O108" s="28"/>
      <c r="P108" s="28"/>
      <c r="Q108" s="28"/>
      <c r="R108" s="28"/>
    </row>
    <row r="109" spans="1:18" ht="16.05" customHeight="1" x14ac:dyDescent="0.3">
      <c r="A109" s="30">
        <v>106</v>
      </c>
      <c r="B109" s="30" t="s">
        <v>526</v>
      </c>
      <c r="C109" s="30" t="s">
        <v>142</v>
      </c>
      <c r="D109" s="30" t="s">
        <v>164</v>
      </c>
      <c r="E109" s="30" t="s">
        <v>163</v>
      </c>
      <c r="F109" s="30" t="s">
        <v>165</v>
      </c>
      <c r="G109" s="30" t="s">
        <v>1724</v>
      </c>
      <c r="H109" s="30"/>
      <c r="I109" s="30"/>
      <c r="J109" s="30"/>
      <c r="K109" s="30"/>
      <c r="L109" s="30"/>
      <c r="M109" s="30"/>
      <c r="N109" s="30"/>
      <c r="O109" s="30"/>
      <c r="P109" s="30"/>
      <c r="Q109" s="30"/>
      <c r="R109" s="30"/>
    </row>
    <row r="110" spans="1:18" ht="16.05" customHeight="1" x14ac:dyDescent="0.3">
      <c r="A110" s="28">
        <v>107</v>
      </c>
      <c r="B110" s="28" t="s">
        <v>526</v>
      </c>
      <c r="C110" s="28" t="s">
        <v>146</v>
      </c>
      <c r="D110" s="28" t="s">
        <v>168</v>
      </c>
      <c r="E110" s="28" t="s">
        <v>167</v>
      </c>
      <c r="F110" s="28" t="s">
        <v>169</v>
      </c>
      <c r="G110" s="28" t="s">
        <v>1724</v>
      </c>
      <c r="H110" s="28"/>
      <c r="I110" s="28"/>
      <c r="J110" s="28"/>
      <c r="K110" s="28"/>
      <c r="L110" s="28"/>
      <c r="M110" s="28"/>
      <c r="N110" s="28"/>
      <c r="O110" s="28"/>
      <c r="P110" s="28"/>
      <c r="Q110" s="28"/>
      <c r="R110" s="28"/>
    </row>
    <row r="111" spans="1:18" ht="16.05" customHeight="1" x14ac:dyDescent="0.3">
      <c r="A111" s="30">
        <v>108</v>
      </c>
      <c r="B111" s="30" t="s">
        <v>526</v>
      </c>
      <c r="C111" s="30" t="s">
        <v>147</v>
      </c>
      <c r="D111" s="30" t="s">
        <v>168</v>
      </c>
      <c r="E111" s="30" t="s">
        <v>170</v>
      </c>
      <c r="F111" s="30" t="s">
        <v>165</v>
      </c>
      <c r="G111" s="30" t="s">
        <v>1724</v>
      </c>
      <c r="H111" s="30"/>
      <c r="I111" s="30"/>
      <c r="J111" s="30"/>
      <c r="K111" s="30"/>
      <c r="L111" s="30"/>
      <c r="M111" s="30"/>
      <c r="N111" s="30"/>
      <c r="O111" s="30"/>
      <c r="P111" s="30"/>
      <c r="Q111" s="30"/>
      <c r="R111" s="30"/>
    </row>
    <row r="112" spans="1:18" ht="16.05" customHeight="1" x14ac:dyDescent="0.3">
      <c r="A112" s="28">
        <v>109</v>
      </c>
      <c r="B112" s="28" t="s">
        <v>526</v>
      </c>
      <c r="C112" s="28" t="s">
        <v>146</v>
      </c>
      <c r="D112" s="28" t="s">
        <v>172</v>
      </c>
      <c r="E112" s="28" t="s">
        <v>171</v>
      </c>
      <c r="F112" s="28" t="s">
        <v>173</v>
      </c>
      <c r="G112" s="28" t="s">
        <v>1724</v>
      </c>
      <c r="H112" s="28"/>
      <c r="I112" s="28"/>
      <c r="J112" s="28"/>
      <c r="K112" s="28"/>
      <c r="L112" s="28"/>
      <c r="M112" s="28"/>
      <c r="N112" s="28"/>
      <c r="O112" s="28"/>
      <c r="P112" s="28"/>
      <c r="Q112" s="28"/>
      <c r="R112" s="28"/>
    </row>
    <row r="113" spans="1:18" ht="16.05" customHeight="1" x14ac:dyDescent="0.3">
      <c r="A113" s="30">
        <v>110</v>
      </c>
      <c r="B113" s="30" t="s">
        <v>526</v>
      </c>
      <c r="C113" s="30" t="s">
        <v>143</v>
      </c>
      <c r="D113" s="30" t="s">
        <v>172</v>
      </c>
      <c r="E113" s="30" t="s">
        <v>174</v>
      </c>
      <c r="F113" s="30" t="s">
        <v>169</v>
      </c>
      <c r="G113" s="30" t="s">
        <v>1724</v>
      </c>
      <c r="H113" s="30"/>
      <c r="I113" s="30"/>
      <c r="J113" s="30"/>
      <c r="K113" s="30"/>
      <c r="L113" s="30"/>
      <c r="M113" s="30"/>
      <c r="N113" s="30"/>
      <c r="O113" s="30"/>
      <c r="P113" s="30"/>
      <c r="Q113" s="30"/>
      <c r="R113" s="30"/>
    </row>
    <row r="114" spans="1:18" ht="16.05" customHeight="1" x14ac:dyDescent="0.3">
      <c r="A114" s="28">
        <v>111</v>
      </c>
      <c r="B114" s="28" t="s">
        <v>526</v>
      </c>
      <c r="C114" s="28" t="s">
        <v>143</v>
      </c>
      <c r="D114" s="28" t="s">
        <v>176</v>
      </c>
      <c r="E114" s="28" t="s">
        <v>175</v>
      </c>
      <c r="F114" s="28" t="s">
        <v>165</v>
      </c>
      <c r="G114" s="28" t="s">
        <v>1724</v>
      </c>
      <c r="H114" s="28"/>
      <c r="I114" s="28"/>
      <c r="J114" s="28"/>
      <c r="K114" s="28"/>
      <c r="L114" s="28"/>
      <c r="M114" s="28"/>
      <c r="N114" s="28"/>
      <c r="O114" s="28"/>
      <c r="P114" s="28"/>
      <c r="Q114" s="28"/>
      <c r="R114" s="28"/>
    </row>
    <row r="115" spans="1:18" ht="16.05" customHeight="1" x14ac:dyDescent="0.3">
      <c r="A115" s="30">
        <v>112</v>
      </c>
      <c r="B115" s="30" t="s">
        <v>526</v>
      </c>
      <c r="C115" s="30" t="s">
        <v>144</v>
      </c>
      <c r="D115" s="30" t="s">
        <v>176</v>
      </c>
      <c r="E115" s="30" t="s">
        <v>177</v>
      </c>
      <c r="F115" s="30" t="s">
        <v>173</v>
      </c>
      <c r="G115" s="30" t="s">
        <v>1724</v>
      </c>
      <c r="H115" s="30"/>
      <c r="I115" s="30"/>
      <c r="J115" s="30"/>
      <c r="K115" s="30"/>
      <c r="L115" s="30"/>
      <c r="M115" s="30"/>
      <c r="N115" s="30"/>
      <c r="O115" s="30"/>
      <c r="P115" s="30"/>
      <c r="Q115" s="30"/>
      <c r="R115" s="30"/>
    </row>
    <row r="116" spans="1:18" ht="16.05" customHeight="1" x14ac:dyDescent="0.3">
      <c r="A116" s="28">
        <v>113</v>
      </c>
      <c r="B116" s="28" t="s">
        <v>526</v>
      </c>
      <c r="C116" s="28" t="s">
        <v>145</v>
      </c>
      <c r="D116" s="28" t="s">
        <v>179</v>
      </c>
      <c r="E116" s="28" t="s">
        <v>178</v>
      </c>
      <c r="F116" s="28" t="s">
        <v>165</v>
      </c>
      <c r="G116" s="28" t="s">
        <v>1724</v>
      </c>
      <c r="H116" s="28"/>
      <c r="I116" s="28"/>
      <c r="J116" s="28"/>
      <c r="K116" s="28"/>
      <c r="L116" s="28"/>
      <c r="M116" s="28"/>
      <c r="N116" s="28"/>
      <c r="O116" s="28"/>
      <c r="P116" s="28"/>
      <c r="Q116" s="28"/>
      <c r="R116" s="28"/>
    </row>
    <row r="117" spans="1:18" ht="16.05" customHeight="1" x14ac:dyDescent="0.3">
      <c r="A117" s="30">
        <v>114</v>
      </c>
      <c r="B117" s="30" t="s">
        <v>526</v>
      </c>
      <c r="C117" s="30" t="s">
        <v>146</v>
      </c>
      <c r="D117" s="30" t="s">
        <v>181</v>
      </c>
      <c r="E117" s="30" t="s">
        <v>180</v>
      </c>
      <c r="F117" s="30" t="s">
        <v>182</v>
      </c>
      <c r="G117" s="30" t="s">
        <v>1724</v>
      </c>
      <c r="H117" s="30"/>
      <c r="I117" s="30"/>
      <c r="J117" s="30"/>
      <c r="K117" s="30"/>
      <c r="L117" s="30"/>
      <c r="M117" s="30"/>
      <c r="N117" s="30"/>
      <c r="O117" s="30"/>
      <c r="P117" s="30"/>
      <c r="Q117" s="30"/>
      <c r="R117" s="30"/>
    </row>
    <row r="118" spans="1:18" ht="16.05" customHeight="1" x14ac:dyDescent="0.3">
      <c r="A118" s="28">
        <v>115</v>
      </c>
      <c r="B118" s="28" t="s">
        <v>526</v>
      </c>
      <c r="C118" s="28" t="s">
        <v>148</v>
      </c>
      <c r="D118" s="28" t="s">
        <v>168</v>
      </c>
      <c r="E118" s="28" t="s">
        <v>183</v>
      </c>
      <c r="F118" s="28" t="s">
        <v>169</v>
      </c>
      <c r="G118" s="28" t="s">
        <v>1724</v>
      </c>
      <c r="H118" s="28"/>
      <c r="I118" s="28"/>
      <c r="J118" s="28"/>
      <c r="K118" s="28"/>
      <c r="L118" s="28"/>
      <c r="M118" s="28"/>
      <c r="N118" s="28"/>
      <c r="O118" s="28"/>
      <c r="P118" s="28"/>
      <c r="Q118" s="28"/>
      <c r="R118" s="28"/>
    </row>
    <row r="119" spans="1:18" ht="16.05" customHeight="1" x14ac:dyDescent="0.3">
      <c r="A119" s="30">
        <v>116</v>
      </c>
      <c r="B119" s="30" t="s">
        <v>526</v>
      </c>
      <c r="C119" s="30" t="s">
        <v>147</v>
      </c>
      <c r="D119" s="30" t="s">
        <v>181</v>
      </c>
      <c r="E119" s="30" t="s">
        <v>184</v>
      </c>
      <c r="F119" s="30" t="s">
        <v>169</v>
      </c>
      <c r="G119" s="30" t="s">
        <v>1724</v>
      </c>
      <c r="H119" s="30"/>
      <c r="I119" s="30"/>
      <c r="J119" s="30"/>
      <c r="K119" s="30"/>
      <c r="L119" s="30"/>
      <c r="M119" s="30"/>
      <c r="N119" s="30"/>
      <c r="O119" s="30"/>
      <c r="P119" s="30"/>
      <c r="Q119" s="30"/>
      <c r="R119" s="30"/>
    </row>
    <row r="120" spans="1:18" ht="16.05" customHeight="1" x14ac:dyDescent="0.3">
      <c r="A120" s="28">
        <v>117</v>
      </c>
      <c r="B120" s="28" t="s">
        <v>526</v>
      </c>
      <c r="C120" s="28" t="s">
        <v>148</v>
      </c>
      <c r="D120" s="28" t="s">
        <v>176</v>
      </c>
      <c r="E120" s="28" t="s">
        <v>185</v>
      </c>
      <c r="F120" s="28" t="s">
        <v>169</v>
      </c>
      <c r="G120" s="28" t="s">
        <v>1724</v>
      </c>
      <c r="H120" s="28"/>
      <c r="I120" s="28"/>
      <c r="J120" s="28"/>
      <c r="K120" s="28"/>
      <c r="L120" s="28"/>
      <c r="M120" s="28"/>
      <c r="N120" s="28"/>
      <c r="O120" s="28"/>
      <c r="P120" s="28"/>
      <c r="Q120" s="28"/>
      <c r="R120" s="28"/>
    </row>
    <row r="121" spans="1:18" ht="16.05" customHeight="1" x14ac:dyDescent="0.3">
      <c r="A121" s="30">
        <v>118</v>
      </c>
      <c r="B121" s="30" t="s">
        <v>526</v>
      </c>
      <c r="C121" s="30" t="s">
        <v>152</v>
      </c>
      <c r="D121" s="30" t="s">
        <v>168</v>
      </c>
      <c r="E121" s="30" t="s">
        <v>186</v>
      </c>
      <c r="F121" s="30" t="s">
        <v>173</v>
      </c>
      <c r="G121" s="30" t="s">
        <v>1724</v>
      </c>
      <c r="H121" s="30"/>
      <c r="I121" s="30"/>
      <c r="J121" s="30"/>
      <c r="K121" s="30"/>
      <c r="L121" s="30"/>
      <c r="M121" s="30"/>
      <c r="N121" s="30"/>
      <c r="O121" s="30"/>
      <c r="P121" s="30"/>
      <c r="Q121" s="30"/>
      <c r="R121" s="30"/>
    </row>
    <row r="122" spans="1:18" ht="16.05" customHeight="1" x14ac:dyDescent="0.3">
      <c r="A122" s="28">
        <v>119</v>
      </c>
      <c r="B122" s="28" t="s">
        <v>526</v>
      </c>
      <c r="C122" s="28" t="s">
        <v>151</v>
      </c>
      <c r="D122" s="28" t="s">
        <v>179</v>
      </c>
      <c r="E122" s="28" t="s">
        <v>187</v>
      </c>
      <c r="F122" s="28" t="s">
        <v>165</v>
      </c>
      <c r="G122" s="28" t="s">
        <v>1724</v>
      </c>
      <c r="H122" s="28"/>
      <c r="I122" s="28"/>
      <c r="J122" s="28"/>
      <c r="K122" s="28"/>
      <c r="L122" s="28"/>
      <c r="M122" s="28"/>
      <c r="N122" s="28"/>
      <c r="O122" s="28"/>
      <c r="P122" s="28"/>
      <c r="Q122" s="28"/>
      <c r="R122" s="28"/>
    </row>
    <row r="123" spans="1:18" ht="16.05" customHeight="1" x14ac:dyDescent="0.3">
      <c r="A123" s="30">
        <v>120</v>
      </c>
      <c r="B123" s="30" t="s">
        <v>526</v>
      </c>
      <c r="C123" s="30" t="s">
        <v>143</v>
      </c>
      <c r="D123" s="30" t="s">
        <v>176</v>
      </c>
      <c r="E123" s="30" t="s">
        <v>188</v>
      </c>
      <c r="F123" s="30" t="s">
        <v>165</v>
      </c>
      <c r="G123" s="30" t="s">
        <v>1724</v>
      </c>
      <c r="H123" s="30"/>
      <c r="I123" s="30"/>
      <c r="J123" s="30"/>
      <c r="K123" s="30"/>
      <c r="L123" s="30"/>
      <c r="M123" s="30"/>
      <c r="N123" s="30"/>
      <c r="O123" s="30"/>
      <c r="P123" s="30"/>
      <c r="Q123" s="30"/>
      <c r="R123" s="30"/>
    </row>
    <row r="124" spans="1:18" ht="16.05" customHeight="1" x14ac:dyDescent="0.3">
      <c r="A124" s="28">
        <v>121</v>
      </c>
      <c r="B124" s="28" t="s">
        <v>527</v>
      </c>
      <c r="C124" s="28" t="s">
        <v>142</v>
      </c>
      <c r="D124" s="28" t="s">
        <v>164</v>
      </c>
      <c r="E124" s="28" t="s">
        <v>163</v>
      </c>
      <c r="F124" s="28" t="s">
        <v>165</v>
      </c>
      <c r="G124" s="28" t="s">
        <v>1724</v>
      </c>
      <c r="H124" s="28"/>
      <c r="I124" s="28"/>
      <c r="J124" s="28"/>
      <c r="K124" s="28"/>
      <c r="L124" s="28"/>
      <c r="M124" s="28"/>
      <c r="N124" s="28"/>
      <c r="O124" s="28"/>
      <c r="P124" s="28"/>
      <c r="Q124" s="28"/>
      <c r="R124" s="28"/>
    </row>
    <row r="125" spans="1:18" ht="16.05" customHeight="1" x14ac:dyDescent="0.3">
      <c r="A125" s="30">
        <v>122</v>
      </c>
      <c r="B125" s="30" t="s">
        <v>527</v>
      </c>
      <c r="C125" s="30" t="s">
        <v>146</v>
      </c>
      <c r="D125" s="30" t="s">
        <v>168</v>
      </c>
      <c r="E125" s="30" t="s">
        <v>167</v>
      </c>
      <c r="F125" s="30" t="s">
        <v>169</v>
      </c>
      <c r="G125" s="30" t="s">
        <v>1724</v>
      </c>
      <c r="H125" s="30"/>
      <c r="I125" s="30"/>
      <c r="J125" s="30"/>
      <c r="K125" s="30"/>
      <c r="L125" s="30"/>
      <c r="M125" s="30"/>
      <c r="N125" s="30"/>
      <c r="O125" s="30"/>
      <c r="P125" s="30"/>
      <c r="Q125" s="30"/>
      <c r="R125" s="30"/>
    </row>
    <row r="126" spans="1:18" ht="16.05" customHeight="1" x14ac:dyDescent="0.3">
      <c r="A126" s="28">
        <v>123</v>
      </c>
      <c r="B126" s="28" t="s">
        <v>527</v>
      </c>
      <c r="C126" s="28" t="s">
        <v>147</v>
      </c>
      <c r="D126" s="28" t="s">
        <v>168</v>
      </c>
      <c r="E126" s="28" t="s">
        <v>170</v>
      </c>
      <c r="F126" s="28" t="s">
        <v>165</v>
      </c>
      <c r="G126" s="28" t="s">
        <v>1724</v>
      </c>
      <c r="H126" s="28"/>
      <c r="I126" s="28"/>
      <c r="J126" s="28"/>
      <c r="K126" s="28"/>
      <c r="L126" s="28"/>
      <c r="M126" s="28"/>
      <c r="N126" s="28"/>
      <c r="O126" s="28"/>
      <c r="P126" s="28"/>
      <c r="Q126" s="28"/>
      <c r="R126" s="28"/>
    </row>
    <row r="127" spans="1:18" ht="16.05" customHeight="1" x14ac:dyDescent="0.3">
      <c r="A127" s="30">
        <v>124</v>
      </c>
      <c r="B127" s="30" t="s">
        <v>527</v>
      </c>
      <c r="C127" s="30" t="s">
        <v>146</v>
      </c>
      <c r="D127" s="30" t="s">
        <v>172</v>
      </c>
      <c r="E127" s="30" t="s">
        <v>171</v>
      </c>
      <c r="F127" s="30" t="s">
        <v>173</v>
      </c>
      <c r="G127" s="30" t="s">
        <v>1724</v>
      </c>
      <c r="H127" s="30"/>
      <c r="I127" s="30"/>
      <c r="J127" s="30"/>
      <c r="K127" s="30"/>
      <c r="L127" s="30"/>
      <c r="M127" s="30"/>
      <c r="N127" s="30"/>
      <c r="O127" s="30"/>
      <c r="P127" s="30"/>
      <c r="Q127" s="30"/>
      <c r="R127" s="30"/>
    </row>
    <row r="128" spans="1:18" ht="16.05" customHeight="1" x14ac:dyDescent="0.3">
      <c r="A128" s="28">
        <v>125</v>
      </c>
      <c r="B128" s="28" t="s">
        <v>527</v>
      </c>
      <c r="C128" s="28" t="s">
        <v>143</v>
      </c>
      <c r="D128" s="28" t="s">
        <v>172</v>
      </c>
      <c r="E128" s="28" t="s">
        <v>174</v>
      </c>
      <c r="F128" s="28" t="s">
        <v>169</v>
      </c>
      <c r="G128" s="28" t="s">
        <v>1724</v>
      </c>
      <c r="H128" s="28"/>
      <c r="I128" s="28"/>
      <c r="J128" s="28"/>
      <c r="K128" s="28"/>
      <c r="L128" s="28"/>
      <c r="M128" s="28"/>
      <c r="N128" s="28"/>
      <c r="O128" s="28"/>
      <c r="P128" s="28"/>
      <c r="Q128" s="28"/>
      <c r="R128" s="28"/>
    </row>
    <row r="129" spans="1:18" ht="16.05" customHeight="1" x14ac:dyDescent="0.3">
      <c r="A129" s="30">
        <v>126</v>
      </c>
      <c r="B129" s="30" t="s">
        <v>527</v>
      </c>
      <c r="C129" s="30" t="s">
        <v>143</v>
      </c>
      <c r="D129" s="30" t="s">
        <v>176</v>
      </c>
      <c r="E129" s="30" t="s">
        <v>175</v>
      </c>
      <c r="F129" s="30" t="s">
        <v>165</v>
      </c>
      <c r="G129" s="30" t="s">
        <v>1724</v>
      </c>
      <c r="H129" s="30"/>
      <c r="I129" s="30"/>
      <c r="J129" s="30"/>
      <c r="K129" s="30"/>
      <c r="L129" s="30"/>
      <c r="M129" s="30"/>
      <c r="N129" s="30"/>
      <c r="O129" s="30"/>
      <c r="P129" s="30"/>
      <c r="Q129" s="30"/>
      <c r="R129" s="30"/>
    </row>
    <row r="130" spans="1:18" ht="16.05" customHeight="1" x14ac:dyDescent="0.3">
      <c r="A130" s="28">
        <v>127</v>
      </c>
      <c r="B130" s="28" t="s">
        <v>527</v>
      </c>
      <c r="C130" s="28" t="s">
        <v>144</v>
      </c>
      <c r="D130" s="28" t="s">
        <v>176</v>
      </c>
      <c r="E130" s="28" t="s">
        <v>177</v>
      </c>
      <c r="F130" s="28" t="s">
        <v>173</v>
      </c>
      <c r="G130" s="28" t="s">
        <v>1724</v>
      </c>
      <c r="H130" s="28"/>
      <c r="I130" s="28"/>
      <c r="J130" s="28"/>
      <c r="K130" s="28"/>
      <c r="L130" s="28"/>
      <c r="M130" s="28"/>
      <c r="N130" s="28"/>
      <c r="O130" s="28"/>
      <c r="P130" s="28"/>
      <c r="Q130" s="28"/>
      <c r="R130" s="28"/>
    </row>
    <row r="131" spans="1:18" ht="16.05" customHeight="1" x14ac:dyDescent="0.3">
      <c r="A131" s="30">
        <v>128</v>
      </c>
      <c r="B131" s="30" t="s">
        <v>527</v>
      </c>
      <c r="C131" s="30" t="s">
        <v>145</v>
      </c>
      <c r="D131" s="30" t="s">
        <v>179</v>
      </c>
      <c r="E131" s="30" t="s">
        <v>178</v>
      </c>
      <c r="F131" s="30" t="s">
        <v>165</v>
      </c>
      <c r="G131" s="30" t="s">
        <v>1724</v>
      </c>
      <c r="H131" s="30"/>
      <c r="I131" s="30"/>
      <c r="J131" s="30"/>
      <c r="K131" s="30"/>
      <c r="L131" s="30"/>
      <c r="M131" s="30"/>
      <c r="N131" s="30"/>
      <c r="O131" s="30"/>
      <c r="P131" s="30"/>
      <c r="Q131" s="30"/>
      <c r="R131" s="30"/>
    </row>
    <row r="132" spans="1:18" ht="16.05" customHeight="1" x14ac:dyDescent="0.3">
      <c r="A132" s="28">
        <v>129</v>
      </c>
      <c r="B132" s="28" t="s">
        <v>527</v>
      </c>
      <c r="C132" s="28" t="s">
        <v>146</v>
      </c>
      <c r="D132" s="28" t="s">
        <v>181</v>
      </c>
      <c r="E132" s="28" t="s">
        <v>180</v>
      </c>
      <c r="F132" s="28" t="s">
        <v>182</v>
      </c>
      <c r="G132" s="28" t="s">
        <v>1724</v>
      </c>
      <c r="H132" s="28"/>
      <c r="I132" s="28"/>
      <c r="J132" s="28"/>
      <c r="K132" s="28"/>
      <c r="L132" s="28"/>
      <c r="M132" s="28"/>
      <c r="N132" s="28"/>
      <c r="O132" s="28"/>
      <c r="P132" s="28"/>
      <c r="Q132" s="28"/>
      <c r="R132" s="28"/>
    </row>
    <row r="133" spans="1:18" ht="16.05" customHeight="1" x14ac:dyDescent="0.3">
      <c r="A133" s="30">
        <v>130</v>
      </c>
      <c r="B133" s="30" t="s">
        <v>527</v>
      </c>
      <c r="C133" s="30" t="s">
        <v>148</v>
      </c>
      <c r="D133" s="30" t="s">
        <v>168</v>
      </c>
      <c r="E133" s="30" t="s">
        <v>183</v>
      </c>
      <c r="F133" s="30" t="s">
        <v>169</v>
      </c>
      <c r="G133" s="30" t="s">
        <v>1724</v>
      </c>
      <c r="H133" s="30"/>
      <c r="I133" s="30"/>
      <c r="J133" s="30"/>
      <c r="K133" s="30"/>
      <c r="L133" s="30"/>
      <c r="M133" s="30"/>
      <c r="N133" s="30"/>
      <c r="O133" s="30"/>
      <c r="P133" s="30"/>
      <c r="Q133" s="30"/>
      <c r="R133" s="30"/>
    </row>
    <row r="134" spans="1:18" ht="16.05" customHeight="1" x14ac:dyDescent="0.3">
      <c r="A134" s="28">
        <v>131</v>
      </c>
      <c r="B134" s="28" t="s">
        <v>527</v>
      </c>
      <c r="C134" s="28" t="s">
        <v>147</v>
      </c>
      <c r="D134" s="28" t="s">
        <v>181</v>
      </c>
      <c r="E134" s="28" t="s">
        <v>184</v>
      </c>
      <c r="F134" s="28" t="s">
        <v>169</v>
      </c>
      <c r="G134" s="28" t="s">
        <v>1724</v>
      </c>
      <c r="H134" s="28"/>
      <c r="I134" s="28"/>
      <c r="J134" s="28"/>
      <c r="K134" s="28"/>
      <c r="L134" s="28"/>
      <c r="M134" s="28"/>
      <c r="N134" s="28"/>
      <c r="O134" s="28"/>
      <c r="P134" s="28"/>
      <c r="Q134" s="28"/>
      <c r="R134" s="28"/>
    </row>
    <row r="135" spans="1:18" ht="16.05" customHeight="1" x14ac:dyDescent="0.3">
      <c r="A135" s="30">
        <v>132</v>
      </c>
      <c r="B135" s="30" t="s">
        <v>527</v>
      </c>
      <c r="C135" s="30" t="s">
        <v>148</v>
      </c>
      <c r="D135" s="30" t="s">
        <v>176</v>
      </c>
      <c r="E135" s="30" t="s">
        <v>185</v>
      </c>
      <c r="F135" s="30" t="s">
        <v>169</v>
      </c>
      <c r="G135" s="30" t="s">
        <v>1724</v>
      </c>
      <c r="H135" s="30"/>
      <c r="I135" s="30"/>
      <c r="J135" s="30"/>
      <c r="K135" s="30"/>
      <c r="L135" s="30"/>
      <c r="M135" s="30"/>
      <c r="N135" s="30"/>
      <c r="O135" s="30"/>
      <c r="P135" s="30"/>
      <c r="Q135" s="30"/>
      <c r="R135" s="30"/>
    </row>
    <row r="136" spans="1:18" ht="16.05" customHeight="1" x14ac:dyDescent="0.3">
      <c r="A136" s="28">
        <v>133</v>
      </c>
      <c r="B136" s="28" t="s">
        <v>527</v>
      </c>
      <c r="C136" s="28" t="s">
        <v>152</v>
      </c>
      <c r="D136" s="28" t="s">
        <v>168</v>
      </c>
      <c r="E136" s="28" t="s">
        <v>186</v>
      </c>
      <c r="F136" s="28" t="s">
        <v>173</v>
      </c>
      <c r="G136" s="28" t="s">
        <v>1724</v>
      </c>
      <c r="H136" s="28"/>
      <c r="I136" s="28"/>
      <c r="J136" s="28"/>
      <c r="K136" s="28"/>
      <c r="L136" s="28"/>
      <c r="M136" s="28"/>
      <c r="N136" s="28"/>
      <c r="O136" s="28"/>
      <c r="P136" s="28"/>
      <c r="Q136" s="28"/>
      <c r="R136" s="28"/>
    </row>
    <row r="137" spans="1:18" ht="16.05" customHeight="1" x14ac:dyDescent="0.3">
      <c r="A137" s="30">
        <v>134</v>
      </c>
      <c r="B137" s="30" t="s">
        <v>527</v>
      </c>
      <c r="C137" s="30" t="s">
        <v>151</v>
      </c>
      <c r="D137" s="30" t="s">
        <v>179</v>
      </c>
      <c r="E137" s="30" t="s">
        <v>187</v>
      </c>
      <c r="F137" s="30" t="s">
        <v>165</v>
      </c>
      <c r="G137" s="30" t="s">
        <v>1724</v>
      </c>
      <c r="H137" s="30"/>
      <c r="I137" s="30"/>
      <c r="J137" s="30"/>
      <c r="K137" s="30"/>
      <c r="L137" s="30"/>
      <c r="M137" s="30"/>
      <c r="N137" s="30"/>
      <c r="O137" s="30"/>
      <c r="P137" s="30"/>
      <c r="Q137" s="30"/>
      <c r="R137" s="30"/>
    </row>
    <row r="138" spans="1:18" ht="16.05" customHeight="1" x14ac:dyDescent="0.3">
      <c r="A138" s="28">
        <v>135</v>
      </c>
      <c r="B138" s="28" t="s">
        <v>527</v>
      </c>
      <c r="C138" s="28" t="s">
        <v>143</v>
      </c>
      <c r="D138" s="28" t="s">
        <v>176</v>
      </c>
      <c r="E138" s="28" t="s">
        <v>188</v>
      </c>
      <c r="F138" s="28" t="s">
        <v>165</v>
      </c>
      <c r="G138" s="28" t="s">
        <v>1724</v>
      </c>
      <c r="H138" s="28"/>
      <c r="I138" s="28"/>
      <c r="J138" s="28"/>
      <c r="K138" s="28"/>
      <c r="L138" s="28"/>
      <c r="M138" s="28"/>
      <c r="N138" s="28"/>
      <c r="O138" s="28"/>
      <c r="P138" s="28"/>
      <c r="Q138" s="28"/>
      <c r="R138" s="28"/>
    </row>
    <row r="139" spans="1:18" ht="16.05" customHeight="1" x14ac:dyDescent="0.3">
      <c r="A139" s="30">
        <v>136</v>
      </c>
      <c r="B139" s="30" t="s">
        <v>528</v>
      </c>
      <c r="C139" s="30" t="s">
        <v>142</v>
      </c>
      <c r="D139" s="30" t="s">
        <v>164</v>
      </c>
      <c r="E139" s="30" t="s">
        <v>163</v>
      </c>
      <c r="F139" s="30" t="s">
        <v>165</v>
      </c>
      <c r="G139" s="30" t="s">
        <v>1724</v>
      </c>
      <c r="H139" s="30"/>
      <c r="I139" s="30"/>
      <c r="J139" s="30"/>
      <c r="K139" s="30"/>
      <c r="L139" s="30"/>
      <c r="M139" s="30"/>
      <c r="N139" s="30"/>
      <c r="O139" s="30"/>
      <c r="P139" s="30"/>
      <c r="Q139" s="30"/>
      <c r="R139" s="30"/>
    </row>
    <row r="140" spans="1:18" ht="16.05" customHeight="1" x14ac:dyDescent="0.3">
      <c r="A140" s="28">
        <v>137</v>
      </c>
      <c r="B140" s="28" t="s">
        <v>528</v>
      </c>
      <c r="C140" s="28" t="s">
        <v>146</v>
      </c>
      <c r="D140" s="28" t="s">
        <v>168</v>
      </c>
      <c r="E140" s="28" t="s">
        <v>167</v>
      </c>
      <c r="F140" s="28" t="s">
        <v>169</v>
      </c>
      <c r="G140" s="28" t="s">
        <v>1724</v>
      </c>
      <c r="H140" s="28"/>
      <c r="I140" s="28"/>
      <c r="J140" s="28"/>
      <c r="K140" s="28"/>
      <c r="L140" s="28"/>
      <c r="M140" s="28"/>
      <c r="N140" s="28"/>
      <c r="O140" s="28"/>
      <c r="P140" s="28"/>
      <c r="Q140" s="28"/>
      <c r="R140" s="28"/>
    </row>
    <row r="141" spans="1:18" ht="16.05" customHeight="1" x14ac:dyDescent="0.3">
      <c r="A141" s="30">
        <v>138</v>
      </c>
      <c r="B141" s="30" t="s">
        <v>528</v>
      </c>
      <c r="C141" s="30" t="s">
        <v>147</v>
      </c>
      <c r="D141" s="30" t="s">
        <v>168</v>
      </c>
      <c r="E141" s="30" t="s">
        <v>170</v>
      </c>
      <c r="F141" s="30" t="s">
        <v>165</v>
      </c>
      <c r="G141" s="30" t="s">
        <v>1724</v>
      </c>
      <c r="H141" s="30"/>
      <c r="I141" s="30"/>
      <c r="J141" s="30"/>
      <c r="K141" s="30"/>
      <c r="L141" s="30"/>
      <c r="M141" s="30"/>
      <c r="N141" s="30"/>
      <c r="O141" s="30"/>
      <c r="P141" s="30"/>
      <c r="Q141" s="30"/>
      <c r="R141" s="30"/>
    </row>
    <row r="142" spans="1:18" ht="16.05" customHeight="1" x14ac:dyDescent="0.3">
      <c r="A142" s="28">
        <v>139</v>
      </c>
      <c r="B142" s="28" t="s">
        <v>528</v>
      </c>
      <c r="C142" s="28" t="s">
        <v>146</v>
      </c>
      <c r="D142" s="28" t="s">
        <v>172</v>
      </c>
      <c r="E142" s="28" t="s">
        <v>171</v>
      </c>
      <c r="F142" s="28" t="s">
        <v>173</v>
      </c>
      <c r="G142" s="28" t="s">
        <v>1724</v>
      </c>
      <c r="H142" s="28"/>
      <c r="I142" s="28"/>
      <c r="J142" s="28"/>
      <c r="K142" s="28"/>
      <c r="L142" s="28"/>
      <c r="M142" s="28"/>
      <c r="N142" s="28"/>
      <c r="O142" s="28"/>
      <c r="P142" s="28"/>
      <c r="Q142" s="28"/>
      <c r="R142" s="28"/>
    </row>
    <row r="143" spans="1:18" ht="16.05" customHeight="1" x14ac:dyDescent="0.3">
      <c r="A143" s="30">
        <v>140</v>
      </c>
      <c r="B143" s="30" t="s">
        <v>528</v>
      </c>
      <c r="C143" s="30" t="s">
        <v>143</v>
      </c>
      <c r="D143" s="30" t="s">
        <v>172</v>
      </c>
      <c r="E143" s="30" t="s">
        <v>174</v>
      </c>
      <c r="F143" s="30" t="s">
        <v>169</v>
      </c>
      <c r="G143" s="30" t="s">
        <v>1724</v>
      </c>
      <c r="H143" s="30"/>
      <c r="I143" s="30"/>
      <c r="J143" s="30"/>
      <c r="K143" s="30"/>
      <c r="L143" s="30"/>
      <c r="M143" s="30"/>
      <c r="N143" s="30"/>
      <c r="O143" s="30"/>
      <c r="P143" s="30"/>
      <c r="Q143" s="30"/>
      <c r="R143" s="30"/>
    </row>
    <row r="144" spans="1:18" ht="16.05" customHeight="1" x14ac:dyDescent="0.3">
      <c r="A144" s="28">
        <v>141</v>
      </c>
      <c r="B144" s="28" t="s">
        <v>528</v>
      </c>
      <c r="C144" s="28" t="s">
        <v>143</v>
      </c>
      <c r="D144" s="28" t="s">
        <v>176</v>
      </c>
      <c r="E144" s="28" t="s">
        <v>175</v>
      </c>
      <c r="F144" s="28" t="s">
        <v>165</v>
      </c>
      <c r="G144" s="28" t="s">
        <v>1724</v>
      </c>
      <c r="H144" s="28"/>
      <c r="I144" s="28"/>
      <c r="J144" s="28"/>
      <c r="K144" s="28"/>
      <c r="L144" s="28"/>
      <c r="M144" s="28"/>
      <c r="N144" s="28"/>
      <c r="O144" s="28"/>
      <c r="P144" s="28"/>
      <c r="Q144" s="28"/>
      <c r="R144" s="28"/>
    </row>
    <row r="145" spans="1:18" ht="16.05" customHeight="1" x14ac:dyDescent="0.3">
      <c r="A145" s="30">
        <v>142</v>
      </c>
      <c r="B145" s="30" t="s">
        <v>528</v>
      </c>
      <c r="C145" s="30" t="s">
        <v>144</v>
      </c>
      <c r="D145" s="30" t="s">
        <v>176</v>
      </c>
      <c r="E145" s="30" t="s">
        <v>177</v>
      </c>
      <c r="F145" s="30" t="s">
        <v>173</v>
      </c>
      <c r="G145" s="30" t="s">
        <v>1724</v>
      </c>
      <c r="H145" s="30"/>
      <c r="I145" s="30"/>
      <c r="J145" s="30"/>
      <c r="K145" s="30"/>
      <c r="L145" s="30"/>
      <c r="M145" s="30"/>
      <c r="N145" s="30"/>
      <c r="O145" s="30"/>
      <c r="P145" s="30"/>
      <c r="Q145" s="30"/>
      <c r="R145" s="30"/>
    </row>
    <row r="146" spans="1:18" ht="16.05" customHeight="1" x14ac:dyDescent="0.3">
      <c r="A146" s="28">
        <v>143</v>
      </c>
      <c r="B146" s="28" t="s">
        <v>528</v>
      </c>
      <c r="C146" s="28" t="s">
        <v>145</v>
      </c>
      <c r="D146" s="28" t="s">
        <v>179</v>
      </c>
      <c r="E146" s="28" t="s">
        <v>178</v>
      </c>
      <c r="F146" s="28" t="s">
        <v>165</v>
      </c>
      <c r="G146" s="28" t="s">
        <v>1724</v>
      </c>
      <c r="H146" s="28"/>
      <c r="I146" s="28"/>
      <c r="J146" s="28"/>
      <c r="K146" s="28"/>
      <c r="L146" s="28"/>
      <c r="M146" s="28"/>
      <c r="N146" s="28"/>
      <c r="O146" s="28"/>
      <c r="P146" s="28"/>
      <c r="Q146" s="28"/>
      <c r="R146" s="28"/>
    </row>
    <row r="147" spans="1:18" ht="16.05" customHeight="1" x14ac:dyDescent="0.3">
      <c r="A147" s="30">
        <v>144</v>
      </c>
      <c r="B147" s="30" t="s">
        <v>528</v>
      </c>
      <c r="C147" s="30" t="s">
        <v>146</v>
      </c>
      <c r="D147" s="30" t="s">
        <v>181</v>
      </c>
      <c r="E147" s="30" t="s">
        <v>180</v>
      </c>
      <c r="F147" s="30" t="s">
        <v>182</v>
      </c>
      <c r="G147" s="30" t="s">
        <v>1724</v>
      </c>
      <c r="H147" s="30"/>
      <c r="I147" s="30"/>
      <c r="J147" s="30"/>
      <c r="K147" s="30"/>
      <c r="L147" s="30"/>
      <c r="M147" s="30"/>
      <c r="N147" s="30"/>
      <c r="O147" s="30"/>
      <c r="P147" s="30"/>
      <c r="Q147" s="30"/>
      <c r="R147" s="30"/>
    </row>
    <row r="148" spans="1:18" ht="16.05" customHeight="1" x14ac:dyDescent="0.3">
      <c r="A148" s="28">
        <v>145</v>
      </c>
      <c r="B148" s="28" t="s">
        <v>528</v>
      </c>
      <c r="C148" s="28" t="s">
        <v>148</v>
      </c>
      <c r="D148" s="28" t="s">
        <v>168</v>
      </c>
      <c r="E148" s="28" t="s">
        <v>183</v>
      </c>
      <c r="F148" s="28" t="s">
        <v>169</v>
      </c>
      <c r="G148" s="28" t="s">
        <v>1724</v>
      </c>
      <c r="H148" s="28"/>
      <c r="I148" s="28"/>
      <c r="J148" s="28"/>
      <c r="K148" s="28"/>
      <c r="L148" s="28"/>
      <c r="M148" s="28"/>
      <c r="N148" s="28"/>
      <c r="O148" s="28"/>
      <c r="P148" s="28"/>
      <c r="Q148" s="28"/>
      <c r="R148" s="28"/>
    </row>
    <row r="149" spans="1:18" ht="16.05" customHeight="1" x14ac:dyDescent="0.3">
      <c r="A149" s="30">
        <v>146</v>
      </c>
      <c r="B149" s="30" t="s">
        <v>528</v>
      </c>
      <c r="C149" s="30" t="s">
        <v>147</v>
      </c>
      <c r="D149" s="30" t="s">
        <v>181</v>
      </c>
      <c r="E149" s="30" t="s">
        <v>184</v>
      </c>
      <c r="F149" s="30" t="s">
        <v>169</v>
      </c>
      <c r="G149" s="30" t="s">
        <v>1724</v>
      </c>
      <c r="H149" s="30"/>
      <c r="I149" s="30"/>
      <c r="J149" s="30"/>
      <c r="K149" s="30"/>
      <c r="L149" s="30"/>
      <c r="M149" s="30"/>
      <c r="N149" s="30"/>
      <c r="O149" s="30"/>
      <c r="P149" s="30"/>
      <c r="Q149" s="30"/>
      <c r="R149" s="30"/>
    </row>
    <row r="150" spans="1:18" ht="16.05" customHeight="1" x14ac:dyDescent="0.3">
      <c r="A150" s="28">
        <v>147</v>
      </c>
      <c r="B150" s="28" t="s">
        <v>528</v>
      </c>
      <c r="C150" s="28" t="s">
        <v>148</v>
      </c>
      <c r="D150" s="28" t="s">
        <v>176</v>
      </c>
      <c r="E150" s="28" t="s">
        <v>185</v>
      </c>
      <c r="F150" s="28" t="s">
        <v>169</v>
      </c>
      <c r="G150" s="28" t="s">
        <v>1724</v>
      </c>
      <c r="H150" s="28"/>
      <c r="I150" s="28"/>
      <c r="J150" s="28"/>
      <c r="K150" s="28"/>
      <c r="L150" s="28"/>
      <c r="M150" s="28"/>
      <c r="N150" s="28"/>
      <c r="O150" s="28"/>
      <c r="P150" s="28"/>
      <c r="Q150" s="28"/>
      <c r="R150" s="28"/>
    </row>
    <row r="151" spans="1:18" ht="16.05" customHeight="1" x14ac:dyDescent="0.3">
      <c r="A151" s="30">
        <v>148</v>
      </c>
      <c r="B151" s="30" t="s">
        <v>528</v>
      </c>
      <c r="C151" s="30" t="s">
        <v>152</v>
      </c>
      <c r="D151" s="30" t="s">
        <v>168</v>
      </c>
      <c r="E151" s="30" t="s">
        <v>186</v>
      </c>
      <c r="F151" s="30" t="s">
        <v>173</v>
      </c>
      <c r="G151" s="30" t="s">
        <v>1724</v>
      </c>
      <c r="H151" s="30"/>
      <c r="I151" s="30"/>
      <c r="J151" s="30"/>
      <c r="K151" s="30"/>
      <c r="L151" s="30"/>
      <c r="M151" s="30"/>
      <c r="N151" s="30"/>
      <c r="O151" s="30"/>
      <c r="P151" s="30"/>
      <c r="Q151" s="30"/>
      <c r="R151" s="30"/>
    </row>
    <row r="152" spans="1:18" ht="16.05" customHeight="1" x14ac:dyDescent="0.3">
      <c r="A152" s="28">
        <v>149</v>
      </c>
      <c r="B152" s="28" t="s">
        <v>528</v>
      </c>
      <c r="C152" s="28" t="s">
        <v>151</v>
      </c>
      <c r="D152" s="28" t="s">
        <v>179</v>
      </c>
      <c r="E152" s="28" t="s">
        <v>187</v>
      </c>
      <c r="F152" s="28" t="s">
        <v>165</v>
      </c>
      <c r="G152" s="28" t="s">
        <v>1724</v>
      </c>
      <c r="H152" s="28"/>
      <c r="I152" s="28"/>
      <c r="J152" s="28"/>
      <c r="K152" s="28"/>
      <c r="L152" s="28"/>
      <c r="M152" s="28"/>
      <c r="N152" s="28"/>
      <c r="O152" s="28"/>
      <c r="P152" s="28"/>
      <c r="Q152" s="28"/>
      <c r="R152" s="28"/>
    </row>
    <row r="153" spans="1:18" ht="16.05" customHeight="1" x14ac:dyDescent="0.3">
      <c r="A153" s="30">
        <v>150</v>
      </c>
      <c r="B153" s="30" t="s">
        <v>528</v>
      </c>
      <c r="C153" s="30" t="s">
        <v>143</v>
      </c>
      <c r="D153" s="30" t="s">
        <v>176</v>
      </c>
      <c r="E153" s="30" t="s">
        <v>188</v>
      </c>
      <c r="F153" s="30" t="s">
        <v>165</v>
      </c>
      <c r="G153" s="30" t="s">
        <v>1724</v>
      </c>
      <c r="H153" s="30"/>
      <c r="I153" s="30"/>
      <c r="J153" s="30"/>
      <c r="K153" s="30"/>
      <c r="L153" s="30"/>
      <c r="M153" s="30"/>
      <c r="N153" s="30"/>
      <c r="O153" s="30"/>
      <c r="P153" s="30"/>
      <c r="Q153" s="30"/>
      <c r="R153" s="30"/>
    </row>
    <row r="154" spans="1:18" ht="16.05" customHeight="1" x14ac:dyDescent="0.3">
      <c r="A154" s="28">
        <v>151</v>
      </c>
      <c r="B154" s="28" t="s">
        <v>529</v>
      </c>
      <c r="C154" s="28" t="s">
        <v>142</v>
      </c>
      <c r="D154" s="28" t="s">
        <v>164</v>
      </c>
      <c r="E154" s="28" t="s">
        <v>163</v>
      </c>
      <c r="F154" s="28" t="s">
        <v>165</v>
      </c>
      <c r="G154" s="28" t="s">
        <v>1724</v>
      </c>
      <c r="H154" s="28"/>
      <c r="I154" s="28"/>
      <c r="J154" s="28"/>
      <c r="K154" s="28"/>
      <c r="L154" s="28"/>
      <c r="M154" s="28"/>
      <c r="N154" s="28"/>
      <c r="O154" s="28"/>
      <c r="P154" s="28"/>
      <c r="Q154" s="28"/>
      <c r="R154" s="28"/>
    </row>
    <row r="155" spans="1:18" ht="16.05" customHeight="1" x14ac:dyDescent="0.3">
      <c r="A155" s="30">
        <v>152</v>
      </c>
      <c r="B155" s="30" t="s">
        <v>529</v>
      </c>
      <c r="C155" s="30" t="s">
        <v>146</v>
      </c>
      <c r="D155" s="30" t="s">
        <v>168</v>
      </c>
      <c r="E155" s="30" t="s">
        <v>167</v>
      </c>
      <c r="F155" s="30" t="s">
        <v>169</v>
      </c>
      <c r="G155" s="30" t="s">
        <v>1724</v>
      </c>
      <c r="H155" s="30"/>
      <c r="I155" s="30"/>
      <c r="J155" s="30"/>
      <c r="K155" s="30"/>
      <c r="L155" s="30"/>
      <c r="M155" s="30"/>
      <c r="N155" s="30"/>
      <c r="O155" s="30"/>
      <c r="P155" s="30"/>
      <c r="Q155" s="30"/>
      <c r="R155" s="30"/>
    </row>
    <row r="156" spans="1:18" ht="16.05" customHeight="1" x14ac:dyDescent="0.3">
      <c r="A156" s="28">
        <v>153</v>
      </c>
      <c r="B156" s="28" t="s">
        <v>529</v>
      </c>
      <c r="C156" s="28" t="s">
        <v>147</v>
      </c>
      <c r="D156" s="28" t="s">
        <v>168</v>
      </c>
      <c r="E156" s="28" t="s">
        <v>170</v>
      </c>
      <c r="F156" s="28" t="s">
        <v>165</v>
      </c>
      <c r="G156" s="28" t="s">
        <v>1724</v>
      </c>
      <c r="H156" s="28"/>
      <c r="I156" s="28"/>
      <c r="J156" s="28"/>
      <c r="K156" s="28"/>
      <c r="L156" s="28"/>
      <c r="M156" s="28"/>
      <c r="N156" s="28"/>
      <c r="O156" s="28"/>
      <c r="P156" s="28"/>
      <c r="Q156" s="28"/>
      <c r="R156" s="28"/>
    </row>
    <row r="157" spans="1:18" ht="16.05" customHeight="1" x14ac:dyDescent="0.3">
      <c r="A157" s="30">
        <v>154</v>
      </c>
      <c r="B157" s="30" t="s">
        <v>529</v>
      </c>
      <c r="C157" s="30" t="s">
        <v>146</v>
      </c>
      <c r="D157" s="30" t="s">
        <v>172</v>
      </c>
      <c r="E157" s="30" t="s">
        <v>171</v>
      </c>
      <c r="F157" s="30" t="s">
        <v>173</v>
      </c>
      <c r="G157" s="30" t="s">
        <v>1724</v>
      </c>
      <c r="H157" s="30"/>
      <c r="I157" s="30"/>
      <c r="J157" s="30"/>
      <c r="K157" s="30"/>
      <c r="L157" s="30"/>
      <c r="M157" s="30"/>
      <c r="N157" s="30"/>
      <c r="O157" s="30"/>
      <c r="P157" s="30"/>
      <c r="Q157" s="30"/>
      <c r="R157" s="30"/>
    </row>
    <row r="158" spans="1:18" ht="16.05" customHeight="1" x14ac:dyDescent="0.3">
      <c r="A158" s="28">
        <v>155</v>
      </c>
      <c r="B158" s="28" t="s">
        <v>529</v>
      </c>
      <c r="C158" s="28" t="s">
        <v>143</v>
      </c>
      <c r="D158" s="28" t="s">
        <v>172</v>
      </c>
      <c r="E158" s="28" t="s">
        <v>174</v>
      </c>
      <c r="F158" s="28" t="s">
        <v>169</v>
      </c>
      <c r="G158" s="28" t="s">
        <v>1724</v>
      </c>
      <c r="H158" s="28"/>
      <c r="I158" s="28"/>
      <c r="J158" s="28"/>
      <c r="K158" s="28"/>
      <c r="L158" s="28"/>
      <c r="M158" s="28"/>
      <c r="N158" s="28"/>
      <c r="O158" s="28"/>
      <c r="P158" s="28"/>
      <c r="Q158" s="28"/>
      <c r="R158" s="28"/>
    </row>
    <row r="159" spans="1:18" ht="16.05" customHeight="1" x14ac:dyDescent="0.3">
      <c r="A159" s="30">
        <v>156</v>
      </c>
      <c r="B159" s="30" t="s">
        <v>529</v>
      </c>
      <c r="C159" s="30" t="s">
        <v>143</v>
      </c>
      <c r="D159" s="30" t="s">
        <v>176</v>
      </c>
      <c r="E159" s="30" t="s">
        <v>175</v>
      </c>
      <c r="F159" s="30" t="s">
        <v>165</v>
      </c>
      <c r="G159" s="30" t="s">
        <v>1724</v>
      </c>
      <c r="H159" s="30"/>
      <c r="I159" s="30"/>
      <c r="J159" s="30"/>
      <c r="K159" s="30"/>
      <c r="L159" s="30"/>
      <c r="M159" s="30"/>
      <c r="N159" s="30"/>
      <c r="O159" s="30"/>
      <c r="P159" s="30"/>
      <c r="Q159" s="30"/>
      <c r="R159" s="30"/>
    </row>
    <row r="160" spans="1:18" ht="16.05" customHeight="1" x14ac:dyDescent="0.3">
      <c r="A160" s="28">
        <v>157</v>
      </c>
      <c r="B160" s="28" t="s">
        <v>529</v>
      </c>
      <c r="C160" s="28" t="s">
        <v>144</v>
      </c>
      <c r="D160" s="28" t="s">
        <v>176</v>
      </c>
      <c r="E160" s="28" t="s">
        <v>177</v>
      </c>
      <c r="F160" s="28" t="s">
        <v>173</v>
      </c>
      <c r="G160" s="28" t="s">
        <v>1724</v>
      </c>
      <c r="H160" s="28"/>
      <c r="I160" s="28"/>
      <c r="J160" s="28"/>
      <c r="K160" s="28"/>
      <c r="L160" s="28"/>
      <c r="M160" s="28"/>
      <c r="N160" s="28"/>
      <c r="O160" s="28"/>
      <c r="P160" s="28"/>
      <c r="Q160" s="28"/>
      <c r="R160" s="28"/>
    </row>
    <row r="161" spans="1:18" ht="16.05" customHeight="1" x14ac:dyDescent="0.3">
      <c r="A161" s="30">
        <v>158</v>
      </c>
      <c r="B161" s="30" t="s">
        <v>529</v>
      </c>
      <c r="C161" s="30" t="s">
        <v>145</v>
      </c>
      <c r="D161" s="30" t="s">
        <v>179</v>
      </c>
      <c r="E161" s="30" t="s">
        <v>178</v>
      </c>
      <c r="F161" s="30" t="s">
        <v>165</v>
      </c>
      <c r="G161" s="30" t="s">
        <v>1724</v>
      </c>
      <c r="H161" s="30"/>
      <c r="I161" s="30"/>
      <c r="J161" s="30"/>
      <c r="K161" s="30"/>
      <c r="L161" s="30"/>
      <c r="M161" s="30"/>
      <c r="N161" s="30"/>
      <c r="O161" s="30"/>
      <c r="P161" s="30"/>
      <c r="Q161" s="30"/>
      <c r="R161" s="30"/>
    </row>
    <row r="162" spans="1:18" ht="16.05" customHeight="1" x14ac:dyDescent="0.3">
      <c r="A162" s="28">
        <v>159</v>
      </c>
      <c r="B162" s="28" t="s">
        <v>529</v>
      </c>
      <c r="C162" s="28" t="s">
        <v>146</v>
      </c>
      <c r="D162" s="28" t="s">
        <v>181</v>
      </c>
      <c r="E162" s="28" t="s">
        <v>180</v>
      </c>
      <c r="F162" s="28" t="s">
        <v>182</v>
      </c>
      <c r="G162" s="28" t="s">
        <v>1724</v>
      </c>
      <c r="H162" s="28"/>
      <c r="I162" s="28"/>
      <c r="J162" s="28"/>
      <c r="K162" s="28"/>
      <c r="L162" s="28"/>
      <c r="M162" s="28"/>
      <c r="N162" s="28"/>
      <c r="O162" s="28"/>
      <c r="P162" s="28"/>
      <c r="Q162" s="28"/>
      <c r="R162" s="28"/>
    </row>
    <row r="163" spans="1:18" ht="16.05" customHeight="1" x14ac:dyDescent="0.3">
      <c r="A163" s="30">
        <v>160</v>
      </c>
      <c r="B163" s="30" t="s">
        <v>529</v>
      </c>
      <c r="C163" s="30" t="s">
        <v>148</v>
      </c>
      <c r="D163" s="30" t="s">
        <v>168</v>
      </c>
      <c r="E163" s="30" t="s">
        <v>183</v>
      </c>
      <c r="F163" s="30" t="s">
        <v>169</v>
      </c>
      <c r="G163" s="30" t="s">
        <v>1724</v>
      </c>
      <c r="H163" s="30"/>
      <c r="I163" s="30"/>
      <c r="J163" s="30"/>
      <c r="K163" s="30"/>
      <c r="L163" s="30"/>
      <c r="M163" s="30"/>
      <c r="N163" s="30"/>
      <c r="O163" s="30"/>
      <c r="P163" s="30"/>
      <c r="Q163" s="30"/>
      <c r="R163" s="30"/>
    </row>
    <row r="164" spans="1:18" ht="16.05" customHeight="1" x14ac:dyDescent="0.3">
      <c r="A164" s="28">
        <v>161</v>
      </c>
      <c r="B164" s="28" t="s">
        <v>529</v>
      </c>
      <c r="C164" s="28" t="s">
        <v>147</v>
      </c>
      <c r="D164" s="28" t="s">
        <v>181</v>
      </c>
      <c r="E164" s="28" t="s">
        <v>184</v>
      </c>
      <c r="F164" s="28" t="s">
        <v>169</v>
      </c>
      <c r="G164" s="28" t="s">
        <v>1724</v>
      </c>
      <c r="H164" s="28"/>
      <c r="I164" s="28"/>
      <c r="J164" s="28"/>
      <c r="K164" s="28"/>
      <c r="L164" s="28"/>
      <c r="M164" s="28"/>
      <c r="N164" s="28"/>
      <c r="O164" s="28"/>
      <c r="P164" s="28"/>
      <c r="Q164" s="28"/>
      <c r="R164" s="28"/>
    </row>
    <row r="165" spans="1:18" ht="16.05" customHeight="1" x14ac:dyDescent="0.3">
      <c r="A165" s="30">
        <v>162</v>
      </c>
      <c r="B165" s="30" t="s">
        <v>529</v>
      </c>
      <c r="C165" s="30" t="s">
        <v>148</v>
      </c>
      <c r="D165" s="30" t="s">
        <v>176</v>
      </c>
      <c r="E165" s="30" t="s">
        <v>185</v>
      </c>
      <c r="F165" s="30" t="s">
        <v>169</v>
      </c>
      <c r="G165" s="30" t="s">
        <v>1724</v>
      </c>
      <c r="H165" s="30"/>
      <c r="I165" s="30"/>
      <c r="J165" s="30"/>
      <c r="K165" s="30"/>
      <c r="L165" s="30"/>
      <c r="M165" s="30"/>
      <c r="N165" s="30"/>
      <c r="O165" s="30"/>
      <c r="P165" s="30"/>
      <c r="Q165" s="30"/>
      <c r="R165" s="30"/>
    </row>
    <row r="166" spans="1:18" ht="16.05" customHeight="1" x14ac:dyDescent="0.3">
      <c r="A166" s="28">
        <v>163</v>
      </c>
      <c r="B166" s="28" t="s">
        <v>529</v>
      </c>
      <c r="C166" s="28" t="s">
        <v>152</v>
      </c>
      <c r="D166" s="28" t="s">
        <v>168</v>
      </c>
      <c r="E166" s="28" t="s">
        <v>186</v>
      </c>
      <c r="F166" s="28" t="s">
        <v>173</v>
      </c>
      <c r="G166" s="28" t="s">
        <v>1724</v>
      </c>
      <c r="H166" s="28"/>
      <c r="I166" s="28"/>
      <c r="J166" s="28"/>
      <c r="K166" s="28"/>
      <c r="L166" s="28"/>
      <c r="M166" s="28"/>
      <c r="N166" s="28"/>
      <c r="O166" s="28"/>
      <c r="P166" s="28"/>
      <c r="Q166" s="28"/>
      <c r="R166" s="28"/>
    </row>
    <row r="167" spans="1:18" ht="16.05" customHeight="1" x14ac:dyDescent="0.3">
      <c r="A167" s="30">
        <v>164</v>
      </c>
      <c r="B167" s="30" t="s">
        <v>529</v>
      </c>
      <c r="C167" s="30" t="s">
        <v>151</v>
      </c>
      <c r="D167" s="30" t="s">
        <v>179</v>
      </c>
      <c r="E167" s="30" t="s">
        <v>187</v>
      </c>
      <c r="F167" s="30" t="s">
        <v>165</v>
      </c>
      <c r="G167" s="30" t="s">
        <v>1724</v>
      </c>
      <c r="H167" s="30"/>
      <c r="I167" s="30"/>
      <c r="J167" s="30"/>
      <c r="K167" s="30"/>
      <c r="L167" s="30"/>
      <c r="M167" s="30"/>
      <c r="N167" s="30"/>
      <c r="O167" s="30"/>
      <c r="P167" s="30"/>
      <c r="Q167" s="30"/>
      <c r="R167" s="30"/>
    </row>
    <row r="168" spans="1:18" ht="16.05" customHeight="1" x14ac:dyDescent="0.3">
      <c r="A168" s="28">
        <v>165</v>
      </c>
      <c r="B168" s="28" t="s">
        <v>529</v>
      </c>
      <c r="C168" s="28" t="s">
        <v>143</v>
      </c>
      <c r="D168" s="28" t="s">
        <v>176</v>
      </c>
      <c r="E168" s="28" t="s">
        <v>188</v>
      </c>
      <c r="F168" s="28" t="s">
        <v>165</v>
      </c>
      <c r="G168" s="28" t="s">
        <v>1724</v>
      </c>
      <c r="H168" s="28"/>
      <c r="I168" s="28"/>
      <c r="J168" s="28"/>
      <c r="K168" s="28"/>
      <c r="L168" s="28"/>
      <c r="M168" s="28"/>
      <c r="N168" s="28"/>
      <c r="O168" s="28"/>
      <c r="P168" s="28"/>
      <c r="Q168" s="28"/>
      <c r="R168" s="28"/>
    </row>
    <row r="169" spans="1:18" ht="16.05" customHeight="1" x14ac:dyDescent="0.3">
      <c r="A169" s="30">
        <v>166</v>
      </c>
      <c r="B169" s="30" t="s">
        <v>530</v>
      </c>
      <c r="C169" s="30" t="s">
        <v>142</v>
      </c>
      <c r="D169" s="30" t="s">
        <v>164</v>
      </c>
      <c r="E169" s="30" t="s">
        <v>163</v>
      </c>
      <c r="F169" s="30" t="s">
        <v>165</v>
      </c>
      <c r="G169" s="30" t="s">
        <v>1724</v>
      </c>
      <c r="H169" s="30"/>
      <c r="I169" s="30"/>
      <c r="J169" s="30"/>
      <c r="K169" s="30"/>
      <c r="L169" s="30"/>
      <c r="M169" s="30"/>
      <c r="N169" s="30"/>
      <c r="O169" s="30"/>
      <c r="P169" s="30"/>
      <c r="Q169" s="30"/>
      <c r="R169" s="30"/>
    </row>
    <row r="170" spans="1:18" ht="16.05" customHeight="1" x14ac:dyDescent="0.3">
      <c r="A170" s="28">
        <v>167</v>
      </c>
      <c r="B170" s="28" t="s">
        <v>530</v>
      </c>
      <c r="C170" s="28" t="s">
        <v>146</v>
      </c>
      <c r="D170" s="28" t="s">
        <v>168</v>
      </c>
      <c r="E170" s="28" t="s">
        <v>167</v>
      </c>
      <c r="F170" s="28" t="s">
        <v>169</v>
      </c>
      <c r="G170" s="28" t="s">
        <v>1724</v>
      </c>
      <c r="H170" s="28"/>
      <c r="I170" s="28"/>
      <c r="J170" s="28"/>
      <c r="K170" s="28"/>
      <c r="L170" s="28"/>
      <c r="M170" s="28"/>
      <c r="N170" s="28"/>
      <c r="O170" s="28"/>
      <c r="P170" s="28"/>
      <c r="Q170" s="28"/>
      <c r="R170" s="28"/>
    </row>
    <row r="171" spans="1:18" ht="16.05" customHeight="1" x14ac:dyDescent="0.3">
      <c r="A171" s="30">
        <v>168</v>
      </c>
      <c r="B171" s="30" t="s">
        <v>530</v>
      </c>
      <c r="C171" s="30" t="s">
        <v>147</v>
      </c>
      <c r="D171" s="30" t="s">
        <v>168</v>
      </c>
      <c r="E171" s="30" t="s">
        <v>170</v>
      </c>
      <c r="F171" s="30" t="s">
        <v>165</v>
      </c>
      <c r="G171" s="30" t="s">
        <v>1724</v>
      </c>
      <c r="H171" s="30"/>
      <c r="I171" s="30"/>
      <c r="J171" s="30"/>
      <c r="K171" s="30"/>
      <c r="L171" s="30"/>
      <c r="M171" s="30"/>
      <c r="N171" s="30"/>
      <c r="O171" s="30"/>
      <c r="P171" s="30"/>
      <c r="Q171" s="30"/>
      <c r="R171" s="30"/>
    </row>
    <row r="172" spans="1:18" ht="16.05" customHeight="1" x14ac:dyDescent="0.3">
      <c r="A172" s="28">
        <v>169</v>
      </c>
      <c r="B172" s="28" t="s">
        <v>530</v>
      </c>
      <c r="C172" s="28" t="s">
        <v>146</v>
      </c>
      <c r="D172" s="28" t="s">
        <v>172</v>
      </c>
      <c r="E172" s="28" t="s">
        <v>171</v>
      </c>
      <c r="F172" s="28" t="s">
        <v>173</v>
      </c>
      <c r="G172" s="28" t="s">
        <v>1724</v>
      </c>
      <c r="H172" s="28"/>
      <c r="I172" s="28"/>
      <c r="J172" s="28"/>
      <c r="K172" s="28"/>
      <c r="L172" s="28"/>
      <c r="M172" s="28"/>
      <c r="N172" s="28"/>
      <c r="O172" s="28"/>
      <c r="P172" s="28"/>
      <c r="Q172" s="28"/>
      <c r="R172" s="28"/>
    </row>
    <row r="173" spans="1:18" ht="16.05" customHeight="1" x14ac:dyDescent="0.3">
      <c r="A173" s="30">
        <v>170</v>
      </c>
      <c r="B173" s="30" t="s">
        <v>530</v>
      </c>
      <c r="C173" s="30" t="s">
        <v>143</v>
      </c>
      <c r="D173" s="30" t="s">
        <v>172</v>
      </c>
      <c r="E173" s="30" t="s">
        <v>174</v>
      </c>
      <c r="F173" s="30" t="s">
        <v>169</v>
      </c>
      <c r="G173" s="30" t="s">
        <v>1724</v>
      </c>
      <c r="H173" s="30"/>
      <c r="I173" s="30"/>
      <c r="J173" s="30"/>
      <c r="K173" s="30"/>
      <c r="L173" s="30"/>
      <c r="M173" s="30"/>
      <c r="N173" s="30"/>
      <c r="O173" s="30"/>
      <c r="P173" s="30"/>
      <c r="Q173" s="30"/>
      <c r="R173" s="30"/>
    </row>
    <row r="174" spans="1:18" ht="16.05" customHeight="1" x14ac:dyDescent="0.3">
      <c r="A174" s="28">
        <v>171</v>
      </c>
      <c r="B174" s="28" t="s">
        <v>530</v>
      </c>
      <c r="C174" s="28" t="s">
        <v>143</v>
      </c>
      <c r="D174" s="28" t="s">
        <v>176</v>
      </c>
      <c r="E174" s="28" t="s">
        <v>175</v>
      </c>
      <c r="F174" s="28" t="s">
        <v>165</v>
      </c>
      <c r="G174" s="28" t="s">
        <v>1724</v>
      </c>
      <c r="H174" s="28"/>
      <c r="I174" s="28"/>
      <c r="J174" s="28"/>
      <c r="K174" s="28"/>
      <c r="L174" s="28"/>
      <c r="M174" s="28"/>
      <c r="N174" s="28"/>
      <c r="O174" s="28"/>
      <c r="P174" s="28"/>
      <c r="Q174" s="28"/>
      <c r="R174" s="28"/>
    </row>
    <row r="175" spans="1:18" ht="16.05" customHeight="1" x14ac:dyDescent="0.3">
      <c r="A175" s="30">
        <v>172</v>
      </c>
      <c r="B175" s="30" t="s">
        <v>530</v>
      </c>
      <c r="C175" s="30" t="s">
        <v>144</v>
      </c>
      <c r="D175" s="30" t="s">
        <v>176</v>
      </c>
      <c r="E175" s="30" t="s">
        <v>177</v>
      </c>
      <c r="F175" s="30" t="s">
        <v>173</v>
      </c>
      <c r="G175" s="30" t="s">
        <v>1724</v>
      </c>
      <c r="H175" s="30"/>
      <c r="I175" s="30"/>
      <c r="J175" s="30"/>
      <c r="K175" s="30"/>
      <c r="L175" s="30"/>
      <c r="M175" s="30"/>
      <c r="N175" s="30"/>
      <c r="O175" s="30"/>
      <c r="P175" s="30"/>
      <c r="Q175" s="30"/>
      <c r="R175" s="30"/>
    </row>
    <row r="176" spans="1:18" ht="16.05" customHeight="1" x14ac:dyDescent="0.3">
      <c r="A176" s="28">
        <v>173</v>
      </c>
      <c r="B176" s="28" t="s">
        <v>530</v>
      </c>
      <c r="C176" s="28" t="s">
        <v>145</v>
      </c>
      <c r="D176" s="28" t="s">
        <v>179</v>
      </c>
      <c r="E176" s="28" t="s">
        <v>178</v>
      </c>
      <c r="F176" s="28" t="s">
        <v>165</v>
      </c>
      <c r="G176" s="28" t="s">
        <v>1724</v>
      </c>
      <c r="H176" s="28"/>
      <c r="I176" s="28"/>
      <c r="J176" s="28"/>
      <c r="K176" s="28"/>
      <c r="L176" s="28"/>
      <c r="M176" s="28"/>
      <c r="N176" s="28"/>
      <c r="O176" s="28"/>
      <c r="P176" s="28"/>
      <c r="Q176" s="28"/>
      <c r="R176" s="28"/>
    </row>
    <row r="177" spans="1:18" ht="16.05" customHeight="1" x14ac:dyDescent="0.3">
      <c r="A177" s="30">
        <v>174</v>
      </c>
      <c r="B177" s="30" t="s">
        <v>530</v>
      </c>
      <c r="C177" s="30" t="s">
        <v>146</v>
      </c>
      <c r="D177" s="30" t="s">
        <v>181</v>
      </c>
      <c r="E177" s="30" t="s">
        <v>180</v>
      </c>
      <c r="F177" s="30" t="s">
        <v>182</v>
      </c>
      <c r="G177" s="30" t="s">
        <v>1724</v>
      </c>
      <c r="H177" s="30"/>
      <c r="I177" s="30"/>
      <c r="J177" s="30"/>
      <c r="K177" s="30"/>
      <c r="L177" s="30"/>
      <c r="M177" s="30"/>
      <c r="N177" s="30"/>
      <c r="O177" s="30"/>
      <c r="P177" s="30"/>
      <c r="Q177" s="30"/>
      <c r="R177" s="30"/>
    </row>
    <row r="178" spans="1:18" ht="16.05" customHeight="1" x14ac:dyDescent="0.3">
      <c r="A178" s="28">
        <v>175</v>
      </c>
      <c r="B178" s="28" t="s">
        <v>530</v>
      </c>
      <c r="C178" s="28" t="s">
        <v>148</v>
      </c>
      <c r="D178" s="28" t="s">
        <v>168</v>
      </c>
      <c r="E178" s="28" t="s">
        <v>183</v>
      </c>
      <c r="F178" s="28" t="s">
        <v>169</v>
      </c>
      <c r="G178" s="28" t="s">
        <v>1724</v>
      </c>
      <c r="H178" s="28"/>
      <c r="I178" s="28"/>
      <c r="J178" s="28"/>
      <c r="K178" s="28"/>
      <c r="L178" s="28"/>
      <c r="M178" s="28"/>
      <c r="N178" s="28"/>
      <c r="O178" s="28"/>
      <c r="P178" s="28"/>
      <c r="Q178" s="28"/>
      <c r="R178" s="28"/>
    </row>
    <row r="179" spans="1:18" ht="16.05" customHeight="1" x14ac:dyDescent="0.3">
      <c r="A179" s="30">
        <v>176</v>
      </c>
      <c r="B179" s="30" t="s">
        <v>530</v>
      </c>
      <c r="C179" s="30" t="s">
        <v>147</v>
      </c>
      <c r="D179" s="30" t="s">
        <v>181</v>
      </c>
      <c r="E179" s="30" t="s">
        <v>184</v>
      </c>
      <c r="F179" s="30" t="s">
        <v>169</v>
      </c>
      <c r="G179" s="30" t="s">
        <v>1724</v>
      </c>
      <c r="H179" s="30"/>
      <c r="I179" s="30"/>
      <c r="J179" s="30"/>
      <c r="K179" s="30"/>
      <c r="L179" s="30"/>
      <c r="M179" s="30"/>
      <c r="N179" s="30"/>
      <c r="O179" s="30"/>
      <c r="P179" s="30"/>
      <c r="Q179" s="30"/>
      <c r="R179" s="30"/>
    </row>
    <row r="180" spans="1:18" ht="16.05" customHeight="1" x14ac:dyDescent="0.3">
      <c r="A180" s="28">
        <v>177</v>
      </c>
      <c r="B180" s="28" t="s">
        <v>530</v>
      </c>
      <c r="C180" s="28" t="s">
        <v>148</v>
      </c>
      <c r="D180" s="28" t="s">
        <v>176</v>
      </c>
      <c r="E180" s="28" t="s">
        <v>185</v>
      </c>
      <c r="F180" s="28" t="s">
        <v>169</v>
      </c>
      <c r="G180" s="28" t="s">
        <v>1724</v>
      </c>
      <c r="H180" s="28"/>
      <c r="I180" s="28"/>
      <c r="J180" s="28"/>
      <c r="K180" s="28"/>
      <c r="L180" s="28"/>
      <c r="M180" s="28"/>
      <c r="N180" s="28"/>
      <c r="O180" s="28"/>
      <c r="P180" s="28"/>
      <c r="Q180" s="28"/>
      <c r="R180" s="28"/>
    </row>
    <row r="181" spans="1:18" ht="16.05" customHeight="1" x14ac:dyDescent="0.3">
      <c r="A181" s="30">
        <v>178</v>
      </c>
      <c r="B181" s="30" t="s">
        <v>530</v>
      </c>
      <c r="C181" s="30" t="s">
        <v>152</v>
      </c>
      <c r="D181" s="30" t="s">
        <v>168</v>
      </c>
      <c r="E181" s="30" t="s">
        <v>186</v>
      </c>
      <c r="F181" s="30" t="s">
        <v>173</v>
      </c>
      <c r="G181" s="30" t="s">
        <v>1724</v>
      </c>
      <c r="H181" s="30"/>
      <c r="I181" s="30"/>
      <c r="J181" s="30"/>
      <c r="K181" s="30"/>
      <c r="L181" s="30"/>
      <c r="M181" s="30"/>
      <c r="N181" s="30"/>
      <c r="O181" s="30"/>
      <c r="P181" s="30"/>
      <c r="Q181" s="30"/>
      <c r="R181" s="30"/>
    </row>
    <row r="182" spans="1:18" ht="16.05" customHeight="1" x14ac:dyDescent="0.3">
      <c r="A182" s="28">
        <v>179</v>
      </c>
      <c r="B182" s="28" t="s">
        <v>530</v>
      </c>
      <c r="C182" s="28" t="s">
        <v>151</v>
      </c>
      <c r="D182" s="28" t="s">
        <v>179</v>
      </c>
      <c r="E182" s="28" t="s">
        <v>187</v>
      </c>
      <c r="F182" s="28" t="s">
        <v>165</v>
      </c>
      <c r="G182" s="28" t="s">
        <v>1724</v>
      </c>
      <c r="H182" s="28"/>
      <c r="I182" s="28"/>
      <c r="J182" s="28"/>
      <c r="K182" s="28"/>
      <c r="L182" s="28"/>
      <c r="M182" s="28"/>
      <c r="N182" s="28"/>
      <c r="O182" s="28"/>
      <c r="P182" s="28"/>
      <c r="Q182" s="28"/>
      <c r="R182" s="28"/>
    </row>
    <row r="183" spans="1:18" ht="16.05" customHeight="1" x14ac:dyDescent="0.3">
      <c r="A183" s="30">
        <v>180</v>
      </c>
      <c r="B183" s="30" t="s">
        <v>530</v>
      </c>
      <c r="C183" s="30" t="s">
        <v>143</v>
      </c>
      <c r="D183" s="30" t="s">
        <v>176</v>
      </c>
      <c r="E183" s="30" t="s">
        <v>188</v>
      </c>
      <c r="F183" s="30" t="s">
        <v>165</v>
      </c>
      <c r="G183" s="30" t="s">
        <v>1724</v>
      </c>
      <c r="H183" s="30"/>
      <c r="I183" s="30"/>
      <c r="J183" s="30"/>
      <c r="K183" s="30"/>
      <c r="L183" s="30"/>
      <c r="M183" s="30"/>
      <c r="N183" s="30"/>
      <c r="O183" s="30"/>
      <c r="P183" s="30"/>
      <c r="Q183" s="30"/>
      <c r="R183" s="30"/>
    </row>
    <row r="184" spans="1:18" ht="16.05" customHeight="1" x14ac:dyDescent="0.3">
      <c r="A184" s="28">
        <v>181</v>
      </c>
      <c r="B184" s="28" t="s">
        <v>531</v>
      </c>
      <c r="C184" s="28" t="s">
        <v>142</v>
      </c>
      <c r="D184" s="28" t="s">
        <v>164</v>
      </c>
      <c r="E184" s="28" t="s">
        <v>163</v>
      </c>
      <c r="F184" s="28" t="s">
        <v>165</v>
      </c>
      <c r="G184" s="28" t="s">
        <v>1724</v>
      </c>
      <c r="H184" s="28"/>
      <c r="I184" s="28"/>
      <c r="J184" s="28"/>
      <c r="K184" s="28"/>
      <c r="L184" s="28"/>
      <c r="M184" s="28"/>
      <c r="N184" s="28"/>
      <c r="O184" s="28"/>
      <c r="P184" s="28"/>
      <c r="Q184" s="28"/>
      <c r="R184" s="28"/>
    </row>
    <row r="185" spans="1:18" ht="16.05" customHeight="1" x14ac:dyDescent="0.3">
      <c r="A185" s="30">
        <v>182</v>
      </c>
      <c r="B185" s="30" t="s">
        <v>531</v>
      </c>
      <c r="C185" s="30" t="s">
        <v>146</v>
      </c>
      <c r="D185" s="30" t="s">
        <v>168</v>
      </c>
      <c r="E185" s="30" t="s">
        <v>167</v>
      </c>
      <c r="F185" s="30" t="s">
        <v>169</v>
      </c>
      <c r="G185" s="30" t="s">
        <v>1724</v>
      </c>
      <c r="H185" s="30"/>
      <c r="I185" s="30"/>
      <c r="J185" s="30"/>
      <c r="K185" s="30"/>
      <c r="L185" s="30"/>
      <c r="M185" s="30"/>
      <c r="N185" s="30"/>
      <c r="O185" s="30"/>
      <c r="P185" s="30"/>
      <c r="Q185" s="30"/>
      <c r="R185" s="30"/>
    </row>
    <row r="186" spans="1:18" ht="16.05" customHeight="1" x14ac:dyDescent="0.3">
      <c r="A186" s="28">
        <v>183</v>
      </c>
      <c r="B186" s="28" t="s">
        <v>531</v>
      </c>
      <c r="C186" s="28" t="s">
        <v>147</v>
      </c>
      <c r="D186" s="28" t="s">
        <v>168</v>
      </c>
      <c r="E186" s="28" t="s">
        <v>170</v>
      </c>
      <c r="F186" s="28" t="s">
        <v>165</v>
      </c>
      <c r="G186" s="28" t="s">
        <v>1724</v>
      </c>
      <c r="H186" s="28"/>
      <c r="I186" s="28"/>
      <c r="J186" s="28"/>
      <c r="K186" s="28"/>
      <c r="L186" s="28"/>
      <c r="M186" s="28"/>
      <c r="N186" s="28"/>
      <c r="O186" s="28"/>
      <c r="P186" s="28"/>
      <c r="Q186" s="28"/>
      <c r="R186" s="28"/>
    </row>
    <row r="187" spans="1:18" ht="16.05" customHeight="1" x14ac:dyDescent="0.3">
      <c r="A187" s="30">
        <v>184</v>
      </c>
      <c r="B187" s="30" t="s">
        <v>531</v>
      </c>
      <c r="C187" s="30" t="s">
        <v>146</v>
      </c>
      <c r="D187" s="30" t="s">
        <v>172</v>
      </c>
      <c r="E187" s="30" t="s">
        <v>171</v>
      </c>
      <c r="F187" s="30" t="s">
        <v>173</v>
      </c>
      <c r="G187" s="30" t="s">
        <v>1724</v>
      </c>
      <c r="H187" s="30"/>
      <c r="I187" s="30"/>
      <c r="J187" s="30"/>
      <c r="K187" s="30"/>
      <c r="L187" s="30"/>
      <c r="M187" s="30"/>
      <c r="N187" s="30"/>
      <c r="O187" s="30"/>
      <c r="P187" s="30"/>
      <c r="Q187" s="30"/>
      <c r="R187" s="30"/>
    </row>
    <row r="188" spans="1:18" ht="16.05" customHeight="1" x14ac:dyDescent="0.3">
      <c r="A188" s="28">
        <v>185</v>
      </c>
      <c r="B188" s="28" t="s">
        <v>531</v>
      </c>
      <c r="C188" s="28" t="s">
        <v>143</v>
      </c>
      <c r="D188" s="28" t="s">
        <v>172</v>
      </c>
      <c r="E188" s="28" t="s">
        <v>174</v>
      </c>
      <c r="F188" s="28" t="s">
        <v>169</v>
      </c>
      <c r="G188" s="28" t="s">
        <v>1724</v>
      </c>
      <c r="H188" s="28"/>
      <c r="I188" s="28"/>
      <c r="J188" s="28"/>
      <c r="K188" s="28"/>
      <c r="L188" s="28"/>
      <c r="M188" s="28"/>
      <c r="N188" s="28"/>
      <c r="O188" s="28"/>
      <c r="P188" s="28"/>
      <c r="Q188" s="28"/>
      <c r="R188" s="28"/>
    </row>
    <row r="189" spans="1:18" ht="16.05" customHeight="1" x14ac:dyDescent="0.3">
      <c r="A189" s="30">
        <v>186</v>
      </c>
      <c r="B189" s="30" t="s">
        <v>531</v>
      </c>
      <c r="C189" s="30" t="s">
        <v>143</v>
      </c>
      <c r="D189" s="30" t="s">
        <v>176</v>
      </c>
      <c r="E189" s="30" t="s">
        <v>175</v>
      </c>
      <c r="F189" s="30" t="s">
        <v>165</v>
      </c>
      <c r="G189" s="30" t="s">
        <v>1724</v>
      </c>
      <c r="H189" s="30"/>
      <c r="I189" s="30"/>
      <c r="J189" s="30"/>
      <c r="K189" s="30"/>
      <c r="L189" s="30"/>
      <c r="M189" s="30"/>
      <c r="N189" s="30"/>
      <c r="O189" s="30"/>
      <c r="P189" s="30"/>
      <c r="Q189" s="30"/>
      <c r="R189" s="30"/>
    </row>
    <row r="190" spans="1:18" ht="16.05" customHeight="1" x14ac:dyDescent="0.3">
      <c r="A190" s="28">
        <v>187</v>
      </c>
      <c r="B190" s="28" t="s">
        <v>531</v>
      </c>
      <c r="C190" s="28" t="s">
        <v>144</v>
      </c>
      <c r="D190" s="28" t="s">
        <v>176</v>
      </c>
      <c r="E190" s="28" t="s">
        <v>177</v>
      </c>
      <c r="F190" s="28" t="s">
        <v>173</v>
      </c>
      <c r="G190" s="28" t="s">
        <v>1724</v>
      </c>
      <c r="H190" s="28"/>
      <c r="I190" s="28"/>
      <c r="J190" s="28"/>
      <c r="K190" s="28"/>
      <c r="L190" s="28"/>
      <c r="M190" s="28"/>
      <c r="N190" s="28"/>
      <c r="O190" s="28"/>
      <c r="P190" s="28"/>
      <c r="Q190" s="28"/>
      <c r="R190" s="28"/>
    </row>
    <row r="191" spans="1:18" ht="16.05" customHeight="1" x14ac:dyDescent="0.3">
      <c r="A191" s="30">
        <v>188</v>
      </c>
      <c r="B191" s="30" t="s">
        <v>531</v>
      </c>
      <c r="C191" s="30" t="s">
        <v>145</v>
      </c>
      <c r="D191" s="30" t="s">
        <v>179</v>
      </c>
      <c r="E191" s="30" t="s">
        <v>178</v>
      </c>
      <c r="F191" s="30" t="s">
        <v>165</v>
      </c>
      <c r="G191" s="30" t="s">
        <v>1724</v>
      </c>
      <c r="H191" s="30"/>
      <c r="I191" s="30"/>
      <c r="J191" s="30"/>
      <c r="K191" s="30"/>
      <c r="L191" s="30"/>
      <c r="M191" s="30"/>
      <c r="N191" s="30"/>
      <c r="O191" s="30"/>
      <c r="P191" s="30"/>
      <c r="Q191" s="30"/>
      <c r="R191" s="30"/>
    </row>
    <row r="192" spans="1:18" ht="16.05" customHeight="1" x14ac:dyDescent="0.3">
      <c r="A192" s="28">
        <v>189</v>
      </c>
      <c r="B192" s="28" t="s">
        <v>531</v>
      </c>
      <c r="C192" s="28" t="s">
        <v>146</v>
      </c>
      <c r="D192" s="28" t="s">
        <v>181</v>
      </c>
      <c r="E192" s="28" t="s">
        <v>180</v>
      </c>
      <c r="F192" s="28" t="s">
        <v>182</v>
      </c>
      <c r="G192" s="28" t="s">
        <v>1724</v>
      </c>
      <c r="H192" s="28"/>
      <c r="I192" s="28"/>
      <c r="J192" s="28"/>
      <c r="K192" s="28"/>
      <c r="L192" s="28"/>
      <c r="M192" s="28"/>
      <c r="N192" s="28"/>
      <c r="O192" s="28"/>
      <c r="P192" s="28"/>
      <c r="Q192" s="28"/>
      <c r="R192" s="28"/>
    </row>
    <row r="193" spans="1:18" ht="16.05" customHeight="1" x14ac:dyDescent="0.3">
      <c r="A193" s="30">
        <v>190</v>
      </c>
      <c r="B193" s="30" t="s">
        <v>531</v>
      </c>
      <c r="C193" s="30" t="s">
        <v>148</v>
      </c>
      <c r="D193" s="30" t="s">
        <v>168</v>
      </c>
      <c r="E193" s="30" t="s">
        <v>183</v>
      </c>
      <c r="F193" s="30" t="s">
        <v>169</v>
      </c>
      <c r="G193" s="30" t="s">
        <v>1724</v>
      </c>
      <c r="H193" s="30"/>
      <c r="I193" s="30"/>
      <c r="J193" s="30"/>
      <c r="K193" s="30"/>
      <c r="L193" s="30"/>
      <c r="M193" s="30"/>
      <c r="N193" s="30"/>
      <c r="O193" s="30"/>
      <c r="P193" s="30"/>
      <c r="Q193" s="30"/>
      <c r="R193" s="30"/>
    </row>
    <row r="194" spans="1:18" ht="16.05" customHeight="1" x14ac:dyDescent="0.3">
      <c r="A194" s="28">
        <v>191</v>
      </c>
      <c r="B194" s="28" t="s">
        <v>531</v>
      </c>
      <c r="C194" s="28" t="s">
        <v>147</v>
      </c>
      <c r="D194" s="28" t="s">
        <v>181</v>
      </c>
      <c r="E194" s="28" t="s">
        <v>184</v>
      </c>
      <c r="F194" s="28" t="s">
        <v>169</v>
      </c>
      <c r="G194" s="28" t="s">
        <v>1724</v>
      </c>
      <c r="H194" s="28"/>
      <c r="I194" s="28"/>
      <c r="J194" s="28"/>
      <c r="K194" s="28"/>
      <c r="L194" s="28"/>
      <c r="M194" s="28"/>
      <c r="N194" s="28"/>
      <c r="O194" s="28"/>
      <c r="P194" s="28"/>
      <c r="Q194" s="28"/>
      <c r="R194" s="28"/>
    </row>
    <row r="195" spans="1:18" ht="16.05" customHeight="1" x14ac:dyDescent="0.3">
      <c r="A195" s="30">
        <v>192</v>
      </c>
      <c r="B195" s="30" t="s">
        <v>531</v>
      </c>
      <c r="C195" s="30" t="s">
        <v>148</v>
      </c>
      <c r="D195" s="30" t="s">
        <v>176</v>
      </c>
      <c r="E195" s="30" t="s">
        <v>185</v>
      </c>
      <c r="F195" s="30" t="s">
        <v>169</v>
      </c>
      <c r="G195" s="30" t="s">
        <v>1724</v>
      </c>
      <c r="H195" s="30"/>
      <c r="I195" s="30"/>
      <c r="J195" s="30"/>
      <c r="K195" s="30"/>
      <c r="L195" s="30"/>
      <c r="M195" s="30"/>
      <c r="N195" s="30"/>
      <c r="O195" s="30"/>
      <c r="P195" s="30"/>
      <c r="Q195" s="30"/>
      <c r="R195" s="30"/>
    </row>
    <row r="196" spans="1:18" ht="16.05" customHeight="1" x14ac:dyDescent="0.3">
      <c r="A196" s="28">
        <v>193</v>
      </c>
      <c r="B196" s="28" t="s">
        <v>531</v>
      </c>
      <c r="C196" s="28" t="s">
        <v>152</v>
      </c>
      <c r="D196" s="28" t="s">
        <v>168</v>
      </c>
      <c r="E196" s="28" t="s">
        <v>186</v>
      </c>
      <c r="F196" s="28" t="s">
        <v>173</v>
      </c>
      <c r="G196" s="28" t="s">
        <v>1724</v>
      </c>
      <c r="H196" s="28"/>
      <c r="I196" s="28"/>
      <c r="J196" s="28"/>
      <c r="K196" s="28"/>
      <c r="L196" s="28"/>
      <c r="M196" s="28"/>
      <c r="N196" s="28"/>
      <c r="O196" s="28"/>
      <c r="P196" s="28"/>
      <c r="Q196" s="28"/>
      <c r="R196" s="28"/>
    </row>
    <row r="197" spans="1:18" ht="16.05" customHeight="1" x14ac:dyDescent="0.3">
      <c r="A197" s="30">
        <v>194</v>
      </c>
      <c r="B197" s="30" t="s">
        <v>531</v>
      </c>
      <c r="C197" s="30" t="s">
        <v>151</v>
      </c>
      <c r="D197" s="30" t="s">
        <v>179</v>
      </c>
      <c r="E197" s="30" t="s">
        <v>187</v>
      </c>
      <c r="F197" s="30" t="s">
        <v>165</v>
      </c>
      <c r="G197" s="30" t="s">
        <v>1724</v>
      </c>
      <c r="H197" s="30"/>
      <c r="I197" s="30"/>
      <c r="J197" s="30"/>
      <c r="K197" s="30"/>
      <c r="L197" s="30"/>
      <c r="M197" s="30"/>
      <c r="N197" s="30"/>
      <c r="O197" s="30"/>
      <c r="P197" s="30"/>
      <c r="Q197" s="30"/>
      <c r="R197" s="30"/>
    </row>
    <row r="198" spans="1:18" ht="16.05" customHeight="1" x14ac:dyDescent="0.3">
      <c r="A198" s="28">
        <v>195</v>
      </c>
      <c r="B198" s="28" t="s">
        <v>531</v>
      </c>
      <c r="C198" s="28" t="s">
        <v>143</v>
      </c>
      <c r="D198" s="28" t="s">
        <v>176</v>
      </c>
      <c r="E198" s="28" t="s">
        <v>188</v>
      </c>
      <c r="F198" s="28" t="s">
        <v>165</v>
      </c>
      <c r="G198" s="28" t="s">
        <v>1724</v>
      </c>
      <c r="H198" s="28"/>
      <c r="I198" s="28"/>
      <c r="J198" s="28"/>
      <c r="K198" s="28"/>
      <c r="L198" s="28"/>
      <c r="M198" s="28"/>
      <c r="N198" s="28"/>
      <c r="O198" s="28"/>
      <c r="P198" s="28"/>
      <c r="Q198" s="28"/>
      <c r="R198" s="28"/>
    </row>
    <row r="199" spans="1:18" ht="16.05" customHeight="1" x14ac:dyDescent="0.3">
      <c r="A199" s="30">
        <v>196</v>
      </c>
      <c r="B199" s="30" t="s">
        <v>532</v>
      </c>
      <c r="C199" s="30" t="s">
        <v>142</v>
      </c>
      <c r="D199" s="30" t="s">
        <v>164</v>
      </c>
      <c r="E199" s="30" t="s">
        <v>163</v>
      </c>
      <c r="F199" s="30" t="s">
        <v>165</v>
      </c>
      <c r="G199" s="30" t="s">
        <v>1724</v>
      </c>
      <c r="H199" s="30"/>
      <c r="I199" s="30"/>
      <c r="J199" s="30"/>
      <c r="K199" s="30"/>
      <c r="L199" s="30"/>
      <c r="M199" s="30"/>
      <c r="N199" s="30"/>
      <c r="O199" s="30"/>
      <c r="P199" s="30"/>
      <c r="Q199" s="30"/>
      <c r="R199" s="30"/>
    </row>
    <row r="200" spans="1:18" ht="16.05" customHeight="1" x14ac:dyDescent="0.3">
      <c r="A200" s="28">
        <v>197</v>
      </c>
      <c r="B200" s="28" t="s">
        <v>532</v>
      </c>
      <c r="C200" s="28" t="s">
        <v>146</v>
      </c>
      <c r="D200" s="28" t="s">
        <v>168</v>
      </c>
      <c r="E200" s="28" t="s">
        <v>167</v>
      </c>
      <c r="F200" s="28" t="s">
        <v>169</v>
      </c>
      <c r="G200" s="28" t="s">
        <v>1724</v>
      </c>
      <c r="H200" s="28"/>
      <c r="I200" s="28"/>
      <c r="J200" s="28"/>
      <c r="K200" s="28"/>
      <c r="L200" s="28"/>
      <c r="M200" s="28"/>
      <c r="N200" s="28"/>
      <c r="O200" s="28"/>
      <c r="P200" s="28"/>
      <c r="Q200" s="28"/>
      <c r="R200" s="28"/>
    </row>
    <row r="201" spans="1:18" ht="16.05" customHeight="1" x14ac:dyDescent="0.3">
      <c r="A201" s="30">
        <v>198</v>
      </c>
      <c r="B201" s="30" t="s">
        <v>532</v>
      </c>
      <c r="C201" s="30" t="s">
        <v>147</v>
      </c>
      <c r="D201" s="30" t="s">
        <v>168</v>
      </c>
      <c r="E201" s="30" t="s">
        <v>170</v>
      </c>
      <c r="F201" s="30" t="s">
        <v>165</v>
      </c>
      <c r="G201" s="30" t="s">
        <v>1724</v>
      </c>
      <c r="H201" s="30"/>
      <c r="I201" s="30"/>
      <c r="J201" s="30"/>
      <c r="K201" s="30"/>
      <c r="L201" s="30"/>
      <c r="M201" s="30"/>
      <c r="N201" s="30"/>
      <c r="O201" s="30"/>
      <c r="P201" s="30"/>
      <c r="Q201" s="30"/>
      <c r="R201" s="30"/>
    </row>
    <row r="202" spans="1:18" ht="16.05" customHeight="1" x14ac:dyDescent="0.3">
      <c r="A202" s="28">
        <v>199</v>
      </c>
      <c r="B202" s="28" t="s">
        <v>532</v>
      </c>
      <c r="C202" s="28" t="s">
        <v>146</v>
      </c>
      <c r="D202" s="28" t="s">
        <v>172</v>
      </c>
      <c r="E202" s="28" t="s">
        <v>171</v>
      </c>
      <c r="F202" s="28" t="s">
        <v>173</v>
      </c>
      <c r="G202" s="28" t="s">
        <v>1724</v>
      </c>
      <c r="H202" s="28"/>
      <c r="I202" s="28"/>
      <c r="J202" s="28"/>
      <c r="K202" s="28"/>
      <c r="L202" s="28"/>
      <c r="M202" s="28"/>
      <c r="N202" s="28"/>
      <c r="O202" s="28"/>
      <c r="P202" s="28"/>
      <c r="Q202" s="28"/>
      <c r="R202" s="28"/>
    </row>
    <row r="203" spans="1:18" ht="16.05" customHeight="1" x14ac:dyDescent="0.3">
      <c r="A203" s="30">
        <v>200</v>
      </c>
      <c r="B203" s="30" t="s">
        <v>532</v>
      </c>
      <c r="C203" s="30" t="s">
        <v>143</v>
      </c>
      <c r="D203" s="30" t="s">
        <v>172</v>
      </c>
      <c r="E203" s="30" t="s">
        <v>174</v>
      </c>
      <c r="F203" s="30" t="s">
        <v>169</v>
      </c>
      <c r="G203" s="30" t="s">
        <v>1724</v>
      </c>
      <c r="H203" s="30"/>
      <c r="I203" s="30"/>
      <c r="J203" s="30"/>
      <c r="K203" s="30"/>
      <c r="L203" s="30"/>
      <c r="M203" s="30"/>
      <c r="N203" s="30"/>
      <c r="O203" s="30"/>
      <c r="P203" s="30"/>
      <c r="Q203" s="30"/>
      <c r="R203" s="30"/>
    </row>
    <row r="204" spans="1:18" ht="16.05" customHeight="1" x14ac:dyDescent="0.3">
      <c r="A204" s="28">
        <v>201</v>
      </c>
      <c r="B204" s="28" t="s">
        <v>532</v>
      </c>
      <c r="C204" s="28" t="s">
        <v>143</v>
      </c>
      <c r="D204" s="28" t="s">
        <v>176</v>
      </c>
      <c r="E204" s="28" t="s">
        <v>175</v>
      </c>
      <c r="F204" s="28" t="s">
        <v>165</v>
      </c>
      <c r="G204" s="28" t="s">
        <v>1724</v>
      </c>
      <c r="H204" s="28"/>
      <c r="I204" s="28"/>
      <c r="J204" s="28"/>
      <c r="K204" s="28"/>
      <c r="L204" s="28"/>
      <c r="M204" s="28"/>
      <c r="N204" s="28"/>
      <c r="O204" s="28"/>
      <c r="P204" s="28"/>
      <c r="Q204" s="28"/>
      <c r="R204" s="28"/>
    </row>
    <row r="205" spans="1:18" ht="16.05" customHeight="1" x14ac:dyDescent="0.3">
      <c r="A205" s="30">
        <v>202</v>
      </c>
      <c r="B205" s="30" t="s">
        <v>532</v>
      </c>
      <c r="C205" s="30" t="s">
        <v>144</v>
      </c>
      <c r="D205" s="30" t="s">
        <v>176</v>
      </c>
      <c r="E205" s="30" t="s">
        <v>177</v>
      </c>
      <c r="F205" s="30" t="s">
        <v>173</v>
      </c>
      <c r="G205" s="30" t="s">
        <v>1724</v>
      </c>
      <c r="H205" s="30"/>
      <c r="I205" s="30"/>
      <c r="J205" s="30"/>
      <c r="K205" s="30"/>
      <c r="L205" s="30"/>
      <c r="M205" s="30"/>
      <c r="N205" s="30"/>
      <c r="O205" s="30"/>
      <c r="P205" s="30"/>
      <c r="Q205" s="30"/>
      <c r="R205" s="30"/>
    </row>
    <row r="206" spans="1:18" ht="16.05" customHeight="1" x14ac:dyDescent="0.3">
      <c r="A206" s="28">
        <v>203</v>
      </c>
      <c r="B206" s="28" t="s">
        <v>532</v>
      </c>
      <c r="C206" s="28" t="s">
        <v>145</v>
      </c>
      <c r="D206" s="28" t="s">
        <v>179</v>
      </c>
      <c r="E206" s="28" t="s">
        <v>178</v>
      </c>
      <c r="F206" s="28" t="s">
        <v>165</v>
      </c>
      <c r="G206" s="28" t="s">
        <v>1724</v>
      </c>
      <c r="H206" s="28"/>
      <c r="I206" s="28"/>
      <c r="J206" s="28"/>
      <c r="K206" s="28"/>
      <c r="L206" s="28"/>
      <c r="M206" s="28"/>
      <c r="N206" s="28"/>
      <c r="O206" s="28"/>
      <c r="P206" s="28"/>
      <c r="Q206" s="28"/>
      <c r="R206" s="28"/>
    </row>
    <row r="207" spans="1:18" ht="16.05" customHeight="1" x14ac:dyDescent="0.3">
      <c r="A207" s="30">
        <v>204</v>
      </c>
      <c r="B207" s="30" t="s">
        <v>532</v>
      </c>
      <c r="C207" s="30" t="s">
        <v>146</v>
      </c>
      <c r="D207" s="30" t="s">
        <v>181</v>
      </c>
      <c r="E207" s="30" t="s">
        <v>180</v>
      </c>
      <c r="F207" s="30" t="s">
        <v>182</v>
      </c>
      <c r="G207" s="30" t="s">
        <v>1724</v>
      </c>
      <c r="H207" s="30"/>
      <c r="I207" s="30"/>
      <c r="J207" s="30"/>
      <c r="K207" s="30"/>
      <c r="L207" s="30"/>
      <c r="M207" s="30"/>
      <c r="N207" s="30"/>
      <c r="O207" s="30"/>
      <c r="P207" s="30"/>
      <c r="Q207" s="30"/>
      <c r="R207" s="30"/>
    </row>
    <row r="208" spans="1:18" ht="16.05" customHeight="1" x14ac:dyDescent="0.3">
      <c r="A208" s="28">
        <v>205</v>
      </c>
      <c r="B208" s="28" t="s">
        <v>532</v>
      </c>
      <c r="C208" s="28" t="s">
        <v>148</v>
      </c>
      <c r="D208" s="28" t="s">
        <v>168</v>
      </c>
      <c r="E208" s="28" t="s">
        <v>183</v>
      </c>
      <c r="F208" s="28" t="s">
        <v>169</v>
      </c>
      <c r="G208" s="28" t="s">
        <v>1724</v>
      </c>
      <c r="H208" s="28"/>
      <c r="I208" s="28"/>
      <c r="J208" s="28"/>
      <c r="K208" s="28"/>
      <c r="L208" s="28"/>
      <c r="M208" s="28"/>
      <c r="N208" s="28"/>
      <c r="O208" s="28"/>
      <c r="P208" s="28"/>
      <c r="Q208" s="28"/>
      <c r="R208" s="28"/>
    </row>
    <row r="209" spans="1:18" ht="16.05" customHeight="1" x14ac:dyDescent="0.3">
      <c r="A209" s="30">
        <v>206</v>
      </c>
      <c r="B209" s="30" t="s">
        <v>532</v>
      </c>
      <c r="C209" s="30" t="s">
        <v>147</v>
      </c>
      <c r="D209" s="30" t="s">
        <v>181</v>
      </c>
      <c r="E209" s="30" t="s">
        <v>184</v>
      </c>
      <c r="F209" s="30" t="s">
        <v>169</v>
      </c>
      <c r="G209" s="30" t="s">
        <v>1724</v>
      </c>
      <c r="H209" s="30"/>
      <c r="I209" s="30"/>
      <c r="J209" s="30"/>
      <c r="K209" s="30"/>
      <c r="L209" s="30"/>
      <c r="M209" s="30"/>
      <c r="N209" s="30"/>
      <c r="O209" s="30"/>
      <c r="P209" s="30"/>
      <c r="Q209" s="30"/>
      <c r="R209" s="30"/>
    </row>
    <row r="210" spans="1:18" ht="16.05" customHeight="1" x14ac:dyDescent="0.3">
      <c r="A210" s="28">
        <v>207</v>
      </c>
      <c r="B210" s="28" t="s">
        <v>532</v>
      </c>
      <c r="C210" s="28" t="s">
        <v>148</v>
      </c>
      <c r="D210" s="28" t="s">
        <v>176</v>
      </c>
      <c r="E210" s="28" t="s">
        <v>185</v>
      </c>
      <c r="F210" s="28" t="s">
        <v>169</v>
      </c>
      <c r="G210" s="28" t="s">
        <v>1724</v>
      </c>
      <c r="H210" s="28"/>
      <c r="I210" s="28"/>
      <c r="J210" s="28"/>
      <c r="K210" s="28"/>
      <c r="L210" s="28"/>
      <c r="M210" s="28"/>
      <c r="N210" s="28"/>
      <c r="O210" s="28"/>
      <c r="P210" s="28"/>
      <c r="Q210" s="28"/>
      <c r="R210" s="28"/>
    </row>
    <row r="211" spans="1:18" ht="16.05" customHeight="1" x14ac:dyDescent="0.3">
      <c r="A211" s="30">
        <v>208</v>
      </c>
      <c r="B211" s="30" t="s">
        <v>532</v>
      </c>
      <c r="C211" s="30" t="s">
        <v>152</v>
      </c>
      <c r="D211" s="30" t="s">
        <v>168</v>
      </c>
      <c r="E211" s="30" t="s">
        <v>186</v>
      </c>
      <c r="F211" s="30" t="s">
        <v>173</v>
      </c>
      <c r="G211" s="30" t="s">
        <v>1724</v>
      </c>
      <c r="H211" s="30"/>
      <c r="I211" s="30"/>
      <c r="J211" s="30"/>
      <c r="K211" s="30"/>
      <c r="L211" s="30"/>
      <c r="M211" s="30"/>
      <c r="N211" s="30"/>
      <c r="O211" s="30"/>
      <c r="P211" s="30"/>
      <c r="Q211" s="30"/>
      <c r="R211" s="30"/>
    </row>
    <row r="212" spans="1:18" ht="16.05" customHeight="1" x14ac:dyDescent="0.3">
      <c r="A212" s="28">
        <v>209</v>
      </c>
      <c r="B212" s="28" t="s">
        <v>532</v>
      </c>
      <c r="C212" s="28" t="s">
        <v>151</v>
      </c>
      <c r="D212" s="28" t="s">
        <v>179</v>
      </c>
      <c r="E212" s="28" t="s">
        <v>187</v>
      </c>
      <c r="F212" s="28" t="s">
        <v>165</v>
      </c>
      <c r="G212" s="28" t="s">
        <v>1724</v>
      </c>
      <c r="H212" s="28"/>
      <c r="I212" s="28"/>
      <c r="J212" s="28"/>
      <c r="K212" s="28"/>
      <c r="L212" s="28"/>
      <c r="M212" s="28"/>
      <c r="N212" s="28"/>
      <c r="O212" s="28"/>
      <c r="P212" s="28"/>
      <c r="Q212" s="28"/>
      <c r="R212" s="28"/>
    </row>
    <row r="213" spans="1:18" ht="16.05" customHeight="1" x14ac:dyDescent="0.3">
      <c r="A213" s="30">
        <v>210</v>
      </c>
      <c r="B213" s="30" t="s">
        <v>532</v>
      </c>
      <c r="C213" s="30" t="s">
        <v>143</v>
      </c>
      <c r="D213" s="30" t="s">
        <v>176</v>
      </c>
      <c r="E213" s="30" t="s">
        <v>188</v>
      </c>
      <c r="F213" s="30" t="s">
        <v>165</v>
      </c>
      <c r="G213" s="30" t="s">
        <v>1724</v>
      </c>
      <c r="H213" s="30"/>
      <c r="I213" s="30"/>
      <c r="J213" s="30"/>
      <c r="K213" s="30"/>
      <c r="L213" s="30"/>
      <c r="M213" s="30"/>
      <c r="N213" s="30"/>
      <c r="O213" s="30"/>
      <c r="P213" s="30"/>
      <c r="Q213" s="30"/>
      <c r="R213" s="30"/>
    </row>
    <row r="214" spans="1:18" ht="16.05" customHeight="1" x14ac:dyDescent="0.3">
      <c r="A214" s="28">
        <v>211</v>
      </c>
      <c r="B214" s="28" t="s">
        <v>533</v>
      </c>
      <c r="C214" s="28" t="s">
        <v>142</v>
      </c>
      <c r="D214" s="28" t="s">
        <v>164</v>
      </c>
      <c r="E214" s="28" t="s">
        <v>163</v>
      </c>
      <c r="F214" s="28" t="s">
        <v>165</v>
      </c>
      <c r="G214" s="28" t="s">
        <v>1724</v>
      </c>
      <c r="H214" s="28"/>
      <c r="I214" s="28"/>
      <c r="J214" s="28"/>
      <c r="K214" s="28"/>
      <c r="L214" s="28"/>
      <c r="M214" s="28"/>
      <c r="N214" s="28"/>
      <c r="O214" s="28"/>
      <c r="P214" s="28"/>
      <c r="Q214" s="28"/>
      <c r="R214" s="28"/>
    </row>
    <row r="215" spans="1:18" ht="16.05" customHeight="1" x14ac:dyDescent="0.3">
      <c r="A215" s="30">
        <v>212</v>
      </c>
      <c r="B215" s="30" t="s">
        <v>533</v>
      </c>
      <c r="C215" s="30" t="s">
        <v>146</v>
      </c>
      <c r="D215" s="30" t="s">
        <v>168</v>
      </c>
      <c r="E215" s="30" t="s">
        <v>167</v>
      </c>
      <c r="F215" s="30" t="s">
        <v>169</v>
      </c>
      <c r="G215" s="30" t="s">
        <v>1724</v>
      </c>
      <c r="H215" s="30"/>
      <c r="I215" s="30"/>
      <c r="J215" s="30"/>
      <c r="K215" s="30"/>
      <c r="L215" s="30"/>
      <c r="M215" s="30"/>
      <c r="N215" s="30"/>
      <c r="O215" s="30"/>
      <c r="P215" s="30"/>
      <c r="Q215" s="30"/>
      <c r="R215" s="30"/>
    </row>
    <row r="216" spans="1:18" ht="16.05" customHeight="1" x14ac:dyDescent="0.3">
      <c r="A216" s="28">
        <v>213</v>
      </c>
      <c r="B216" s="28" t="s">
        <v>533</v>
      </c>
      <c r="C216" s="28" t="s">
        <v>147</v>
      </c>
      <c r="D216" s="28" t="s">
        <v>168</v>
      </c>
      <c r="E216" s="28" t="s">
        <v>170</v>
      </c>
      <c r="F216" s="28" t="s">
        <v>165</v>
      </c>
      <c r="G216" s="28" t="s">
        <v>1724</v>
      </c>
      <c r="H216" s="28"/>
      <c r="I216" s="28"/>
      <c r="J216" s="28"/>
      <c r="K216" s="28"/>
      <c r="L216" s="28"/>
      <c r="M216" s="28"/>
      <c r="N216" s="28"/>
      <c r="O216" s="28"/>
      <c r="P216" s="28"/>
      <c r="Q216" s="28"/>
      <c r="R216" s="28"/>
    </row>
    <row r="217" spans="1:18" ht="16.05" customHeight="1" x14ac:dyDescent="0.3">
      <c r="A217" s="30">
        <v>214</v>
      </c>
      <c r="B217" s="30" t="s">
        <v>533</v>
      </c>
      <c r="C217" s="30" t="s">
        <v>146</v>
      </c>
      <c r="D217" s="30" t="s">
        <v>172</v>
      </c>
      <c r="E217" s="30" t="s">
        <v>171</v>
      </c>
      <c r="F217" s="30" t="s">
        <v>173</v>
      </c>
      <c r="G217" s="30" t="s">
        <v>1724</v>
      </c>
      <c r="H217" s="30"/>
      <c r="I217" s="30"/>
      <c r="J217" s="30"/>
      <c r="K217" s="30"/>
      <c r="L217" s="30"/>
      <c r="M217" s="30"/>
      <c r="N217" s="30"/>
      <c r="O217" s="30"/>
      <c r="P217" s="30"/>
      <c r="Q217" s="30"/>
      <c r="R217" s="30"/>
    </row>
    <row r="218" spans="1:18" ht="16.05" customHeight="1" x14ac:dyDescent="0.3">
      <c r="A218" s="28">
        <v>215</v>
      </c>
      <c r="B218" s="28" t="s">
        <v>533</v>
      </c>
      <c r="C218" s="28" t="s">
        <v>143</v>
      </c>
      <c r="D218" s="28" t="s">
        <v>172</v>
      </c>
      <c r="E218" s="28" t="s">
        <v>174</v>
      </c>
      <c r="F218" s="28" t="s">
        <v>169</v>
      </c>
      <c r="G218" s="28" t="s">
        <v>1724</v>
      </c>
      <c r="H218" s="28"/>
      <c r="I218" s="28"/>
      <c r="J218" s="28"/>
      <c r="K218" s="28"/>
      <c r="L218" s="28"/>
      <c r="M218" s="28"/>
      <c r="N218" s="28"/>
      <c r="O218" s="28"/>
      <c r="P218" s="28"/>
      <c r="Q218" s="28"/>
      <c r="R218" s="28"/>
    </row>
    <row r="219" spans="1:18" ht="16.05" customHeight="1" x14ac:dyDescent="0.3">
      <c r="A219" s="30">
        <v>216</v>
      </c>
      <c r="B219" s="30" t="s">
        <v>533</v>
      </c>
      <c r="C219" s="30" t="s">
        <v>143</v>
      </c>
      <c r="D219" s="30" t="s">
        <v>176</v>
      </c>
      <c r="E219" s="30" t="s">
        <v>175</v>
      </c>
      <c r="F219" s="30" t="s">
        <v>165</v>
      </c>
      <c r="G219" s="30" t="s">
        <v>1724</v>
      </c>
      <c r="H219" s="30"/>
      <c r="I219" s="30"/>
      <c r="J219" s="30"/>
      <c r="K219" s="30"/>
      <c r="L219" s="30"/>
      <c r="M219" s="30"/>
      <c r="N219" s="30"/>
      <c r="O219" s="30"/>
      <c r="P219" s="30"/>
      <c r="Q219" s="30"/>
      <c r="R219" s="30"/>
    </row>
    <row r="220" spans="1:18" ht="16.05" customHeight="1" x14ac:dyDescent="0.3">
      <c r="A220" s="28">
        <v>217</v>
      </c>
      <c r="B220" s="28" t="s">
        <v>533</v>
      </c>
      <c r="C220" s="28" t="s">
        <v>144</v>
      </c>
      <c r="D220" s="28" t="s">
        <v>176</v>
      </c>
      <c r="E220" s="28" t="s">
        <v>177</v>
      </c>
      <c r="F220" s="28" t="s">
        <v>173</v>
      </c>
      <c r="G220" s="28" t="s">
        <v>1724</v>
      </c>
      <c r="H220" s="28"/>
      <c r="I220" s="28"/>
      <c r="J220" s="28"/>
      <c r="K220" s="28"/>
      <c r="L220" s="28"/>
      <c r="M220" s="28"/>
      <c r="N220" s="28"/>
      <c r="O220" s="28"/>
      <c r="P220" s="28"/>
      <c r="Q220" s="28"/>
      <c r="R220" s="28"/>
    </row>
    <row r="221" spans="1:18" ht="16.05" customHeight="1" x14ac:dyDescent="0.3">
      <c r="A221" s="30">
        <v>218</v>
      </c>
      <c r="B221" s="30" t="s">
        <v>533</v>
      </c>
      <c r="C221" s="30" t="s">
        <v>145</v>
      </c>
      <c r="D221" s="30" t="s">
        <v>179</v>
      </c>
      <c r="E221" s="30" t="s">
        <v>178</v>
      </c>
      <c r="F221" s="30" t="s">
        <v>165</v>
      </c>
      <c r="G221" s="30" t="s">
        <v>1724</v>
      </c>
      <c r="H221" s="30"/>
      <c r="I221" s="30"/>
      <c r="J221" s="30"/>
      <c r="K221" s="30"/>
      <c r="L221" s="30"/>
      <c r="M221" s="30"/>
      <c r="N221" s="30"/>
      <c r="O221" s="30"/>
      <c r="P221" s="30"/>
      <c r="Q221" s="30"/>
      <c r="R221" s="30"/>
    </row>
    <row r="222" spans="1:18" ht="16.05" customHeight="1" x14ac:dyDescent="0.3">
      <c r="A222" s="28">
        <v>219</v>
      </c>
      <c r="B222" s="28" t="s">
        <v>533</v>
      </c>
      <c r="C222" s="28" t="s">
        <v>146</v>
      </c>
      <c r="D222" s="28" t="s">
        <v>181</v>
      </c>
      <c r="E222" s="28" t="s">
        <v>180</v>
      </c>
      <c r="F222" s="28" t="s">
        <v>182</v>
      </c>
      <c r="G222" s="28" t="s">
        <v>1724</v>
      </c>
      <c r="H222" s="28"/>
      <c r="I222" s="28"/>
      <c r="J222" s="28"/>
      <c r="K222" s="28"/>
      <c r="L222" s="28"/>
      <c r="M222" s="28"/>
      <c r="N222" s="28"/>
      <c r="O222" s="28"/>
      <c r="P222" s="28"/>
      <c r="Q222" s="28"/>
      <c r="R222" s="28"/>
    </row>
    <row r="223" spans="1:18" ht="16.05" customHeight="1" x14ac:dyDescent="0.3">
      <c r="A223" s="30">
        <v>220</v>
      </c>
      <c r="B223" s="30" t="s">
        <v>533</v>
      </c>
      <c r="C223" s="30" t="s">
        <v>148</v>
      </c>
      <c r="D223" s="30" t="s">
        <v>168</v>
      </c>
      <c r="E223" s="30" t="s">
        <v>183</v>
      </c>
      <c r="F223" s="30" t="s">
        <v>169</v>
      </c>
      <c r="G223" s="30" t="s">
        <v>1724</v>
      </c>
      <c r="H223" s="30"/>
      <c r="I223" s="30"/>
      <c r="J223" s="30"/>
      <c r="K223" s="30"/>
      <c r="L223" s="30"/>
      <c r="M223" s="30"/>
      <c r="N223" s="30"/>
      <c r="O223" s="30"/>
      <c r="P223" s="30"/>
      <c r="Q223" s="30"/>
      <c r="R223" s="30"/>
    </row>
    <row r="224" spans="1:18" ht="16.05" customHeight="1" x14ac:dyDescent="0.3">
      <c r="A224" s="28">
        <v>221</v>
      </c>
      <c r="B224" s="28" t="s">
        <v>533</v>
      </c>
      <c r="C224" s="28" t="s">
        <v>147</v>
      </c>
      <c r="D224" s="28" t="s">
        <v>181</v>
      </c>
      <c r="E224" s="28" t="s">
        <v>184</v>
      </c>
      <c r="F224" s="28" t="s">
        <v>169</v>
      </c>
      <c r="G224" s="28" t="s">
        <v>1724</v>
      </c>
      <c r="H224" s="28"/>
      <c r="I224" s="28"/>
      <c r="J224" s="28"/>
      <c r="K224" s="28"/>
      <c r="L224" s="28"/>
      <c r="M224" s="28"/>
      <c r="N224" s="28"/>
      <c r="O224" s="28"/>
      <c r="P224" s="28"/>
      <c r="Q224" s="28"/>
      <c r="R224" s="28"/>
    </row>
    <row r="225" spans="1:18" ht="16.05" customHeight="1" x14ac:dyDescent="0.3">
      <c r="A225" s="30">
        <v>222</v>
      </c>
      <c r="B225" s="30" t="s">
        <v>533</v>
      </c>
      <c r="C225" s="30" t="s">
        <v>148</v>
      </c>
      <c r="D225" s="30" t="s">
        <v>176</v>
      </c>
      <c r="E225" s="30" t="s">
        <v>185</v>
      </c>
      <c r="F225" s="30" t="s">
        <v>169</v>
      </c>
      <c r="G225" s="30" t="s">
        <v>1724</v>
      </c>
      <c r="H225" s="30"/>
      <c r="I225" s="30"/>
      <c r="J225" s="30"/>
      <c r="K225" s="30"/>
      <c r="L225" s="30"/>
      <c r="M225" s="30"/>
      <c r="N225" s="30"/>
      <c r="O225" s="30"/>
      <c r="P225" s="30"/>
      <c r="Q225" s="30"/>
      <c r="R225" s="30"/>
    </row>
    <row r="226" spans="1:18" ht="16.05" customHeight="1" x14ac:dyDescent="0.3">
      <c r="A226" s="28">
        <v>223</v>
      </c>
      <c r="B226" s="28" t="s">
        <v>533</v>
      </c>
      <c r="C226" s="28" t="s">
        <v>152</v>
      </c>
      <c r="D226" s="28" t="s">
        <v>168</v>
      </c>
      <c r="E226" s="28" t="s">
        <v>186</v>
      </c>
      <c r="F226" s="28" t="s">
        <v>173</v>
      </c>
      <c r="G226" s="28" t="s">
        <v>1724</v>
      </c>
      <c r="H226" s="28"/>
      <c r="I226" s="28"/>
      <c r="J226" s="28"/>
      <c r="K226" s="28"/>
      <c r="L226" s="28"/>
      <c r="M226" s="28"/>
      <c r="N226" s="28"/>
      <c r="O226" s="28"/>
      <c r="P226" s="28"/>
      <c r="Q226" s="28"/>
      <c r="R226" s="28"/>
    </row>
    <row r="227" spans="1:18" ht="16.05" customHeight="1" x14ac:dyDescent="0.3">
      <c r="A227" s="30">
        <v>224</v>
      </c>
      <c r="B227" s="30" t="s">
        <v>533</v>
      </c>
      <c r="C227" s="30" t="s">
        <v>151</v>
      </c>
      <c r="D227" s="30" t="s">
        <v>179</v>
      </c>
      <c r="E227" s="30" t="s">
        <v>187</v>
      </c>
      <c r="F227" s="30" t="s">
        <v>165</v>
      </c>
      <c r="G227" s="30" t="s">
        <v>1724</v>
      </c>
      <c r="H227" s="30"/>
      <c r="I227" s="30"/>
      <c r="J227" s="30"/>
      <c r="K227" s="30"/>
      <c r="L227" s="30"/>
      <c r="M227" s="30"/>
      <c r="N227" s="30"/>
      <c r="O227" s="30"/>
      <c r="P227" s="30"/>
      <c r="Q227" s="30"/>
      <c r="R227" s="30"/>
    </row>
    <row r="228" spans="1:18" ht="16.05" customHeight="1" x14ac:dyDescent="0.3">
      <c r="A228" s="28">
        <v>225</v>
      </c>
      <c r="B228" s="28" t="s">
        <v>533</v>
      </c>
      <c r="C228" s="28" t="s">
        <v>143</v>
      </c>
      <c r="D228" s="28" t="s">
        <v>176</v>
      </c>
      <c r="E228" s="28" t="s">
        <v>188</v>
      </c>
      <c r="F228" s="28" t="s">
        <v>165</v>
      </c>
      <c r="G228" s="28" t="s">
        <v>1724</v>
      </c>
      <c r="H228" s="28"/>
      <c r="I228" s="28"/>
      <c r="J228" s="28"/>
      <c r="K228" s="28"/>
      <c r="L228" s="28"/>
      <c r="M228" s="28"/>
      <c r="N228" s="28"/>
      <c r="O228" s="28"/>
      <c r="P228" s="28"/>
      <c r="Q228" s="28"/>
      <c r="R228" s="28"/>
    </row>
    <row r="229" spans="1:18" ht="16.05" customHeight="1" x14ac:dyDescent="0.3">
      <c r="A229" s="30">
        <v>226</v>
      </c>
      <c r="B229" s="30" t="s">
        <v>534</v>
      </c>
      <c r="C229" s="30" t="s">
        <v>142</v>
      </c>
      <c r="D229" s="30" t="s">
        <v>164</v>
      </c>
      <c r="E229" s="30" t="s">
        <v>163</v>
      </c>
      <c r="F229" s="30" t="s">
        <v>165</v>
      </c>
      <c r="G229" s="30" t="s">
        <v>1724</v>
      </c>
      <c r="H229" s="30"/>
      <c r="I229" s="30"/>
      <c r="J229" s="30"/>
      <c r="K229" s="30"/>
      <c r="L229" s="30"/>
      <c r="M229" s="30"/>
      <c r="N229" s="30"/>
      <c r="O229" s="30"/>
      <c r="P229" s="30"/>
      <c r="Q229" s="30"/>
      <c r="R229" s="30"/>
    </row>
    <row r="230" spans="1:18" ht="16.05" customHeight="1" x14ac:dyDescent="0.3">
      <c r="A230" s="28">
        <v>227</v>
      </c>
      <c r="B230" s="28" t="s">
        <v>534</v>
      </c>
      <c r="C230" s="28" t="s">
        <v>146</v>
      </c>
      <c r="D230" s="28" t="s">
        <v>168</v>
      </c>
      <c r="E230" s="28" t="s">
        <v>167</v>
      </c>
      <c r="F230" s="28" t="s">
        <v>169</v>
      </c>
      <c r="G230" s="28" t="s">
        <v>1724</v>
      </c>
      <c r="H230" s="28"/>
      <c r="I230" s="28"/>
      <c r="J230" s="28"/>
      <c r="K230" s="28"/>
      <c r="L230" s="28"/>
      <c r="M230" s="28"/>
      <c r="N230" s="28"/>
      <c r="O230" s="28"/>
      <c r="P230" s="28"/>
      <c r="Q230" s="28"/>
      <c r="R230" s="28"/>
    </row>
    <row r="231" spans="1:18" ht="16.05" customHeight="1" x14ac:dyDescent="0.3">
      <c r="A231" s="30">
        <v>228</v>
      </c>
      <c r="B231" s="30" t="s">
        <v>534</v>
      </c>
      <c r="C231" s="30" t="s">
        <v>147</v>
      </c>
      <c r="D231" s="30" t="s">
        <v>168</v>
      </c>
      <c r="E231" s="30" t="s">
        <v>170</v>
      </c>
      <c r="F231" s="30" t="s">
        <v>165</v>
      </c>
      <c r="G231" s="30" t="s">
        <v>1724</v>
      </c>
      <c r="H231" s="30"/>
      <c r="I231" s="30"/>
      <c r="J231" s="30"/>
      <c r="K231" s="30"/>
      <c r="L231" s="30"/>
      <c r="M231" s="30"/>
      <c r="N231" s="30"/>
      <c r="O231" s="30"/>
      <c r="P231" s="30"/>
      <c r="Q231" s="30"/>
      <c r="R231" s="30"/>
    </row>
    <row r="232" spans="1:18" ht="16.05" customHeight="1" x14ac:dyDescent="0.3">
      <c r="A232" s="28">
        <v>229</v>
      </c>
      <c r="B232" s="28" t="s">
        <v>534</v>
      </c>
      <c r="C232" s="28" t="s">
        <v>146</v>
      </c>
      <c r="D232" s="28" t="s">
        <v>172</v>
      </c>
      <c r="E232" s="28" t="s">
        <v>171</v>
      </c>
      <c r="F232" s="28" t="s">
        <v>173</v>
      </c>
      <c r="G232" s="28" t="s">
        <v>1724</v>
      </c>
      <c r="H232" s="28"/>
      <c r="I232" s="28"/>
      <c r="J232" s="28"/>
      <c r="K232" s="28"/>
      <c r="L232" s="28"/>
      <c r="M232" s="28"/>
      <c r="N232" s="28"/>
      <c r="O232" s="28"/>
      <c r="P232" s="28"/>
      <c r="Q232" s="28"/>
      <c r="R232" s="28"/>
    </row>
    <row r="233" spans="1:18" ht="16.05" customHeight="1" x14ac:dyDescent="0.3">
      <c r="A233" s="30">
        <v>230</v>
      </c>
      <c r="B233" s="30" t="s">
        <v>534</v>
      </c>
      <c r="C233" s="30" t="s">
        <v>143</v>
      </c>
      <c r="D233" s="30" t="s">
        <v>172</v>
      </c>
      <c r="E233" s="30" t="s">
        <v>174</v>
      </c>
      <c r="F233" s="30" t="s">
        <v>169</v>
      </c>
      <c r="G233" s="30" t="s">
        <v>1724</v>
      </c>
      <c r="H233" s="30"/>
      <c r="I233" s="30"/>
      <c r="J233" s="30"/>
      <c r="K233" s="30"/>
      <c r="L233" s="30"/>
      <c r="M233" s="30"/>
      <c r="N233" s="30"/>
      <c r="O233" s="30"/>
      <c r="P233" s="30"/>
      <c r="Q233" s="30"/>
      <c r="R233" s="30"/>
    </row>
    <row r="234" spans="1:18" ht="16.05" customHeight="1" x14ac:dyDescent="0.3">
      <c r="A234" s="28">
        <v>231</v>
      </c>
      <c r="B234" s="28" t="s">
        <v>534</v>
      </c>
      <c r="C234" s="28" t="s">
        <v>143</v>
      </c>
      <c r="D234" s="28" t="s">
        <v>176</v>
      </c>
      <c r="E234" s="28" t="s">
        <v>175</v>
      </c>
      <c r="F234" s="28" t="s">
        <v>165</v>
      </c>
      <c r="G234" s="28" t="s">
        <v>1724</v>
      </c>
      <c r="H234" s="28"/>
      <c r="I234" s="28"/>
      <c r="J234" s="28"/>
      <c r="K234" s="28"/>
      <c r="L234" s="28"/>
      <c r="M234" s="28"/>
      <c r="N234" s="28"/>
      <c r="O234" s="28"/>
      <c r="P234" s="28"/>
      <c r="Q234" s="28"/>
      <c r="R234" s="28"/>
    </row>
    <row r="235" spans="1:18" ht="16.05" customHeight="1" x14ac:dyDescent="0.3">
      <c r="A235" s="30">
        <v>232</v>
      </c>
      <c r="B235" s="30" t="s">
        <v>534</v>
      </c>
      <c r="C235" s="30" t="s">
        <v>144</v>
      </c>
      <c r="D235" s="30" t="s">
        <v>176</v>
      </c>
      <c r="E235" s="30" t="s">
        <v>177</v>
      </c>
      <c r="F235" s="30" t="s">
        <v>173</v>
      </c>
      <c r="G235" s="30" t="s">
        <v>1724</v>
      </c>
      <c r="H235" s="30"/>
      <c r="I235" s="30"/>
      <c r="J235" s="30"/>
      <c r="K235" s="30"/>
      <c r="L235" s="30"/>
      <c r="M235" s="30"/>
      <c r="N235" s="30"/>
      <c r="O235" s="30"/>
      <c r="P235" s="30"/>
      <c r="Q235" s="30"/>
      <c r="R235" s="30"/>
    </row>
    <row r="236" spans="1:18" ht="16.05" customHeight="1" x14ac:dyDescent="0.3">
      <c r="A236" s="28">
        <v>233</v>
      </c>
      <c r="B236" s="28" t="s">
        <v>534</v>
      </c>
      <c r="C236" s="28" t="s">
        <v>145</v>
      </c>
      <c r="D236" s="28" t="s">
        <v>179</v>
      </c>
      <c r="E236" s="28" t="s">
        <v>178</v>
      </c>
      <c r="F236" s="28" t="s">
        <v>165</v>
      </c>
      <c r="G236" s="28" t="s">
        <v>1724</v>
      </c>
      <c r="H236" s="28"/>
      <c r="I236" s="28"/>
      <c r="J236" s="28"/>
      <c r="K236" s="28"/>
      <c r="L236" s="28"/>
      <c r="M236" s="28"/>
      <c r="N236" s="28"/>
      <c r="O236" s="28"/>
      <c r="P236" s="28"/>
      <c r="Q236" s="28"/>
      <c r="R236" s="28"/>
    </row>
    <row r="237" spans="1:18" ht="16.05" customHeight="1" x14ac:dyDescent="0.3">
      <c r="A237" s="30">
        <v>234</v>
      </c>
      <c r="B237" s="30" t="s">
        <v>534</v>
      </c>
      <c r="C237" s="30" t="s">
        <v>146</v>
      </c>
      <c r="D237" s="30" t="s">
        <v>181</v>
      </c>
      <c r="E237" s="30" t="s">
        <v>180</v>
      </c>
      <c r="F237" s="30" t="s">
        <v>182</v>
      </c>
      <c r="G237" s="30" t="s">
        <v>1724</v>
      </c>
      <c r="H237" s="30"/>
      <c r="I237" s="30"/>
      <c r="J237" s="30"/>
      <c r="K237" s="30"/>
      <c r="L237" s="30"/>
      <c r="M237" s="30"/>
      <c r="N237" s="30"/>
      <c r="O237" s="30"/>
      <c r="P237" s="30"/>
      <c r="Q237" s="30"/>
      <c r="R237" s="30"/>
    </row>
    <row r="238" spans="1:18" ht="16.05" customHeight="1" x14ac:dyDescent="0.3">
      <c r="A238" s="28">
        <v>235</v>
      </c>
      <c r="B238" s="28" t="s">
        <v>534</v>
      </c>
      <c r="C238" s="28" t="s">
        <v>148</v>
      </c>
      <c r="D238" s="28" t="s">
        <v>168</v>
      </c>
      <c r="E238" s="28" t="s">
        <v>183</v>
      </c>
      <c r="F238" s="28" t="s">
        <v>169</v>
      </c>
      <c r="G238" s="28" t="s">
        <v>1724</v>
      </c>
      <c r="H238" s="28"/>
      <c r="I238" s="28"/>
      <c r="J238" s="28"/>
      <c r="K238" s="28"/>
      <c r="L238" s="28"/>
      <c r="M238" s="28"/>
      <c r="N238" s="28"/>
      <c r="O238" s="28"/>
      <c r="P238" s="28"/>
      <c r="Q238" s="28"/>
      <c r="R238" s="28"/>
    </row>
    <row r="239" spans="1:18" ht="16.05" customHeight="1" x14ac:dyDescent="0.3">
      <c r="A239" s="30">
        <v>236</v>
      </c>
      <c r="B239" s="30" t="s">
        <v>534</v>
      </c>
      <c r="C239" s="30" t="s">
        <v>147</v>
      </c>
      <c r="D239" s="30" t="s">
        <v>181</v>
      </c>
      <c r="E239" s="30" t="s">
        <v>184</v>
      </c>
      <c r="F239" s="30" t="s">
        <v>169</v>
      </c>
      <c r="G239" s="30" t="s">
        <v>1724</v>
      </c>
      <c r="H239" s="30"/>
      <c r="I239" s="30"/>
      <c r="J239" s="30"/>
      <c r="K239" s="30"/>
      <c r="L239" s="30"/>
      <c r="M239" s="30"/>
      <c r="N239" s="30"/>
      <c r="O239" s="30"/>
      <c r="P239" s="30"/>
      <c r="Q239" s="30"/>
      <c r="R239" s="30"/>
    </row>
    <row r="240" spans="1:18" ht="16.05" customHeight="1" x14ac:dyDescent="0.3">
      <c r="A240" s="28">
        <v>237</v>
      </c>
      <c r="B240" s="28" t="s">
        <v>534</v>
      </c>
      <c r="C240" s="28" t="s">
        <v>148</v>
      </c>
      <c r="D240" s="28" t="s">
        <v>176</v>
      </c>
      <c r="E240" s="28" t="s">
        <v>185</v>
      </c>
      <c r="F240" s="28" t="s">
        <v>169</v>
      </c>
      <c r="G240" s="28" t="s">
        <v>1724</v>
      </c>
      <c r="H240" s="28"/>
      <c r="I240" s="28"/>
      <c r="J240" s="28"/>
      <c r="K240" s="28"/>
      <c r="L240" s="28"/>
      <c r="M240" s="28"/>
      <c r="N240" s="28"/>
      <c r="O240" s="28"/>
      <c r="P240" s="28"/>
      <c r="Q240" s="28"/>
      <c r="R240" s="28"/>
    </row>
    <row r="241" spans="1:18" ht="16.05" customHeight="1" x14ac:dyDescent="0.3">
      <c r="A241" s="30">
        <v>238</v>
      </c>
      <c r="B241" s="30" t="s">
        <v>534</v>
      </c>
      <c r="C241" s="30" t="s">
        <v>152</v>
      </c>
      <c r="D241" s="30" t="s">
        <v>168</v>
      </c>
      <c r="E241" s="30" t="s">
        <v>186</v>
      </c>
      <c r="F241" s="30" t="s">
        <v>173</v>
      </c>
      <c r="G241" s="30" t="s">
        <v>1724</v>
      </c>
      <c r="H241" s="30"/>
      <c r="I241" s="30"/>
      <c r="J241" s="30"/>
      <c r="K241" s="30"/>
      <c r="L241" s="30"/>
      <c r="M241" s="30"/>
      <c r="N241" s="30"/>
      <c r="O241" s="30"/>
      <c r="P241" s="30"/>
      <c r="Q241" s="30"/>
      <c r="R241" s="30"/>
    </row>
    <row r="242" spans="1:18" ht="16.05" customHeight="1" x14ac:dyDescent="0.3">
      <c r="A242" s="28">
        <v>239</v>
      </c>
      <c r="B242" s="28" t="s">
        <v>534</v>
      </c>
      <c r="C242" s="28" t="s">
        <v>151</v>
      </c>
      <c r="D242" s="28" t="s">
        <v>179</v>
      </c>
      <c r="E242" s="28" t="s">
        <v>187</v>
      </c>
      <c r="F242" s="28" t="s">
        <v>165</v>
      </c>
      <c r="G242" s="28" t="s">
        <v>1724</v>
      </c>
      <c r="H242" s="28"/>
      <c r="I242" s="28"/>
      <c r="J242" s="28"/>
      <c r="K242" s="28"/>
      <c r="L242" s="28"/>
      <c r="M242" s="28"/>
      <c r="N242" s="28"/>
      <c r="O242" s="28"/>
      <c r="P242" s="28"/>
      <c r="Q242" s="28"/>
      <c r="R242" s="28"/>
    </row>
    <row r="243" spans="1:18" ht="16.05" customHeight="1" x14ac:dyDescent="0.3">
      <c r="A243" s="30">
        <v>240</v>
      </c>
      <c r="B243" s="30" t="s">
        <v>534</v>
      </c>
      <c r="C243" s="30" t="s">
        <v>143</v>
      </c>
      <c r="D243" s="30" t="s">
        <v>176</v>
      </c>
      <c r="E243" s="30" t="s">
        <v>188</v>
      </c>
      <c r="F243" s="30" t="s">
        <v>165</v>
      </c>
      <c r="G243" s="30" t="s">
        <v>1724</v>
      </c>
      <c r="H243" s="30"/>
      <c r="I243" s="30"/>
      <c r="J243" s="30"/>
      <c r="K243" s="30"/>
      <c r="L243" s="30"/>
      <c r="M243" s="30"/>
      <c r="N243" s="30"/>
      <c r="O243" s="30"/>
      <c r="P243" s="30"/>
      <c r="Q243" s="30"/>
      <c r="R243" s="30"/>
    </row>
    <row r="244" spans="1:18" ht="16.05" customHeight="1" x14ac:dyDescent="0.3">
      <c r="A244" s="28">
        <v>241</v>
      </c>
      <c r="B244" s="28" t="s">
        <v>535</v>
      </c>
      <c r="C244" s="28" t="s">
        <v>142</v>
      </c>
      <c r="D244" s="28" t="s">
        <v>164</v>
      </c>
      <c r="E244" s="28" t="s">
        <v>163</v>
      </c>
      <c r="F244" s="28" t="s">
        <v>165</v>
      </c>
      <c r="G244" s="28" t="s">
        <v>1724</v>
      </c>
      <c r="H244" s="28"/>
      <c r="I244" s="28"/>
      <c r="J244" s="28"/>
      <c r="K244" s="28"/>
      <c r="L244" s="28"/>
      <c r="M244" s="28"/>
      <c r="N244" s="28"/>
      <c r="O244" s="28"/>
      <c r="P244" s="28"/>
      <c r="Q244" s="28"/>
      <c r="R244" s="28"/>
    </row>
    <row r="245" spans="1:18" ht="16.05" customHeight="1" x14ac:dyDescent="0.3">
      <c r="A245" s="30">
        <v>242</v>
      </c>
      <c r="B245" s="30" t="s">
        <v>535</v>
      </c>
      <c r="C245" s="30" t="s">
        <v>146</v>
      </c>
      <c r="D245" s="30" t="s">
        <v>168</v>
      </c>
      <c r="E245" s="30" t="s">
        <v>167</v>
      </c>
      <c r="F245" s="30" t="s">
        <v>169</v>
      </c>
      <c r="G245" s="30" t="s">
        <v>1724</v>
      </c>
      <c r="H245" s="30"/>
      <c r="I245" s="30"/>
      <c r="J245" s="30"/>
      <c r="K245" s="30"/>
      <c r="L245" s="30"/>
      <c r="M245" s="30"/>
      <c r="N245" s="30"/>
      <c r="O245" s="30"/>
      <c r="P245" s="30"/>
      <c r="Q245" s="30"/>
      <c r="R245" s="30"/>
    </row>
    <row r="246" spans="1:18" ht="16.05" customHeight="1" x14ac:dyDescent="0.3">
      <c r="A246" s="28">
        <v>243</v>
      </c>
      <c r="B246" s="28" t="s">
        <v>535</v>
      </c>
      <c r="C246" s="28" t="s">
        <v>147</v>
      </c>
      <c r="D246" s="28" t="s">
        <v>168</v>
      </c>
      <c r="E246" s="28" t="s">
        <v>170</v>
      </c>
      <c r="F246" s="28" t="s">
        <v>165</v>
      </c>
      <c r="G246" s="28" t="s">
        <v>1724</v>
      </c>
      <c r="H246" s="28"/>
      <c r="I246" s="28"/>
      <c r="J246" s="28"/>
      <c r="K246" s="28"/>
      <c r="L246" s="28"/>
      <c r="M246" s="28"/>
      <c r="N246" s="28"/>
      <c r="O246" s="28"/>
      <c r="P246" s="28"/>
      <c r="Q246" s="28"/>
      <c r="R246" s="28"/>
    </row>
    <row r="247" spans="1:18" ht="16.05" customHeight="1" x14ac:dyDescent="0.3">
      <c r="A247" s="30">
        <v>244</v>
      </c>
      <c r="B247" s="30" t="s">
        <v>535</v>
      </c>
      <c r="C247" s="30" t="s">
        <v>146</v>
      </c>
      <c r="D247" s="30" t="s">
        <v>172</v>
      </c>
      <c r="E247" s="30" t="s">
        <v>171</v>
      </c>
      <c r="F247" s="30" t="s">
        <v>173</v>
      </c>
      <c r="G247" s="30" t="s">
        <v>1724</v>
      </c>
      <c r="H247" s="30"/>
      <c r="I247" s="30"/>
      <c r="J247" s="30"/>
      <c r="K247" s="30"/>
      <c r="L247" s="30"/>
      <c r="M247" s="30"/>
      <c r="N247" s="30"/>
      <c r="O247" s="30"/>
      <c r="P247" s="30"/>
      <c r="Q247" s="30"/>
      <c r="R247" s="30"/>
    </row>
    <row r="248" spans="1:18" ht="16.05" customHeight="1" x14ac:dyDescent="0.3">
      <c r="A248" s="28">
        <v>245</v>
      </c>
      <c r="B248" s="28" t="s">
        <v>535</v>
      </c>
      <c r="C248" s="28" t="s">
        <v>143</v>
      </c>
      <c r="D248" s="28" t="s">
        <v>172</v>
      </c>
      <c r="E248" s="28" t="s">
        <v>174</v>
      </c>
      <c r="F248" s="28" t="s">
        <v>169</v>
      </c>
      <c r="G248" s="28" t="s">
        <v>1724</v>
      </c>
      <c r="H248" s="28"/>
      <c r="I248" s="28"/>
      <c r="J248" s="28"/>
      <c r="K248" s="28"/>
      <c r="L248" s="28"/>
      <c r="M248" s="28"/>
      <c r="N248" s="28"/>
      <c r="O248" s="28"/>
      <c r="P248" s="28"/>
      <c r="Q248" s="28"/>
      <c r="R248" s="28"/>
    </row>
    <row r="249" spans="1:18" ht="16.05" customHeight="1" x14ac:dyDescent="0.3">
      <c r="A249" s="30">
        <v>246</v>
      </c>
      <c r="B249" s="30" t="s">
        <v>535</v>
      </c>
      <c r="C249" s="30" t="s">
        <v>143</v>
      </c>
      <c r="D249" s="30" t="s">
        <v>176</v>
      </c>
      <c r="E249" s="30" t="s">
        <v>175</v>
      </c>
      <c r="F249" s="30" t="s">
        <v>165</v>
      </c>
      <c r="G249" s="30" t="s">
        <v>1724</v>
      </c>
      <c r="H249" s="30"/>
      <c r="I249" s="30"/>
      <c r="J249" s="30"/>
      <c r="K249" s="30"/>
      <c r="L249" s="30"/>
      <c r="M249" s="30"/>
      <c r="N249" s="30"/>
      <c r="O249" s="30"/>
      <c r="P249" s="30"/>
      <c r="Q249" s="30"/>
      <c r="R249" s="30"/>
    </row>
    <row r="250" spans="1:18" ht="16.05" customHeight="1" x14ac:dyDescent="0.3">
      <c r="A250" s="28">
        <v>247</v>
      </c>
      <c r="B250" s="28" t="s">
        <v>535</v>
      </c>
      <c r="C250" s="28" t="s">
        <v>144</v>
      </c>
      <c r="D250" s="28" t="s">
        <v>176</v>
      </c>
      <c r="E250" s="28" t="s">
        <v>177</v>
      </c>
      <c r="F250" s="28" t="s">
        <v>173</v>
      </c>
      <c r="G250" s="28" t="s">
        <v>1724</v>
      </c>
      <c r="H250" s="28"/>
      <c r="I250" s="28"/>
      <c r="J250" s="28"/>
      <c r="K250" s="28"/>
      <c r="L250" s="28"/>
      <c r="M250" s="28"/>
      <c r="N250" s="28"/>
      <c r="O250" s="28"/>
      <c r="P250" s="28"/>
      <c r="Q250" s="28"/>
      <c r="R250" s="28"/>
    </row>
    <row r="251" spans="1:18" ht="16.05" customHeight="1" x14ac:dyDescent="0.3">
      <c r="A251" s="30">
        <v>248</v>
      </c>
      <c r="B251" s="30" t="s">
        <v>535</v>
      </c>
      <c r="C251" s="30" t="s">
        <v>145</v>
      </c>
      <c r="D251" s="30" t="s">
        <v>179</v>
      </c>
      <c r="E251" s="30" t="s">
        <v>178</v>
      </c>
      <c r="F251" s="30" t="s">
        <v>165</v>
      </c>
      <c r="G251" s="30" t="s">
        <v>1724</v>
      </c>
      <c r="H251" s="30"/>
      <c r="I251" s="30"/>
      <c r="J251" s="30"/>
      <c r="K251" s="30"/>
      <c r="L251" s="30"/>
      <c r="M251" s="30"/>
      <c r="N251" s="30"/>
      <c r="O251" s="30"/>
      <c r="P251" s="30"/>
      <c r="Q251" s="30"/>
      <c r="R251" s="30"/>
    </row>
    <row r="252" spans="1:18" ht="16.05" customHeight="1" x14ac:dyDescent="0.3">
      <c r="A252" s="28">
        <v>249</v>
      </c>
      <c r="B252" s="28" t="s">
        <v>535</v>
      </c>
      <c r="C252" s="28" t="s">
        <v>146</v>
      </c>
      <c r="D252" s="28" t="s">
        <v>181</v>
      </c>
      <c r="E252" s="28" t="s">
        <v>180</v>
      </c>
      <c r="F252" s="28" t="s">
        <v>182</v>
      </c>
      <c r="G252" s="28" t="s">
        <v>1724</v>
      </c>
      <c r="H252" s="28"/>
      <c r="I252" s="28"/>
      <c r="J252" s="28"/>
      <c r="K252" s="28"/>
      <c r="L252" s="28"/>
      <c r="M252" s="28"/>
      <c r="N252" s="28"/>
      <c r="O252" s="28"/>
      <c r="P252" s="28"/>
      <c r="Q252" s="28"/>
      <c r="R252" s="28"/>
    </row>
    <row r="253" spans="1:18" ht="16.05" customHeight="1" x14ac:dyDescent="0.3">
      <c r="A253" s="30">
        <v>250</v>
      </c>
      <c r="B253" s="30" t="s">
        <v>535</v>
      </c>
      <c r="C253" s="30" t="s">
        <v>148</v>
      </c>
      <c r="D253" s="30" t="s">
        <v>168</v>
      </c>
      <c r="E253" s="30" t="s">
        <v>183</v>
      </c>
      <c r="F253" s="30" t="s">
        <v>169</v>
      </c>
      <c r="G253" s="30" t="s">
        <v>1724</v>
      </c>
      <c r="H253" s="30"/>
      <c r="I253" s="30"/>
      <c r="J253" s="30"/>
      <c r="K253" s="30"/>
      <c r="L253" s="30"/>
      <c r="M253" s="30"/>
      <c r="N253" s="30"/>
      <c r="O253" s="30"/>
      <c r="P253" s="30"/>
      <c r="Q253" s="30"/>
      <c r="R253" s="30"/>
    </row>
    <row r="254" spans="1:18" ht="16.05" customHeight="1" x14ac:dyDescent="0.3">
      <c r="A254" s="28">
        <v>251</v>
      </c>
      <c r="B254" s="28" t="s">
        <v>535</v>
      </c>
      <c r="C254" s="28" t="s">
        <v>147</v>
      </c>
      <c r="D254" s="28" t="s">
        <v>181</v>
      </c>
      <c r="E254" s="28" t="s">
        <v>184</v>
      </c>
      <c r="F254" s="28" t="s">
        <v>169</v>
      </c>
      <c r="G254" s="28" t="s">
        <v>1724</v>
      </c>
      <c r="H254" s="28"/>
      <c r="I254" s="28"/>
      <c r="J254" s="28"/>
      <c r="K254" s="28"/>
      <c r="L254" s="28"/>
      <c r="M254" s="28"/>
      <c r="N254" s="28"/>
      <c r="O254" s="28"/>
      <c r="P254" s="28"/>
      <c r="Q254" s="28"/>
      <c r="R254" s="28"/>
    </row>
    <row r="255" spans="1:18" ht="16.05" customHeight="1" x14ac:dyDescent="0.3">
      <c r="A255" s="30">
        <v>252</v>
      </c>
      <c r="B255" s="30" t="s">
        <v>535</v>
      </c>
      <c r="C255" s="30" t="s">
        <v>148</v>
      </c>
      <c r="D255" s="30" t="s">
        <v>176</v>
      </c>
      <c r="E255" s="30" t="s">
        <v>185</v>
      </c>
      <c r="F255" s="30" t="s">
        <v>169</v>
      </c>
      <c r="G255" s="30" t="s">
        <v>1724</v>
      </c>
      <c r="H255" s="30"/>
      <c r="I255" s="30"/>
      <c r="J255" s="30"/>
      <c r="K255" s="30"/>
      <c r="L255" s="30"/>
      <c r="M255" s="30"/>
      <c r="N255" s="30"/>
      <c r="O255" s="30"/>
      <c r="P255" s="30"/>
      <c r="Q255" s="30"/>
      <c r="R255" s="30"/>
    </row>
    <row r="256" spans="1:18" ht="16.05" customHeight="1" x14ac:dyDescent="0.3">
      <c r="A256" s="28">
        <v>253</v>
      </c>
      <c r="B256" s="28" t="s">
        <v>535</v>
      </c>
      <c r="C256" s="28" t="s">
        <v>152</v>
      </c>
      <c r="D256" s="28" t="s">
        <v>168</v>
      </c>
      <c r="E256" s="28" t="s">
        <v>186</v>
      </c>
      <c r="F256" s="28" t="s">
        <v>173</v>
      </c>
      <c r="G256" s="28" t="s">
        <v>1724</v>
      </c>
      <c r="H256" s="28"/>
      <c r="I256" s="28"/>
      <c r="J256" s="28"/>
      <c r="K256" s="28"/>
      <c r="L256" s="28"/>
      <c r="M256" s="28"/>
      <c r="N256" s="28"/>
      <c r="O256" s="28"/>
      <c r="P256" s="28"/>
      <c r="Q256" s="28"/>
      <c r="R256" s="28"/>
    </row>
    <row r="257" spans="1:18" ht="16.05" customHeight="1" x14ac:dyDescent="0.3">
      <c r="A257" s="30">
        <v>254</v>
      </c>
      <c r="B257" s="30" t="s">
        <v>535</v>
      </c>
      <c r="C257" s="30" t="s">
        <v>151</v>
      </c>
      <c r="D257" s="30" t="s">
        <v>179</v>
      </c>
      <c r="E257" s="30" t="s">
        <v>187</v>
      </c>
      <c r="F257" s="30" t="s">
        <v>165</v>
      </c>
      <c r="G257" s="30" t="s">
        <v>1724</v>
      </c>
      <c r="H257" s="30"/>
      <c r="I257" s="30"/>
      <c r="J257" s="30"/>
      <c r="K257" s="30"/>
      <c r="L257" s="30"/>
      <c r="M257" s="30"/>
      <c r="N257" s="30"/>
      <c r="O257" s="30"/>
      <c r="P257" s="30"/>
      <c r="Q257" s="30"/>
      <c r="R257" s="30"/>
    </row>
    <row r="258" spans="1:18" ht="16.05" customHeight="1" x14ac:dyDescent="0.3">
      <c r="A258" s="28">
        <v>255</v>
      </c>
      <c r="B258" s="28" t="s">
        <v>535</v>
      </c>
      <c r="C258" s="28" t="s">
        <v>143</v>
      </c>
      <c r="D258" s="28" t="s">
        <v>176</v>
      </c>
      <c r="E258" s="28" t="s">
        <v>188</v>
      </c>
      <c r="F258" s="28" t="s">
        <v>165</v>
      </c>
      <c r="G258" s="28" t="s">
        <v>1724</v>
      </c>
      <c r="H258" s="28"/>
      <c r="I258" s="28"/>
      <c r="J258" s="28"/>
      <c r="K258" s="28"/>
      <c r="L258" s="28"/>
      <c r="M258" s="28"/>
      <c r="N258" s="28"/>
      <c r="O258" s="28"/>
      <c r="P258" s="28"/>
      <c r="Q258" s="28"/>
      <c r="R258" s="28"/>
    </row>
    <row r="259" spans="1:18" ht="16.05" customHeight="1" x14ac:dyDescent="0.3">
      <c r="A259" s="30">
        <v>256</v>
      </c>
      <c r="B259" s="30" t="s">
        <v>536</v>
      </c>
      <c r="C259" s="30" t="s">
        <v>142</v>
      </c>
      <c r="D259" s="30" t="s">
        <v>164</v>
      </c>
      <c r="E259" s="30" t="s">
        <v>163</v>
      </c>
      <c r="F259" s="30" t="s">
        <v>165</v>
      </c>
      <c r="G259" s="30" t="s">
        <v>1724</v>
      </c>
      <c r="H259" s="30"/>
      <c r="I259" s="30"/>
      <c r="J259" s="30"/>
      <c r="K259" s="30"/>
      <c r="L259" s="30"/>
      <c r="M259" s="30"/>
      <c r="N259" s="30"/>
      <c r="O259" s="30"/>
      <c r="P259" s="30"/>
      <c r="Q259" s="30"/>
      <c r="R259" s="30"/>
    </row>
    <row r="260" spans="1:18" ht="16.05" customHeight="1" x14ac:dyDescent="0.3">
      <c r="A260" s="28">
        <v>257</v>
      </c>
      <c r="B260" s="28" t="s">
        <v>536</v>
      </c>
      <c r="C260" s="28" t="s">
        <v>146</v>
      </c>
      <c r="D260" s="28" t="s">
        <v>168</v>
      </c>
      <c r="E260" s="28" t="s">
        <v>167</v>
      </c>
      <c r="F260" s="28" t="s">
        <v>169</v>
      </c>
      <c r="G260" s="28" t="s">
        <v>1724</v>
      </c>
      <c r="H260" s="28"/>
      <c r="I260" s="28"/>
      <c r="J260" s="28"/>
      <c r="K260" s="28"/>
      <c r="L260" s="28"/>
      <c r="M260" s="28"/>
      <c r="N260" s="28"/>
      <c r="O260" s="28"/>
      <c r="P260" s="28"/>
      <c r="Q260" s="28"/>
      <c r="R260" s="28"/>
    </row>
    <row r="261" spans="1:18" ht="16.05" customHeight="1" x14ac:dyDescent="0.3">
      <c r="A261" s="30">
        <v>258</v>
      </c>
      <c r="B261" s="30" t="s">
        <v>536</v>
      </c>
      <c r="C261" s="30" t="s">
        <v>147</v>
      </c>
      <c r="D261" s="30" t="s">
        <v>168</v>
      </c>
      <c r="E261" s="30" t="s">
        <v>170</v>
      </c>
      <c r="F261" s="30" t="s">
        <v>165</v>
      </c>
      <c r="G261" s="30" t="s">
        <v>1724</v>
      </c>
      <c r="H261" s="30"/>
      <c r="I261" s="30"/>
      <c r="J261" s="30"/>
      <c r="K261" s="30"/>
      <c r="L261" s="30"/>
      <c r="M261" s="30"/>
      <c r="N261" s="30"/>
      <c r="O261" s="30"/>
      <c r="P261" s="30"/>
      <c r="Q261" s="30"/>
      <c r="R261" s="30"/>
    </row>
    <row r="262" spans="1:18" ht="16.05" customHeight="1" x14ac:dyDescent="0.3">
      <c r="A262" s="28">
        <v>259</v>
      </c>
      <c r="B262" s="28" t="s">
        <v>536</v>
      </c>
      <c r="C262" s="28" t="s">
        <v>146</v>
      </c>
      <c r="D262" s="28" t="s">
        <v>172</v>
      </c>
      <c r="E262" s="28" t="s">
        <v>171</v>
      </c>
      <c r="F262" s="28" t="s">
        <v>173</v>
      </c>
      <c r="G262" s="28" t="s">
        <v>1724</v>
      </c>
      <c r="H262" s="28"/>
      <c r="I262" s="28"/>
      <c r="J262" s="28"/>
      <c r="K262" s="28"/>
      <c r="L262" s="28"/>
      <c r="M262" s="28"/>
      <c r="N262" s="28"/>
      <c r="O262" s="28"/>
      <c r="P262" s="28"/>
      <c r="Q262" s="28"/>
      <c r="R262" s="28"/>
    </row>
    <row r="263" spans="1:18" ht="16.05" customHeight="1" x14ac:dyDescent="0.3">
      <c r="A263" s="30">
        <v>260</v>
      </c>
      <c r="B263" s="30" t="s">
        <v>536</v>
      </c>
      <c r="C263" s="30" t="s">
        <v>143</v>
      </c>
      <c r="D263" s="30" t="s">
        <v>172</v>
      </c>
      <c r="E263" s="30" t="s">
        <v>174</v>
      </c>
      <c r="F263" s="30" t="s">
        <v>169</v>
      </c>
      <c r="G263" s="30" t="s">
        <v>1724</v>
      </c>
      <c r="H263" s="30"/>
      <c r="I263" s="30"/>
      <c r="J263" s="30"/>
      <c r="K263" s="30"/>
      <c r="L263" s="30"/>
      <c r="M263" s="30"/>
      <c r="N263" s="30"/>
      <c r="O263" s="30"/>
      <c r="P263" s="30"/>
      <c r="Q263" s="30"/>
      <c r="R263" s="30"/>
    </row>
    <row r="264" spans="1:18" ht="16.05" customHeight="1" x14ac:dyDescent="0.3">
      <c r="A264" s="28">
        <v>261</v>
      </c>
      <c r="B264" s="28" t="s">
        <v>536</v>
      </c>
      <c r="C264" s="28" t="s">
        <v>143</v>
      </c>
      <c r="D264" s="28" t="s">
        <v>176</v>
      </c>
      <c r="E264" s="28" t="s">
        <v>175</v>
      </c>
      <c r="F264" s="28" t="s">
        <v>165</v>
      </c>
      <c r="G264" s="28" t="s">
        <v>1724</v>
      </c>
      <c r="H264" s="28"/>
      <c r="I264" s="28"/>
      <c r="J264" s="28"/>
      <c r="K264" s="28"/>
      <c r="L264" s="28"/>
      <c r="M264" s="28"/>
      <c r="N264" s="28"/>
      <c r="O264" s="28"/>
      <c r="P264" s="28"/>
      <c r="Q264" s="28"/>
      <c r="R264" s="28"/>
    </row>
    <row r="265" spans="1:18" ht="16.05" customHeight="1" x14ac:dyDescent="0.3">
      <c r="A265" s="30">
        <v>262</v>
      </c>
      <c r="B265" s="30" t="s">
        <v>536</v>
      </c>
      <c r="C265" s="30" t="s">
        <v>144</v>
      </c>
      <c r="D265" s="30" t="s">
        <v>176</v>
      </c>
      <c r="E265" s="30" t="s">
        <v>177</v>
      </c>
      <c r="F265" s="30" t="s">
        <v>173</v>
      </c>
      <c r="G265" s="30" t="s">
        <v>1724</v>
      </c>
      <c r="H265" s="30"/>
      <c r="I265" s="30"/>
      <c r="J265" s="30"/>
      <c r="K265" s="30"/>
      <c r="L265" s="30"/>
      <c r="M265" s="30"/>
      <c r="N265" s="30"/>
      <c r="O265" s="30"/>
      <c r="P265" s="30"/>
      <c r="Q265" s="30"/>
      <c r="R265" s="30"/>
    </row>
    <row r="266" spans="1:18" ht="16.05" customHeight="1" x14ac:dyDescent="0.3">
      <c r="A266" s="28">
        <v>263</v>
      </c>
      <c r="B266" s="28" t="s">
        <v>536</v>
      </c>
      <c r="C266" s="28" t="s">
        <v>145</v>
      </c>
      <c r="D266" s="28" t="s">
        <v>179</v>
      </c>
      <c r="E266" s="28" t="s">
        <v>178</v>
      </c>
      <c r="F266" s="28" t="s">
        <v>165</v>
      </c>
      <c r="G266" s="28" t="s">
        <v>1724</v>
      </c>
      <c r="H266" s="28"/>
      <c r="I266" s="28"/>
      <c r="J266" s="28"/>
      <c r="K266" s="28"/>
      <c r="L266" s="28"/>
      <c r="M266" s="28"/>
      <c r="N266" s="28"/>
      <c r="O266" s="28"/>
      <c r="P266" s="28"/>
      <c r="Q266" s="28"/>
      <c r="R266" s="28"/>
    </row>
    <row r="267" spans="1:18" ht="16.05" customHeight="1" x14ac:dyDescent="0.3">
      <c r="A267" s="30">
        <v>264</v>
      </c>
      <c r="B267" s="30" t="s">
        <v>536</v>
      </c>
      <c r="C267" s="30" t="s">
        <v>146</v>
      </c>
      <c r="D267" s="30" t="s">
        <v>181</v>
      </c>
      <c r="E267" s="30" t="s">
        <v>180</v>
      </c>
      <c r="F267" s="30" t="s">
        <v>182</v>
      </c>
      <c r="G267" s="30" t="s">
        <v>1724</v>
      </c>
      <c r="H267" s="30"/>
      <c r="I267" s="30"/>
      <c r="J267" s="30"/>
      <c r="K267" s="30"/>
      <c r="L267" s="30"/>
      <c r="M267" s="30"/>
      <c r="N267" s="30"/>
      <c r="O267" s="30"/>
      <c r="P267" s="30"/>
      <c r="Q267" s="30"/>
      <c r="R267" s="30"/>
    </row>
    <row r="268" spans="1:18" ht="16.05" customHeight="1" x14ac:dyDescent="0.3">
      <c r="A268" s="28">
        <v>265</v>
      </c>
      <c r="B268" s="28" t="s">
        <v>536</v>
      </c>
      <c r="C268" s="28" t="s">
        <v>148</v>
      </c>
      <c r="D268" s="28" t="s">
        <v>168</v>
      </c>
      <c r="E268" s="28" t="s">
        <v>183</v>
      </c>
      <c r="F268" s="28" t="s">
        <v>169</v>
      </c>
      <c r="G268" s="28" t="s">
        <v>1724</v>
      </c>
      <c r="H268" s="28"/>
      <c r="I268" s="28"/>
      <c r="J268" s="28"/>
      <c r="K268" s="28"/>
      <c r="L268" s="28"/>
      <c r="M268" s="28"/>
      <c r="N268" s="28"/>
      <c r="O268" s="28"/>
      <c r="P268" s="28"/>
      <c r="Q268" s="28"/>
      <c r="R268" s="28"/>
    </row>
    <row r="269" spans="1:18" ht="16.05" customHeight="1" x14ac:dyDescent="0.3">
      <c r="A269" s="30">
        <v>266</v>
      </c>
      <c r="B269" s="30" t="s">
        <v>536</v>
      </c>
      <c r="C269" s="30" t="s">
        <v>147</v>
      </c>
      <c r="D269" s="30" t="s">
        <v>181</v>
      </c>
      <c r="E269" s="30" t="s">
        <v>184</v>
      </c>
      <c r="F269" s="30" t="s">
        <v>169</v>
      </c>
      <c r="G269" s="30" t="s">
        <v>1724</v>
      </c>
      <c r="H269" s="30"/>
      <c r="I269" s="30"/>
      <c r="J269" s="30"/>
      <c r="K269" s="30"/>
      <c r="L269" s="30"/>
      <c r="M269" s="30"/>
      <c r="N269" s="30"/>
      <c r="O269" s="30"/>
      <c r="P269" s="30"/>
      <c r="Q269" s="30"/>
      <c r="R269" s="30"/>
    </row>
    <row r="270" spans="1:18" ht="16.05" customHeight="1" x14ac:dyDescent="0.3">
      <c r="A270" s="28">
        <v>267</v>
      </c>
      <c r="B270" s="28" t="s">
        <v>536</v>
      </c>
      <c r="C270" s="28" t="s">
        <v>148</v>
      </c>
      <c r="D270" s="28" t="s">
        <v>176</v>
      </c>
      <c r="E270" s="28" t="s">
        <v>185</v>
      </c>
      <c r="F270" s="28" t="s">
        <v>169</v>
      </c>
      <c r="G270" s="28" t="s">
        <v>1724</v>
      </c>
      <c r="H270" s="28"/>
      <c r="I270" s="28"/>
      <c r="J270" s="28"/>
      <c r="K270" s="28"/>
      <c r="L270" s="28"/>
      <c r="M270" s="28"/>
      <c r="N270" s="28"/>
      <c r="O270" s="28"/>
      <c r="P270" s="28"/>
      <c r="Q270" s="28"/>
      <c r="R270" s="28"/>
    </row>
    <row r="271" spans="1:18" ht="16.05" customHeight="1" x14ac:dyDescent="0.3">
      <c r="A271" s="30">
        <v>268</v>
      </c>
      <c r="B271" s="30" t="s">
        <v>536</v>
      </c>
      <c r="C271" s="30" t="s">
        <v>152</v>
      </c>
      <c r="D271" s="30" t="s">
        <v>168</v>
      </c>
      <c r="E271" s="30" t="s">
        <v>186</v>
      </c>
      <c r="F271" s="30" t="s">
        <v>173</v>
      </c>
      <c r="G271" s="30" t="s">
        <v>1724</v>
      </c>
      <c r="H271" s="30"/>
      <c r="I271" s="30"/>
      <c r="J271" s="30"/>
      <c r="K271" s="30"/>
      <c r="L271" s="30"/>
      <c r="M271" s="30"/>
      <c r="N271" s="30"/>
      <c r="O271" s="30"/>
      <c r="P271" s="30"/>
      <c r="Q271" s="30"/>
      <c r="R271" s="30"/>
    </row>
    <row r="272" spans="1:18" ht="16.05" customHeight="1" x14ac:dyDescent="0.3">
      <c r="A272" s="28">
        <v>269</v>
      </c>
      <c r="B272" s="28" t="s">
        <v>536</v>
      </c>
      <c r="C272" s="28" t="s">
        <v>151</v>
      </c>
      <c r="D272" s="28" t="s">
        <v>179</v>
      </c>
      <c r="E272" s="28" t="s">
        <v>187</v>
      </c>
      <c r="F272" s="28" t="s">
        <v>165</v>
      </c>
      <c r="G272" s="28" t="s">
        <v>1724</v>
      </c>
      <c r="H272" s="28"/>
      <c r="I272" s="28"/>
      <c r="J272" s="28"/>
      <c r="K272" s="28"/>
      <c r="L272" s="28"/>
      <c r="M272" s="28"/>
      <c r="N272" s="28"/>
      <c r="O272" s="28"/>
      <c r="P272" s="28"/>
      <c r="Q272" s="28"/>
      <c r="R272" s="28"/>
    </row>
    <row r="273" spans="1:18" ht="16.05" customHeight="1" x14ac:dyDescent="0.3">
      <c r="A273" s="30">
        <v>270</v>
      </c>
      <c r="B273" s="30" t="s">
        <v>536</v>
      </c>
      <c r="C273" s="30" t="s">
        <v>143</v>
      </c>
      <c r="D273" s="30" t="s">
        <v>176</v>
      </c>
      <c r="E273" s="30" t="s">
        <v>188</v>
      </c>
      <c r="F273" s="30" t="s">
        <v>165</v>
      </c>
      <c r="G273" s="30" t="s">
        <v>1724</v>
      </c>
      <c r="H273" s="30"/>
      <c r="I273" s="30"/>
      <c r="J273" s="30"/>
      <c r="K273" s="30"/>
      <c r="L273" s="30"/>
      <c r="M273" s="30"/>
      <c r="N273" s="30"/>
      <c r="O273" s="30"/>
      <c r="P273" s="30"/>
      <c r="Q273" s="30"/>
      <c r="R273" s="30"/>
    </row>
    <row r="274" spans="1:18" ht="16.05" customHeight="1" x14ac:dyDescent="0.3">
      <c r="A274" s="28">
        <v>271</v>
      </c>
      <c r="B274" s="28" t="s">
        <v>537</v>
      </c>
      <c r="C274" s="28" t="s">
        <v>142</v>
      </c>
      <c r="D274" s="28" t="s">
        <v>164</v>
      </c>
      <c r="E274" s="28" t="s">
        <v>163</v>
      </c>
      <c r="F274" s="28" t="s">
        <v>165</v>
      </c>
      <c r="G274" s="28" t="s">
        <v>1724</v>
      </c>
      <c r="H274" s="28"/>
      <c r="I274" s="28"/>
      <c r="J274" s="28"/>
      <c r="K274" s="28"/>
      <c r="L274" s="28"/>
      <c r="M274" s="28"/>
      <c r="N274" s="28"/>
      <c r="O274" s="28"/>
      <c r="P274" s="28"/>
      <c r="Q274" s="28"/>
      <c r="R274" s="28"/>
    </row>
    <row r="275" spans="1:18" ht="16.05" customHeight="1" x14ac:dyDescent="0.3">
      <c r="A275" s="30">
        <v>272</v>
      </c>
      <c r="B275" s="30" t="s">
        <v>537</v>
      </c>
      <c r="C275" s="30" t="s">
        <v>146</v>
      </c>
      <c r="D275" s="30" t="s">
        <v>168</v>
      </c>
      <c r="E275" s="30" t="s">
        <v>167</v>
      </c>
      <c r="F275" s="30" t="s">
        <v>169</v>
      </c>
      <c r="G275" s="30" t="s">
        <v>1724</v>
      </c>
      <c r="H275" s="30"/>
      <c r="I275" s="30"/>
      <c r="J275" s="30"/>
      <c r="K275" s="30"/>
      <c r="L275" s="30"/>
      <c r="M275" s="30"/>
      <c r="N275" s="30"/>
      <c r="O275" s="30"/>
      <c r="P275" s="30"/>
      <c r="Q275" s="30"/>
      <c r="R275" s="30"/>
    </row>
    <row r="276" spans="1:18" ht="16.05" customHeight="1" x14ac:dyDescent="0.3">
      <c r="A276" s="28">
        <v>273</v>
      </c>
      <c r="B276" s="28" t="s">
        <v>537</v>
      </c>
      <c r="C276" s="28" t="s">
        <v>147</v>
      </c>
      <c r="D276" s="28" t="s">
        <v>168</v>
      </c>
      <c r="E276" s="28" t="s">
        <v>170</v>
      </c>
      <c r="F276" s="28" t="s">
        <v>165</v>
      </c>
      <c r="G276" s="28" t="s">
        <v>1724</v>
      </c>
      <c r="H276" s="28"/>
      <c r="I276" s="28"/>
      <c r="J276" s="28"/>
      <c r="K276" s="28"/>
      <c r="L276" s="28"/>
      <c r="M276" s="28"/>
      <c r="N276" s="28"/>
      <c r="O276" s="28"/>
      <c r="P276" s="28"/>
      <c r="Q276" s="28"/>
      <c r="R276" s="28"/>
    </row>
    <row r="277" spans="1:18" ht="16.05" customHeight="1" x14ac:dyDescent="0.3">
      <c r="A277" s="30">
        <v>274</v>
      </c>
      <c r="B277" s="30" t="s">
        <v>537</v>
      </c>
      <c r="C277" s="30" t="s">
        <v>146</v>
      </c>
      <c r="D277" s="30" t="s">
        <v>172</v>
      </c>
      <c r="E277" s="30" t="s">
        <v>171</v>
      </c>
      <c r="F277" s="30" t="s">
        <v>173</v>
      </c>
      <c r="G277" s="30" t="s">
        <v>1724</v>
      </c>
      <c r="H277" s="30"/>
      <c r="I277" s="30"/>
      <c r="J277" s="30"/>
      <c r="K277" s="30"/>
      <c r="L277" s="30"/>
      <c r="M277" s="30"/>
      <c r="N277" s="30"/>
      <c r="O277" s="30"/>
      <c r="P277" s="30"/>
      <c r="Q277" s="30"/>
      <c r="R277" s="30"/>
    </row>
    <row r="278" spans="1:18" ht="16.05" customHeight="1" x14ac:dyDescent="0.3">
      <c r="A278" s="28">
        <v>275</v>
      </c>
      <c r="B278" s="28" t="s">
        <v>537</v>
      </c>
      <c r="C278" s="28" t="s">
        <v>143</v>
      </c>
      <c r="D278" s="28" t="s">
        <v>172</v>
      </c>
      <c r="E278" s="28" t="s">
        <v>174</v>
      </c>
      <c r="F278" s="28" t="s">
        <v>169</v>
      </c>
      <c r="G278" s="28" t="s">
        <v>1724</v>
      </c>
      <c r="H278" s="28"/>
      <c r="I278" s="28"/>
      <c r="J278" s="28"/>
      <c r="K278" s="28"/>
      <c r="L278" s="28"/>
      <c r="M278" s="28"/>
      <c r="N278" s="28"/>
      <c r="O278" s="28"/>
      <c r="P278" s="28"/>
      <c r="Q278" s="28"/>
      <c r="R278" s="28"/>
    </row>
    <row r="279" spans="1:18" ht="16.05" customHeight="1" x14ac:dyDescent="0.3">
      <c r="A279" s="30">
        <v>276</v>
      </c>
      <c r="B279" s="30" t="s">
        <v>537</v>
      </c>
      <c r="C279" s="30" t="s">
        <v>143</v>
      </c>
      <c r="D279" s="30" t="s">
        <v>176</v>
      </c>
      <c r="E279" s="30" t="s">
        <v>175</v>
      </c>
      <c r="F279" s="30" t="s">
        <v>165</v>
      </c>
      <c r="G279" s="30" t="s">
        <v>1724</v>
      </c>
      <c r="H279" s="30"/>
      <c r="I279" s="30"/>
      <c r="J279" s="30"/>
      <c r="K279" s="30"/>
      <c r="L279" s="30"/>
      <c r="M279" s="30"/>
      <c r="N279" s="30"/>
      <c r="O279" s="30"/>
      <c r="P279" s="30"/>
      <c r="Q279" s="30"/>
      <c r="R279" s="30"/>
    </row>
    <row r="280" spans="1:18" ht="16.05" customHeight="1" x14ac:dyDescent="0.3">
      <c r="A280" s="28">
        <v>277</v>
      </c>
      <c r="B280" s="28" t="s">
        <v>537</v>
      </c>
      <c r="C280" s="28" t="s">
        <v>144</v>
      </c>
      <c r="D280" s="28" t="s">
        <v>176</v>
      </c>
      <c r="E280" s="28" t="s">
        <v>177</v>
      </c>
      <c r="F280" s="28" t="s">
        <v>173</v>
      </c>
      <c r="G280" s="28" t="s">
        <v>1724</v>
      </c>
      <c r="H280" s="28"/>
      <c r="I280" s="28"/>
      <c r="J280" s="28"/>
      <c r="K280" s="28"/>
      <c r="L280" s="28"/>
      <c r="M280" s="28"/>
      <c r="N280" s="28"/>
      <c r="O280" s="28"/>
      <c r="P280" s="28"/>
      <c r="Q280" s="28"/>
      <c r="R280" s="28"/>
    </row>
    <row r="281" spans="1:18" ht="16.05" customHeight="1" x14ac:dyDescent="0.3">
      <c r="A281" s="30">
        <v>278</v>
      </c>
      <c r="B281" s="30" t="s">
        <v>537</v>
      </c>
      <c r="C281" s="30" t="s">
        <v>145</v>
      </c>
      <c r="D281" s="30" t="s">
        <v>179</v>
      </c>
      <c r="E281" s="30" t="s">
        <v>178</v>
      </c>
      <c r="F281" s="30" t="s">
        <v>165</v>
      </c>
      <c r="G281" s="30" t="s">
        <v>1724</v>
      </c>
      <c r="H281" s="30"/>
      <c r="I281" s="30"/>
      <c r="J281" s="30"/>
      <c r="K281" s="30"/>
      <c r="L281" s="30"/>
      <c r="M281" s="30"/>
      <c r="N281" s="30"/>
      <c r="O281" s="30"/>
      <c r="P281" s="30"/>
      <c r="Q281" s="30"/>
      <c r="R281" s="30"/>
    </row>
    <row r="282" spans="1:18" ht="16.05" customHeight="1" x14ac:dyDescent="0.3">
      <c r="A282" s="28">
        <v>279</v>
      </c>
      <c r="B282" s="28" t="s">
        <v>537</v>
      </c>
      <c r="C282" s="28" t="s">
        <v>146</v>
      </c>
      <c r="D282" s="28" t="s">
        <v>181</v>
      </c>
      <c r="E282" s="28" t="s">
        <v>180</v>
      </c>
      <c r="F282" s="28" t="s">
        <v>182</v>
      </c>
      <c r="G282" s="28" t="s">
        <v>1724</v>
      </c>
      <c r="H282" s="28"/>
      <c r="I282" s="28"/>
      <c r="J282" s="28"/>
      <c r="K282" s="28"/>
      <c r="L282" s="28"/>
      <c r="M282" s="28"/>
      <c r="N282" s="28"/>
      <c r="O282" s="28"/>
      <c r="P282" s="28"/>
      <c r="Q282" s="28"/>
      <c r="R282" s="28"/>
    </row>
    <row r="283" spans="1:18" ht="16.05" customHeight="1" x14ac:dyDescent="0.3">
      <c r="A283" s="30">
        <v>280</v>
      </c>
      <c r="B283" s="30" t="s">
        <v>537</v>
      </c>
      <c r="C283" s="30" t="s">
        <v>148</v>
      </c>
      <c r="D283" s="30" t="s">
        <v>168</v>
      </c>
      <c r="E283" s="30" t="s">
        <v>183</v>
      </c>
      <c r="F283" s="30" t="s">
        <v>169</v>
      </c>
      <c r="G283" s="30" t="s">
        <v>1724</v>
      </c>
      <c r="H283" s="30"/>
      <c r="I283" s="30"/>
      <c r="J283" s="30"/>
      <c r="K283" s="30"/>
      <c r="L283" s="30"/>
      <c r="M283" s="30"/>
      <c r="N283" s="30"/>
      <c r="O283" s="30"/>
      <c r="P283" s="30"/>
      <c r="Q283" s="30"/>
      <c r="R283" s="30"/>
    </row>
    <row r="284" spans="1:18" ht="16.05" customHeight="1" x14ac:dyDescent="0.3">
      <c r="A284" s="28">
        <v>281</v>
      </c>
      <c r="B284" s="28" t="s">
        <v>537</v>
      </c>
      <c r="C284" s="28" t="s">
        <v>147</v>
      </c>
      <c r="D284" s="28" t="s">
        <v>181</v>
      </c>
      <c r="E284" s="28" t="s">
        <v>184</v>
      </c>
      <c r="F284" s="28" t="s">
        <v>169</v>
      </c>
      <c r="G284" s="28" t="s">
        <v>1724</v>
      </c>
      <c r="H284" s="28"/>
      <c r="I284" s="28"/>
      <c r="J284" s="28"/>
      <c r="K284" s="28"/>
      <c r="L284" s="28"/>
      <c r="M284" s="28"/>
      <c r="N284" s="28"/>
      <c r="O284" s="28"/>
      <c r="P284" s="28"/>
      <c r="Q284" s="28"/>
      <c r="R284" s="28"/>
    </row>
    <row r="285" spans="1:18" ht="16.05" customHeight="1" x14ac:dyDescent="0.3">
      <c r="A285" s="30">
        <v>282</v>
      </c>
      <c r="B285" s="30" t="s">
        <v>537</v>
      </c>
      <c r="C285" s="30" t="s">
        <v>148</v>
      </c>
      <c r="D285" s="30" t="s">
        <v>176</v>
      </c>
      <c r="E285" s="30" t="s">
        <v>185</v>
      </c>
      <c r="F285" s="30" t="s">
        <v>169</v>
      </c>
      <c r="G285" s="30" t="s">
        <v>1724</v>
      </c>
      <c r="H285" s="30"/>
      <c r="I285" s="30"/>
      <c r="J285" s="30"/>
      <c r="K285" s="30"/>
      <c r="L285" s="30"/>
      <c r="M285" s="30"/>
      <c r="N285" s="30"/>
      <c r="O285" s="30"/>
      <c r="P285" s="30"/>
      <c r="Q285" s="30"/>
      <c r="R285" s="30"/>
    </row>
    <row r="286" spans="1:18" ht="16.05" customHeight="1" x14ac:dyDescent="0.3">
      <c r="A286" s="28">
        <v>283</v>
      </c>
      <c r="B286" s="28" t="s">
        <v>537</v>
      </c>
      <c r="C286" s="28" t="s">
        <v>152</v>
      </c>
      <c r="D286" s="28" t="s">
        <v>168</v>
      </c>
      <c r="E286" s="28" t="s">
        <v>186</v>
      </c>
      <c r="F286" s="28" t="s">
        <v>173</v>
      </c>
      <c r="G286" s="28" t="s">
        <v>1724</v>
      </c>
      <c r="H286" s="28"/>
      <c r="I286" s="28"/>
      <c r="J286" s="28"/>
      <c r="K286" s="28"/>
      <c r="L286" s="28"/>
      <c r="M286" s="28"/>
      <c r="N286" s="28"/>
      <c r="O286" s="28"/>
      <c r="P286" s="28"/>
      <c r="Q286" s="28"/>
      <c r="R286" s="28"/>
    </row>
    <row r="287" spans="1:18" ht="16.05" customHeight="1" x14ac:dyDescent="0.3">
      <c r="A287" s="30">
        <v>284</v>
      </c>
      <c r="B287" s="30" t="s">
        <v>537</v>
      </c>
      <c r="C287" s="30" t="s">
        <v>151</v>
      </c>
      <c r="D287" s="30" t="s">
        <v>179</v>
      </c>
      <c r="E287" s="30" t="s">
        <v>187</v>
      </c>
      <c r="F287" s="30" t="s">
        <v>165</v>
      </c>
      <c r="G287" s="30" t="s">
        <v>1724</v>
      </c>
      <c r="H287" s="30"/>
      <c r="I287" s="30"/>
      <c r="J287" s="30"/>
      <c r="K287" s="30"/>
      <c r="L287" s="30"/>
      <c r="M287" s="30"/>
      <c r="N287" s="30"/>
      <c r="O287" s="30"/>
      <c r="P287" s="30"/>
      <c r="Q287" s="30"/>
      <c r="R287" s="30"/>
    </row>
    <row r="288" spans="1:18" ht="16.05" customHeight="1" x14ac:dyDescent="0.3">
      <c r="A288" s="28">
        <v>285</v>
      </c>
      <c r="B288" s="28" t="s">
        <v>537</v>
      </c>
      <c r="C288" s="28" t="s">
        <v>143</v>
      </c>
      <c r="D288" s="28" t="s">
        <v>176</v>
      </c>
      <c r="E288" s="28" t="s">
        <v>188</v>
      </c>
      <c r="F288" s="28" t="s">
        <v>165</v>
      </c>
      <c r="G288" s="28" t="s">
        <v>1724</v>
      </c>
      <c r="H288" s="28"/>
      <c r="I288" s="28"/>
      <c r="J288" s="28"/>
      <c r="K288" s="28"/>
      <c r="L288" s="28"/>
      <c r="M288" s="28"/>
      <c r="N288" s="28"/>
      <c r="O288" s="28"/>
      <c r="P288" s="28"/>
      <c r="Q288" s="28"/>
      <c r="R288" s="28"/>
    </row>
    <row r="289" spans="1:18" ht="16.05" customHeight="1" x14ac:dyDescent="0.3">
      <c r="A289" s="30">
        <v>286</v>
      </c>
      <c r="B289" s="30" t="s">
        <v>538</v>
      </c>
      <c r="C289" s="30" t="s">
        <v>142</v>
      </c>
      <c r="D289" s="30" t="s">
        <v>164</v>
      </c>
      <c r="E289" s="30" t="s">
        <v>163</v>
      </c>
      <c r="F289" s="30" t="s">
        <v>165</v>
      </c>
      <c r="G289" s="30" t="s">
        <v>1724</v>
      </c>
      <c r="H289" s="30"/>
      <c r="I289" s="30"/>
      <c r="J289" s="30"/>
      <c r="K289" s="30"/>
      <c r="L289" s="30"/>
      <c r="M289" s="30"/>
      <c r="N289" s="30"/>
      <c r="O289" s="30"/>
      <c r="P289" s="30"/>
      <c r="Q289" s="30"/>
      <c r="R289" s="30"/>
    </row>
    <row r="290" spans="1:18" ht="16.05" customHeight="1" x14ac:dyDescent="0.3">
      <c r="A290" s="28">
        <v>287</v>
      </c>
      <c r="B290" s="28" t="s">
        <v>538</v>
      </c>
      <c r="C290" s="28" t="s">
        <v>146</v>
      </c>
      <c r="D290" s="28" t="s">
        <v>168</v>
      </c>
      <c r="E290" s="28" t="s">
        <v>167</v>
      </c>
      <c r="F290" s="28" t="s">
        <v>169</v>
      </c>
      <c r="G290" s="28" t="s">
        <v>1724</v>
      </c>
      <c r="H290" s="28"/>
      <c r="I290" s="28"/>
      <c r="J290" s="28"/>
      <c r="K290" s="28"/>
      <c r="L290" s="28"/>
      <c r="M290" s="28"/>
      <c r="N290" s="28"/>
      <c r="O290" s="28"/>
      <c r="P290" s="28"/>
      <c r="Q290" s="28"/>
      <c r="R290" s="28"/>
    </row>
    <row r="291" spans="1:18" ht="16.05" customHeight="1" x14ac:dyDescent="0.3">
      <c r="A291" s="30">
        <v>288</v>
      </c>
      <c r="B291" s="30" t="s">
        <v>538</v>
      </c>
      <c r="C291" s="30" t="s">
        <v>147</v>
      </c>
      <c r="D291" s="30" t="s">
        <v>168</v>
      </c>
      <c r="E291" s="30" t="s">
        <v>170</v>
      </c>
      <c r="F291" s="30" t="s">
        <v>165</v>
      </c>
      <c r="G291" s="30" t="s">
        <v>1724</v>
      </c>
      <c r="H291" s="30"/>
      <c r="I291" s="30"/>
      <c r="J291" s="30"/>
      <c r="K291" s="30"/>
      <c r="L291" s="30"/>
      <c r="M291" s="30"/>
      <c r="N291" s="30"/>
      <c r="O291" s="30"/>
      <c r="P291" s="30"/>
      <c r="Q291" s="30"/>
      <c r="R291" s="30"/>
    </row>
    <row r="292" spans="1:18" ht="16.05" customHeight="1" x14ac:dyDescent="0.3">
      <c r="A292" s="28">
        <v>289</v>
      </c>
      <c r="B292" s="28" t="s">
        <v>538</v>
      </c>
      <c r="C292" s="28" t="s">
        <v>146</v>
      </c>
      <c r="D292" s="28" t="s">
        <v>172</v>
      </c>
      <c r="E292" s="28" t="s">
        <v>171</v>
      </c>
      <c r="F292" s="28" t="s">
        <v>173</v>
      </c>
      <c r="G292" s="28" t="s">
        <v>1724</v>
      </c>
      <c r="H292" s="28"/>
      <c r="I292" s="28"/>
      <c r="J292" s="28"/>
      <c r="K292" s="28"/>
      <c r="L292" s="28"/>
      <c r="M292" s="28"/>
      <c r="N292" s="28"/>
      <c r="O292" s="28"/>
      <c r="P292" s="28"/>
      <c r="Q292" s="28"/>
      <c r="R292" s="28"/>
    </row>
    <row r="293" spans="1:18" ht="16.05" customHeight="1" x14ac:dyDescent="0.3">
      <c r="A293" s="30">
        <v>290</v>
      </c>
      <c r="B293" s="30" t="s">
        <v>538</v>
      </c>
      <c r="C293" s="30" t="s">
        <v>143</v>
      </c>
      <c r="D293" s="30" t="s">
        <v>172</v>
      </c>
      <c r="E293" s="30" t="s">
        <v>174</v>
      </c>
      <c r="F293" s="30" t="s">
        <v>169</v>
      </c>
      <c r="G293" s="30" t="s">
        <v>1724</v>
      </c>
      <c r="H293" s="30"/>
      <c r="I293" s="30"/>
      <c r="J293" s="30"/>
      <c r="K293" s="30"/>
      <c r="L293" s="30"/>
      <c r="M293" s="30"/>
      <c r="N293" s="30"/>
      <c r="O293" s="30"/>
      <c r="P293" s="30"/>
      <c r="Q293" s="30"/>
      <c r="R293" s="30"/>
    </row>
    <row r="294" spans="1:18" ht="16.05" customHeight="1" x14ac:dyDescent="0.3">
      <c r="A294" s="28">
        <v>291</v>
      </c>
      <c r="B294" s="28" t="s">
        <v>538</v>
      </c>
      <c r="C294" s="28" t="s">
        <v>143</v>
      </c>
      <c r="D294" s="28" t="s">
        <v>176</v>
      </c>
      <c r="E294" s="28" t="s">
        <v>175</v>
      </c>
      <c r="F294" s="28" t="s">
        <v>165</v>
      </c>
      <c r="G294" s="28" t="s">
        <v>1724</v>
      </c>
      <c r="H294" s="28"/>
      <c r="I294" s="28"/>
      <c r="J294" s="28"/>
      <c r="K294" s="28"/>
      <c r="L294" s="28"/>
      <c r="M294" s="28"/>
      <c r="N294" s="28"/>
      <c r="O294" s="28"/>
      <c r="P294" s="28"/>
      <c r="Q294" s="28"/>
      <c r="R294" s="28"/>
    </row>
    <row r="295" spans="1:18" ht="16.05" customHeight="1" x14ac:dyDescent="0.3">
      <c r="A295" s="30">
        <v>292</v>
      </c>
      <c r="B295" s="30" t="s">
        <v>538</v>
      </c>
      <c r="C295" s="30" t="s">
        <v>144</v>
      </c>
      <c r="D295" s="30" t="s">
        <v>176</v>
      </c>
      <c r="E295" s="30" t="s">
        <v>177</v>
      </c>
      <c r="F295" s="30" t="s">
        <v>173</v>
      </c>
      <c r="G295" s="30" t="s">
        <v>1724</v>
      </c>
      <c r="H295" s="30"/>
      <c r="I295" s="30"/>
      <c r="J295" s="30"/>
      <c r="K295" s="30"/>
      <c r="L295" s="30"/>
      <c r="M295" s="30"/>
      <c r="N295" s="30"/>
      <c r="O295" s="30"/>
      <c r="P295" s="30"/>
      <c r="Q295" s="30"/>
      <c r="R295" s="30"/>
    </row>
    <row r="296" spans="1:18" ht="16.05" customHeight="1" x14ac:dyDescent="0.3">
      <c r="A296" s="28">
        <v>293</v>
      </c>
      <c r="B296" s="28" t="s">
        <v>538</v>
      </c>
      <c r="C296" s="28" t="s">
        <v>145</v>
      </c>
      <c r="D296" s="28" t="s">
        <v>179</v>
      </c>
      <c r="E296" s="28" t="s">
        <v>178</v>
      </c>
      <c r="F296" s="28" t="s">
        <v>165</v>
      </c>
      <c r="G296" s="28" t="s">
        <v>1724</v>
      </c>
      <c r="H296" s="28"/>
      <c r="I296" s="28"/>
      <c r="J296" s="28"/>
      <c r="K296" s="28"/>
      <c r="L296" s="28"/>
      <c r="M296" s="28"/>
      <c r="N296" s="28"/>
      <c r="O296" s="28"/>
      <c r="P296" s="28"/>
      <c r="Q296" s="28"/>
      <c r="R296" s="28"/>
    </row>
    <row r="297" spans="1:18" ht="16.05" customHeight="1" x14ac:dyDescent="0.3">
      <c r="A297" s="30">
        <v>294</v>
      </c>
      <c r="B297" s="30" t="s">
        <v>538</v>
      </c>
      <c r="C297" s="30" t="s">
        <v>146</v>
      </c>
      <c r="D297" s="30" t="s">
        <v>181</v>
      </c>
      <c r="E297" s="30" t="s">
        <v>180</v>
      </c>
      <c r="F297" s="30" t="s">
        <v>182</v>
      </c>
      <c r="G297" s="30" t="s">
        <v>1724</v>
      </c>
      <c r="H297" s="30"/>
      <c r="I297" s="30"/>
      <c r="J297" s="30"/>
      <c r="K297" s="30"/>
      <c r="L297" s="30"/>
      <c r="M297" s="30"/>
      <c r="N297" s="30"/>
      <c r="O297" s="30"/>
      <c r="P297" s="30"/>
      <c r="Q297" s="30"/>
      <c r="R297" s="30"/>
    </row>
    <row r="298" spans="1:18" ht="16.05" customHeight="1" x14ac:dyDescent="0.3">
      <c r="A298" s="28">
        <v>295</v>
      </c>
      <c r="B298" s="28" t="s">
        <v>538</v>
      </c>
      <c r="C298" s="28" t="s">
        <v>148</v>
      </c>
      <c r="D298" s="28" t="s">
        <v>168</v>
      </c>
      <c r="E298" s="28" t="s">
        <v>183</v>
      </c>
      <c r="F298" s="28" t="s">
        <v>169</v>
      </c>
      <c r="G298" s="28" t="s">
        <v>1724</v>
      </c>
      <c r="H298" s="28"/>
      <c r="I298" s="28"/>
      <c r="J298" s="28"/>
      <c r="K298" s="28"/>
      <c r="L298" s="28"/>
      <c r="M298" s="28"/>
      <c r="N298" s="28"/>
      <c r="O298" s="28"/>
      <c r="P298" s="28"/>
      <c r="Q298" s="28"/>
      <c r="R298" s="28"/>
    </row>
    <row r="299" spans="1:18" ht="16.05" customHeight="1" x14ac:dyDescent="0.3">
      <c r="A299" s="30">
        <v>296</v>
      </c>
      <c r="B299" s="30" t="s">
        <v>538</v>
      </c>
      <c r="C299" s="30" t="s">
        <v>147</v>
      </c>
      <c r="D299" s="30" t="s">
        <v>181</v>
      </c>
      <c r="E299" s="30" t="s">
        <v>184</v>
      </c>
      <c r="F299" s="30" t="s">
        <v>169</v>
      </c>
      <c r="G299" s="30" t="s">
        <v>1724</v>
      </c>
      <c r="H299" s="30"/>
      <c r="I299" s="30"/>
      <c r="J299" s="30"/>
      <c r="K299" s="30"/>
      <c r="L299" s="30"/>
      <c r="M299" s="30"/>
      <c r="N299" s="30"/>
      <c r="O299" s="30"/>
      <c r="P299" s="30"/>
      <c r="Q299" s="30"/>
      <c r="R299" s="30"/>
    </row>
    <row r="300" spans="1:18" ht="16.05" customHeight="1" x14ac:dyDescent="0.3">
      <c r="A300" s="28">
        <v>297</v>
      </c>
      <c r="B300" s="28" t="s">
        <v>538</v>
      </c>
      <c r="C300" s="28" t="s">
        <v>148</v>
      </c>
      <c r="D300" s="28" t="s">
        <v>176</v>
      </c>
      <c r="E300" s="28" t="s">
        <v>185</v>
      </c>
      <c r="F300" s="28" t="s">
        <v>169</v>
      </c>
      <c r="G300" s="28" t="s">
        <v>1724</v>
      </c>
      <c r="H300" s="28"/>
      <c r="I300" s="28"/>
      <c r="J300" s="28"/>
      <c r="K300" s="28"/>
      <c r="L300" s="28"/>
      <c r="M300" s="28"/>
      <c r="N300" s="28"/>
      <c r="O300" s="28"/>
      <c r="P300" s="28"/>
      <c r="Q300" s="28"/>
      <c r="R300" s="28"/>
    </row>
    <row r="301" spans="1:18" ht="16.05" customHeight="1" x14ac:dyDescent="0.3">
      <c r="A301" s="30">
        <v>298</v>
      </c>
      <c r="B301" s="30" t="s">
        <v>538</v>
      </c>
      <c r="C301" s="30" t="s">
        <v>152</v>
      </c>
      <c r="D301" s="30" t="s">
        <v>168</v>
      </c>
      <c r="E301" s="30" t="s">
        <v>186</v>
      </c>
      <c r="F301" s="30" t="s">
        <v>173</v>
      </c>
      <c r="G301" s="30" t="s">
        <v>1724</v>
      </c>
      <c r="H301" s="30"/>
      <c r="I301" s="30"/>
      <c r="J301" s="30"/>
      <c r="K301" s="30"/>
      <c r="L301" s="30"/>
      <c r="M301" s="30"/>
      <c r="N301" s="30"/>
      <c r="O301" s="30"/>
      <c r="P301" s="30"/>
      <c r="Q301" s="30"/>
      <c r="R301" s="30"/>
    </row>
    <row r="302" spans="1:18" ht="16.05" customHeight="1" x14ac:dyDescent="0.3">
      <c r="A302" s="28">
        <v>299</v>
      </c>
      <c r="B302" s="28" t="s">
        <v>538</v>
      </c>
      <c r="C302" s="28" t="s">
        <v>151</v>
      </c>
      <c r="D302" s="28" t="s">
        <v>179</v>
      </c>
      <c r="E302" s="28" t="s">
        <v>187</v>
      </c>
      <c r="F302" s="28" t="s">
        <v>165</v>
      </c>
      <c r="G302" s="28" t="s">
        <v>1724</v>
      </c>
      <c r="H302" s="28"/>
      <c r="I302" s="28"/>
      <c r="J302" s="28"/>
      <c r="K302" s="28"/>
      <c r="L302" s="28"/>
      <c r="M302" s="28"/>
      <c r="N302" s="28"/>
      <c r="O302" s="28"/>
      <c r="P302" s="28"/>
      <c r="Q302" s="28"/>
      <c r="R302" s="28"/>
    </row>
    <row r="303" spans="1:18" ht="16.05" customHeight="1" x14ac:dyDescent="0.3">
      <c r="A303" s="30">
        <v>300</v>
      </c>
      <c r="B303" s="30" t="s">
        <v>538</v>
      </c>
      <c r="C303" s="30" t="s">
        <v>143</v>
      </c>
      <c r="D303" s="30" t="s">
        <v>176</v>
      </c>
      <c r="E303" s="30" t="s">
        <v>188</v>
      </c>
      <c r="F303" s="30" t="s">
        <v>165</v>
      </c>
      <c r="G303" s="30" t="s">
        <v>1724</v>
      </c>
      <c r="H303" s="30"/>
      <c r="I303" s="30"/>
      <c r="J303" s="30"/>
      <c r="K303" s="30"/>
      <c r="L303" s="30"/>
      <c r="M303" s="30"/>
      <c r="N303" s="30"/>
      <c r="O303" s="30"/>
      <c r="P303" s="30"/>
      <c r="Q303" s="30"/>
      <c r="R303" s="30"/>
    </row>
    <row r="304" spans="1:18" ht="16.05" customHeight="1" x14ac:dyDescent="0.3">
      <c r="A304" s="28">
        <v>301</v>
      </c>
      <c r="B304" s="28" t="s">
        <v>539</v>
      </c>
      <c r="C304" s="28" t="s">
        <v>142</v>
      </c>
      <c r="D304" s="28" t="s">
        <v>164</v>
      </c>
      <c r="E304" s="28" t="s">
        <v>163</v>
      </c>
      <c r="F304" s="28" t="s">
        <v>165</v>
      </c>
      <c r="G304" s="28" t="s">
        <v>1724</v>
      </c>
      <c r="H304" s="28"/>
      <c r="I304" s="28"/>
      <c r="J304" s="28"/>
      <c r="K304" s="28"/>
      <c r="L304" s="28"/>
      <c r="M304" s="28"/>
      <c r="N304" s="28"/>
      <c r="O304" s="28"/>
      <c r="P304" s="28"/>
      <c r="Q304" s="28"/>
      <c r="R304" s="28"/>
    </row>
    <row r="305" spans="1:18" ht="16.05" customHeight="1" x14ac:dyDescent="0.3">
      <c r="A305" s="30">
        <v>302</v>
      </c>
      <c r="B305" s="30" t="s">
        <v>539</v>
      </c>
      <c r="C305" s="30" t="s">
        <v>146</v>
      </c>
      <c r="D305" s="30" t="s">
        <v>168</v>
      </c>
      <c r="E305" s="30" t="s">
        <v>167</v>
      </c>
      <c r="F305" s="30" t="s">
        <v>169</v>
      </c>
      <c r="G305" s="30" t="s">
        <v>1724</v>
      </c>
      <c r="H305" s="30"/>
      <c r="I305" s="30"/>
      <c r="J305" s="30"/>
      <c r="K305" s="30"/>
      <c r="L305" s="30"/>
      <c r="M305" s="30"/>
      <c r="N305" s="30"/>
      <c r="O305" s="30"/>
      <c r="P305" s="30"/>
      <c r="Q305" s="30"/>
      <c r="R305" s="30"/>
    </row>
    <row r="306" spans="1:18" ht="16.05" customHeight="1" x14ac:dyDescent="0.3">
      <c r="A306" s="28">
        <v>303</v>
      </c>
      <c r="B306" s="28" t="s">
        <v>539</v>
      </c>
      <c r="C306" s="28" t="s">
        <v>147</v>
      </c>
      <c r="D306" s="28" t="s">
        <v>168</v>
      </c>
      <c r="E306" s="28" t="s">
        <v>170</v>
      </c>
      <c r="F306" s="28" t="s">
        <v>165</v>
      </c>
      <c r="G306" s="28" t="s">
        <v>1724</v>
      </c>
      <c r="H306" s="28"/>
      <c r="I306" s="28"/>
      <c r="J306" s="28"/>
      <c r="K306" s="28"/>
      <c r="L306" s="28"/>
      <c r="M306" s="28"/>
      <c r="N306" s="28"/>
      <c r="O306" s="28"/>
      <c r="P306" s="28"/>
      <c r="Q306" s="28"/>
      <c r="R306" s="28"/>
    </row>
    <row r="307" spans="1:18" ht="16.05" customHeight="1" x14ac:dyDescent="0.3">
      <c r="A307" s="30">
        <v>304</v>
      </c>
      <c r="B307" s="30" t="s">
        <v>539</v>
      </c>
      <c r="C307" s="30" t="s">
        <v>146</v>
      </c>
      <c r="D307" s="30" t="s">
        <v>172</v>
      </c>
      <c r="E307" s="30" t="s">
        <v>171</v>
      </c>
      <c r="F307" s="30" t="s">
        <v>173</v>
      </c>
      <c r="G307" s="30" t="s">
        <v>1724</v>
      </c>
      <c r="H307" s="30"/>
      <c r="I307" s="30"/>
      <c r="J307" s="30"/>
      <c r="K307" s="30"/>
      <c r="L307" s="30"/>
      <c r="M307" s="30"/>
      <c r="N307" s="30"/>
      <c r="O307" s="30"/>
      <c r="P307" s="30"/>
      <c r="Q307" s="30"/>
      <c r="R307" s="30"/>
    </row>
    <row r="308" spans="1:18" ht="16.05" customHeight="1" x14ac:dyDescent="0.3">
      <c r="A308" s="28">
        <v>305</v>
      </c>
      <c r="B308" s="28" t="s">
        <v>539</v>
      </c>
      <c r="C308" s="28" t="s">
        <v>143</v>
      </c>
      <c r="D308" s="28" t="s">
        <v>172</v>
      </c>
      <c r="E308" s="28" t="s">
        <v>174</v>
      </c>
      <c r="F308" s="28" t="s">
        <v>169</v>
      </c>
      <c r="G308" s="28" t="s">
        <v>1724</v>
      </c>
      <c r="H308" s="28"/>
      <c r="I308" s="28"/>
      <c r="J308" s="28"/>
      <c r="K308" s="28"/>
      <c r="L308" s="28"/>
      <c r="M308" s="28"/>
      <c r="N308" s="28"/>
      <c r="O308" s="28"/>
      <c r="P308" s="28"/>
      <c r="Q308" s="28"/>
      <c r="R308" s="28"/>
    </row>
    <row r="309" spans="1:18" ht="16.05" customHeight="1" x14ac:dyDescent="0.3">
      <c r="A309" s="30">
        <v>306</v>
      </c>
      <c r="B309" s="30" t="s">
        <v>539</v>
      </c>
      <c r="C309" s="30" t="s">
        <v>143</v>
      </c>
      <c r="D309" s="30" t="s">
        <v>176</v>
      </c>
      <c r="E309" s="30" t="s">
        <v>175</v>
      </c>
      <c r="F309" s="30" t="s">
        <v>165</v>
      </c>
      <c r="G309" s="30" t="s">
        <v>1724</v>
      </c>
      <c r="H309" s="30"/>
      <c r="I309" s="30"/>
      <c r="J309" s="30"/>
      <c r="K309" s="30"/>
      <c r="L309" s="30"/>
      <c r="M309" s="30"/>
      <c r="N309" s="30"/>
      <c r="O309" s="30"/>
      <c r="P309" s="30"/>
      <c r="Q309" s="30"/>
      <c r="R309" s="30"/>
    </row>
    <row r="310" spans="1:18" ht="16.05" customHeight="1" x14ac:dyDescent="0.3">
      <c r="A310" s="28">
        <v>307</v>
      </c>
      <c r="B310" s="28" t="s">
        <v>539</v>
      </c>
      <c r="C310" s="28" t="s">
        <v>144</v>
      </c>
      <c r="D310" s="28" t="s">
        <v>176</v>
      </c>
      <c r="E310" s="28" t="s">
        <v>177</v>
      </c>
      <c r="F310" s="28" t="s">
        <v>173</v>
      </c>
      <c r="G310" s="28" t="s">
        <v>1724</v>
      </c>
      <c r="H310" s="28"/>
      <c r="I310" s="28"/>
      <c r="J310" s="28"/>
      <c r="K310" s="28"/>
      <c r="L310" s="28"/>
      <c r="M310" s="28"/>
      <c r="N310" s="28"/>
      <c r="O310" s="28"/>
      <c r="P310" s="28"/>
      <c r="Q310" s="28"/>
      <c r="R310" s="28"/>
    </row>
    <row r="311" spans="1:18" ht="16.05" customHeight="1" x14ac:dyDescent="0.3">
      <c r="A311" s="30">
        <v>308</v>
      </c>
      <c r="B311" s="30" t="s">
        <v>539</v>
      </c>
      <c r="C311" s="30" t="s">
        <v>145</v>
      </c>
      <c r="D311" s="30" t="s">
        <v>179</v>
      </c>
      <c r="E311" s="30" t="s">
        <v>178</v>
      </c>
      <c r="F311" s="30" t="s">
        <v>165</v>
      </c>
      <c r="G311" s="30" t="s">
        <v>1724</v>
      </c>
      <c r="H311" s="30"/>
      <c r="I311" s="30"/>
      <c r="J311" s="30"/>
      <c r="K311" s="30"/>
      <c r="L311" s="30"/>
      <c r="M311" s="30"/>
      <c r="N311" s="30"/>
      <c r="O311" s="30"/>
      <c r="P311" s="30"/>
      <c r="Q311" s="30"/>
      <c r="R311" s="30"/>
    </row>
    <row r="312" spans="1:18" ht="16.05" customHeight="1" x14ac:dyDescent="0.3">
      <c r="A312" s="28">
        <v>309</v>
      </c>
      <c r="B312" s="28" t="s">
        <v>539</v>
      </c>
      <c r="C312" s="28" t="s">
        <v>146</v>
      </c>
      <c r="D312" s="28" t="s">
        <v>181</v>
      </c>
      <c r="E312" s="28" t="s">
        <v>180</v>
      </c>
      <c r="F312" s="28" t="s">
        <v>182</v>
      </c>
      <c r="G312" s="28" t="s">
        <v>1724</v>
      </c>
      <c r="H312" s="28"/>
      <c r="I312" s="28"/>
      <c r="J312" s="28"/>
      <c r="K312" s="28"/>
      <c r="L312" s="28"/>
      <c r="M312" s="28"/>
      <c r="N312" s="28"/>
      <c r="O312" s="28"/>
      <c r="P312" s="28"/>
      <c r="Q312" s="28"/>
      <c r="R312" s="28"/>
    </row>
    <row r="313" spans="1:18" ht="16.05" customHeight="1" x14ac:dyDescent="0.3">
      <c r="A313" s="30">
        <v>310</v>
      </c>
      <c r="B313" s="30" t="s">
        <v>539</v>
      </c>
      <c r="C313" s="30" t="s">
        <v>148</v>
      </c>
      <c r="D313" s="30" t="s">
        <v>168</v>
      </c>
      <c r="E313" s="30" t="s">
        <v>183</v>
      </c>
      <c r="F313" s="30" t="s">
        <v>169</v>
      </c>
      <c r="G313" s="30" t="s">
        <v>1724</v>
      </c>
      <c r="H313" s="30"/>
      <c r="I313" s="30"/>
      <c r="J313" s="30"/>
      <c r="K313" s="30"/>
      <c r="L313" s="30"/>
      <c r="M313" s="30"/>
      <c r="N313" s="30"/>
      <c r="O313" s="30"/>
      <c r="P313" s="30"/>
      <c r="Q313" s="30"/>
      <c r="R313" s="30"/>
    </row>
    <row r="314" spans="1:18" ht="16.05" customHeight="1" x14ac:dyDescent="0.3">
      <c r="A314" s="28">
        <v>311</v>
      </c>
      <c r="B314" s="28" t="s">
        <v>539</v>
      </c>
      <c r="C314" s="28" t="s">
        <v>147</v>
      </c>
      <c r="D314" s="28" t="s">
        <v>181</v>
      </c>
      <c r="E314" s="28" t="s">
        <v>184</v>
      </c>
      <c r="F314" s="28" t="s">
        <v>169</v>
      </c>
      <c r="G314" s="28" t="s">
        <v>1724</v>
      </c>
      <c r="H314" s="28"/>
      <c r="I314" s="28"/>
      <c r="J314" s="28"/>
      <c r="K314" s="28"/>
      <c r="L314" s="28"/>
      <c r="M314" s="28"/>
      <c r="N314" s="28"/>
      <c r="O314" s="28"/>
      <c r="P314" s="28"/>
      <c r="Q314" s="28"/>
      <c r="R314" s="28"/>
    </row>
    <row r="315" spans="1:18" ht="16.05" customHeight="1" x14ac:dyDescent="0.3">
      <c r="A315" s="30">
        <v>312</v>
      </c>
      <c r="B315" s="30" t="s">
        <v>539</v>
      </c>
      <c r="C315" s="30" t="s">
        <v>148</v>
      </c>
      <c r="D315" s="30" t="s">
        <v>176</v>
      </c>
      <c r="E315" s="30" t="s">
        <v>185</v>
      </c>
      <c r="F315" s="30" t="s">
        <v>169</v>
      </c>
      <c r="G315" s="30" t="s">
        <v>1724</v>
      </c>
      <c r="H315" s="30"/>
      <c r="I315" s="30"/>
      <c r="J315" s="30"/>
      <c r="K315" s="30"/>
      <c r="L315" s="30"/>
      <c r="M315" s="30"/>
      <c r="N315" s="30"/>
      <c r="O315" s="30"/>
      <c r="P315" s="30"/>
      <c r="Q315" s="30"/>
      <c r="R315" s="30"/>
    </row>
    <row r="316" spans="1:18" ht="16.05" customHeight="1" x14ac:dyDescent="0.3">
      <c r="A316" s="28">
        <v>313</v>
      </c>
      <c r="B316" s="28" t="s">
        <v>539</v>
      </c>
      <c r="C316" s="28" t="s">
        <v>152</v>
      </c>
      <c r="D316" s="28" t="s">
        <v>168</v>
      </c>
      <c r="E316" s="28" t="s">
        <v>186</v>
      </c>
      <c r="F316" s="28" t="s">
        <v>173</v>
      </c>
      <c r="G316" s="28" t="s">
        <v>1724</v>
      </c>
      <c r="H316" s="28"/>
      <c r="I316" s="28"/>
      <c r="J316" s="28"/>
      <c r="K316" s="28"/>
      <c r="L316" s="28"/>
      <c r="M316" s="28"/>
      <c r="N316" s="28"/>
      <c r="O316" s="28"/>
      <c r="P316" s="28"/>
      <c r="Q316" s="28"/>
      <c r="R316" s="28"/>
    </row>
    <row r="317" spans="1:18" ht="16.05" customHeight="1" x14ac:dyDescent="0.3">
      <c r="A317" s="30">
        <v>314</v>
      </c>
      <c r="B317" s="30" t="s">
        <v>539</v>
      </c>
      <c r="C317" s="30" t="s">
        <v>151</v>
      </c>
      <c r="D317" s="30" t="s">
        <v>179</v>
      </c>
      <c r="E317" s="30" t="s">
        <v>187</v>
      </c>
      <c r="F317" s="30" t="s">
        <v>165</v>
      </c>
      <c r="G317" s="30" t="s">
        <v>1724</v>
      </c>
      <c r="H317" s="30"/>
      <c r="I317" s="30"/>
      <c r="J317" s="30"/>
      <c r="K317" s="30"/>
      <c r="L317" s="30"/>
      <c r="M317" s="30"/>
      <c r="N317" s="30"/>
      <c r="O317" s="30"/>
      <c r="P317" s="30"/>
      <c r="Q317" s="30"/>
      <c r="R317" s="30"/>
    </row>
    <row r="318" spans="1:18" ht="16.05" customHeight="1" x14ac:dyDescent="0.3">
      <c r="A318" s="28">
        <v>315</v>
      </c>
      <c r="B318" s="28" t="s">
        <v>539</v>
      </c>
      <c r="C318" s="28" t="s">
        <v>143</v>
      </c>
      <c r="D318" s="28" t="s">
        <v>176</v>
      </c>
      <c r="E318" s="28" t="s">
        <v>188</v>
      </c>
      <c r="F318" s="28" t="s">
        <v>165</v>
      </c>
      <c r="G318" s="28" t="s">
        <v>1724</v>
      </c>
      <c r="H318" s="28"/>
      <c r="I318" s="28"/>
      <c r="J318" s="28"/>
      <c r="K318" s="28"/>
      <c r="L318" s="28"/>
      <c r="M318" s="28"/>
      <c r="N318" s="28"/>
      <c r="O318" s="28"/>
      <c r="P318" s="28"/>
      <c r="Q318" s="28"/>
      <c r="R318" s="28"/>
    </row>
    <row r="319" spans="1:18" ht="16.05" customHeight="1" x14ac:dyDescent="0.3">
      <c r="A319" s="30">
        <v>316</v>
      </c>
      <c r="B319" s="30" t="s">
        <v>540</v>
      </c>
      <c r="C319" s="30" t="s">
        <v>142</v>
      </c>
      <c r="D319" s="30" t="s">
        <v>164</v>
      </c>
      <c r="E319" s="30" t="s">
        <v>163</v>
      </c>
      <c r="F319" s="30" t="s">
        <v>165</v>
      </c>
      <c r="G319" s="30" t="s">
        <v>1724</v>
      </c>
      <c r="H319" s="30"/>
      <c r="I319" s="30"/>
      <c r="J319" s="30"/>
      <c r="K319" s="30"/>
      <c r="L319" s="30"/>
      <c r="M319" s="30"/>
      <c r="N319" s="30"/>
      <c r="O319" s="30"/>
      <c r="P319" s="30"/>
      <c r="Q319" s="30"/>
      <c r="R319" s="30"/>
    </row>
    <row r="320" spans="1:18" ht="16.05" customHeight="1" x14ac:dyDescent="0.3">
      <c r="A320" s="28">
        <v>317</v>
      </c>
      <c r="B320" s="28" t="s">
        <v>540</v>
      </c>
      <c r="C320" s="28" t="s">
        <v>146</v>
      </c>
      <c r="D320" s="28" t="s">
        <v>168</v>
      </c>
      <c r="E320" s="28" t="s">
        <v>167</v>
      </c>
      <c r="F320" s="28" t="s">
        <v>169</v>
      </c>
      <c r="G320" s="28" t="s">
        <v>1724</v>
      </c>
      <c r="H320" s="28"/>
      <c r="I320" s="28"/>
      <c r="J320" s="28"/>
      <c r="K320" s="28"/>
      <c r="L320" s="28"/>
      <c r="M320" s="28"/>
      <c r="N320" s="28"/>
      <c r="O320" s="28"/>
      <c r="P320" s="28"/>
      <c r="Q320" s="28"/>
      <c r="R320" s="28"/>
    </row>
    <row r="321" spans="1:18" ht="16.05" customHeight="1" x14ac:dyDescent="0.3">
      <c r="A321" s="30">
        <v>318</v>
      </c>
      <c r="B321" s="30" t="s">
        <v>540</v>
      </c>
      <c r="C321" s="30" t="s">
        <v>147</v>
      </c>
      <c r="D321" s="30" t="s">
        <v>168</v>
      </c>
      <c r="E321" s="30" t="s">
        <v>170</v>
      </c>
      <c r="F321" s="30" t="s">
        <v>165</v>
      </c>
      <c r="G321" s="30" t="s">
        <v>1724</v>
      </c>
      <c r="H321" s="30"/>
      <c r="I321" s="30"/>
      <c r="J321" s="30"/>
      <c r="K321" s="30"/>
      <c r="L321" s="30"/>
      <c r="M321" s="30"/>
      <c r="N321" s="30"/>
      <c r="O321" s="30"/>
      <c r="P321" s="30"/>
      <c r="Q321" s="30"/>
      <c r="R321" s="30"/>
    </row>
    <row r="322" spans="1:18" ht="16.05" customHeight="1" x14ac:dyDescent="0.3">
      <c r="A322" s="28">
        <v>319</v>
      </c>
      <c r="B322" s="28" t="s">
        <v>540</v>
      </c>
      <c r="C322" s="28" t="s">
        <v>146</v>
      </c>
      <c r="D322" s="28" t="s">
        <v>172</v>
      </c>
      <c r="E322" s="28" t="s">
        <v>171</v>
      </c>
      <c r="F322" s="28" t="s">
        <v>173</v>
      </c>
      <c r="G322" s="28" t="s">
        <v>1724</v>
      </c>
      <c r="H322" s="28"/>
      <c r="I322" s="28"/>
      <c r="J322" s="28"/>
      <c r="K322" s="28"/>
      <c r="L322" s="28"/>
      <c r="M322" s="28"/>
      <c r="N322" s="28"/>
      <c r="O322" s="28"/>
      <c r="P322" s="28"/>
      <c r="Q322" s="28"/>
      <c r="R322" s="28"/>
    </row>
    <row r="323" spans="1:18" ht="16.05" customHeight="1" x14ac:dyDescent="0.3">
      <c r="A323" s="30">
        <v>320</v>
      </c>
      <c r="B323" s="30" t="s">
        <v>540</v>
      </c>
      <c r="C323" s="30" t="s">
        <v>143</v>
      </c>
      <c r="D323" s="30" t="s">
        <v>172</v>
      </c>
      <c r="E323" s="30" t="s">
        <v>174</v>
      </c>
      <c r="F323" s="30" t="s">
        <v>169</v>
      </c>
      <c r="G323" s="30" t="s">
        <v>1724</v>
      </c>
      <c r="H323" s="30"/>
      <c r="I323" s="30"/>
      <c r="J323" s="30"/>
      <c r="K323" s="30"/>
      <c r="L323" s="30"/>
      <c r="M323" s="30"/>
      <c r="N323" s="30"/>
      <c r="O323" s="30"/>
      <c r="P323" s="30"/>
      <c r="Q323" s="30"/>
      <c r="R323" s="30"/>
    </row>
    <row r="324" spans="1:18" ht="16.05" customHeight="1" x14ac:dyDescent="0.3">
      <c r="A324" s="28">
        <v>321</v>
      </c>
      <c r="B324" s="28" t="s">
        <v>540</v>
      </c>
      <c r="C324" s="28" t="s">
        <v>143</v>
      </c>
      <c r="D324" s="28" t="s">
        <v>176</v>
      </c>
      <c r="E324" s="28" t="s">
        <v>175</v>
      </c>
      <c r="F324" s="28" t="s">
        <v>165</v>
      </c>
      <c r="G324" s="28" t="s">
        <v>1724</v>
      </c>
      <c r="H324" s="28"/>
      <c r="I324" s="28"/>
      <c r="J324" s="28"/>
      <c r="K324" s="28"/>
      <c r="L324" s="28"/>
      <c r="M324" s="28"/>
      <c r="N324" s="28"/>
      <c r="O324" s="28"/>
      <c r="P324" s="28"/>
      <c r="Q324" s="28"/>
      <c r="R324" s="28"/>
    </row>
    <row r="325" spans="1:18" ht="16.05" customHeight="1" x14ac:dyDescent="0.3">
      <c r="A325" s="30">
        <v>322</v>
      </c>
      <c r="B325" s="30" t="s">
        <v>540</v>
      </c>
      <c r="C325" s="30" t="s">
        <v>144</v>
      </c>
      <c r="D325" s="30" t="s">
        <v>176</v>
      </c>
      <c r="E325" s="30" t="s">
        <v>177</v>
      </c>
      <c r="F325" s="30" t="s">
        <v>173</v>
      </c>
      <c r="G325" s="30" t="s">
        <v>1724</v>
      </c>
      <c r="H325" s="30"/>
      <c r="I325" s="30"/>
      <c r="J325" s="30"/>
      <c r="K325" s="30"/>
      <c r="L325" s="30"/>
      <c r="M325" s="30"/>
      <c r="N325" s="30"/>
      <c r="O325" s="30"/>
      <c r="P325" s="30"/>
      <c r="Q325" s="30"/>
      <c r="R325" s="30"/>
    </row>
    <row r="326" spans="1:18" ht="16.05" customHeight="1" x14ac:dyDescent="0.3">
      <c r="A326" s="28">
        <v>323</v>
      </c>
      <c r="B326" s="28" t="s">
        <v>540</v>
      </c>
      <c r="C326" s="28" t="s">
        <v>145</v>
      </c>
      <c r="D326" s="28" t="s">
        <v>179</v>
      </c>
      <c r="E326" s="28" t="s">
        <v>178</v>
      </c>
      <c r="F326" s="28" t="s">
        <v>165</v>
      </c>
      <c r="G326" s="28" t="s">
        <v>1724</v>
      </c>
      <c r="H326" s="28"/>
      <c r="I326" s="28"/>
      <c r="J326" s="28"/>
      <c r="K326" s="28"/>
      <c r="L326" s="28"/>
      <c r="M326" s="28"/>
      <c r="N326" s="28"/>
      <c r="O326" s="28"/>
      <c r="P326" s="28"/>
      <c r="Q326" s="28"/>
      <c r="R326" s="28"/>
    </row>
    <row r="327" spans="1:18" ht="16.05" customHeight="1" x14ac:dyDescent="0.3">
      <c r="A327" s="30">
        <v>324</v>
      </c>
      <c r="B327" s="30" t="s">
        <v>540</v>
      </c>
      <c r="C327" s="30" t="s">
        <v>146</v>
      </c>
      <c r="D327" s="30" t="s">
        <v>181</v>
      </c>
      <c r="E327" s="30" t="s">
        <v>180</v>
      </c>
      <c r="F327" s="30" t="s">
        <v>182</v>
      </c>
      <c r="G327" s="30" t="s">
        <v>1724</v>
      </c>
      <c r="H327" s="30"/>
      <c r="I327" s="30"/>
      <c r="J327" s="30"/>
      <c r="K327" s="30"/>
      <c r="L327" s="30"/>
      <c r="M327" s="30"/>
      <c r="N327" s="30"/>
      <c r="O327" s="30"/>
      <c r="P327" s="30"/>
      <c r="Q327" s="30"/>
      <c r="R327" s="30"/>
    </row>
    <row r="328" spans="1:18" ht="16.05" customHeight="1" x14ac:dyDescent="0.3">
      <c r="A328" s="28">
        <v>325</v>
      </c>
      <c r="B328" s="28" t="s">
        <v>540</v>
      </c>
      <c r="C328" s="28" t="s">
        <v>148</v>
      </c>
      <c r="D328" s="28" t="s">
        <v>168</v>
      </c>
      <c r="E328" s="28" t="s">
        <v>183</v>
      </c>
      <c r="F328" s="28" t="s">
        <v>169</v>
      </c>
      <c r="G328" s="28" t="s">
        <v>1724</v>
      </c>
      <c r="H328" s="28"/>
      <c r="I328" s="28"/>
      <c r="J328" s="28"/>
      <c r="K328" s="28"/>
      <c r="L328" s="28"/>
      <c r="M328" s="28"/>
      <c r="N328" s="28"/>
      <c r="O328" s="28"/>
      <c r="P328" s="28"/>
      <c r="Q328" s="28"/>
      <c r="R328" s="28"/>
    </row>
    <row r="329" spans="1:18" ht="16.05" customHeight="1" x14ac:dyDescent="0.3">
      <c r="A329" s="30">
        <v>326</v>
      </c>
      <c r="B329" s="30" t="s">
        <v>540</v>
      </c>
      <c r="C329" s="30" t="s">
        <v>147</v>
      </c>
      <c r="D329" s="30" t="s">
        <v>181</v>
      </c>
      <c r="E329" s="30" t="s">
        <v>184</v>
      </c>
      <c r="F329" s="30" t="s">
        <v>169</v>
      </c>
      <c r="G329" s="30" t="s">
        <v>1724</v>
      </c>
      <c r="H329" s="30"/>
      <c r="I329" s="30"/>
      <c r="J329" s="30"/>
      <c r="K329" s="30"/>
      <c r="L329" s="30"/>
      <c r="M329" s="30"/>
      <c r="N329" s="30"/>
      <c r="O329" s="30"/>
      <c r="P329" s="30"/>
      <c r="Q329" s="30"/>
      <c r="R329" s="30"/>
    </row>
    <row r="330" spans="1:18" ht="16.05" customHeight="1" x14ac:dyDescent="0.3">
      <c r="A330" s="28">
        <v>327</v>
      </c>
      <c r="B330" s="28" t="s">
        <v>540</v>
      </c>
      <c r="C330" s="28" t="s">
        <v>148</v>
      </c>
      <c r="D330" s="28" t="s">
        <v>176</v>
      </c>
      <c r="E330" s="28" t="s">
        <v>185</v>
      </c>
      <c r="F330" s="28" t="s">
        <v>169</v>
      </c>
      <c r="G330" s="28" t="s">
        <v>1724</v>
      </c>
      <c r="H330" s="28"/>
      <c r="I330" s="28"/>
      <c r="J330" s="28"/>
      <c r="K330" s="28"/>
      <c r="L330" s="28"/>
      <c r="M330" s="28"/>
      <c r="N330" s="28"/>
      <c r="O330" s="28"/>
      <c r="P330" s="28"/>
      <c r="Q330" s="28"/>
      <c r="R330" s="28"/>
    </row>
    <row r="331" spans="1:18" ht="16.05" customHeight="1" x14ac:dyDescent="0.3">
      <c r="A331" s="30">
        <v>328</v>
      </c>
      <c r="B331" s="30" t="s">
        <v>540</v>
      </c>
      <c r="C331" s="30" t="s">
        <v>152</v>
      </c>
      <c r="D331" s="30" t="s">
        <v>168</v>
      </c>
      <c r="E331" s="30" t="s">
        <v>186</v>
      </c>
      <c r="F331" s="30" t="s">
        <v>173</v>
      </c>
      <c r="G331" s="30" t="s">
        <v>1724</v>
      </c>
      <c r="H331" s="30"/>
      <c r="I331" s="30"/>
      <c r="J331" s="30"/>
      <c r="K331" s="30"/>
      <c r="L331" s="30"/>
      <c r="M331" s="30"/>
      <c r="N331" s="30"/>
      <c r="O331" s="30"/>
      <c r="P331" s="30"/>
      <c r="Q331" s="30"/>
      <c r="R331" s="30"/>
    </row>
    <row r="332" spans="1:18" ht="16.05" customHeight="1" x14ac:dyDescent="0.3">
      <c r="A332" s="28">
        <v>329</v>
      </c>
      <c r="B332" s="28" t="s">
        <v>540</v>
      </c>
      <c r="C332" s="28" t="s">
        <v>151</v>
      </c>
      <c r="D332" s="28" t="s">
        <v>179</v>
      </c>
      <c r="E332" s="28" t="s">
        <v>187</v>
      </c>
      <c r="F332" s="28" t="s">
        <v>165</v>
      </c>
      <c r="G332" s="28" t="s">
        <v>1724</v>
      </c>
      <c r="H332" s="28"/>
      <c r="I332" s="28"/>
      <c r="J332" s="28"/>
      <c r="K332" s="28"/>
      <c r="L332" s="28"/>
      <c r="M332" s="28"/>
      <c r="N332" s="28"/>
      <c r="O332" s="28"/>
      <c r="P332" s="28"/>
      <c r="Q332" s="28"/>
      <c r="R332" s="28"/>
    </row>
    <row r="333" spans="1:18" ht="16.05" customHeight="1" x14ac:dyDescent="0.3">
      <c r="A333" s="30">
        <v>330</v>
      </c>
      <c r="B333" s="30" t="s">
        <v>540</v>
      </c>
      <c r="C333" s="30" t="s">
        <v>143</v>
      </c>
      <c r="D333" s="30" t="s">
        <v>176</v>
      </c>
      <c r="E333" s="30" t="s">
        <v>188</v>
      </c>
      <c r="F333" s="30" t="s">
        <v>165</v>
      </c>
      <c r="G333" s="30" t="s">
        <v>1724</v>
      </c>
      <c r="H333" s="30"/>
      <c r="I333" s="30"/>
      <c r="J333" s="30"/>
      <c r="K333" s="30"/>
      <c r="L333" s="30"/>
      <c r="M333" s="30"/>
      <c r="N333" s="30"/>
      <c r="O333" s="30"/>
      <c r="P333" s="30"/>
      <c r="Q333" s="30"/>
      <c r="R333" s="30"/>
    </row>
    <row r="334" spans="1:18" ht="16.05" customHeight="1" x14ac:dyDescent="0.3">
      <c r="A334" s="28">
        <v>331</v>
      </c>
      <c r="B334" s="28" t="s">
        <v>541</v>
      </c>
      <c r="C334" s="28" t="s">
        <v>142</v>
      </c>
      <c r="D334" s="28" t="s">
        <v>164</v>
      </c>
      <c r="E334" s="28" t="s">
        <v>163</v>
      </c>
      <c r="F334" s="28" t="s">
        <v>165</v>
      </c>
      <c r="G334" s="28" t="s">
        <v>1724</v>
      </c>
      <c r="H334" s="28"/>
      <c r="I334" s="28"/>
      <c r="J334" s="28"/>
      <c r="K334" s="28"/>
      <c r="L334" s="28"/>
      <c r="M334" s="28"/>
      <c r="N334" s="28"/>
      <c r="O334" s="28"/>
      <c r="P334" s="28"/>
      <c r="Q334" s="28"/>
      <c r="R334" s="28"/>
    </row>
    <row r="335" spans="1:18" ht="16.05" customHeight="1" x14ac:dyDescent="0.3">
      <c r="A335" s="30">
        <v>332</v>
      </c>
      <c r="B335" s="30" t="s">
        <v>541</v>
      </c>
      <c r="C335" s="30" t="s">
        <v>146</v>
      </c>
      <c r="D335" s="30" t="s">
        <v>168</v>
      </c>
      <c r="E335" s="30" t="s">
        <v>167</v>
      </c>
      <c r="F335" s="30" t="s">
        <v>169</v>
      </c>
      <c r="G335" s="30" t="s">
        <v>1724</v>
      </c>
      <c r="H335" s="30"/>
      <c r="I335" s="30"/>
      <c r="J335" s="30"/>
      <c r="K335" s="30"/>
      <c r="L335" s="30"/>
      <c r="M335" s="30"/>
      <c r="N335" s="30"/>
      <c r="O335" s="30"/>
      <c r="P335" s="30"/>
      <c r="Q335" s="30"/>
      <c r="R335" s="30"/>
    </row>
    <row r="336" spans="1:18" ht="16.05" customHeight="1" x14ac:dyDescent="0.3">
      <c r="A336" s="28">
        <v>333</v>
      </c>
      <c r="B336" s="28" t="s">
        <v>541</v>
      </c>
      <c r="C336" s="28" t="s">
        <v>147</v>
      </c>
      <c r="D336" s="28" t="s">
        <v>168</v>
      </c>
      <c r="E336" s="28" t="s">
        <v>170</v>
      </c>
      <c r="F336" s="28" t="s">
        <v>165</v>
      </c>
      <c r="G336" s="28" t="s">
        <v>1724</v>
      </c>
      <c r="H336" s="28"/>
      <c r="I336" s="28"/>
      <c r="J336" s="28"/>
      <c r="K336" s="28"/>
      <c r="L336" s="28"/>
      <c r="M336" s="28"/>
      <c r="N336" s="28"/>
      <c r="O336" s="28"/>
      <c r="P336" s="28"/>
      <c r="Q336" s="28"/>
      <c r="R336" s="28"/>
    </row>
    <row r="337" spans="1:18" ht="16.05" customHeight="1" x14ac:dyDescent="0.3">
      <c r="A337" s="30">
        <v>334</v>
      </c>
      <c r="B337" s="30" t="s">
        <v>541</v>
      </c>
      <c r="C337" s="30" t="s">
        <v>146</v>
      </c>
      <c r="D337" s="30" t="s">
        <v>172</v>
      </c>
      <c r="E337" s="30" t="s">
        <v>171</v>
      </c>
      <c r="F337" s="30" t="s">
        <v>173</v>
      </c>
      <c r="G337" s="30" t="s">
        <v>1724</v>
      </c>
      <c r="H337" s="30"/>
      <c r="I337" s="30"/>
      <c r="J337" s="30"/>
      <c r="K337" s="30"/>
      <c r="L337" s="30"/>
      <c r="M337" s="30"/>
      <c r="N337" s="30"/>
      <c r="O337" s="30"/>
      <c r="P337" s="30"/>
      <c r="Q337" s="30"/>
      <c r="R337" s="30"/>
    </row>
    <row r="338" spans="1:18" ht="16.05" customHeight="1" x14ac:dyDescent="0.3">
      <c r="A338" s="28">
        <v>335</v>
      </c>
      <c r="B338" s="28" t="s">
        <v>541</v>
      </c>
      <c r="C338" s="28" t="s">
        <v>143</v>
      </c>
      <c r="D338" s="28" t="s">
        <v>172</v>
      </c>
      <c r="E338" s="28" t="s">
        <v>174</v>
      </c>
      <c r="F338" s="28" t="s">
        <v>169</v>
      </c>
      <c r="G338" s="28" t="s">
        <v>1724</v>
      </c>
      <c r="H338" s="28"/>
      <c r="I338" s="28"/>
      <c r="J338" s="28"/>
      <c r="K338" s="28"/>
      <c r="L338" s="28"/>
      <c r="M338" s="28"/>
      <c r="N338" s="28"/>
      <c r="O338" s="28"/>
      <c r="P338" s="28"/>
      <c r="Q338" s="28"/>
      <c r="R338" s="28"/>
    </row>
    <row r="339" spans="1:18" ht="16.05" customHeight="1" x14ac:dyDescent="0.3">
      <c r="A339" s="30">
        <v>336</v>
      </c>
      <c r="B339" s="30" t="s">
        <v>541</v>
      </c>
      <c r="C339" s="30" t="s">
        <v>143</v>
      </c>
      <c r="D339" s="30" t="s">
        <v>176</v>
      </c>
      <c r="E339" s="30" t="s">
        <v>175</v>
      </c>
      <c r="F339" s="30" t="s">
        <v>165</v>
      </c>
      <c r="G339" s="30" t="s">
        <v>1724</v>
      </c>
      <c r="H339" s="30"/>
      <c r="I339" s="30"/>
      <c r="J339" s="30"/>
      <c r="K339" s="30"/>
      <c r="L339" s="30"/>
      <c r="M339" s="30"/>
      <c r="N339" s="30"/>
      <c r="O339" s="30"/>
      <c r="P339" s="30"/>
      <c r="Q339" s="30"/>
      <c r="R339" s="30"/>
    </row>
    <row r="340" spans="1:18" ht="16.05" customHeight="1" x14ac:dyDescent="0.3">
      <c r="A340" s="28">
        <v>337</v>
      </c>
      <c r="B340" s="28" t="s">
        <v>541</v>
      </c>
      <c r="C340" s="28" t="s">
        <v>144</v>
      </c>
      <c r="D340" s="28" t="s">
        <v>176</v>
      </c>
      <c r="E340" s="28" t="s">
        <v>177</v>
      </c>
      <c r="F340" s="28" t="s">
        <v>173</v>
      </c>
      <c r="G340" s="28" t="s">
        <v>1724</v>
      </c>
      <c r="H340" s="28"/>
      <c r="I340" s="28"/>
      <c r="J340" s="28"/>
      <c r="K340" s="28"/>
      <c r="L340" s="28"/>
      <c r="M340" s="28"/>
      <c r="N340" s="28"/>
      <c r="O340" s="28"/>
      <c r="P340" s="28"/>
      <c r="Q340" s="28"/>
      <c r="R340" s="28"/>
    </row>
    <row r="341" spans="1:18" ht="16.05" customHeight="1" x14ac:dyDescent="0.3">
      <c r="A341" s="30">
        <v>338</v>
      </c>
      <c r="B341" s="30" t="s">
        <v>541</v>
      </c>
      <c r="C341" s="30" t="s">
        <v>145</v>
      </c>
      <c r="D341" s="30" t="s">
        <v>179</v>
      </c>
      <c r="E341" s="30" t="s">
        <v>178</v>
      </c>
      <c r="F341" s="30" t="s">
        <v>165</v>
      </c>
      <c r="G341" s="30" t="s">
        <v>1724</v>
      </c>
      <c r="H341" s="30"/>
      <c r="I341" s="30"/>
      <c r="J341" s="30"/>
      <c r="K341" s="30"/>
      <c r="L341" s="30"/>
      <c r="M341" s="30"/>
      <c r="N341" s="30"/>
      <c r="O341" s="30"/>
      <c r="P341" s="30"/>
      <c r="Q341" s="30"/>
      <c r="R341" s="30"/>
    </row>
    <row r="342" spans="1:18" ht="16.05" customHeight="1" x14ac:dyDescent="0.3">
      <c r="A342" s="28">
        <v>339</v>
      </c>
      <c r="B342" s="28" t="s">
        <v>541</v>
      </c>
      <c r="C342" s="28" t="s">
        <v>146</v>
      </c>
      <c r="D342" s="28" t="s">
        <v>181</v>
      </c>
      <c r="E342" s="28" t="s">
        <v>180</v>
      </c>
      <c r="F342" s="28" t="s">
        <v>182</v>
      </c>
      <c r="G342" s="28" t="s">
        <v>1724</v>
      </c>
      <c r="H342" s="28"/>
      <c r="I342" s="28"/>
      <c r="J342" s="28"/>
      <c r="K342" s="28"/>
      <c r="L342" s="28"/>
      <c r="M342" s="28"/>
      <c r="N342" s="28"/>
      <c r="O342" s="28"/>
      <c r="P342" s="28"/>
      <c r="Q342" s="28"/>
      <c r="R342" s="28"/>
    </row>
    <row r="343" spans="1:18" ht="16.05" customHeight="1" x14ac:dyDescent="0.3">
      <c r="A343" s="30">
        <v>340</v>
      </c>
      <c r="B343" s="30" t="s">
        <v>541</v>
      </c>
      <c r="C343" s="30" t="s">
        <v>148</v>
      </c>
      <c r="D343" s="30" t="s">
        <v>168</v>
      </c>
      <c r="E343" s="30" t="s">
        <v>183</v>
      </c>
      <c r="F343" s="30" t="s">
        <v>169</v>
      </c>
      <c r="G343" s="30" t="s">
        <v>1724</v>
      </c>
      <c r="H343" s="30"/>
      <c r="I343" s="30"/>
      <c r="J343" s="30"/>
      <c r="K343" s="30"/>
      <c r="L343" s="30"/>
      <c r="M343" s="30"/>
      <c r="N343" s="30"/>
      <c r="O343" s="30"/>
      <c r="P343" s="30"/>
      <c r="Q343" s="30"/>
      <c r="R343" s="30"/>
    </row>
    <row r="344" spans="1:18" ht="16.05" customHeight="1" x14ac:dyDescent="0.3">
      <c r="A344" s="28">
        <v>341</v>
      </c>
      <c r="B344" s="28" t="s">
        <v>541</v>
      </c>
      <c r="C344" s="28" t="s">
        <v>147</v>
      </c>
      <c r="D344" s="28" t="s">
        <v>181</v>
      </c>
      <c r="E344" s="28" t="s">
        <v>184</v>
      </c>
      <c r="F344" s="28" t="s">
        <v>169</v>
      </c>
      <c r="G344" s="28" t="s">
        <v>1724</v>
      </c>
      <c r="H344" s="28"/>
      <c r="I344" s="28"/>
      <c r="J344" s="28"/>
      <c r="K344" s="28"/>
      <c r="L344" s="28"/>
      <c r="M344" s="28"/>
      <c r="N344" s="28"/>
      <c r="O344" s="28"/>
      <c r="P344" s="28"/>
      <c r="Q344" s="28"/>
      <c r="R344" s="28"/>
    </row>
    <row r="345" spans="1:18" ht="16.05" customHeight="1" x14ac:dyDescent="0.3">
      <c r="A345" s="30">
        <v>342</v>
      </c>
      <c r="B345" s="30" t="s">
        <v>541</v>
      </c>
      <c r="C345" s="30" t="s">
        <v>148</v>
      </c>
      <c r="D345" s="30" t="s">
        <v>176</v>
      </c>
      <c r="E345" s="30" t="s">
        <v>185</v>
      </c>
      <c r="F345" s="30" t="s">
        <v>169</v>
      </c>
      <c r="G345" s="30" t="s">
        <v>1724</v>
      </c>
      <c r="H345" s="30"/>
      <c r="I345" s="30"/>
      <c r="J345" s="30"/>
      <c r="K345" s="30"/>
      <c r="L345" s="30"/>
      <c r="M345" s="30"/>
      <c r="N345" s="30"/>
      <c r="O345" s="30"/>
      <c r="P345" s="30"/>
      <c r="Q345" s="30"/>
      <c r="R345" s="30"/>
    </row>
    <row r="346" spans="1:18" ht="16.05" customHeight="1" x14ac:dyDescent="0.3">
      <c r="A346" s="28">
        <v>343</v>
      </c>
      <c r="B346" s="28" t="s">
        <v>541</v>
      </c>
      <c r="C346" s="28" t="s">
        <v>152</v>
      </c>
      <c r="D346" s="28" t="s">
        <v>168</v>
      </c>
      <c r="E346" s="28" t="s">
        <v>186</v>
      </c>
      <c r="F346" s="28" t="s">
        <v>173</v>
      </c>
      <c r="G346" s="28" t="s">
        <v>1724</v>
      </c>
      <c r="H346" s="28"/>
      <c r="I346" s="28"/>
      <c r="J346" s="28"/>
      <c r="K346" s="28"/>
      <c r="L346" s="28"/>
      <c r="M346" s="28"/>
      <c r="N346" s="28"/>
      <c r="O346" s="28"/>
      <c r="P346" s="28"/>
      <c r="Q346" s="28"/>
      <c r="R346" s="28"/>
    </row>
    <row r="347" spans="1:18" ht="16.05" customHeight="1" x14ac:dyDescent="0.3">
      <c r="A347" s="30">
        <v>344</v>
      </c>
      <c r="B347" s="30" t="s">
        <v>541</v>
      </c>
      <c r="C347" s="30" t="s">
        <v>151</v>
      </c>
      <c r="D347" s="30" t="s">
        <v>179</v>
      </c>
      <c r="E347" s="30" t="s">
        <v>187</v>
      </c>
      <c r="F347" s="30" t="s">
        <v>165</v>
      </c>
      <c r="G347" s="30" t="s">
        <v>1724</v>
      </c>
      <c r="H347" s="30"/>
      <c r="I347" s="30"/>
      <c r="J347" s="30"/>
      <c r="K347" s="30"/>
      <c r="L347" s="30"/>
      <c r="M347" s="30"/>
      <c r="N347" s="30"/>
      <c r="O347" s="30"/>
      <c r="P347" s="30"/>
      <c r="Q347" s="30"/>
      <c r="R347" s="30"/>
    </row>
    <row r="348" spans="1:18" ht="16.05" customHeight="1" x14ac:dyDescent="0.3">
      <c r="A348" s="28">
        <v>345</v>
      </c>
      <c r="B348" s="28" t="s">
        <v>541</v>
      </c>
      <c r="C348" s="28" t="s">
        <v>143</v>
      </c>
      <c r="D348" s="28" t="s">
        <v>176</v>
      </c>
      <c r="E348" s="28" t="s">
        <v>188</v>
      </c>
      <c r="F348" s="28" t="s">
        <v>165</v>
      </c>
      <c r="G348" s="28" t="s">
        <v>1724</v>
      </c>
      <c r="H348" s="28"/>
      <c r="I348" s="28"/>
      <c r="J348" s="28"/>
      <c r="K348" s="28"/>
      <c r="L348" s="28"/>
      <c r="M348" s="28"/>
      <c r="N348" s="28"/>
      <c r="O348" s="28"/>
      <c r="P348" s="28"/>
      <c r="Q348" s="28"/>
      <c r="R348" s="28"/>
    </row>
    <row r="349" spans="1:18" ht="16.05" customHeight="1" x14ac:dyDescent="0.3">
      <c r="A349" s="30">
        <v>346</v>
      </c>
      <c r="B349" s="30" t="s">
        <v>542</v>
      </c>
      <c r="C349" s="30" t="s">
        <v>142</v>
      </c>
      <c r="D349" s="30" t="s">
        <v>164</v>
      </c>
      <c r="E349" s="30" t="s">
        <v>163</v>
      </c>
      <c r="F349" s="30" t="s">
        <v>165</v>
      </c>
      <c r="G349" s="30" t="s">
        <v>1724</v>
      </c>
      <c r="H349" s="30"/>
      <c r="I349" s="30"/>
      <c r="J349" s="30"/>
      <c r="K349" s="30"/>
      <c r="L349" s="30"/>
      <c r="M349" s="30"/>
      <c r="N349" s="30"/>
      <c r="O349" s="30"/>
      <c r="P349" s="30"/>
      <c r="Q349" s="30"/>
      <c r="R349" s="30"/>
    </row>
    <row r="350" spans="1:18" ht="16.05" customHeight="1" x14ac:dyDescent="0.3">
      <c r="A350" s="28">
        <v>347</v>
      </c>
      <c r="B350" s="28" t="s">
        <v>542</v>
      </c>
      <c r="C350" s="28" t="s">
        <v>146</v>
      </c>
      <c r="D350" s="28" t="s">
        <v>168</v>
      </c>
      <c r="E350" s="28" t="s">
        <v>167</v>
      </c>
      <c r="F350" s="28" t="s">
        <v>169</v>
      </c>
      <c r="G350" s="28" t="s">
        <v>1724</v>
      </c>
      <c r="H350" s="28"/>
      <c r="I350" s="28"/>
      <c r="J350" s="28"/>
      <c r="K350" s="28"/>
      <c r="L350" s="28"/>
      <c r="M350" s="28"/>
      <c r="N350" s="28"/>
      <c r="O350" s="28"/>
      <c r="P350" s="28"/>
      <c r="Q350" s="28"/>
      <c r="R350" s="28"/>
    </row>
    <row r="351" spans="1:18" ht="16.05" customHeight="1" x14ac:dyDescent="0.3">
      <c r="A351" s="30">
        <v>348</v>
      </c>
      <c r="B351" s="30" t="s">
        <v>542</v>
      </c>
      <c r="C351" s="30" t="s">
        <v>147</v>
      </c>
      <c r="D351" s="30" t="s">
        <v>168</v>
      </c>
      <c r="E351" s="30" t="s">
        <v>170</v>
      </c>
      <c r="F351" s="30" t="s">
        <v>165</v>
      </c>
      <c r="G351" s="30" t="s">
        <v>1724</v>
      </c>
      <c r="H351" s="30"/>
      <c r="I351" s="30"/>
      <c r="J351" s="30"/>
      <c r="K351" s="30"/>
      <c r="L351" s="30"/>
      <c r="M351" s="30"/>
      <c r="N351" s="30"/>
      <c r="O351" s="30"/>
      <c r="P351" s="30"/>
      <c r="Q351" s="30"/>
      <c r="R351" s="30"/>
    </row>
    <row r="352" spans="1:18" ht="16.05" customHeight="1" x14ac:dyDescent="0.3">
      <c r="A352" s="28">
        <v>349</v>
      </c>
      <c r="B352" s="28" t="s">
        <v>542</v>
      </c>
      <c r="C352" s="28" t="s">
        <v>146</v>
      </c>
      <c r="D352" s="28" t="s">
        <v>172</v>
      </c>
      <c r="E352" s="28" t="s">
        <v>171</v>
      </c>
      <c r="F352" s="28" t="s">
        <v>173</v>
      </c>
      <c r="G352" s="28" t="s">
        <v>1724</v>
      </c>
      <c r="H352" s="28"/>
      <c r="I352" s="28"/>
      <c r="J352" s="28"/>
      <c r="K352" s="28"/>
      <c r="L352" s="28"/>
      <c r="M352" s="28"/>
      <c r="N352" s="28"/>
      <c r="O352" s="28"/>
      <c r="P352" s="28"/>
      <c r="Q352" s="28"/>
      <c r="R352" s="28"/>
    </row>
    <row r="353" spans="1:18" ht="16.05" customHeight="1" x14ac:dyDescent="0.3">
      <c r="A353" s="30">
        <v>350</v>
      </c>
      <c r="B353" s="30" t="s">
        <v>542</v>
      </c>
      <c r="C353" s="30" t="s">
        <v>143</v>
      </c>
      <c r="D353" s="30" t="s">
        <v>172</v>
      </c>
      <c r="E353" s="30" t="s">
        <v>174</v>
      </c>
      <c r="F353" s="30" t="s">
        <v>169</v>
      </c>
      <c r="G353" s="30" t="s">
        <v>1724</v>
      </c>
      <c r="H353" s="30"/>
      <c r="I353" s="30"/>
      <c r="J353" s="30"/>
      <c r="K353" s="30"/>
      <c r="L353" s="30"/>
      <c r="M353" s="30"/>
      <c r="N353" s="30"/>
      <c r="O353" s="30"/>
      <c r="P353" s="30"/>
      <c r="Q353" s="30"/>
      <c r="R353" s="30"/>
    </row>
    <row r="354" spans="1:18" ht="16.05" customHeight="1" x14ac:dyDescent="0.3">
      <c r="A354" s="28">
        <v>351</v>
      </c>
      <c r="B354" s="28" t="s">
        <v>542</v>
      </c>
      <c r="C354" s="28" t="s">
        <v>143</v>
      </c>
      <c r="D354" s="28" t="s">
        <v>176</v>
      </c>
      <c r="E354" s="28" t="s">
        <v>175</v>
      </c>
      <c r="F354" s="28" t="s">
        <v>165</v>
      </c>
      <c r="G354" s="28" t="s">
        <v>1724</v>
      </c>
      <c r="H354" s="28"/>
      <c r="I354" s="28"/>
      <c r="J354" s="28"/>
      <c r="K354" s="28"/>
      <c r="L354" s="28"/>
      <c r="M354" s="28"/>
      <c r="N354" s="28"/>
      <c r="O354" s="28"/>
      <c r="P354" s="28"/>
      <c r="Q354" s="28"/>
      <c r="R354" s="28"/>
    </row>
    <row r="355" spans="1:18" ht="16.05" customHeight="1" x14ac:dyDescent="0.3">
      <c r="A355" s="30">
        <v>352</v>
      </c>
      <c r="B355" s="30" t="s">
        <v>542</v>
      </c>
      <c r="C355" s="30" t="s">
        <v>144</v>
      </c>
      <c r="D355" s="30" t="s">
        <v>176</v>
      </c>
      <c r="E355" s="30" t="s">
        <v>177</v>
      </c>
      <c r="F355" s="30" t="s">
        <v>173</v>
      </c>
      <c r="G355" s="30" t="s">
        <v>1724</v>
      </c>
      <c r="H355" s="30"/>
      <c r="I355" s="30"/>
      <c r="J355" s="30"/>
      <c r="K355" s="30"/>
      <c r="L355" s="30"/>
      <c r="M355" s="30"/>
      <c r="N355" s="30"/>
      <c r="O355" s="30"/>
      <c r="P355" s="30"/>
      <c r="Q355" s="30"/>
      <c r="R355" s="30"/>
    </row>
    <row r="356" spans="1:18" ht="16.05" customHeight="1" x14ac:dyDescent="0.3">
      <c r="A356" s="28">
        <v>353</v>
      </c>
      <c r="B356" s="28" t="s">
        <v>542</v>
      </c>
      <c r="C356" s="28" t="s">
        <v>145</v>
      </c>
      <c r="D356" s="28" t="s">
        <v>179</v>
      </c>
      <c r="E356" s="28" t="s">
        <v>178</v>
      </c>
      <c r="F356" s="28" t="s">
        <v>165</v>
      </c>
      <c r="G356" s="28" t="s">
        <v>1724</v>
      </c>
      <c r="H356" s="28"/>
      <c r="I356" s="28"/>
      <c r="J356" s="28"/>
      <c r="K356" s="28"/>
      <c r="L356" s="28"/>
      <c r="M356" s="28"/>
      <c r="N356" s="28"/>
      <c r="O356" s="28"/>
      <c r="P356" s="28"/>
      <c r="Q356" s="28"/>
      <c r="R356" s="28"/>
    </row>
    <row r="357" spans="1:18" ht="16.05" customHeight="1" x14ac:dyDescent="0.3">
      <c r="A357" s="30">
        <v>354</v>
      </c>
      <c r="B357" s="30" t="s">
        <v>542</v>
      </c>
      <c r="C357" s="30" t="s">
        <v>146</v>
      </c>
      <c r="D357" s="30" t="s">
        <v>181</v>
      </c>
      <c r="E357" s="30" t="s">
        <v>180</v>
      </c>
      <c r="F357" s="30" t="s">
        <v>182</v>
      </c>
      <c r="G357" s="30" t="s">
        <v>1724</v>
      </c>
      <c r="H357" s="30"/>
      <c r="I357" s="30"/>
      <c r="J357" s="30"/>
      <c r="K357" s="30"/>
      <c r="L357" s="30"/>
      <c r="M357" s="30"/>
      <c r="N357" s="30"/>
      <c r="O357" s="30"/>
      <c r="P357" s="30"/>
      <c r="Q357" s="30"/>
      <c r="R357" s="30"/>
    </row>
    <row r="358" spans="1:18" ht="16.05" customHeight="1" x14ac:dyDescent="0.3">
      <c r="A358" s="28">
        <v>355</v>
      </c>
      <c r="B358" s="28" t="s">
        <v>542</v>
      </c>
      <c r="C358" s="28" t="s">
        <v>148</v>
      </c>
      <c r="D358" s="28" t="s">
        <v>168</v>
      </c>
      <c r="E358" s="28" t="s">
        <v>183</v>
      </c>
      <c r="F358" s="28" t="s">
        <v>169</v>
      </c>
      <c r="G358" s="28" t="s">
        <v>1724</v>
      </c>
      <c r="H358" s="28"/>
      <c r="I358" s="28"/>
      <c r="J358" s="28"/>
      <c r="K358" s="28"/>
      <c r="L358" s="28"/>
      <c r="M358" s="28"/>
      <c r="N358" s="28"/>
      <c r="O358" s="28"/>
      <c r="P358" s="28"/>
      <c r="Q358" s="28"/>
      <c r="R358" s="28"/>
    </row>
    <row r="359" spans="1:18" ht="16.05" customHeight="1" x14ac:dyDescent="0.3">
      <c r="A359" s="30">
        <v>356</v>
      </c>
      <c r="B359" s="30" t="s">
        <v>542</v>
      </c>
      <c r="C359" s="30" t="s">
        <v>147</v>
      </c>
      <c r="D359" s="30" t="s">
        <v>181</v>
      </c>
      <c r="E359" s="30" t="s">
        <v>184</v>
      </c>
      <c r="F359" s="30" t="s">
        <v>169</v>
      </c>
      <c r="G359" s="30" t="s">
        <v>1724</v>
      </c>
      <c r="H359" s="30"/>
      <c r="I359" s="30"/>
      <c r="J359" s="30"/>
      <c r="K359" s="30"/>
      <c r="L359" s="30"/>
      <c r="M359" s="30"/>
      <c r="N359" s="30"/>
      <c r="O359" s="30"/>
      <c r="P359" s="30"/>
      <c r="Q359" s="30"/>
      <c r="R359" s="30"/>
    </row>
    <row r="360" spans="1:18" ht="16.05" customHeight="1" x14ac:dyDescent="0.3">
      <c r="A360" s="28">
        <v>357</v>
      </c>
      <c r="B360" s="28" t="s">
        <v>542</v>
      </c>
      <c r="C360" s="28" t="s">
        <v>148</v>
      </c>
      <c r="D360" s="28" t="s">
        <v>176</v>
      </c>
      <c r="E360" s="28" t="s">
        <v>185</v>
      </c>
      <c r="F360" s="28" t="s">
        <v>169</v>
      </c>
      <c r="G360" s="28" t="s">
        <v>1724</v>
      </c>
      <c r="H360" s="28"/>
      <c r="I360" s="28"/>
      <c r="J360" s="28"/>
      <c r="K360" s="28"/>
      <c r="L360" s="28"/>
      <c r="M360" s="28"/>
      <c r="N360" s="28"/>
      <c r="O360" s="28"/>
      <c r="P360" s="28"/>
      <c r="Q360" s="28"/>
      <c r="R360" s="28"/>
    </row>
    <row r="361" spans="1:18" ht="16.05" customHeight="1" x14ac:dyDescent="0.3">
      <c r="A361" s="30">
        <v>358</v>
      </c>
      <c r="B361" s="30" t="s">
        <v>542</v>
      </c>
      <c r="C361" s="30" t="s">
        <v>152</v>
      </c>
      <c r="D361" s="30" t="s">
        <v>168</v>
      </c>
      <c r="E361" s="30" t="s">
        <v>186</v>
      </c>
      <c r="F361" s="30" t="s">
        <v>173</v>
      </c>
      <c r="G361" s="30" t="s">
        <v>1724</v>
      </c>
      <c r="H361" s="30"/>
      <c r="I361" s="30"/>
      <c r="J361" s="30"/>
      <c r="K361" s="30"/>
      <c r="L361" s="30"/>
      <c r="M361" s="30"/>
      <c r="N361" s="30"/>
      <c r="O361" s="30"/>
      <c r="P361" s="30"/>
      <c r="Q361" s="30"/>
      <c r="R361" s="30"/>
    </row>
    <row r="362" spans="1:18" ht="16.05" customHeight="1" x14ac:dyDescent="0.3">
      <c r="A362" s="28">
        <v>359</v>
      </c>
      <c r="B362" s="28" t="s">
        <v>542</v>
      </c>
      <c r="C362" s="28" t="s">
        <v>151</v>
      </c>
      <c r="D362" s="28" t="s">
        <v>179</v>
      </c>
      <c r="E362" s="28" t="s">
        <v>187</v>
      </c>
      <c r="F362" s="28" t="s">
        <v>165</v>
      </c>
      <c r="G362" s="28" t="s">
        <v>1724</v>
      </c>
      <c r="H362" s="28"/>
      <c r="I362" s="28"/>
      <c r="J362" s="28"/>
      <c r="K362" s="28"/>
      <c r="L362" s="28"/>
      <c r="M362" s="28"/>
      <c r="N362" s="28"/>
      <c r="O362" s="28"/>
      <c r="P362" s="28"/>
      <c r="Q362" s="28"/>
      <c r="R362" s="28"/>
    </row>
    <row r="363" spans="1:18" ht="16.05" customHeight="1" x14ac:dyDescent="0.3">
      <c r="A363" s="30">
        <v>360</v>
      </c>
      <c r="B363" s="30" t="s">
        <v>542</v>
      </c>
      <c r="C363" s="30" t="s">
        <v>143</v>
      </c>
      <c r="D363" s="30" t="s">
        <v>176</v>
      </c>
      <c r="E363" s="30" t="s">
        <v>188</v>
      </c>
      <c r="F363" s="30" t="s">
        <v>165</v>
      </c>
      <c r="G363" s="30" t="s">
        <v>1724</v>
      </c>
      <c r="H363" s="30"/>
      <c r="I363" s="30"/>
      <c r="J363" s="30"/>
      <c r="K363" s="30"/>
      <c r="L363" s="30"/>
      <c r="M363" s="30"/>
      <c r="N363" s="30"/>
      <c r="O363" s="30"/>
      <c r="P363" s="30"/>
      <c r="Q363" s="30"/>
      <c r="R363" s="30"/>
    </row>
    <row r="364" spans="1:18" ht="16.05" customHeight="1" x14ac:dyDescent="0.3">
      <c r="A364" s="28">
        <v>361</v>
      </c>
      <c r="B364" s="28" t="s">
        <v>543</v>
      </c>
      <c r="C364" s="28" t="s">
        <v>142</v>
      </c>
      <c r="D364" s="28" t="s">
        <v>164</v>
      </c>
      <c r="E364" s="28" t="s">
        <v>163</v>
      </c>
      <c r="F364" s="28" t="s">
        <v>165</v>
      </c>
      <c r="G364" s="28" t="s">
        <v>1724</v>
      </c>
      <c r="H364" s="28"/>
      <c r="I364" s="28"/>
      <c r="J364" s="28"/>
      <c r="K364" s="28"/>
      <c r="L364" s="28"/>
      <c r="M364" s="28"/>
      <c r="N364" s="28"/>
      <c r="O364" s="28"/>
      <c r="P364" s="28"/>
      <c r="Q364" s="28"/>
      <c r="R364" s="28"/>
    </row>
    <row r="365" spans="1:18" ht="16.05" customHeight="1" x14ac:dyDescent="0.3">
      <c r="A365" s="30">
        <v>362</v>
      </c>
      <c r="B365" s="30" t="s">
        <v>543</v>
      </c>
      <c r="C365" s="30" t="s">
        <v>146</v>
      </c>
      <c r="D365" s="30" t="s">
        <v>168</v>
      </c>
      <c r="E365" s="30" t="s">
        <v>167</v>
      </c>
      <c r="F365" s="30" t="s">
        <v>169</v>
      </c>
      <c r="G365" s="30" t="s">
        <v>1724</v>
      </c>
      <c r="H365" s="30"/>
      <c r="I365" s="30"/>
      <c r="J365" s="30"/>
      <c r="K365" s="30"/>
      <c r="L365" s="30"/>
      <c r="M365" s="30"/>
      <c r="N365" s="30"/>
      <c r="O365" s="30"/>
      <c r="P365" s="30"/>
      <c r="Q365" s="30"/>
      <c r="R365" s="30"/>
    </row>
    <row r="366" spans="1:18" ht="16.05" customHeight="1" x14ac:dyDescent="0.3">
      <c r="A366" s="28">
        <v>363</v>
      </c>
      <c r="B366" s="28" t="s">
        <v>543</v>
      </c>
      <c r="C366" s="28" t="s">
        <v>147</v>
      </c>
      <c r="D366" s="28" t="s">
        <v>168</v>
      </c>
      <c r="E366" s="28" t="s">
        <v>170</v>
      </c>
      <c r="F366" s="28" t="s">
        <v>165</v>
      </c>
      <c r="G366" s="28" t="s">
        <v>1724</v>
      </c>
      <c r="H366" s="28"/>
      <c r="I366" s="28"/>
      <c r="J366" s="28"/>
      <c r="K366" s="28"/>
      <c r="L366" s="28"/>
      <c r="M366" s="28"/>
      <c r="N366" s="28"/>
      <c r="O366" s="28"/>
      <c r="P366" s="28"/>
      <c r="Q366" s="28"/>
      <c r="R366" s="28"/>
    </row>
    <row r="367" spans="1:18" ht="16.05" customHeight="1" x14ac:dyDescent="0.3">
      <c r="A367" s="30">
        <v>364</v>
      </c>
      <c r="B367" s="30" t="s">
        <v>543</v>
      </c>
      <c r="C367" s="30" t="s">
        <v>146</v>
      </c>
      <c r="D367" s="30" t="s">
        <v>172</v>
      </c>
      <c r="E367" s="30" t="s">
        <v>171</v>
      </c>
      <c r="F367" s="30" t="s">
        <v>173</v>
      </c>
      <c r="G367" s="30" t="s">
        <v>1724</v>
      </c>
      <c r="H367" s="30"/>
      <c r="I367" s="30"/>
      <c r="J367" s="30"/>
      <c r="K367" s="30"/>
      <c r="L367" s="30"/>
      <c r="M367" s="30"/>
      <c r="N367" s="30"/>
      <c r="O367" s="30"/>
      <c r="P367" s="30"/>
      <c r="Q367" s="30"/>
      <c r="R367" s="30"/>
    </row>
    <row r="368" spans="1:18" ht="16.05" customHeight="1" x14ac:dyDescent="0.3">
      <c r="A368" s="28">
        <v>365</v>
      </c>
      <c r="B368" s="28" t="s">
        <v>543</v>
      </c>
      <c r="C368" s="28" t="s">
        <v>143</v>
      </c>
      <c r="D368" s="28" t="s">
        <v>172</v>
      </c>
      <c r="E368" s="28" t="s">
        <v>174</v>
      </c>
      <c r="F368" s="28" t="s">
        <v>169</v>
      </c>
      <c r="G368" s="28" t="s">
        <v>1724</v>
      </c>
      <c r="H368" s="28"/>
      <c r="I368" s="28"/>
      <c r="J368" s="28"/>
      <c r="K368" s="28"/>
      <c r="L368" s="28"/>
      <c r="M368" s="28"/>
      <c r="N368" s="28"/>
      <c r="O368" s="28"/>
      <c r="P368" s="28"/>
      <c r="Q368" s="28"/>
      <c r="R368" s="28"/>
    </row>
    <row r="369" spans="1:18" ht="16.05" customHeight="1" x14ac:dyDescent="0.3">
      <c r="A369" s="30">
        <v>366</v>
      </c>
      <c r="B369" s="30" t="s">
        <v>543</v>
      </c>
      <c r="C369" s="30" t="s">
        <v>143</v>
      </c>
      <c r="D369" s="30" t="s">
        <v>176</v>
      </c>
      <c r="E369" s="30" t="s">
        <v>175</v>
      </c>
      <c r="F369" s="30" t="s">
        <v>165</v>
      </c>
      <c r="G369" s="30" t="s">
        <v>1724</v>
      </c>
      <c r="H369" s="30"/>
      <c r="I369" s="30"/>
      <c r="J369" s="30"/>
      <c r="K369" s="30"/>
      <c r="L369" s="30"/>
      <c r="M369" s="30"/>
      <c r="N369" s="30"/>
      <c r="O369" s="30"/>
      <c r="P369" s="30"/>
      <c r="Q369" s="30"/>
      <c r="R369" s="30"/>
    </row>
    <row r="370" spans="1:18" ht="16.05" customHeight="1" x14ac:dyDescent="0.3">
      <c r="A370" s="28">
        <v>367</v>
      </c>
      <c r="B370" s="28" t="s">
        <v>543</v>
      </c>
      <c r="C370" s="28" t="s">
        <v>144</v>
      </c>
      <c r="D370" s="28" t="s">
        <v>176</v>
      </c>
      <c r="E370" s="28" t="s">
        <v>177</v>
      </c>
      <c r="F370" s="28" t="s">
        <v>173</v>
      </c>
      <c r="G370" s="28" t="s">
        <v>1724</v>
      </c>
      <c r="H370" s="28"/>
      <c r="I370" s="28"/>
      <c r="J370" s="28"/>
      <c r="K370" s="28"/>
      <c r="L370" s="28"/>
      <c r="M370" s="28"/>
      <c r="N370" s="28"/>
      <c r="O370" s="28"/>
      <c r="P370" s="28"/>
      <c r="Q370" s="28"/>
      <c r="R370" s="28"/>
    </row>
    <row r="371" spans="1:18" ht="16.05" customHeight="1" x14ac:dyDescent="0.3">
      <c r="A371" s="30">
        <v>368</v>
      </c>
      <c r="B371" s="30" t="s">
        <v>543</v>
      </c>
      <c r="C371" s="30" t="s">
        <v>145</v>
      </c>
      <c r="D371" s="30" t="s">
        <v>179</v>
      </c>
      <c r="E371" s="30" t="s">
        <v>178</v>
      </c>
      <c r="F371" s="30" t="s">
        <v>165</v>
      </c>
      <c r="G371" s="30" t="s">
        <v>1724</v>
      </c>
      <c r="H371" s="30"/>
      <c r="I371" s="30"/>
      <c r="J371" s="30"/>
      <c r="K371" s="30"/>
      <c r="L371" s="30"/>
      <c r="M371" s="30"/>
      <c r="N371" s="30"/>
      <c r="O371" s="30"/>
      <c r="P371" s="30"/>
      <c r="Q371" s="30"/>
      <c r="R371" s="30"/>
    </row>
    <row r="372" spans="1:18" ht="16.05" customHeight="1" x14ac:dyDescent="0.3">
      <c r="A372" s="28">
        <v>369</v>
      </c>
      <c r="B372" s="28" t="s">
        <v>543</v>
      </c>
      <c r="C372" s="28" t="s">
        <v>146</v>
      </c>
      <c r="D372" s="28" t="s">
        <v>181</v>
      </c>
      <c r="E372" s="28" t="s">
        <v>180</v>
      </c>
      <c r="F372" s="28" t="s">
        <v>182</v>
      </c>
      <c r="G372" s="28" t="s">
        <v>1724</v>
      </c>
      <c r="H372" s="28"/>
      <c r="I372" s="28"/>
      <c r="J372" s="28"/>
      <c r="K372" s="28"/>
      <c r="L372" s="28"/>
      <c r="M372" s="28"/>
      <c r="N372" s="28"/>
      <c r="O372" s="28"/>
      <c r="P372" s="28"/>
      <c r="Q372" s="28"/>
      <c r="R372" s="28"/>
    </row>
    <row r="373" spans="1:18" ht="16.05" customHeight="1" x14ac:dyDescent="0.3">
      <c r="A373" s="30">
        <v>370</v>
      </c>
      <c r="B373" s="30" t="s">
        <v>543</v>
      </c>
      <c r="C373" s="30" t="s">
        <v>148</v>
      </c>
      <c r="D373" s="30" t="s">
        <v>168</v>
      </c>
      <c r="E373" s="30" t="s">
        <v>183</v>
      </c>
      <c r="F373" s="30" t="s">
        <v>169</v>
      </c>
      <c r="G373" s="30" t="s">
        <v>1724</v>
      </c>
      <c r="H373" s="30"/>
      <c r="I373" s="30"/>
      <c r="J373" s="30"/>
      <c r="K373" s="30"/>
      <c r="L373" s="30"/>
      <c r="M373" s="30"/>
      <c r="N373" s="30"/>
      <c r="O373" s="30"/>
      <c r="P373" s="30"/>
      <c r="Q373" s="30"/>
      <c r="R373" s="30"/>
    </row>
    <row r="374" spans="1:18" ht="16.05" customHeight="1" x14ac:dyDescent="0.3">
      <c r="A374" s="28">
        <v>371</v>
      </c>
      <c r="B374" s="28" t="s">
        <v>543</v>
      </c>
      <c r="C374" s="28" t="s">
        <v>147</v>
      </c>
      <c r="D374" s="28" t="s">
        <v>181</v>
      </c>
      <c r="E374" s="28" t="s">
        <v>184</v>
      </c>
      <c r="F374" s="28" t="s">
        <v>169</v>
      </c>
      <c r="G374" s="28" t="s">
        <v>1724</v>
      </c>
      <c r="H374" s="28"/>
      <c r="I374" s="28"/>
      <c r="J374" s="28"/>
      <c r="K374" s="28"/>
      <c r="L374" s="28"/>
      <c r="M374" s="28"/>
      <c r="N374" s="28"/>
      <c r="O374" s="28"/>
      <c r="P374" s="28"/>
      <c r="Q374" s="28"/>
      <c r="R374" s="28"/>
    </row>
    <row r="375" spans="1:18" ht="16.05" customHeight="1" x14ac:dyDescent="0.3">
      <c r="A375" s="30">
        <v>372</v>
      </c>
      <c r="B375" s="30" t="s">
        <v>543</v>
      </c>
      <c r="C375" s="30" t="s">
        <v>148</v>
      </c>
      <c r="D375" s="30" t="s">
        <v>176</v>
      </c>
      <c r="E375" s="30" t="s">
        <v>185</v>
      </c>
      <c r="F375" s="30" t="s">
        <v>169</v>
      </c>
      <c r="G375" s="30" t="s">
        <v>1724</v>
      </c>
      <c r="H375" s="30"/>
      <c r="I375" s="30"/>
      <c r="J375" s="30"/>
      <c r="K375" s="30"/>
      <c r="L375" s="30"/>
      <c r="M375" s="30"/>
      <c r="N375" s="30"/>
      <c r="O375" s="30"/>
      <c r="P375" s="30"/>
      <c r="Q375" s="30"/>
      <c r="R375" s="30"/>
    </row>
    <row r="376" spans="1:18" ht="16.05" customHeight="1" x14ac:dyDescent="0.3">
      <c r="A376" s="28">
        <v>373</v>
      </c>
      <c r="B376" s="28" t="s">
        <v>543</v>
      </c>
      <c r="C376" s="28" t="s">
        <v>152</v>
      </c>
      <c r="D376" s="28" t="s">
        <v>168</v>
      </c>
      <c r="E376" s="28" t="s">
        <v>186</v>
      </c>
      <c r="F376" s="28" t="s">
        <v>173</v>
      </c>
      <c r="G376" s="28" t="s">
        <v>1724</v>
      </c>
      <c r="H376" s="28"/>
      <c r="I376" s="28"/>
      <c r="J376" s="28"/>
      <c r="K376" s="28"/>
      <c r="L376" s="28"/>
      <c r="M376" s="28"/>
      <c r="N376" s="28"/>
      <c r="O376" s="28"/>
      <c r="P376" s="28"/>
      <c r="Q376" s="28"/>
      <c r="R376" s="28"/>
    </row>
    <row r="377" spans="1:18" ht="16.05" customHeight="1" x14ac:dyDescent="0.3">
      <c r="A377" s="30">
        <v>374</v>
      </c>
      <c r="B377" s="30" t="s">
        <v>543</v>
      </c>
      <c r="C377" s="30" t="s">
        <v>151</v>
      </c>
      <c r="D377" s="30" t="s">
        <v>179</v>
      </c>
      <c r="E377" s="30" t="s">
        <v>187</v>
      </c>
      <c r="F377" s="30" t="s">
        <v>165</v>
      </c>
      <c r="G377" s="30" t="s">
        <v>1724</v>
      </c>
      <c r="H377" s="30"/>
      <c r="I377" s="30"/>
      <c r="J377" s="30"/>
      <c r="K377" s="30"/>
      <c r="L377" s="30"/>
      <c r="M377" s="30"/>
      <c r="N377" s="30"/>
      <c r="O377" s="30"/>
      <c r="P377" s="30"/>
      <c r="Q377" s="30"/>
      <c r="R377" s="30"/>
    </row>
    <row r="378" spans="1:18" ht="16.05" customHeight="1" x14ac:dyDescent="0.3">
      <c r="A378" s="28">
        <v>375</v>
      </c>
      <c r="B378" s="28" t="s">
        <v>543</v>
      </c>
      <c r="C378" s="28" t="s">
        <v>143</v>
      </c>
      <c r="D378" s="28" t="s">
        <v>176</v>
      </c>
      <c r="E378" s="28" t="s">
        <v>188</v>
      </c>
      <c r="F378" s="28" t="s">
        <v>165</v>
      </c>
      <c r="G378" s="28" t="s">
        <v>1724</v>
      </c>
      <c r="H378" s="28"/>
      <c r="I378" s="28"/>
      <c r="J378" s="28"/>
      <c r="K378" s="28"/>
      <c r="L378" s="28"/>
      <c r="M378" s="28"/>
      <c r="N378" s="28"/>
      <c r="O378" s="28"/>
      <c r="P378" s="28"/>
      <c r="Q378" s="28"/>
      <c r="R378" s="28"/>
    </row>
    <row r="379" spans="1:18" ht="16.05" customHeight="1" x14ac:dyDescent="0.3">
      <c r="A379" s="30">
        <v>376</v>
      </c>
      <c r="B379" s="30" t="s">
        <v>544</v>
      </c>
      <c r="C379" s="30" t="s">
        <v>142</v>
      </c>
      <c r="D379" s="30" t="s">
        <v>164</v>
      </c>
      <c r="E379" s="30" t="s">
        <v>163</v>
      </c>
      <c r="F379" s="30" t="s">
        <v>165</v>
      </c>
      <c r="G379" s="30" t="s">
        <v>1724</v>
      </c>
      <c r="H379" s="30"/>
      <c r="I379" s="30"/>
      <c r="J379" s="30"/>
      <c r="K379" s="30"/>
      <c r="L379" s="30"/>
      <c r="M379" s="30"/>
      <c r="N379" s="30"/>
      <c r="O379" s="30"/>
      <c r="P379" s="30"/>
      <c r="Q379" s="30"/>
      <c r="R379" s="30"/>
    </row>
    <row r="380" spans="1:18" ht="16.05" customHeight="1" x14ac:dyDescent="0.3">
      <c r="A380" s="28">
        <v>377</v>
      </c>
      <c r="B380" s="28" t="s">
        <v>544</v>
      </c>
      <c r="C380" s="28" t="s">
        <v>146</v>
      </c>
      <c r="D380" s="28" t="s">
        <v>168</v>
      </c>
      <c r="E380" s="28" t="s">
        <v>167</v>
      </c>
      <c r="F380" s="28" t="s">
        <v>169</v>
      </c>
      <c r="G380" s="28" t="s">
        <v>1724</v>
      </c>
      <c r="H380" s="28"/>
      <c r="I380" s="28"/>
      <c r="J380" s="28"/>
      <c r="K380" s="28"/>
      <c r="L380" s="28"/>
      <c r="M380" s="28"/>
      <c r="N380" s="28"/>
      <c r="O380" s="28"/>
      <c r="P380" s="28"/>
      <c r="Q380" s="28"/>
      <c r="R380" s="28"/>
    </row>
    <row r="381" spans="1:18" ht="16.05" customHeight="1" x14ac:dyDescent="0.3">
      <c r="A381" s="30">
        <v>378</v>
      </c>
      <c r="B381" s="30" t="s">
        <v>544</v>
      </c>
      <c r="C381" s="30" t="s">
        <v>147</v>
      </c>
      <c r="D381" s="30" t="s">
        <v>168</v>
      </c>
      <c r="E381" s="30" t="s">
        <v>170</v>
      </c>
      <c r="F381" s="30" t="s">
        <v>165</v>
      </c>
      <c r="G381" s="30" t="s">
        <v>1724</v>
      </c>
      <c r="H381" s="30"/>
      <c r="I381" s="30"/>
      <c r="J381" s="30"/>
      <c r="K381" s="30"/>
      <c r="L381" s="30"/>
      <c r="M381" s="30"/>
      <c r="N381" s="30"/>
      <c r="O381" s="30"/>
      <c r="P381" s="30"/>
      <c r="Q381" s="30"/>
      <c r="R381" s="30"/>
    </row>
    <row r="382" spans="1:18" ht="16.05" customHeight="1" x14ac:dyDescent="0.3">
      <c r="A382" s="28">
        <v>379</v>
      </c>
      <c r="B382" s="28" t="s">
        <v>544</v>
      </c>
      <c r="C382" s="28" t="s">
        <v>146</v>
      </c>
      <c r="D382" s="28" t="s">
        <v>172</v>
      </c>
      <c r="E382" s="28" t="s">
        <v>171</v>
      </c>
      <c r="F382" s="28" t="s">
        <v>173</v>
      </c>
      <c r="G382" s="28" t="s">
        <v>1724</v>
      </c>
      <c r="H382" s="28"/>
      <c r="I382" s="28"/>
      <c r="J382" s="28"/>
      <c r="K382" s="28"/>
      <c r="L382" s="28"/>
      <c r="M382" s="28"/>
      <c r="N382" s="28"/>
      <c r="O382" s="28"/>
      <c r="P382" s="28"/>
      <c r="Q382" s="28"/>
      <c r="R382" s="28"/>
    </row>
    <row r="383" spans="1:18" ht="16.05" customHeight="1" x14ac:dyDescent="0.3">
      <c r="A383" s="30">
        <v>380</v>
      </c>
      <c r="B383" s="30" t="s">
        <v>544</v>
      </c>
      <c r="C383" s="30" t="s">
        <v>143</v>
      </c>
      <c r="D383" s="30" t="s">
        <v>172</v>
      </c>
      <c r="E383" s="30" t="s">
        <v>174</v>
      </c>
      <c r="F383" s="30" t="s">
        <v>169</v>
      </c>
      <c r="G383" s="30" t="s">
        <v>1724</v>
      </c>
      <c r="H383" s="30"/>
      <c r="I383" s="30"/>
      <c r="J383" s="30"/>
      <c r="K383" s="30"/>
      <c r="L383" s="30"/>
      <c r="M383" s="30"/>
      <c r="N383" s="30"/>
      <c r="O383" s="30"/>
      <c r="P383" s="30"/>
      <c r="Q383" s="30"/>
      <c r="R383" s="30"/>
    </row>
    <row r="384" spans="1:18" ht="16.05" customHeight="1" x14ac:dyDescent="0.3">
      <c r="A384" s="28">
        <v>381</v>
      </c>
      <c r="B384" s="28" t="s">
        <v>544</v>
      </c>
      <c r="C384" s="28" t="s">
        <v>143</v>
      </c>
      <c r="D384" s="28" t="s">
        <v>176</v>
      </c>
      <c r="E384" s="28" t="s">
        <v>175</v>
      </c>
      <c r="F384" s="28" t="s">
        <v>165</v>
      </c>
      <c r="G384" s="28" t="s">
        <v>1724</v>
      </c>
      <c r="H384" s="28"/>
      <c r="I384" s="28"/>
      <c r="J384" s="28"/>
      <c r="K384" s="28"/>
      <c r="L384" s="28"/>
      <c r="M384" s="28"/>
      <c r="N384" s="28"/>
      <c r="O384" s="28"/>
      <c r="P384" s="28"/>
      <c r="Q384" s="28"/>
      <c r="R384" s="28"/>
    </row>
    <row r="385" spans="1:18" ht="16.05" customHeight="1" x14ac:dyDescent="0.3">
      <c r="A385" s="30">
        <v>382</v>
      </c>
      <c r="B385" s="30" t="s">
        <v>544</v>
      </c>
      <c r="C385" s="30" t="s">
        <v>144</v>
      </c>
      <c r="D385" s="30" t="s">
        <v>176</v>
      </c>
      <c r="E385" s="30" t="s">
        <v>177</v>
      </c>
      <c r="F385" s="30" t="s">
        <v>173</v>
      </c>
      <c r="G385" s="30" t="s">
        <v>1724</v>
      </c>
      <c r="H385" s="30"/>
      <c r="I385" s="30"/>
      <c r="J385" s="30"/>
      <c r="K385" s="30"/>
      <c r="L385" s="30"/>
      <c r="M385" s="30"/>
      <c r="N385" s="30"/>
      <c r="O385" s="30"/>
      <c r="P385" s="30"/>
      <c r="Q385" s="30"/>
      <c r="R385" s="30"/>
    </row>
    <row r="386" spans="1:18" ht="16.05" customHeight="1" x14ac:dyDescent="0.3">
      <c r="A386" s="28">
        <v>383</v>
      </c>
      <c r="B386" s="28" t="s">
        <v>544</v>
      </c>
      <c r="C386" s="28" t="s">
        <v>145</v>
      </c>
      <c r="D386" s="28" t="s">
        <v>179</v>
      </c>
      <c r="E386" s="28" t="s">
        <v>178</v>
      </c>
      <c r="F386" s="28" t="s">
        <v>165</v>
      </c>
      <c r="G386" s="28" t="s">
        <v>1724</v>
      </c>
      <c r="H386" s="28"/>
      <c r="I386" s="28"/>
      <c r="J386" s="28"/>
      <c r="K386" s="28"/>
      <c r="L386" s="28"/>
      <c r="M386" s="28"/>
      <c r="N386" s="28"/>
      <c r="O386" s="28"/>
      <c r="P386" s="28"/>
      <c r="Q386" s="28"/>
      <c r="R386" s="28"/>
    </row>
    <row r="387" spans="1:18" ht="16.05" customHeight="1" x14ac:dyDescent="0.3">
      <c r="A387" s="30">
        <v>384</v>
      </c>
      <c r="B387" s="30" t="s">
        <v>544</v>
      </c>
      <c r="C387" s="30" t="s">
        <v>146</v>
      </c>
      <c r="D387" s="30" t="s">
        <v>181</v>
      </c>
      <c r="E387" s="30" t="s">
        <v>180</v>
      </c>
      <c r="F387" s="30" t="s">
        <v>182</v>
      </c>
      <c r="G387" s="30" t="s">
        <v>1724</v>
      </c>
      <c r="H387" s="30"/>
      <c r="I387" s="30"/>
      <c r="J387" s="30"/>
      <c r="K387" s="30"/>
      <c r="L387" s="30"/>
      <c r="M387" s="30"/>
      <c r="N387" s="30"/>
      <c r="O387" s="30"/>
      <c r="P387" s="30"/>
      <c r="Q387" s="30"/>
      <c r="R387" s="30"/>
    </row>
    <row r="388" spans="1:18" ht="16.05" customHeight="1" x14ac:dyDescent="0.3">
      <c r="A388" s="28">
        <v>385</v>
      </c>
      <c r="B388" s="28" t="s">
        <v>544</v>
      </c>
      <c r="C388" s="28" t="s">
        <v>148</v>
      </c>
      <c r="D388" s="28" t="s">
        <v>168</v>
      </c>
      <c r="E388" s="28" t="s">
        <v>183</v>
      </c>
      <c r="F388" s="28" t="s">
        <v>169</v>
      </c>
      <c r="G388" s="28" t="s">
        <v>1724</v>
      </c>
      <c r="H388" s="28"/>
      <c r="I388" s="28"/>
      <c r="J388" s="28"/>
      <c r="K388" s="28"/>
      <c r="L388" s="28"/>
      <c r="M388" s="28"/>
      <c r="N388" s="28"/>
      <c r="O388" s="28"/>
      <c r="P388" s="28"/>
      <c r="Q388" s="28"/>
      <c r="R388" s="28"/>
    </row>
    <row r="389" spans="1:18" ht="16.05" customHeight="1" x14ac:dyDescent="0.3">
      <c r="A389" s="30">
        <v>386</v>
      </c>
      <c r="B389" s="30" t="s">
        <v>544</v>
      </c>
      <c r="C389" s="30" t="s">
        <v>147</v>
      </c>
      <c r="D389" s="30" t="s">
        <v>181</v>
      </c>
      <c r="E389" s="30" t="s">
        <v>184</v>
      </c>
      <c r="F389" s="30" t="s">
        <v>169</v>
      </c>
      <c r="G389" s="30" t="s">
        <v>1724</v>
      </c>
      <c r="H389" s="30"/>
      <c r="I389" s="30"/>
      <c r="J389" s="30"/>
      <c r="K389" s="30"/>
      <c r="L389" s="30"/>
      <c r="M389" s="30"/>
      <c r="N389" s="30"/>
      <c r="O389" s="30"/>
      <c r="P389" s="30"/>
      <c r="Q389" s="30"/>
      <c r="R389" s="30"/>
    </row>
    <row r="390" spans="1:18" ht="16.05" customHeight="1" x14ac:dyDescent="0.3">
      <c r="A390" s="28">
        <v>387</v>
      </c>
      <c r="B390" s="28" t="s">
        <v>544</v>
      </c>
      <c r="C390" s="28" t="s">
        <v>148</v>
      </c>
      <c r="D390" s="28" t="s">
        <v>176</v>
      </c>
      <c r="E390" s="28" t="s">
        <v>185</v>
      </c>
      <c r="F390" s="28" t="s">
        <v>169</v>
      </c>
      <c r="G390" s="28" t="s">
        <v>1724</v>
      </c>
      <c r="H390" s="28"/>
      <c r="I390" s="28"/>
      <c r="J390" s="28"/>
      <c r="K390" s="28"/>
      <c r="L390" s="28"/>
      <c r="M390" s="28"/>
      <c r="N390" s="28"/>
      <c r="O390" s="28"/>
      <c r="P390" s="28"/>
      <c r="Q390" s="28"/>
      <c r="R390" s="28"/>
    </row>
    <row r="391" spans="1:18" ht="16.05" customHeight="1" x14ac:dyDescent="0.3">
      <c r="A391" s="30">
        <v>388</v>
      </c>
      <c r="B391" s="30" t="s">
        <v>544</v>
      </c>
      <c r="C391" s="30" t="s">
        <v>152</v>
      </c>
      <c r="D391" s="30" t="s">
        <v>168</v>
      </c>
      <c r="E391" s="30" t="s">
        <v>186</v>
      </c>
      <c r="F391" s="30" t="s">
        <v>173</v>
      </c>
      <c r="G391" s="30" t="s">
        <v>1724</v>
      </c>
      <c r="H391" s="30"/>
      <c r="I391" s="30"/>
      <c r="J391" s="30"/>
      <c r="K391" s="30"/>
      <c r="L391" s="30"/>
      <c r="M391" s="30"/>
      <c r="N391" s="30"/>
      <c r="O391" s="30"/>
      <c r="P391" s="30"/>
      <c r="Q391" s="30"/>
      <c r="R391" s="30"/>
    </row>
    <row r="392" spans="1:18" ht="16.05" customHeight="1" x14ac:dyDescent="0.3">
      <c r="A392" s="28">
        <v>389</v>
      </c>
      <c r="B392" s="28" t="s">
        <v>544</v>
      </c>
      <c r="C392" s="28" t="s">
        <v>151</v>
      </c>
      <c r="D392" s="28" t="s">
        <v>179</v>
      </c>
      <c r="E392" s="28" t="s">
        <v>187</v>
      </c>
      <c r="F392" s="28" t="s">
        <v>165</v>
      </c>
      <c r="G392" s="28" t="s">
        <v>1724</v>
      </c>
      <c r="H392" s="28"/>
      <c r="I392" s="28"/>
      <c r="J392" s="28"/>
      <c r="K392" s="28"/>
      <c r="L392" s="28"/>
      <c r="M392" s="28"/>
      <c r="N392" s="28"/>
      <c r="O392" s="28"/>
      <c r="P392" s="28"/>
      <c r="Q392" s="28"/>
      <c r="R392" s="28"/>
    </row>
    <row r="393" spans="1:18" ht="16.05" customHeight="1" x14ac:dyDescent="0.3">
      <c r="A393" s="30">
        <v>390</v>
      </c>
      <c r="B393" s="30" t="s">
        <v>544</v>
      </c>
      <c r="C393" s="30" t="s">
        <v>143</v>
      </c>
      <c r="D393" s="30" t="s">
        <v>176</v>
      </c>
      <c r="E393" s="30" t="s">
        <v>188</v>
      </c>
      <c r="F393" s="30" t="s">
        <v>165</v>
      </c>
      <c r="G393" s="30" t="s">
        <v>1724</v>
      </c>
      <c r="H393" s="30"/>
      <c r="I393" s="30"/>
      <c r="J393" s="30"/>
      <c r="K393" s="30"/>
      <c r="L393" s="30"/>
      <c r="M393" s="30"/>
      <c r="N393" s="30"/>
      <c r="O393" s="30"/>
      <c r="P393" s="30"/>
      <c r="Q393" s="30"/>
      <c r="R393" s="30"/>
    </row>
    <row r="394" spans="1:18" ht="16.05" customHeight="1" x14ac:dyDescent="0.3">
      <c r="A394" s="28">
        <v>391</v>
      </c>
      <c r="B394" s="28" t="s">
        <v>545</v>
      </c>
      <c r="C394" s="28" t="s">
        <v>142</v>
      </c>
      <c r="D394" s="28" t="s">
        <v>164</v>
      </c>
      <c r="E394" s="28" t="s">
        <v>163</v>
      </c>
      <c r="F394" s="28" t="s">
        <v>165</v>
      </c>
      <c r="G394" s="28" t="s">
        <v>1724</v>
      </c>
      <c r="H394" s="28"/>
      <c r="I394" s="28"/>
      <c r="J394" s="28"/>
      <c r="K394" s="28"/>
      <c r="L394" s="28"/>
      <c r="M394" s="28"/>
      <c r="N394" s="28"/>
      <c r="O394" s="28"/>
      <c r="P394" s="28"/>
      <c r="Q394" s="28"/>
      <c r="R394" s="28"/>
    </row>
    <row r="395" spans="1:18" ht="16.05" customHeight="1" x14ac:dyDescent="0.3">
      <c r="A395" s="30">
        <v>392</v>
      </c>
      <c r="B395" s="30" t="s">
        <v>545</v>
      </c>
      <c r="C395" s="30" t="s">
        <v>146</v>
      </c>
      <c r="D395" s="30" t="s">
        <v>168</v>
      </c>
      <c r="E395" s="30" t="s">
        <v>167</v>
      </c>
      <c r="F395" s="30" t="s">
        <v>169</v>
      </c>
      <c r="G395" s="30" t="s">
        <v>1724</v>
      </c>
      <c r="H395" s="30"/>
      <c r="I395" s="30"/>
      <c r="J395" s="30"/>
      <c r="K395" s="30"/>
      <c r="L395" s="30"/>
      <c r="M395" s="30"/>
      <c r="N395" s="30"/>
      <c r="O395" s="30"/>
      <c r="P395" s="30"/>
      <c r="Q395" s="30"/>
      <c r="R395" s="30"/>
    </row>
    <row r="396" spans="1:18" ht="16.05" customHeight="1" x14ac:dyDescent="0.3">
      <c r="A396" s="28">
        <v>393</v>
      </c>
      <c r="B396" s="28" t="s">
        <v>545</v>
      </c>
      <c r="C396" s="28" t="s">
        <v>147</v>
      </c>
      <c r="D396" s="28" t="s">
        <v>168</v>
      </c>
      <c r="E396" s="28" t="s">
        <v>170</v>
      </c>
      <c r="F396" s="28" t="s">
        <v>165</v>
      </c>
      <c r="G396" s="28" t="s">
        <v>1724</v>
      </c>
      <c r="H396" s="28"/>
      <c r="I396" s="28"/>
      <c r="J396" s="28"/>
      <c r="K396" s="28"/>
      <c r="L396" s="28"/>
      <c r="M396" s="28"/>
      <c r="N396" s="28"/>
      <c r="O396" s="28"/>
      <c r="P396" s="28"/>
      <c r="Q396" s="28"/>
      <c r="R396" s="28"/>
    </row>
    <row r="397" spans="1:18" ht="16.05" customHeight="1" x14ac:dyDescent="0.3">
      <c r="A397" s="30">
        <v>394</v>
      </c>
      <c r="B397" s="30" t="s">
        <v>545</v>
      </c>
      <c r="C397" s="30" t="s">
        <v>146</v>
      </c>
      <c r="D397" s="30" t="s">
        <v>172</v>
      </c>
      <c r="E397" s="30" t="s">
        <v>171</v>
      </c>
      <c r="F397" s="30" t="s">
        <v>173</v>
      </c>
      <c r="G397" s="30" t="s">
        <v>1724</v>
      </c>
      <c r="H397" s="30"/>
      <c r="I397" s="30"/>
      <c r="J397" s="30"/>
      <c r="K397" s="30"/>
      <c r="L397" s="30"/>
      <c r="M397" s="30"/>
      <c r="N397" s="30"/>
      <c r="O397" s="30"/>
      <c r="P397" s="30"/>
      <c r="Q397" s="30"/>
      <c r="R397" s="30"/>
    </row>
    <row r="398" spans="1:18" ht="16.05" customHeight="1" x14ac:dyDescent="0.3">
      <c r="A398" s="28">
        <v>395</v>
      </c>
      <c r="B398" s="28" t="s">
        <v>545</v>
      </c>
      <c r="C398" s="28" t="s">
        <v>143</v>
      </c>
      <c r="D398" s="28" t="s">
        <v>172</v>
      </c>
      <c r="E398" s="28" t="s">
        <v>174</v>
      </c>
      <c r="F398" s="28" t="s">
        <v>169</v>
      </c>
      <c r="G398" s="28" t="s">
        <v>1724</v>
      </c>
      <c r="H398" s="28"/>
      <c r="I398" s="28"/>
      <c r="J398" s="28"/>
      <c r="K398" s="28"/>
      <c r="L398" s="28"/>
      <c r="M398" s="28"/>
      <c r="N398" s="28"/>
      <c r="O398" s="28"/>
      <c r="P398" s="28"/>
      <c r="Q398" s="28"/>
      <c r="R398" s="28"/>
    </row>
    <row r="399" spans="1:18" ht="16.05" customHeight="1" x14ac:dyDescent="0.3">
      <c r="A399" s="30">
        <v>396</v>
      </c>
      <c r="B399" s="30" t="s">
        <v>545</v>
      </c>
      <c r="C399" s="30" t="s">
        <v>143</v>
      </c>
      <c r="D399" s="30" t="s">
        <v>176</v>
      </c>
      <c r="E399" s="30" t="s">
        <v>175</v>
      </c>
      <c r="F399" s="30" t="s">
        <v>165</v>
      </c>
      <c r="G399" s="30" t="s">
        <v>1724</v>
      </c>
      <c r="H399" s="30"/>
      <c r="I399" s="30"/>
      <c r="J399" s="30"/>
      <c r="K399" s="30"/>
      <c r="L399" s="30"/>
      <c r="M399" s="30"/>
      <c r="N399" s="30"/>
      <c r="O399" s="30"/>
      <c r="P399" s="30"/>
      <c r="Q399" s="30"/>
      <c r="R399" s="30"/>
    </row>
    <row r="400" spans="1:18" ht="16.05" customHeight="1" x14ac:dyDescent="0.3">
      <c r="A400" s="28">
        <v>397</v>
      </c>
      <c r="B400" s="28" t="s">
        <v>545</v>
      </c>
      <c r="C400" s="28" t="s">
        <v>144</v>
      </c>
      <c r="D400" s="28" t="s">
        <v>176</v>
      </c>
      <c r="E400" s="28" t="s">
        <v>177</v>
      </c>
      <c r="F400" s="28" t="s">
        <v>173</v>
      </c>
      <c r="G400" s="28" t="s">
        <v>1724</v>
      </c>
      <c r="H400" s="28"/>
      <c r="I400" s="28"/>
      <c r="J400" s="28"/>
      <c r="K400" s="28"/>
      <c r="L400" s="28"/>
      <c r="M400" s="28"/>
      <c r="N400" s="28"/>
      <c r="O400" s="28"/>
      <c r="P400" s="28"/>
      <c r="Q400" s="28"/>
      <c r="R400" s="28"/>
    </row>
    <row r="401" spans="1:18" ht="16.05" customHeight="1" x14ac:dyDescent="0.3">
      <c r="A401" s="30">
        <v>398</v>
      </c>
      <c r="B401" s="30" t="s">
        <v>545</v>
      </c>
      <c r="C401" s="30" t="s">
        <v>145</v>
      </c>
      <c r="D401" s="30" t="s">
        <v>179</v>
      </c>
      <c r="E401" s="30" t="s">
        <v>178</v>
      </c>
      <c r="F401" s="30" t="s">
        <v>165</v>
      </c>
      <c r="G401" s="30" t="s">
        <v>1724</v>
      </c>
      <c r="H401" s="30"/>
      <c r="I401" s="30"/>
      <c r="J401" s="30"/>
      <c r="K401" s="30"/>
      <c r="L401" s="30"/>
      <c r="M401" s="30"/>
      <c r="N401" s="30"/>
      <c r="O401" s="30"/>
      <c r="P401" s="30"/>
      <c r="Q401" s="30"/>
      <c r="R401" s="30"/>
    </row>
    <row r="402" spans="1:18" ht="16.05" customHeight="1" x14ac:dyDescent="0.3">
      <c r="A402" s="28">
        <v>399</v>
      </c>
      <c r="B402" s="28" t="s">
        <v>545</v>
      </c>
      <c r="C402" s="28" t="s">
        <v>146</v>
      </c>
      <c r="D402" s="28" t="s">
        <v>181</v>
      </c>
      <c r="E402" s="28" t="s">
        <v>180</v>
      </c>
      <c r="F402" s="28" t="s">
        <v>182</v>
      </c>
      <c r="G402" s="28" t="s">
        <v>1724</v>
      </c>
      <c r="H402" s="28"/>
      <c r="I402" s="28"/>
      <c r="J402" s="28"/>
      <c r="K402" s="28"/>
      <c r="L402" s="28"/>
      <c r="M402" s="28"/>
      <c r="N402" s="28"/>
      <c r="O402" s="28"/>
      <c r="P402" s="28"/>
      <c r="Q402" s="28"/>
      <c r="R402" s="28"/>
    </row>
    <row r="403" spans="1:18" ht="16.05" customHeight="1" x14ac:dyDescent="0.3">
      <c r="A403" s="30">
        <v>400</v>
      </c>
      <c r="B403" s="30" t="s">
        <v>545</v>
      </c>
      <c r="C403" s="30" t="s">
        <v>148</v>
      </c>
      <c r="D403" s="30" t="s">
        <v>168</v>
      </c>
      <c r="E403" s="30" t="s">
        <v>183</v>
      </c>
      <c r="F403" s="30" t="s">
        <v>169</v>
      </c>
      <c r="G403" s="30" t="s">
        <v>1724</v>
      </c>
      <c r="H403" s="30"/>
      <c r="I403" s="30"/>
      <c r="J403" s="30"/>
      <c r="K403" s="30"/>
      <c r="L403" s="30"/>
      <c r="M403" s="30"/>
      <c r="N403" s="30"/>
      <c r="O403" s="30"/>
      <c r="P403" s="30"/>
      <c r="Q403" s="30"/>
      <c r="R403" s="30"/>
    </row>
    <row r="404" spans="1:18" ht="16.05" customHeight="1" x14ac:dyDescent="0.3">
      <c r="A404" s="28">
        <v>401</v>
      </c>
      <c r="B404" s="28" t="s">
        <v>545</v>
      </c>
      <c r="C404" s="28" t="s">
        <v>147</v>
      </c>
      <c r="D404" s="28" t="s">
        <v>181</v>
      </c>
      <c r="E404" s="28" t="s">
        <v>184</v>
      </c>
      <c r="F404" s="28" t="s">
        <v>169</v>
      </c>
      <c r="G404" s="28" t="s">
        <v>1724</v>
      </c>
      <c r="H404" s="28"/>
      <c r="I404" s="28"/>
      <c r="J404" s="28"/>
      <c r="K404" s="28"/>
      <c r="L404" s="28"/>
      <c r="M404" s="28"/>
      <c r="N404" s="28"/>
      <c r="O404" s="28"/>
      <c r="P404" s="28"/>
      <c r="Q404" s="28"/>
      <c r="R404" s="28"/>
    </row>
    <row r="405" spans="1:18" ht="16.05" customHeight="1" x14ac:dyDescent="0.3">
      <c r="A405" s="30">
        <v>402</v>
      </c>
      <c r="B405" s="30" t="s">
        <v>545</v>
      </c>
      <c r="C405" s="30" t="s">
        <v>148</v>
      </c>
      <c r="D405" s="30" t="s">
        <v>176</v>
      </c>
      <c r="E405" s="30" t="s">
        <v>185</v>
      </c>
      <c r="F405" s="30" t="s">
        <v>169</v>
      </c>
      <c r="G405" s="30" t="s">
        <v>1724</v>
      </c>
      <c r="H405" s="30"/>
      <c r="I405" s="30"/>
      <c r="J405" s="30"/>
      <c r="K405" s="30"/>
      <c r="L405" s="30"/>
      <c r="M405" s="30"/>
      <c r="N405" s="30"/>
      <c r="O405" s="30"/>
      <c r="P405" s="30"/>
      <c r="Q405" s="30"/>
      <c r="R405" s="30"/>
    </row>
    <row r="406" spans="1:18" ht="16.05" customHeight="1" x14ac:dyDescent="0.3">
      <c r="A406" s="28">
        <v>403</v>
      </c>
      <c r="B406" s="28" t="s">
        <v>545</v>
      </c>
      <c r="C406" s="28" t="s">
        <v>152</v>
      </c>
      <c r="D406" s="28" t="s">
        <v>168</v>
      </c>
      <c r="E406" s="28" t="s">
        <v>186</v>
      </c>
      <c r="F406" s="28" t="s">
        <v>173</v>
      </c>
      <c r="G406" s="28" t="s">
        <v>1724</v>
      </c>
      <c r="H406" s="28"/>
      <c r="I406" s="28"/>
      <c r="J406" s="28"/>
      <c r="K406" s="28"/>
      <c r="L406" s="28"/>
      <c r="M406" s="28"/>
      <c r="N406" s="28"/>
      <c r="O406" s="28"/>
      <c r="P406" s="28"/>
      <c r="Q406" s="28"/>
      <c r="R406" s="28"/>
    </row>
    <row r="407" spans="1:18" ht="16.05" customHeight="1" x14ac:dyDescent="0.3">
      <c r="A407" s="30">
        <v>404</v>
      </c>
      <c r="B407" s="30" t="s">
        <v>545</v>
      </c>
      <c r="C407" s="30" t="s">
        <v>151</v>
      </c>
      <c r="D407" s="30" t="s">
        <v>179</v>
      </c>
      <c r="E407" s="30" t="s">
        <v>187</v>
      </c>
      <c r="F407" s="30" t="s">
        <v>165</v>
      </c>
      <c r="G407" s="30" t="s">
        <v>1724</v>
      </c>
      <c r="H407" s="30"/>
      <c r="I407" s="30"/>
      <c r="J407" s="30"/>
      <c r="K407" s="30"/>
      <c r="L407" s="30"/>
      <c r="M407" s="30"/>
      <c r="N407" s="30"/>
      <c r="O407" s="30"/>
      <c r="P407" s="30"/>
      <c r="Q407" s="30"/>
      <c r="R407" s="30"/>
    </row>
    <row r="408" spans="1:18" ht="16.05" customHeight="1" x14ac:dyDescent="0.3">
      <c r="A408" s="28">
        <v>405</v>
      </c>
      <c r="B408" s="28" t="s">
        <v>545</v>
      </c>
      <c r="C408" s="28" t="s">
        <v>143</v>
      </c>
      <c r="D408" s="28" t="s">
        <v>176</v>
      </c>
      <c r="E408" s="28" t="s">
        <v>188</v>
      </c>
      <c r="F408" s="28" t="s">
        <v>165</v>
      </c>
      <c r="G408" s="28" t="s">
        <v>1724</v>
      </c>
      <c r="H408" s="28"/>
      <c r="I408" s="28"/>
      <c r="J408" s="28"/>
      <c r="K408" s="28"/>
      <c r="L408" s="28"/>
      <c r="M408" s="28"/>
      <c r="N408" s="28"/>
      <c r="O408" s="28"/>
      <c r="P408" s="28"/>
      <c r="Q408" s="28"/>
      <c r="R408" s="28"/>
    </row>
    <row r="409" spans="1:18" ht="16.05" customHeight="1" x14ac:dyDescent="0.3">
      <c r="A409" s="30">
        <v>406</v>
      </c>
      <c r="B409" s="30" t="s">
        <v>546</v>
      </c>
      <c r="C409" s="30" t="s">
        <v>142</v>
      </c>
      <c r="D409" s="30" t="s">
        <v>164</v>
      </c>
      <c r="E409" s="30" t="s">
        <v>163</v>
      </c>
      <c r="F409" s="30" t="s">
        <v>165</v>
      </c>
      <c r="G409" s="30" t="s">
        <v>1724</v>
      </c>
      <c r="H409" s="30"/>
      <c r="I409" s="30"/>
      <c r="J409" s="30"/>
      <c r="K409" s="30"/>
      <c r="L409" s="30"/>
      <c r="M409" s="30"/>
      <c r="N409" s="30"/>
      <c r="O409" s="30"/>
      <c r="P409" s="30"/>
      <c r="Q409" s="30"/>
      <c r="R409" s="30"/>
    </row>
    <row r="410" spans="1:18" ht="16.05" customHeight="1" x14ac:dyDescent="0.3">
      <c r="A410" s="28">
        <v>407</v>
      </c>
      <c r="B410" s="28" t="s">
        <v>546</v>
      </c>
      <c r="C410" s="28" t="s">
        <v>146</v>
      </c>
      <c r="D410" s="28" t="s">
        <v>168</v>
      </c>
      <c r="E410" s="28" t="s">
        <v>167</v>
      </c>
      <c r="F410" s="28" t="s">
        <v>169</v>
      </c>
      <c r="G410" s="28" t="s">
        <v>1724</v>
      </c>
      <c r="H410" s="28"/>
      <c r="I410" s="28"/>
      <c r="J410" s="28"/>
      <c r="K410" s="28"/>
      <c r="L410" s="28"/>
      <c r="M410" s="28"/>
      <c r="N410" s="28"/>
      <c r="O410" s="28"/>
      <c r="P410" s="28"/>
      <c r="Q410" s="28"/>
      <c r="R410" s="28"/>
    </row>
    <row r="411" spans="1:18" ht="16.05" customHeight="1" x14ac:dyDescent="0.3">
      <c r="A411" s="30">
        <v>408</v>
      </c>
      <c r="B411" s="30" t="s">
        <v>546</v>
      </c>
      <c r="C411" s="30" t="s">
        <v>147</v>
      </c>
      <c r="D411" s="30" t="s">
        <v>168</v>
      </c>
      <c r="E411" s="30" t="s">
        <v>170</v>
      </c>
      <c r="F411" s="30" t="s">
        <v>165</v>
      </c>
      <c r="G411" s="30" t="s">
        <v>1724</v>
      </c>
      <c r="H411" s="30"/>
      <c r="I411" s="30"/>
      <c r="J411" s="30"/>
      <c r="K411" s="30"/>
      <c r="L411" s="30"/>
      <c r="M411" s="30"/>
      <c r="N411" s="30"/>
      <c r="O411" s="30"/>
      <c r="P411" s="30"/>
      <c r="Q411" s="30"/>
      <c r="R411" s="30"/>
    </row>
    <row r="412" spans="1:18" ht="16.05" customHeight="1" x14ac:dyDescent="0.3">
      <c r="A412" s="28">
        <v>409</v>
      </c>
      <c r="B412" s="28" t="s">
        <v>546</v>
      </c>
      <c r="C412" s="28" t="s">
        <v>146</v>
      </c>
      <c r="D412" s="28" t="s">
        <v>172</v>
      </c>
      <c r="E412" s="28" t="s">
        <v>171</v>
      </c>
      <c r="F412" s="28" t="s">
        <v>173</v>
      </c>
      <c r="G412" s="28" t="s">
        <v>1724</v>
      </c>
      <c r="H412" s="28"/>
      <c r="I412" s="28"/>
      <c r="J412" s="28"/>
      <c r="K412" s="28"/>
      <c r="L412" s="28"/>
      <c r="M412" s="28"/>
      <c r="N412" s="28"/>
      <c r="O412" s="28"/>
      <c r="P412" s="28"/>
      <c r="Q412" s="28"/>
      <c r="R412" s="28"/>
    </row>
    <row r="413" spans="1:18" ht="16.05" customHeight="1" x14ac:dyDescent="0.3">
      <c r="A413" s="30">
        <v>410</v>
      </c>
      <c r="B413" s="30" t="s">
        <v>546</v>
      </c>
      <c r="C413" s="30" t="s">
        <v>143</v>
      </c>
      <c r="D413" s="30" t="s">
        <v>172</v>
      </c>
      <c r="E413" s="30" t="s">
        <v>174</v>
      </c>
      <c r="F413" s="30" t="s">
        <v>169</v>
      </c>
      <c r="G413" s="30" t="s">
        <v>1724</v>
      </c>
      <c r="H413" s="30"/>
      <c r="I413" s="30"/>
      <c r="J413" s="30"/>
      <c r="K413" s="30"/>
      <c r="L413" s="30"/>
      <c r="M413" s="30"/>
      <c r="N413" s="30"/>
      <c r="O413" s="30"/>
      <c r="P413" s="30"/>
      <c r="Q413" s="30"/>
      <c r="R413" s="30"/>
    </row>
    <row r="414" spans="1:18" ht="16.05" customHeight="1" x14ac:dyDescent="0.3">
      <c r="A414" s="28">
        <v>411</v>
      </c>
      <c r="B414" s="28" t="s">
        <v>546</v>
      </c>
      <c r="C414" s="28" t="s">
        <v>143</v>
      </c>
      <c r="D414" s="28" t="s">
        <v>176</v>
      </c>
      <c r="E414" s="28" t="s">
        <v>175</v>
      </c>
      <c r="F414" s="28" t="s">
        <v>165</v>
      </c>
      <c r="G414" s="28" t="s">
        <v>1724</v>
      </c>
      <c r="H414" s="28"/>
      <c r="I414" s="28"/>
      <c r="J414" s="28"/>
      <c r="K414" s="28"/>
      <c r="L414" s="28"/>
      <c r="M414" s="28"/>
      <c r="N414" s="28"/>
      <c r="O414" s="28"/>
      <c r="P414" s="28"/>
      <c r="Q414" s="28"/>
      <c r="R414" s="28"/>
    </row>
    <row r="415" spans="1:18" ht="16.05" customHeight="1" x14ac:dyDescent="0.3">
      <c r="A415" s="30">
        <v>412</v>
      </c>
      <c r="B415" s="30" t="s">
        <v>546</v>
      </c>
      <c r="C415" s="30" t="s">
        <v>144</v>
      </c>
      <c r="D415" s="30" t="s">
        <v>176</v>
      </c>
      <c r="E415" s="30" t="s">
        <v>177</v>
      </c>
      <c r="F415" s="30" t="s">
        <v>173</v>
      </c>
      <c r="G415" s="30" t="s">
        <v>1724</v>
      </c>
      <c r="H415" s="30"/>
      <c r="I415" s="30"/>
      <c r="J415" s="30"/>
      <c r="K415" s="30"/>
      <c r="L415" s="30"/>
      <c r="M415" s="30"/>
      <c r="N415" s="30"/>
      <c r="O415" s="30"/>
      <c r="P415" s="30"/>
      <c r="Q415" s="30"/>
      <c r="R415" s="30"/>
    </row>
    <row r="416" spans="1:18" ht="16.05" customHeight="1" x14ac:dyDescent="0.3">
      <c r="A416" s="28">
        <v>413</v>
      </c>
      <c r="B416" s="28" t="s">
        <v>546</v>
      </c>
      <c r="C416" s="28" t="s">
        <v>145</v>
      </c>
      <c r="D416" s="28" t="s">
        <v>179</v>
      </c>
      <c r="E416" s="28" t="s">
        <v>178</v>
      </c>
      <c r="F416" s="28" t="s">
        <v>165</v>
      </c>
      <c r="G416" s="28" t="s">
        <v>1724</v>
      </c>
      <c r="H416" s="28"/>
      <c r="I416" s="28"/>
      <c r="J416" s="28"/>
      <c r="K416" s="28"/>
      <c r="L416" s="28"/>
      <c r="M416" s="28"/>
      <c r="N416" s="28"/>
      <c r="O416" s="28"/>
      <c r="P416" s="28"/>
      <c r="Q416" s="28"/>
      <c r="R416" s="28"/>
    </row>
    <row r="417" spans="1:18" ht="16.05" customHeight="1" x14ac:dyDescent="0.3">
      <c r="A417" s="30">
        <v>414</v>
      </c>
      <c r="B417" s="30" t="s">
        <v>546</v>
      </c>
      <c r="C417" s="30" t="s">
        <v>146</v>
      </c>
      <c r="D417" s="30" t="s">
        <v>181</v>
      </c>
      <c r="E417" s="30" t="s">
        <v>180</v>
      </c>
      <c r="F417" s="30" t="s">
        <v>182</v>
      </c>
      <c r="G417" s="30" t="s">
        <v>1724</v>
      </c>
      <c r="H417" s="30"/>
      <c r="I417" s="30"/>
      <c r="J417" s="30"/>
      <c r="K417" s="30"/>
      <c r="L417" s="30"/>
      <c r="M417" s="30"/>
      <c r="N417" s="30"/>
      <c r="O417" s="30"/>
      <c r="P417" s="30"/>
      <c r="Q417" s="30"/>
      <c r="R417" s="30"/>
    </row>
    <row r="418" spans="1:18" ht="16.05" customHeight="1" x14ac:dyDescent="0.3">
      <c r="A418" s="28">
        <v>415</v>
      </c>
      <c r="B418" s="28" t="s">
        <v>546</v>
      </c>
      <c r="C418" s="28" t="s">
        <v>148</v>
      </c>
      <c r="D418" s="28" t="s">
        <v>168</v>
      </c>
      <c r="E418" s="28" t="s">
        <v>183</v>
      </c>
      <c r="F418" s="28" t="s">
        <v>169</v>
      </c>
      <c r="G418" s="28" t="s">
        <v>1724</v>
      </c>
      <c r="H418" s="28"/>
      <c r="I418" s="28"/>
      <c r="J418" s="28"/>
      <c r="K418" s="28"/>
      <c r="L418" s="28"/>
      <c r="M418" s="28"/>
      <c r="N418" s="28"/>
      <c r="O418" s="28"/>
      <c r="P418" s="28"/>
      <c r="Q418" s="28"/>
      <c r="R418" s="28"/>
    </row>
    <row r="419" spans="1:18" ht="16.05" customHeight="1" x14ac:dyDescent="0.3">
      <c r="A419" s="30">
        <v>416</v>
      </c>
      <c r="B419" s="30" t="s">
        <v>546</v>
      </c>
      <c r="C419" s="30" t="s">
        <v>147</v>
      </c>
      <c r="D419" s="30" t="s">
        <v>181</v>
      </c>
      <c r="E419" s="30" t="s">
        <v>184</v>
      </c>
      <c r="F419" s="30" t="s">
        <v>169</v>
      </c>
      <c r="G419" s="30" t="s">
        <v>1724</v>
      </c>
      <c r="H419" s="30"/>
      <c r="I419" s="30"/>
      <c r="J419" s="30"/>
      <c r="K419" s="30"/>
      <c r="L419" s="30"/>
      <c r="M419" s="30"/>
      <c r="N419" s="30"/>
      <c r="O419" s="30"/>
      <c r="P419" s="30"/>
      <c r="Q419" s="30"/>
      <c r="R419" s="30"/>
    </row>
    <row r="420" spans="1:18" ht="16.05" customHeight="1" x14ac:dyDescent="0.3">
      <c r="A420" s="28">
        <v>417</v>
      </c>
      <c r="B420" s="28" t="s">
        <v>546</v>
      </c>
      <c r="C420" s="28" t="s">
        <v>148</v>
      </c>
      <c r="D420" s="28" t="s">
        <v>176</v>
      </c>
      <c r="E420" s="28" t="s">
        <v>185</v>
      </c>
      <c r="F420" s="28" t="s">
        <v>169</v>
      </c>
      <c r="G420" s="28" t="s">
        <v>1724</v>
      </c>
      <c r="H420" s="28"/>
      <c r="I420" s="28"/>
      <c r="J420" s="28"/>
      <c r="K420" s="28"/>
      <c r="L420" s="28"/>
      <c r="M420" s="28"/>
      <c r="N420" s="28"/>
      <c r="O420" s="28"/>
      <c r="P420" s="28"/>
      <c r="Q420" s="28"/>
      <c r="R420" s="28"/>
    </row>
    <row r="421" spans="1:18" ht="16.05" customHeight="1" x14ac:dyDescent="0.3">
      <c r="A421" s="30">
        <v>418</v>
      </c>
      <c r="B421" s="30" t="s">
        <v>546</v>
      </c>
      <c r="C421" s="30" t="s">
        <v>152</v>
      </c>
      <c r="D421" s="30" t="s">
        <v>168</v>
      </c>
      <c r="E421" s="30" t="s">
        <v>186</v>
      </c>
      <c r="F421" s="30" t="s">
        <v>173</v>
      </c>
      <c r="G421" s="30" t="s">
        <v>1724</v>
      </c>
      <c r="H421" s="30"/>
      <c r="I421" s="30"/>
      <c r="J421" s="30"/>
      <c r="K421" s="30"/>
      <c r="L421" s="30"/>
      <c r="M421" s="30"/>
      <c r="N421" s="30"/>
      <c r="O421" s="30"/>
      <c r="P421" s="30"/>
      <c r="Q421" s="30"/>
      <c r="R421" s="30"/>
    </row>
    <row r="422" spans="1:18" ht="16.05" customHeight="1" x14ac:dyDescent="0.3">
      <c r="A422" s="28">
        <v>419</v>
      </c>
      <c r="B422" s="28" t="s">
        <v>546</v>
      </c>
      <c r="C422" s="28" t="s">
        <v>151</v>
      </c>
      <c r="D422" s="28" t="s">
        <v>179</v>
      </c>
      <c r="E422" s="28" t="s">
        <v>187</v>
      </c>
      <c r="F422" s="28" t="s">
        <v>165</v>
      </c>
      <c r="G422" s="28" t="s">
        <v>1724</v>
      </c>
      <c r="H422" s="28"/>
      <c r="I422" s="28"/>
      <c r="J422" s="28"/>
      <c r="K422" s="28"/>
      <c r="L422" s="28"/>
      <c r="M422" s="28"/>
      <c r="N422" s="28"/>
      <c r="O422" s="28"/>
      <c r="P422" s="28"/>
      <c r="Q422" s="28"/>
      <c r="R422" s="28"/>
    </row>
    <row r="423" spans="1:18" ht="16.05" customHeight="1" x14ac:dyDescent="0.3">
      <c r="A423" s="30">
        <v>420</v>
      </c>
      <c r="B423" s="30" t="s">
        <v>546</v>
      </c>
      <c r="C423" s="30" t="s">
        <v>143</v>
      </c>
      <c r="D423" s="30" t="s">
        <v>176</v>
      </c>
      <c r="E423" s="30" t="s">
        <v>188</v>
      </c>
      <c r="F423" s="30" t="s">
        <v>165</v>
      </c>
      <c r="G423" s="30" t="s">
        <v>1724</v>
      </c>
      <c r="H423" s="30"/>
      <c r="I423" s="30"/>
      <c r="J423" s="30"/>
      <c r="K423" s="30"/>
      <c r="L423" s="30"/>
      <c r="M423" s="30"/>
      <c r="N423" s="30"/>
      <c r="O423" s="30"/>
      <c r="P423" s="30"/>
      <c r="Q423" s="30"/>
      <c r="R423" s="30"/>
    </row>
    <row r="424" spans="1:18" ht="16.05" customHeight="1" x14ac:dyDescent="0.3">
      <c r="A424" s="28">
        <v>421</v>
      </c>
      <c r="B424" s="28" t="s">
        <v>547</v>
      </c>
      <c r="C424" s="28" t="s">
        <v>142</v>
      </c>
      <c r="D424" s="28" t="s">
        <v>164</v>
      </c>
      <c r="E424" s="28" t="s">
        <v>163</v>
      </c>
      <c r="F424" s="28" t="s">
        <v>165</v>
      </c>
      <c r="G424" s="28" t="s">
        <v>1724</v>
      </c>
      <c r="H424" s="28"/>
      <c r="I424" s="28"/>
      <c r="J424" s="28"/>
      <c r="K424" s="28"/>
      <c r="L424" s="28"/>
      <c r="M424" s="28"/>
      <c r="N424" s="28"/>
      <c r="O424" s="28"/>
      <c r="P424" s="28"/>
      <c r="Q424" s="28"/>
      <c r="R424" s="28"/>
    </row>
    <row r="425" spans="1:18" ht="16.05" customHeight="1" x14ac:dyDescent="0.3">
      <c r="A425" s="30">
        <v>422</v>
      </c>
      <c r="B425" s="30" t="s">
        <v>547</v>
      </c>
      <c r="C425" s="30" t="s">
        <v>146</v>
      </c>
      <c r="D425" s="30" t="s">
        <v>168</v>
      </c>
      <c r="E425" s="30" t="s">
        <v>167</v>
      </c>
      <c r="F425" s="30" t="s">
        <v>169</v>
      </c>
      <c r="G425" s="30" t="s">
        <v>1724</v>
      </c>
      <c r="H425" s="30"/>
      <c r="I425" s="30"/>
      <c r="J425" s="30"/>
      <c r="K425" s="30"/>
      <c r="L425" s="30"/>
      <c r="M425" s="30"/>
      <c r="N425" s="30"/>
      <c r="O425" s="30"/>
      <c r="P425" s="30"/>
      <c r="Q425" s="30"/>
      <c r="R425" s="30"/>
    </row>
    <row r="426" spans="1:18" ht="16.05" customHeight="1" x14ac:dyDescent="0.3">
      <c r="A426" s="28">
        <v>423</v>
      </c>
      <c r="B426" s="28" t="s">
        <v>547</v>
      </c>
      <c r="C426" s="28" t="s">
        <v>147</v>
      </c>
      <c r="D426" s="28" t="s">
        <v>168</v>
      </c>
      <c r="E426" s="28" t="s">
        <v>170</v>
      </c>
      <c r="F426" s="28" t="s">
        <v>165</v>
      </c>
      <c r="G426" s="28" t="s">
        <v>1724</v>
      </c>
      <c r="H426" s="28"/>
      <c r="I426" s="28"/>
      <c r="J426" s="28"/>
      <c r="K426" s="28"/>
      <c r="L426" s="28"/>
      <c r="M426" s="28"/>
      <c r="N426" s="28"/>
      <c r="O426" s="28"/>
      <c r="P426" s="28"/>
      <c r="Q426" s="28"/>
      <c r="R426" s="28"/>
    </row>
    <row r="427" spans="1:18" ht="16.05" customHeight="1" x14ac:dyDescent="0.3">
      <c r="A427" s="30">
        <v>424</v>
      </c>
      <c r="B427" s="30" t="s">
        <v>547</v>
      </c>
      <c r="C427" s="30" t="s">
        <v>146</v>
      </c>
      <c r="D427" s="30" t="s">
        <v>172</v>
      </c>
      <c r="E427" s="30" t="s">
        <v>171</v>
      </c>
      <c r="F427" s="30" t="s">
        <v>173</v>
      </c>
      <c r="G427" s="30" t="s">
        <v>1724</v>
      </c>
      <c r="H427" s="30"/>
      <c r="I427" s="30"/>
      <c r="J427" s="30"/>
      <c r="K427" s="30"/>
      <c r="L427" s="30"/>
      <c r="M427" s="30"/>
      <c r="N427" s="30"/>
      <c r="O427" s="30"/>
      <c r="P427" s="30"/>
      <c r="Q427" s="30"/>
      <c r="R427" s="30"/>
    </row>
    <row r="428" spans="1:18" ht="16.05" customHeight="1" x14ac:dyDescent="0.3">
      <c r="A428" s="28">
        <v>425</v>
      </c>
      <c r="B428" s="28" t="s">
        <v>547</v>
      </c>
      <c r="C428" s="28" t="s">
        <v>143</v>
      </c>
      <c r="D428" s="28" t="s">
        <v>172</v>
      </c>
      <c r="E428" s="28" t="s">
        <v>174</v>
      </c>
      <c r="F428" s="28" t="s">
        <v>169</v>
      </c>
      <c r="G428" s="28" t="s">
        <v>1724</v>
      </c>
      <c r="H428" s="28"/>
      <c r="I428" s="28"/>
      <c r="J428" s="28"/>
      <c r="K428" s="28"/>
      <c r="L428" s="28"/>
      <c r="M428" s="28"/>
      <c r="N428" s="28"/>
      <c r="O428" s="28"/>
      <c r="P428" s="28"/>
      <c r="Q428" s="28"/>
      <c r="R428" s="28"/>
    </row>
    <row r="429" spans="1:18" ht="16.05" customHeight="1" x14ac:dyDescent="0.3">
      <c r="A429" s="30">
        <v>426</v>
      </c>
      <c r="B429" s="30" t="s">
        <v>547</v>
      </c>
      <c r="C429" s="30" t="s">
        <v>143</v>
      </c>
      <c r="D429" s="30" t="s">
        <v>176</v>
      </c>
      <c r="E429" s="30" t="s">
        <v>175</v>
      </c>
      <c r="F429" s="30" t="s">
        <v>165</v>
      </c>
      <c r="G429" s="30" t="s">
        <v>1724</v>
      </c>
      <c r="H429" s="30"/>
      <c r="I429" s="30"/>
      <c r="J429" s="30"/>
      <c r="K429" s="30"/>
      <c r="L429" s="30"/>
      <c r="M429" s="30"/>
      <c r="N429" s="30"/>
      <c r="O429" s="30"/>
      <c r="P429" s="30"/>
      <c r="Q429" s="30"/>
      <c r="R429" s="30"/>
    </row>
    <row r="430" spans="1:18" ht="16.05" customHeight="1" x14ac:dyDescent="0.3">
      <c r="A430" s="28">
        <v>427</v>
      </c>
      <c r="B430" s="28" t="s">
        <v>547</v>
      </c>
      <c r="C430" s="28" t="s">
        <v>144</v>
      </c>
      <c r="D430" s="28" t="s">
        <v>176</v>
      </c>
      <c r="E430" s="28" t="s">
        <v>177</v>
      </c>
      <c r="F430" s="28" t="s">
        <v>173</v>
      </c>
      <c r="G430" s="28" t="s">
        <v>1724</v>
      </c>
      <c r="H430" s="28"/>
      <c r="I430" s="28"/>
      <c r="J430" s="28"/>
      <c r="K430" s="28"/>
      <c r="L430" s="28"/>
      <c r="M430" s="28"/>
      <c r="N430" s="28"/>
      <c r="O430" s="28"/>
      <c r="P430" s="28"/>
      <c r="Q430" s="28"/>
      <c r="R430" s="28"/>
    </row>
    <row r="431" spans="1:18" ht="16.05" customHeight="1" x14ac:dyDescent="0.3">
      <c r="A431" s="30">
        <v>428</v>
      </c>
      <c r="B431" s="30" t="s">
        <v>547</v>
      </c>
      <c r="C431" s="30" t="s">
        <v>145</v>
      </c>
      <c r="D431" s="30" t="s">
        <v>179</v>
      </c>
      <c r="E431" s="30" t="s">
        <v>178</v>
      </c>
      <c r="F431" s="30" t="s">
        <v>165</v>
      </c>
      <c r="G431" s="30" t="s">
        <v>1724</v>
      </c>
      <c r="H431" s="30"/>
      <c r="I431" s="30"/>
      <c r="J431" s="30"/>
      <c r="K431" s="30"/>
      <c r="L431" s="30"/>
      <c r="M431" s="30"/>
      <c r="N431" s="30"/>
      <c r="O431" s="30"/>
      <c r="P431" s="30"/>
      <c r="Q431" s="30"/>
      <c r="R431" s="30"/>
    </row>
    <row r="432" spans="1:18" ht="16.05" customHeight="1" x14ac:dyDescent="0.3">
      <c r="A432" s="28">
        <v>429</v>
      </c>
      <c r="B432" s="28" t="s">
        <v>547</v>
      </c>
      <c r="C432" s="28" t="s">
        <v>146</v>
      </c>
      <c r="D432" s="28" t="s">
        <v>181</v>
      </c>
      <c r="E432" s="28" t="s">
        <v>180</v>
      </c>
      <c r="F432" s="28" t="s">
        <v>182</v>
      </c>
      <c r="G432" s="28" t="s">
        <v>1724</v>
      </c>
      <c r="H432" s="28"/>
      <c r="I432" s="28"/>
      <c r="J432" s="28"/>
      <c r="K432" s="28"/>
      <c r="L432" s="28"/>
      <c r="M432" s="28"/>
      <c r="N432" s="28"/>
      <c r="O432" s="28"/>
      <c r="P432" s="28"/>
      <c r="Q432" s="28"/>
      <c r="R432" s="28"/>
    </row>
    <row r="433" spans="1:18" ht="16.05" customHeight="1" x14ac:dyDescent="0.3">
      <c r="A433" s="30">
        <v>430</v>
      </c>
      <c r="B433" s="30" t="s">
        <v>547</v>
      </c>
      <c r="C433" s="30" t="s">
        <v>148</v>
      </c>
      <c r="D433" s="30" t="s">
        <v>168</v>
      </c>
      <c r="E433" s="30" t="s">
        <v>183</v>
      </c>
      <c r="F433" s="30" t="s">
        <v>169</v>
      </c>
      <c r="G433" s="30" t="s">
        <v>1724</v>
      </c>
      <c r="H433" s="30"/>
      <c r="I433" s="30"/>
      <c r="J433" s="30"/>
      <c r="K433" s="30"/>
      <c r="L433" s="30"/>
      <c r="M433" s="30"/>
      <c r="N433" s="30"/>
      <c r="O433" s="30"/>
      <c r="P433" s="30"/>
      <c r="Q433" s="30"/>
      <c r="R433" s="30"/>
    </row>
    <row r="434" spans="1:18" ht="16.05" customHeight="1" x14ac:dyDescent="0.3">
      <c r="A434" s="28">
        <v>431</v>
      </c>
      <c r="B434" s="28" t="s">
        <v>547</v>
      </c>
      <c r="C434" s="28" t="s">
        <v>147</v>
      </c>
      <c r="D434" s="28" t="s">
        <v>181</v>
      </c>
      <c r="E434" s="28" t="s">
        <v>184</v>
      </c>
      <c r="F434" s="28" t="s">
        <v>169</v>
      </c>
      <c r="G434" s="28" t="s">
        <v>1724</v>
      </c>
      <c r="H434" s="28"/>
      <c r="I434" s="28"/>
      <c r="J434" s="28"/>
      <c r="K434" s="28"/>
      <c r="L434" s="28"/>
      <c r="M434" s="28"/>
      <c r="N434" s="28"/>
      <c r="O434" s="28"/>
      <c r="P434" s="28"/>
      <c r="Q434" s="28"/>
      <c r="R434" s="28"/>
    </row>
    <row r="435" spans="1:18" ht="16.05" customHeight="1" x14ac:dyDescent="0.3">
      <c r="A435" s="30">
        <v>432</v>
      </c>
      <c r="B435" s="30" t="s">
        <v>547</v>
      </c>
      <c r="C435" s="30" t="s">
        <v>148</v>
      </c>
      <c r="D435" s="30" t="s">
        <v>176</v>
      </c>
      <c r="E435" s="30" t="s">
        <v>185</v>
      </c>
      <c r="F435" s="30" t="s">
        <v>169</v>
      </c>
      <c r="G435" s="30" t="s">
        <v>1724</v>
      </c>
      <c r="H435" s="30"/>
      <c r="I435" s="30"/>
      <c r="J435" s="30"/>
      <c r="K435" s="30"/>
      <c r="L435" s="30"/>
      <c r="M435" s="30"/>
      <c r="N435" s="30"/>
      <c r="O435" s="30"/>
      <c r="P435" s="30"/>
      <c r="Q435" s="30"/>
      <c r="R435" s="30"/>
    </row>
    <row r="436" spans="1:18" ht="16.05" customHeight="1" x14ac:dyDescent="0.3">
      <c r="A436" s="28">
        <v>433</v>
      </c>
      <c r="B436" s="28" t="s">
        <v>547</v>
      </c>
      <c r="C436" s="28" t="s">
        <v>152</v>
      </c>
      <c r="D436" s="28" t="s">
        <v>168</v>
      </c>
      <c r="E436" s="28" t="s">
        <v>186</v>
      </c>
      <c r="F436" s="28" t="s">
        <v>173</v>
      </c>
      <c r="G436" s="28" t="s">
        <v>1724</v>
      </c>
      <c r="H436" s="28"/>
      <c r="I436" s="28"/>
      <c r="J436" s="28"/>
      <c r="K436" s="28"/>
      <c r="L436" s="28"/>
      <c r="M436" s="28"/>
      <c r="N436" s="28"/>
      <c r="O436" s="28"/>
      <c r="P436" s="28"/>
      <c r="Q436" s="28"/>
      <c r="R436" s="28"/>
    </row>
    <row r="437" spans="1:18" ht="16.05" customHeight="1" x14ac:dyDescent="0.3">
      <c r="A437" s="30">
        <v>434</v>
      </c>
      <c r="B437" s="30" t="s">
        <v>547</v>
      </c>
      <c r="C437" s="30" t="s">
        <v>151</v>
      </c>
      <c r="D437" s="30" t="s">
        <v>179</v>
      </c>
      <c r="E437" s="30" t="s">
        <v>187</v>
      </c>
      <c r="F437" s="30" t="s">
        <v>165</v>
      </c>
      <c r="G437" s="30" t="s">
        <v>1724</v>
      </c>
      <c r="H437" s="30"/>
      <c r="I437" s="30"/>
      <c r="J437" s="30"/>
      <c r="K437" s="30"/>
      <c r="L437" s="30"/>
      <c r="M437" s="30"/>
      <c r="N437" s="30"/>
      <c r="O437" s="30"/>
      <c r="P437" s="30"/>
      <c r="Q437" s="30"/>
      <c r="R437" s="30"/>
    </row>
    <row r="438" spans="1:18" ht="16.05" customHeight="1" x14ac:dyDescent="0.3">
      <c r="A438" s="28">
        <v>435</v>
      </c>
      <c r="B438" s="28" t="s">
        <v>547</v>
      </c>
      <c r="C438" s="28" t="s">
        <v>143</v>
      </c>
      <c r="D438" s="28" t="s">
        <v>176</v>
      </c>
      <c r="E438" s="28" t="s">
        <v>188</v>
      </c>
      <c r="F438" s="28" t="s">
        <v>165</v>
      </c>
      <c r="G438" s="28" t="s">
        <v>1724</v>
      </c>
      <c r="H438" s="28"/>
      <c r="I438" s="28"/>
      <c r="J438" s="28"/>
      <c r="K438" s="28"/>
      <c r="L438" s="28"/>
      <c r="M438" s="28"/>
      <c r="N438" s="28"/>
      <c r="O438" s="28"/>
      <c r="P438" s="28"/>
      <c r="Q438" s="28"/>
      <c r="R438" s="28"/>
    </row>
    <row r="439" spans="1:18" ht="16.05" customHeight="1" x14ac:dyDescent="0.3">
      <c r="A439" s="30">
        <v>436</v>
      </c>
      <c r="B439" s="30" t="s">
        <v>548</v>
      </c>
      <c r="C439" s="30" t="s">
        <v>142</v>
      </c>
      <c r="D439" s="30" t="s">
        <v>164</v>
      </c>
      <c r="E439" s="30" t="s">
        <v>163</v>
      </c>
      <c r="F439" s="30" t="s">
        <v>165</v>
      </c>
      <c r="G439" s="30" t="s">
        <v>1724</v>
      </c>
      <c r="H439" s="30"/>
      <c r="I439" s="30"/>
      <c r="J439" s="30"/>
      <c r="K439" s="30"/>
      <c r="L439" s="30"/>
      <c r="M439" s="30"/>
      <c r="N439" s="30"/>
      <c r="O439" s="30"/>
      <c r="P439" s="30"/>
      <c r="Q439" s="30"/>
      <c r="R439" s="30"/>
    </row>
    <row r="440" spans="1:18" ht="16.05" customHeight="1" x14ac:dyDescent="0.3">
      <c r="A440" s="28">
        <v>437</v>
      </c>
      <c r="B440" s="28" t="s">
        <v>548</v>
      </c>
      <c r="C440" s="28" t="s">
        <v>146</v>
      </c>
      <c r="D440" s="28" t="s">
        <v>168</v>
      </c>
      <c r="E440" s="28" t="s">
        <v>167</v>
      </c>
      <c r="F440" s="28" t="s">
        <v>169</v>
      </c>
      <c r="G440" s="28" t="s">
        <v>1724</v>
      </c>
      <c r="H440" s="28"/>
      <c r="I440" s="28"/>
      <c r="J440" s="28"/>
      <c r="K440" s="28"/>
      <c r="L440" s="28"/>
      <c r="M440" s="28"/>
      <c r="N440" s="28"/>
      <c r="O440" s="28"/>
      <c r="P440" s="28"/>
      <c r="Q440" s="28"/>
      <c r="R440" s="28"/>
    </row>
    <row r="441" spans="1:18" ht="16.05" customHeight="1" x14ac:dyDescent="0.3">
      <c r="A441" s="30">
        <v>438</v>
      </c>
      <c r="B441" s="30" t="s">
        <v>548</v>
      </c>
      <c r="C441" s="30" t="s">
        <v>147</v>
      </c>
      <c r="D441" s="30" t="s">
        <v>168</v>
      </c>
      <c r="E441" s="30" t="s">
        <v>170</v>
      </c>
      <c r="F441" s="30" t="s">
        <v>165</v>
      </c>
      <c r="G441" s="30" t="s">
        <v>1724</v>
      </c>
      <c r="H441" s="30"/>
      <c r="I441" s="30"/>
      <c r="J441" s="30"/>
      <c r="K441" s="30"/>
      <c r="L441" s="30"/>
      <c r="M441" s="30"/>
      <c r="N441" s="30"/>
      <c r="O441" s="30"/>
      <c r="P441" s="30"/>
      <c r="Q441" s="30"/>
      <c r="R441" s="30"/>
    </row>
    <row r="442" spans="1:18" ht="16.05" customHeight="1" x14ac:dyDescent="0.3">
      <c r="A442" s="28">
        <v>439</v>
      </c>
      <c r="B442" s="28" t="s">
        <v>548</v>
      </c>
      <c r="C442" s="28" t="s">
        <v>146</v>
      </c>
      <c r="D442" s="28" t="s">
        <v>172</v>
      </c>
      <c r="E442" s="28" t="s">
        <v>171</v>
      </c>
      <c r="F442" s="28" t="s">
        <v>173</v>
      </c>
      <c r="G442" s="28" t="s">
        <v>1724</v>
      </c>
      <c r="H442" s="28"/>
      <c r="I442" s="28"/>
      <c r="J442" s="28"/>
      <c r="K442" s="28"/>
      <c r="L442" s="28"/>
      <c r="M442" s="28"/>
      <c r="N442" s="28"/>
      <c r="O442" s="28"/>
      <c r="P442" s="28"/>
      <c r="Q442" s="28"/>
      <c r="R442" s="28"/>
    </row>
    <row r="443" spans="1:18" ht="16.05" customHeight="1" x14ac:dyDescent="0.3">
      <c r="A443" s="30">
        <v>440</v>
      </c>
      <c r="B443" s="30" t="s">
        <v>548</v>
      </c>
      <c r="C443" s="30" t="s">
        <v>143</v>
      </c>
      <c r="D443" s="30" t="s">
        <v>172</v>
      </c>
      <c r="E443" s="30" t="s">
        <v>174</v>
      </c>
      <c r="F443" s="30" t="s">
        <v>169</v>
      </c>
      <c r="G443" s="30" t="s">
        <v>1724</v>
      </c>
      <c r="H443" s="30"/>
      <c r="I443" s="30"/>
      <c r="J443" s="30"/>
      <c r="K443" s="30"/>
      <c r="L443" s="30"/>
      <c r="M443" s="30"/>
      <c r="N443" s="30"/>
      <c r="O443" s="30"/>
      <c r="P443" s="30"/>
      <c r="Q443" s="30"/>
      <c r="R443" s="30"/>
    </row>
    <row r="444" spans="1:18" ht="16.05" customHeight="1" x14ac:dyDescent="0.3">
      <c r="A444" s="28">
        <v>441</v>
      </c>
      <c r="B444" s="28" t="s">
        <v>548</v>
      </c>
      <c r="C444" s="28" t="s">
        <v>143</v>
      </c>
      <c r="D444" s="28" t="s">
        <v>176</v>
      </c>
      <c r="E444" s="28" t="s">
        <v>175</v>
      </c>
      <c r="F444" s="28" t="s">
        <v>165</v>
      </c>
      <c r="G444" s="28" t="s">
        <v>1724</v>
      </c>
      <c r="H444" s="28"/>
      <c r="I444" s="28"/>
      <c r="J444" s="28"/>
      <c r="K444" s="28"/>
      <c r="L444" s="28"/>
      <c r="M444" s="28"/>
      <c r="N444" s="28"/>
      <c r="O444" s="28"/>
      <c r="P444" s="28"/>
      <c r="Q444" s="28"/>
      <c r="R444" s="28"/>
    </row>
    <row r="445" spans="1:18" ht="16.05" customHeight="1" x14ac:dyDescent="0.3">
      <c r="A445" s="30">
        <v>442</v>
      </c>
      <c r="B445" s="30" t="s">
        <v>548</v>
      </c>
      <c r="C445" s="30" t="s">
        <v>144</v>
      </c>
      <c r="D445" s="30" t="s">
        <v>176</v>
      </c>
      <c r="E445" s="30" t="s">
        <v>177</v>
      </c>
      <c r="F445" s="30" t="s">
        <v>173</v>
      </c>
      <c r="G445" s="30" t="s">
        <v>1724</v>
      </c>
      <c r="H445" s="30"/>
      <c r="I445" s="30"/>
      <c r="J445" s="30"/>
      <c r="K445" s="30"/>
      <c r="L445" s="30"/>
      <c r="M445" s="30"/>
      <c r="N445" s="30"/>
      <c r="O445" s="30"/>
      <c r="P445" s="30"/>
      <c r="Q445" s="30"/>
      <c r="R445" s="30"/>
    </row>
    <row r="446" spans="1:18" ht="16.05" customHeight="1" x14ac:dyDescent="0.3">
      <c r="A446" s="28">
        <v>443</v>
      </c>
      <c r="B446" s="28" t="s">
        <v>548</v>
      </c>
      <c r="C446" s="28" t="s">
        <v>145</v>
      </c>
      <c r="D446" s="28" t="s">
        <v>179</v>
      </c>
      <c r="E446" s="28" t="s">
        <v>178</v>
      </c>
      <c r="F446" s="28" t="s">
        <v>165</v>
      </c>
      <c r="G446" s="28" t="s">
        <v>1724</v>
      </c>
      <c r="H446" s="28"/>
      <c r="I446" s="28"/>
      <c r="J446" s="28"/>
      <c r="K446" s="28"/>
      <c r="L446" s="28"/>
      <c r="M446" s="28"/>
      <c r="N446" s="28"/>
      <c r="O446" s="28"/>
      <c r="P446" s="28"/>
      <c r="Q446" s="28"/>
      <c r="R446" s="28"/>
    </row>
    <row r="447" spans="1:18" ht="16.05" customHeight="1" x14ac:dyDescent="0.3">
      <c r="A447" s="30">
        <v>444</v>
      </c>
      <c r="B447" s="30" t="s">
        <v>548</v>
      </c>
      <c r="C447" s="30" t="s">
        <v>146</v>
      </c>
      <c r="D447" s="30" t="s">
        <v>181</v>
      </c>
      <c r="E447" s="30" t="s">
        <v>180</v>
      </c>
      <c r="F447" s="30" t="s">
        <v>182</v>
      </c>
      <c r="G447" s="30" t="s">
        <v>1724</v>
      </c>
      <c r="H447" s="30"/>
      <c r="I447" s="30"/>
      <c r="J447" s="30"/>
      <c r="K447" s="30"/>
      <c r="L447" s="30"/>
      <c r="M447" s="30"/>
      <c r="N447" s="30"/>
      <c r="O447" s="30"/>
      <c r="P447" s="30"/>
      <c r="Q447" s="30"/>
      <c r="R447" s="30"/>
    </row>
    <row r="448" spans="1:18" ht="16.05" customHeight="1" x14ac:dyDescent="0.3">
      <c r="A448" s="28">
        <v>445</v>
      </c>
      <c r="B448" s="28" t="s">
        <v>548</v>
      </c>
      <c r="C448" s="28" t="s">
        <v>148</v>
      </c>
      <c r="D448" s="28" t="s">
        <v>168</v>
      </c>
      <c r="E448" s="28" t="s">
        <v>183</v>
      </c>
      <c r="F448" s="28" t="s">
        <v>169</v>
      </c>
      <c r="G448" s="28" t="s">
        <v>1724</v>
      </c>
      <c r="H448" s="28"/>
      <c r="I448" s="28"/>
      <c r="J448" s="28"/>
      <c r="K448" s="28"/>
      <c r="L448" s="28"/>
      <c r="M448" s="28"/>
      <c r="N448" s="28"/>
      <c r="O448" s="28"/>
      <c r="P448" s="28"/>
      <c r="Q448" s="28"/>
      <c r="R448" s="28"/>
    </row>
    <row r="449" spans="1:18" ht="16.05" customHeight="1" x14ac:dyDescent="0.3">
      <c r="A449" s="30">
        <v>446</v>
      </c>
      <c r="B449" s="30" t="s">
        <v>548</v>
      </c>
      <c r="C449" s="30" t="s">
        <v>147</v>
      </c>
      <c r="D449" s="30" t="s">
        <v>181</v>
      </c>
      <c r="E449" s="30" t="s">
        <v>184</v>
      </c>
      <c r="F449" s="30" t="s">
        <v>169</v>
      </c>
      <c r="G449" s="30" t="s">
        <v>1724</v>
      </c>
      <c r="H449" s="30"/>
      <c r="I449" s="30"/>
      <c r="J449" s="30"/>
      <c r="K449" s="30"/>
      <c r="L449" s="30"/>
      <c r="M449" s="30"/>
      <c r="N449" s="30"/>
      <c r="O449" s="30"/>
      <c r="P449" s="30"/>
      <c r="Q449" s="30"/>
      <c r="R449" s="30"/>
    </row>
    <row r="450" spans="1:18" ht="16.05" customHeight="1" x14ac:dyDescent="0.3">
      <c r="A450" s="28">
        <v>447</v>
      </c>
      <c r="B450" s="28" t="s">
        <v>548</v>
      </c>
      <c r="C450" s="28" t="s">
        <v>148</v>
      </c>
      <c r="D450" s="28" t="s">
        <v>176</v>
      </c>
      <c r="E450" s="28" t="s">
        <v>185</v>
      </c>
      <c r="F450" s="28" t="s">
        <v>169</v>
      </c>
      <c r="G450" s="28" t="s">
        <v>1724</v>
      </c>
      <c r="H450" s="28"/>
      <c r="I450" s="28"/>
      <c r="J450" s="28"/>
      <c r="K450" s="28"/>
      <c r="L450" s="28"/>
      <c r="M450" s="28"/>
      <c r="N450" s="28"/>
      <c r="O450" s="28"/>
      <c r="P450" s="28"/>
      <c r="Q450" s="28"/>
      <c r="R450" s="28"/>
    </row>
    <row r="451" spans="1:18" ht="16.05" customHeight="1" x14ac:dyDescent="0.3">
      <c r="A451" s="30">
        <v>448</v>
      </c>
      <c r="B451" s="30" t="s">
        <v>548</v>
      </c>
      <c r="C451" s="30" t="s">
        <v>152</v>
      </c>
      <c r="D451" s="30" t="s">
        <v>168</v>
      </c>
      <c r="E451" s="30" t="s">
        <v>186</v>
      </c>
      <c r="F451" s="30" t="s">
        <v>173</v>
      </c>
      <c r="G451" s="30" t="s">
        <v>1724</v>
      </c>
      <c r="H451" s="30"/>
      <c r="I451" s="30"/>
      <c r="J451" s="30"/>
      <c r="K451" s="30"/>
      <c r="L451" s="30"/>
      <c r="M451" s="30"/>
      <c r="N451" s="30"/>
      <c r="O451" s="30"/>
      <c r="P451" s="30"/>
      <c r="Q451" s="30"/>
      <c r="R451" s="30"/>
    </row>
    <row r="452" spans="1:18" ht="16.05" customHeight="1" x14ac:dyDescent="0.3">
      <c r="A452" s="28">
        <v>449</v>
      </c>
      <c r="B452" s="28" t="s">
        <v>548</v>
      </c>
      <c r="C452" s="28" t="s">
        <v>151</v>
      </c>
      <c r="D452" s="28" t="s">
        <v>179</v>
      </c>
      <c r="E452" s="28" t="s">
        <v>187</v>
      </c>
      <c r="F452" s="28" t="s">
        <v>165</v>
      </c>
      <c r="G452" s="28" t="s">
        <v>1724</v>
      </c>
      <c r="H452" s="28"/>
      <c r="I452" s="28"/>
      <c r="J452" s="28"/>
      <c r="K452" s="28"/>
      <c r="L452" s="28"/>
      <c r="M452" s="28"/>
      <c r="N452" s="28"/>
      <c r="O452" s="28"/>
      <c r="P452" s="28"/>
      <c r="Q452" s="28"/>
      <c r="R452" s="28"/>
    </row>
    <row r="453" spans="1:18" ht="16.05" customHeight="1" x14ac:dyDescent="0.3">
      <c r="A453" s="30">
        <v>450</v>
      </c>
      <c r="B453" s="30" t="s">
        <v>548</v>
      </c>
      <c r="C453" s="30" t="s">
        <v>143</v>
      </c>
      <c r="D453" s="30" t="s">
        <v>176</v>
      </c>
      <c r="E453" s="30" t="s">
        <v>188</v>
      </c>
      <c r="F453" s="30" t="s">
        <v>165</v>
      </c>
      <c r="G453" s="30" t="s">
        <v>1724</v>
      </c>
      <c r="H453" s="30"/>
      <c r="I453" s="30"/>
      <c r="J453" s="30"/>
      <c r="K453" s="30"/>
      <c r="L453" s="30"/>
      <c r="M453" s="30"/>
      <c r="N453" s="30"/>
      <c r="O453" s="30"/>
      <c r="P453" s="30"/>
      <c r="Q453" s="30"/>
      <c r="R453" s="30"/>
    </row>
    <row r="454" spans="1:18" ht="16.05" customHeight="1" x14ac:dyDescent="0.3">
      <c r="A454" s="28">
        <v>451</v>
      </c>
      <c r="B454" s="28" t="s">
        <v>549</v>
      </c>
      <c r="C454" s="28" t="s">
        <v>142</v>
      </c>
      <c r="D454" s="28" t="s">
        <v>164</v>
      </c>
      <c r="E454" s="28" t="s">
        <v>163</v>
      </c>
      <c r="F454" s="28" t="s">
        <v>165</v>
      </c>
      <c r="G454" s="28" t="s">
        <v>1724</v>
      </c>
      <c r="H454" s="28"/>
      <c r="I454" s="28"/>
      <c r="J454" s="28"/>
      <c r="K454" s="28"/>
      <c r="L454" s="28"/>
      <c r="M454" s="28"/>
      <c r="N454" s="28"/>
      <c r="O454" s="28"/>
      <c r="P454" s="28"/>
      <c r="Q454" s="28"/>
      <c r="R454" s="28"/>
    </row>
    <row r="455" spans="1:18" ht="16.05" customHeight="1" x14ac:dyDescent="0.3">
      <c r="A455" s="30">
        <v>452</v>
      </c>
      <c r="B455" s="30" t="s">
        <v>549</v>
      </c>
      <c r="C455" s="30" t="s">
        <v>146</v>
      </c>
      <c r="D455" s="30" t="s">
        <v>168</v>
      </c>
      <c r="E455" s="30" t="s">
        <v>167</v>
      </c>
      <c r="F455" s="30" t="s">
        <v>169</v>
      </c>
      <c r="G455" s="30" t="s">
        <v>1724</v>
      </c>
      <c r="H455" s="30"/>
      <c r="I455" s="30"/>
      <c r="J455" s="30"/>
      <c r="K455" s="30"/>
      <c r="L455" s="30"/>
      <c r="M455" s="30"/>
      <c r="N455" s="30"/>
      <c r="O455" s="30"/>
      <c r="P455" s="30"/>
      <c r="Q455" s="30"/>
      <c r="R455" s="30"/>
    </row>
    <row r="456" spans="1:18" ht="16.05" customHeight="1" x14ac:dyDescent="0.3">
      <c r="A456" s="28">
        <v>453</v>
      </c>
      <c r="B456" s="28" t="s">
        <v>549</v>
      </c>
      <c r="C456" s="28" t="s">
        <v>147</v>
      </c>
      <c r="D456" s="28" t="s">
        <v>168</v>
      </c>
      <c r="E456" s="28" t="s">
        <v>170</v>
      </c>
      <c r="F456" s="28" t="s">
        <v>165</v>
      </c>
      <c r="G456" s="28" t="s">
        <v>1724</v>
      </c>
      <c r="H456" s="28"/>
      <c r="I456" s="28"/>
      <c r="J456" s="28"/>
      <c r="K456" s="28"/>
      <c r="L456" s="28"/>
      <c r="M456" s="28"/>
      <c r="N456" s="28"/>
      <c r="O456" s="28"/>
      <c r="P456" s="28"/>
      <c r="Q456" s="28"/>
      <c r="R456" s="28"/>
    </row>
    <row r="457" spans="1:18" ht="16.05" customHeight="1" x14ac:dyDescent="0.3">
      <c r="A457" s="30">
        <v>454</v>
      </c>
      <c r="B457" s="30" t="s">
        <v>549</v>
      </c>
      <c r="C457" s="30" t="s">
        <v>146</v>
      </c>
      <c r="D457" s="30" t="s">
        <v>172</v>
      </c>
      <c r="E457" s="30" t="s">
        <v>171</v>
      </c>
      <c r="F457" s="30" t="s">
        <v>173</v>
      </c>
      <c r="G457" s="30" t="s">
        <v>1724</v>
      </c>
      <c r="H457" s="30"/>
      <c r="I457" s="30"/>
      <c r="J457" s="30"/>
      <c r="K457" s="30"/>
      <c r="L457" s="30"/>
      <c r="M457" s="30"/>
      <c r="N457" s="30"/>
      <c r="O457" s="30"/>
      <c r="P457" s="30"/>
      <c r="Q457" s="30"/>
      <c r="R457" s="30"/>
    </row>
    <row r="458" spans="1:18" ht="16.05" customHeight="1" x14ac:dyDescent="0.3">
      <c r="A458" s="28">
        <v>455</v>
      </c>
      <c r="B458" s="28" t="s">
        <v>549</v>
      </c>
      <c r="C458" s="28" t="s">
        <v>143</v>
      </c>
      <c r="D458" s="28" t="s">
        <v>172</v>
      </c>
      <c r="E458" s="28" t="s">
        <v>174</v>
      </c>
      <c r="F458" s="28" t="s">
        <v>169</v>
      </c>
      <c r="G458" s="28" t="s">
        <v>1724</v>
      </c>
      <c r="H458" s="28"/>
      <c r="I458" s="28"/>
      <c r="J458" s="28"/>
      <c r="K458" s="28"/>
      <c r="L458" s="28"/>
      <c r="M458" s="28"/>
      <c r="N458" s="28"/>
      <c r="O458" s="28"/>
      <c r="P458" s="28"/>
      <c r="Q458" s="28"/>
      <c r="R458" s="28"/>
    </row>
    <row r="459" spans="1:18" ht="16.05" customHeight="1" x14ac:dyDescent="0.3">
      <c r="A459" s="30">
        <v>456</v>
      </c>
      <c r="B459" s="30" t="s">
        <v>549</v>
      </c>
      <c r="C459" s="30" t="s">
        <v>143</v>
      </c>
      <c r="D459" s="30" t="s">
        <v>176</v>
      </c>
      <c r="E459" s="30" t="s">
        <v>175</v>
      </c>
      <c r="F459" s="30" t="s">
        <v>165</v>
      </c>
      <c r="G459" s="30" t="s">
        <v>1724</v>
      </c>
      <c r="H459" s="30"/>
      <c r="I459" s="30"/>
      <c r="J459" s="30"/>
      <c r="K459" s="30"/>
      <c r="L459" s="30"/>
      <c r="M459" s="30"/>
      <c r="N459" s="30"/>
      <c r="O459" s="30"/>
      <c r="P459" s="30"/>
      <c r="Q459" s="30"/>
      <c r="R459" s="30"/>
    </row>
    <row r="460" spans="1:18" ht="16.05" customHeight="1" x14ac:dyDescent="0.3">
      <c r="A460" s="28">
        <v>457</v>
      </c>
      <c r="B460" s="28" t="s">
        <v>549</v>
      </c>
      <c r="C460" s="28" t="s">
        <v>144</v>
      </c>
      <c r="D460" s="28" t="s">
        <v>176</v>
      </c>
      <c r="E460" s="28" t="s">
        <v>177</v>
      </c>
      <c r="F460" s="28" t="s">
        <v>173</v>
      </c>
      <c r="G460" s="28" t="s">
        <v>1724</v>
      </c>
      <c r="H460" s="28"/>
      <c r="I460" s="28"/>
      <c r="J460" s="28"/>
      <c r="K460" s="28"/>
      <c r="L460" s="28"/>
      <c r="M460" s="28"/>
      <c r="N460" s="28"/>
      <c r="O460" s="28"/>
      <c r="P460" s="28"/>
      <c r="Q460" s="28"/>
      <c r="R460" s="28"/>
    </row>
    <row r="461" spans="1:18" ht="16.05" customHeight="1" x14ac:dyDescent="0.3">
      <c r="A461" s="30">
        <v>458</v>
      </c>
      <c r="B461" s="30" t="s">
        <v>549</v>
      </c>
      <c r="C461" s="30" t="s">
        <v>145</v>
      </c>
      <c r="D461" s="30" t="s">
        <v>179</v>
      </c>
      <c r="E461" s="30" t="s">
        <v>178</v>
      </c>
      <c r="F461" s="30" t="s">
        <v>165</v>
      </c>
      <c r="G461" s="30" t="s">
        <v>1724</v>
      </c>
      <c r="H461" s="30"/>
      <c r="I461" s="30"/>
      <c r="J461" s="30"/>
      <c r="K461" s="30"/>
      <c r="L461" s="30"/>
      <c r="M461" s="30"/>
      <c r="N461" s="30"/>
      <c r="O461" s="30"/>
      <c r="P461" s="30"/>
      <c r="Q461" s="30"/>
      <c r="R461" s="30"/>
    </row>
    <row r="462" spans="1:18" ht="16.05" customHeight="1" x14ac:dyDescent="0.3">
      <c r="A462" s="28">
        <v>459</v>
      </c>
      <c r="B462" s="28" t="s">
        <v>549</v>
      </c>
      <c r="C462" s="28" t="s">
        <v>146</v>
      </c>
      <c r="D462" s="28" t="s">
        <v>181</v>
      </c>
      <c r="E462" s="28" t="s">
        <v>180</v>
      </c>
      <c r="F462" s="28" t="s">
        <v>182</v>
      </c>
      <c r="G462" s="28" t="s">
        <v>1724</v>
      </c>
      <c r="H462" s="28"/>
      <c r="I462" s="28"/>
      <c r="J462" s="28"/>
      <c r="K462" s="28"/>
      <c r="L462" s="28"/>
      <c r="M462" s="28"/>
      <c r="N462" s="28"/>
      <c r="O462" s="28"/>
      <c r="P462" s="28"/>
      <c r="Q462" s="28"/>
      <c r="R462" s="28"/>
    </row>
    <row r="463" spans="1:18" ht="16.05" customHeight="1" x14ac:dyDescent="0.3">
      <c r="A463" s="30">
        <v>460</v>
      </c>
      <c r="B463" s="30" t="s">
        <v>549</v>
      </c>
      <c r="C463" s="30" t="s">
        <v>148</v>
      </c>
      <c r="D463" s="30" t="s">
        <v>168</v>
      </c>
      <c r="E463" s="30" t="s">
        <v>183</v>
      </c>
      <c r="F463" s="30" t="s">
        <v>169</v>
      </c>
      <c r="G463" s="30" t="s">
        <v>1724</v>
      </c>
      <c r="H463" s="30"/>
      <c r="I463" s="30"/>
      <c r="J463" s="30"/>
      <c r="K463" s="30"/>
      <c r="L463" s="30"/>
      <c r="M463" s="30"/>
      <c r="N463" s="30"/>
      <c r="O463" s="30"/>
      <c r="P463" s="30"/>
      <c r="Q463" s="30"/>
      <c r="R463" s="30"/>
    </row>
    <row r="464" spans="1:18" ht="16.05" customHeight="1" x14ac:dyDescent="0.3">
      <c r="A464" s="28">
        <v>461</v>
      </c>
      <c r="B464" s="28" t="s">
        <v>549</v>
      </c>
      <c r="C464" s="28" t="s">
        <v>147</v>
      </c>
      <c r="D464" s="28" t="s">
        <v>181</v>
      </c>
      <c r="E464" s="28" t="s">
        <v>184</v>
      </c>
      <c r="F464" s="28" t="s">
        <v>169</v>
      </c>
      <c r="G464" s="28" t="s">
        <v>1724</v>
      </c>
      <c r="H464" s="28"/>
      <c r="I464" s="28"/>
      <c r="J464" s="28"/>
      <c r="K464" s="28"/>
      <c r="L464" s="28"/>
      <c r="M464" s="28"/>
      <c r="N464" s="28"/>
      <c r="O464" s="28"/>
      <c r="P464" s="28"/>
      <c r="Q464" s="28"/>
      <c r="R464" s="28"/>
    </row>
    <row r="465" spans="1:18" ht="16.05" customHeight="1" x14ac:dyDescent="0.3">
      <c r="A465" s="30">
        <v>462</v>
      </c>
      <c r="B465" s="30" t="s">
        <v>549</v>
      </c>
      <c r="C465" s="30" t="s">
        <v>148</v>
      </c>
      <c r="D465" s="30" t="s">
        <v>176</v>
      </c>
      <c r="E465" s="30" t="s">
        <v>185</v>
      </c>
      <c r="F465" s="30" t="s">
        <v>169</v>
      </c>
      <c r="G465" s="30" t="s">
        <v>1724</v>
      </c>
      <c r="H465" s="30"/>
      <c r="I465" s="30"/>
      <c r="J465" s="30"/>
      <c r="K465" s="30"/>
      <c r="L465" s="30"/>
      <c r="M465" s="30"/>
      <c r="N465" s="30"/>
      <c r="O465" s="30"/>
      <c r="P465" s="30"/>
      <c r="Q465" s="30"/>
      <c r="R465" s="30"/>
    </row>
    <row r="466" spans="1:18" ht="16.05" customHeight="1" x14ac:dyDescent="0.3">
      <c r="A466" s="28">
        <v>463</v>
      </c>
      <c r="B466" s="28" t="s">
        <v>549</v>
      </c>
      <c r="C466" s="28" t="s">
        <v>152</v>
      </c>
      <c r="D466" s="28" t="s">
        <v>168</v>
      </c>
      <c r="E466" s="28" t="s">
        <v>186</v>
      </c>
      <c r="F466" s="28" t="s">
        <v>173</v>
      </c>
      <c r="G466" s="28" t="s">
        <v>1724</v>
      </c>
      <c r="H466" s="28"/>
      <c r="I466" s="28"/>
      <c r="J466" s="28"/>
      <c r="K466" s="28"/>
      <c r="L466" s="28"/>
      <c r="M466" s="28"/>
      <c r="N466" s="28"/>
      <c r="O466" s="28"/>
      <c r="P466" s="28"/>
      <c r="Q466" s="28"/>
      <c r="R466" s="28"/>
    </row>
    <row r="467" spans="1:18" ht="16.05" customHeight="1" x14ac:dyDescent="0.3">
      <c r="A467" s="30">
        <v>464</v>
      </c>
      <c r="B467" s="30" t="s">
        <v>549</v>
      </c>
      <c r="C467" s="30" t="s">
        <v>151</v>
      </c>
      <c r="D467" s="30" t="s">
        <v>179</v>
      </c>
      <c r="E467" s="30" t="s">
        <v>187</v>
      </c>
      <c r="F467" s="30" t="s">
        <v>165</v>
      </c>
      <c r="G467" s="30" t="s">
        <v>1724</v>
      </c>
      <c r="H467" s="30"/>
      <c r="I467" s="30"/>
      <c r="J467" s="30"/>
      <c r="K467" s="30"/>
      <c r="L467" s="30"/>
      <c r="M467" s="30"/>
      <c r="N467" s="30"/>
      <c r="O467" s="30"/>
      <c r="P467" s="30"/>
      <c r="Q467" s="30"/>
      <c r="R467" s="30"/>
    </row>
    <row r="468" spans="1:18" ht="16.05" customHeight="1" x14ac:dyDescent="0.3">
      <c r="A468" s="28">
        <v>465</v>
      </c>
      <c r="B468" s="28" t="s">
        <v>549</v>
      </c>
      <c r="C468" s="28" t="s">
        <v>143</v>
      </c>
      <c r="D468" s="28" t="s">
        <v>176</v>
      </c>
      <c r="E468" s="28" t="s">
        <v>188</v>
      </c>
      <c r="F468" s="28" t="s">
        <v>165</v>
      </c>
      <c r="G468" s="28" t="s">
        <v>1724</v>
      </c>
      <c r="H468" s="28"/>
      <c r="I468" s="28"/>
      <c r="J468" s="28"/>
      <c r="K468" s="28"/>
      <c r="L468" s="28"/>
      <c r="M468" s="28"/>
      <c r="N468" s="28"/>
      <c r="O468" s="28"/>
      <c r="P468" s="28"/>
      <c r="Q468" s="28"/>
      <c r="R468" s="28"/>
    </row>
    <row r="469" spans="1:18" ht="16.05" customHeight="1" x14ac:dyDescent="0.3">
      <c r="A469" s="30">
        <v>466</v>
      </c>
      <c r="B469" s="30" t="s">
        <v>550</v>
      </c>
      <c r="C469" s="30" t="s">
        <v>142</v>
      </c>
      <c r="D469" s="30" t="s">
        <v>164</v>
      </c>
      <c r="E469" s="30" t="s">
        <v>163</v>
      </c>
      <c r="F469" s="30" t="s">
        <v>165</v>
      </c>
      <c r="G469" s="30" t="s">
        <v>1724</v>
      </c>
      <c r="H469" s="30"/>
      <c r="I469" s="30"/>
      <c r="J469" s="30"/>
      <c r="K469" s="30"/>
      <c r="L469" s="30"/>
      <c r="M469" s="30"/>
      <c r="N469" s="30"/>
      <c r="O469" s="30"/>
      <c r="P469" s="30"/>
      <c r="Q469" s="30"/>
      <c r="R469" s="30"/>
    </row>
    <row r="470" spans="1:18" ht="16.05" customHeight="1" x14ac:dyDescent="0.3">
      <c r="A470" s="28">
        <v>467</v>
      </c>
      <c r="B470" s="28" t="s">
        <v>550</v>
      </c>
      <c r="C470" s="28" t="s">
        <v>146</v>
      </c>
      <c r="D470" s="28" t="s">
        <v>168</v>
      </c>
      <c r="E470" s="28" t="s">
        <v>167</v>
      </c>
      <c r="F470" s="28" t="s">
        <v>169</v>
      </c>
      <c r="G470" s="28" t="s">
        <v>1724</v>
      </c>
      <c r="H470" s="28"/>
      <c r="I470" s="28"/>
      <c r="J470" s="28"/>
      <c r="K470" s="28"/>
      <c r="L470" s="28"/>
      <c r="M470" s="28"/>
      <c r="N470" s="28"/>
      <c r="O470" s="28"/>
      <c r="P470" s="28"/>
      <c r="Q470" s="28"/>
      <c r="R470" s="28"/>
    </row>
    <row r="471" spans="1:18" ht="16.05" customHeight="1" x14ac:dyDescent="0.3">
      <c r="A471" s="30">
        <v>468</v>
      </c>
      <c r="B471" s="30" t="s">
        <v>550</v>
      </c>
      <c r="C471" s="30" t="s">
        <v>147</v>
      </c>
      <c r="D471" s="30" t="s">
        <v>168</v>
      </c>
      <c r="E471" s="30" t="s">
        <v>170</v>
      </c>
      <c r="F471" s="30" t="s">
        <v>165</v>
      </c>
      <c r="G471" s="30" t="s">
        <v>1724</v>
      </c>
      <c r="H471" s="30"/>
      <c r="I471" s="30"/>
      <c r="J471" s="30"/>
      <c r="K471" s="30"/>
      <c r="L471" s="30"/>
      <c r="M471" s="30"/>
      <c r="N471" s="30"/>
      <c r="O471" s="30"/>
      <c r="P471" s="30"/>
      <c r="Q471" s="30"/>
      <c r="R471" s="30"/>
    </row>
    <row r="472" spans="1:18" ht="16.05" customHeight="1" x14ac:dyDescent="0.3">
      <c r="A472" s="28">
        <v>469</v>
      </c>
      <c r="B472" s="28" t="s">
        <v>550</v>
      </c>
      <c r="C472" s="28" t="s">
        <v>146</v>
      </c>
      <c r="D472" s="28" t="s">
        <v>172</v>
      </c>
      <c r="E472" s="28" t="s">
        <v>171</v>
      </c>
      <c r="F472" s="28" t="s">
        <v>173</v>
      </c>
      <c r="G472" s="28" t="s">
        <v>1724</v>
      </c>
      <c r="H472" s="28"/>
      <c r="I472" s="28"/>
      <c r="J472" s="28"/>
      <c r="K472" s="28"/>
      <c r="L472" s="28"/>
      <c r="M472" s="28"/>
      <c r="N472" s="28"/>
      <c r="O472" s="28"/>
      <c r="P472" s="28"/>
      <c r="Q472" s="28"/>
      <c r="R472" s="28"/>
    </row>
    <row r="473" spans="1:18" ht="16.05" customHeight="1" x14ac:dyDescent="0.3">
      <c r="A473" s="30">
        <v>470</v>
      </c>
      <c r="B473" s="30" t="s">
        <v>550</v>
      </c>
      <c r="C473" s="30" t="s">
        <v>143</v>
      </c>
      <c r="D473" s="30" t="s">
        <v>172</v>
      </c>
      <c r="E473" s="30" t="s">
        <v>174</v>
      </c>
      <c r="F473" s="30" t="s">
        <v>169</v>
      </c>
      <c r="G473" s="30" t="s">
        <v>1724</v>
      </c>
      <c r="H473" s="30"/>
      <c r="I473" s="30"/>
      <c r="J473" s="30"/>
      <c r="K473" s="30"/>
      <c r="L473" s="30"/>
      <c r="M473" s="30"/>
      <c r="N473" s="30"/>
      <c r="O473" s="30"/>
      <c r="P473" s="30"/>
      <c r="Q473" s="30"/>
      <c r="R473" s="30"/>
    </row>
    <row r="474" spans="1:18" ht="16.05" customHeight="1" x14ac:dyDescent="0.3">
      <c r="A474" s="28">
        <v>471</v>
      </c>
      <c r="B474" s="28" t="s">
        <v>550</v>
      </c>
      <c r="C474" s="28" t="s">
        <v>143</v>
      </c>
      <c r="D474" s="28" t="s">
        <v>176</v>
      </c>
      <c r="E474" s="28" t="s">
        <v>175</v>
      </c>
      <c r="F474" s="28" t="s">
        <v>165</v>
      </c>
      <c r="G474" s="28" t="s">
        <v>1724</v>
      </c>
      <c r="H474" s="28"/>
      <c r="I474" s="28"/>
      <c r="J474" s="28"/>
      <c r="K474" s="28"/>
      <c r="L474" s="28"/>
      <c r="M474" s="28"/>
      <c r="N474" s="28"/>
      <c r="O474" s="28"/>
      <c r="P474" s="28"/>
      <c r="Q474" s="28"/>
      <c r="R474" s="28"/>
    </row>
    <row r="475" spans="1:18" ht="16.05" customHeight="1" x14ac:dyDescent="0.3">
      <c r="A475" s="30">
        <v>472</v>
      </c>
      <c r="B475" s="30" t="s">
        <v>550</v>
      </c>
      <c r="C475" s="30" t="s">
        <v>144</v>
      </c>
      <c r="D475" s="30" t="s">
        <v>176</v>
      </c>
      <c r="E475" s="30" t="s">
        <v>177</v>
      </c>
      <c r="F475" s="30" t="s">
        <v>173</v>
      </c>
      <c r="G475" s="30" t="s">
        <v>1724</v>
      </c>
      <c r="H475" s="30"/>
      <c r="I475" s="30"/>
      <c r="J475" s="30"/>
      <c r="K475" s="30"/>
      <c r="L475" s="30"/>
      <c r="M475" s="30"/>
      <c r="N475" s="30"/>
      <c r="O475" s="30"/>
      <c r="P475" s="30"/>
      <c r="Q475" s="30"/>
      <c r="R475" s="30"/>
    </row>
    <row r="476" spans="1:18" ht="16.05" customHeight="1" x14ac:dyDescent="0.3">
      <c r="A476" s="28">
        <v>473</v>
      </c>
      <c r="B476" s="28" t="s">
        <v>550</v>
      </c>
      <c r="C476" s="28" t="s">
        <v>145</v>
      </c>
      <c r="D476" s="28" t="s">
        <v>179</v>
      </c>
      <c r="E476" s="28" t="s">
        <v>178</v>
      </c>
      <c r="F476" s="28" t="s">
        <v>165</v>
      </c>
      <c r="G476" s="28" t="s">
        <v>1724</v>
      </c>
      <c r="H476" s="28"/>
      <c r="I476" s="28"/>
      <c r="J476" s="28"/>
      <c r="K476" s="28"/>
      <c r="L476" s="28"/>
      <c r="M476" s="28"/>
      <c r="N476" s="28"/>
      <c r="O476" s="28"/>
      <c r="P476" s="28"/>
      <c r="Q476" s="28"/>
      <c r="R476" s="28"/>
    </row>
    <row r="477" spans="1:18" ht="16.05" customHeight="1" x14ac:dyDescent="0.3">
      <c r="A477" s="30">
        <v>474</v>
      </c>
      <c r="B477" s="30" t="s">
        <v>550</v>
      </c>
      <c r="C477" s="30" t="s">
        <v>146</v>
      </c>
      <c r="D477" s="30" t="s">
        <v>181</v>
      </c>
      <c r="E477" s="30" t="s">
        <v>180</v>
      </c>
      <c r="F477" s="30" t="s">
        <v>182</v>
      </c>
      <c r="G477" s="30" t="s">
        <v>1724</v>
      </c>
      <c r="H477" s="30"/>
      <c r="I477" s="30"/>
      <c r="J477" s="30"/>
      <c r="K477" s="30"/>
      <c r="L477" s="30"/>
      <c r="M477" s="30"/>
      <c r="N477" s="30"/>
      <c r="O477" s="30"/>
      <c r="P477" s="30"/>
      <c r="Q477" s="30"/>
      <c r="R477" s="30"/>
    </row>
    <row r="478" spans="1:18" ht="16.05" customHeight="1" x14ac:dyDescent="0.3">
      <c r="A478" s="28">
        <v>475</v>
      </c>
      <c r="B478" s="28" t="s">
        <v>550</v>
      </c>
      <c r="C478" s="28" t="s">
        <v>148</v>
      </c>
      <c r="D478" s="28" t="s">
        <v>168</v>
      </c>
      <c r="E478" s="28" t="s">
        <v>183</v>
      </c>
      <c r="F478" s="28" t="s">
        <v>169</v>
      </c>
      <c r="G478" s="28" t="s">
        <v>1724</v>
      </c>
      <c r="H478" s="28"/>
      <c r="I478" s="28"/>
      <c r="J478" s="28"/>
      <c r="K478" s="28"/>
      <c r="L478" s="28"/>
      <c r="M478" s="28"/>
      <c r="N478" s="28"/>
      <c r="O478" s="28"/>
      <c r="P478" s="28"/>
      <c r="Q478" s="28"/>
      <c r="R478" s="28"/>
    </row>
    <row r="479" spans="1:18" ht="16.05" customHeight="1" x14ac:dyDescent="0.3">
      <c r="A479" s="30">
        <v>476</v>
      </c>
      <c r="B479" s="30" t="s">
        <v>550</v>
      </c>
      <c r="C479" s="30" t="s">
        <v>147</v>
      </c>
      <c r="D479" s="30" t="s">
        <v>181</v>
      </c>
      <c r="E479" s="30" t="s">
        <v>184</v>
      </c>
      <c r="F479" s="30" t="s">
        <v>169</v>
      </c>
      <c r="G479" s="30" t="s">
        <v>1724</v>
      </c>
      <c r="H479" s="30"/>
      <c r="I479" s="30"/>
      <c r="J479" s="30"/>
      <c r="K479" s="30"/>
      <c r="L479" s="30"/>
      <c r="M479" s="30"/>
      <c r="N479" s="30"/>
      <c r="O479" s="30"/>
      <c r="P479" s="30"/>
      <c r="Q479" s="30"/>
      <c r="R479" s="30"/>
    </row>
    <row r="480" spans="1:18" ht="16.05" customHeight="1" x14ac:dyDescent="0.3">
      <c r="A480" s="28">
        <v>477</v>
      </c>
      <c r="B480" s="28" t="s">
        <v>550</v>
      </c>
      <c r="C480" s="28" t="s">
        <v>148</v>
      </c>
      <c r="D480" s="28" t="s">
        <v>176</v>
      </c>
      <c r="E480" s="28" t="s">
        <v>185</v>
      </c>
      <c r="F480" s="28" t="s">
        <v>169</v>
      </c>
      <c r="G480" s="28" t="s">
        <v>1724</v>
      </c>
      <c r="H480" s="28"/>
      <c r="I480" s="28"/>
      <c r="J480" s="28"/>
      <c r="K480" s="28"/>
      <c r="L480" s="28"/>
      <c r="M480" s="28"/>
      <c r="N480" s="28"/>
      <c r="O480" s="28"/>
      <c r="P480" s="28"/>
      <c r="Q480" s="28"/>
      <c r="R480" s="28"/>
    </row>
    <row r="481" spans="1:18" ht="16.05" customHeight="1" x14ac:dyDescent="0.3">
      <c r="A481" s="30">
        <v>478</v>
      </c>
      <c r="B481" s="30" t="s">
        <v>550</v>
      </c>
      <c r="C481" s="30" t="s">
        <v>152</v>
      </c>
      <c r="D481" s="30" t="s">
        <v>168</v>
      </c>
      <c r="E481" s="30" t="s">
        <v>186</v>
      </c>
      <c r="F481" s="30" t="s">
        <v>173</v>
      </c>
      <c r="G481" s="30" t="s">
        <v>1724</v>
      </c>
      <c r="H481" s="30"/>
      <c r="I481" s="30"/>
      <c r="J481" s="30"/>
      <c r="K481" s="30"/>
      <c r="L481" s="30"/>
      <c r="M481" s="30"/>
      <c r="N481" s="30"/>
      <c r="O481" s="30"/>
      <c r="P481" s="30"/>
      <c r="Q481" s="30"/>
      <c r="R481" s="30"/>
    </row>
    <row r="482" spans="1:18" ht="16.05" customHeight="1" x14ac:dyDescent="0.3">
      <c r="A482" s="28">
        <v>479</v>
      </c>
      <c r="B482" s="28" t="s">
        <v>550</v>
      </c>
      <c r="C482" s="28" t="s">
        <v>151</v>
      </c>
      <c r="D482" s="28" t="s">
        <v>179</v>
      </c>
      <c r="E482" s="28" t="s">
        <v>187</v>
      </c>
      <c r="F482" s="28" t="s">
        <v>165</v>
      </c>
      <c r="G482" s="28" t="s">
        <v>1724</v>
      </c>
      <c r="H482" s="28"/>
      <c r="I482" s="28"/>
      <c r="J482" s="28"/>
      <c r="K482" s="28"/>
      <c r="L482" s="28"/>
      <c r="M482" s="28"/>
      <c r="N482" s="28"/>
      <c r="O482" s="28"/>
      <c r="P482" s="28"/>
      <c r="Q482" s="28"/>
      <c r="R482" s="28"/>
    </row>
    <row r="483" spans="1:18" ht="16.05" customHeight="1" x14ac:dyDescent="0.3">
      <c r="A483" s="30">
        <v>480</v>
      </c>
      <c r="B483" s="30" t="s">
        <v>550</v>
      </c>
      <c r="C483" s="30" t="s">
        <v>143</v>
      </c>
      <c r="D483" s="30" t="s">
        <v>176</v>
      </c>
      <c r="E483" s="30" t="s">
        <v>188</v>
      </c>
      <c r="F483" s="30" t="s">
        <v>165</v>
      </c>
      <c r="G483" s="30" t="s">
        <v>1724</v>
      </c>
      <c r="H483" s="30"/>
      <c r="I483" s="30"/>
      <c r="J483" s="30"/>
      <c r="K483" s="30"/>
      <c r="L483" s="30"/>
      <c r="M483" s="30"/>
      <c r="N483" s="30"/>
      <c r="O483" s="30"/>
      <c r="P483" s="30"/>
      <c r="Q483" s="30"/>
      <c r="R483" s="30"/>
    </row>
    <row r="484" spans="1:18" ht="16.05" customHeight="1" x14ac:dyDescent="0.3">
      <c r="A484" s="28">
        <v>481</v>
      </c>
      <c r="B484" s="28" t="s">
        <v>551</v>
      </c>
      <c r="C484" s="28" t="s">
        <v>142</v>
      </c>
      <c r="D484" s="28" t="s">
        <v>164</v>
      </c>
      <c r="E484" s="28" t="s">
        <v>163</v>
      </c>
      <c r="F484" s="28" t="s">
        <v>165</v>
      </c>
      <c r="G484" s="28" t="s">
        <v>1724</v>
      </c>
      <c r="H484" s="28"/>
      <c r="I484" s="28"/>
      <c r="J484" s="28"/>
      <c r="K484" s="28"/>
      <c r="L484" s="28"/>
      <c r="M484" s="28"/>
      <c r="N484" s="28"/>
      <c r="O484" s="28"/>
      <c r="P484" s="28"/>
      <c r="Q484" s="28"/>
      <c r="R484" s="28"/>
    </row>
    <row r="485" spans="1:18" ht="16.05" customHeight="1" x14ac:dyDescent="0.3">
      <c r="A485" s="30">
        <v>482</v>
      </c>
      <c r="B485" s="30" t="s">
        <v>551</v>
      </c>
      <c r="C485" s="30" t="s">
        <v>146</v>
      </c>
      <c r="D485" s="30" t="s">
        <v>168</v>
      </c>
      <c r="E485" s="30" t="s">
        <v>167</v>
      </c>
      <c r="F485" s="30" t="s">
        <v>169</v>
      </c>
      <c r="G485" s="30" t="s">
        <v>1724</v>
      </c>
      <c r="H485" s="30"/>
      <c r="I485" s="30"/>
      <c r="J485" s="30"/>
      <c r="K485" s="30"/>
      <c r="L485" s="30"/>
      <c r="M485" s="30"/>
      <c r="N485" s="30"/>
      <c r="O485" s="30"/>
      <c r="P485" s="30"/>
      <c r="Q485" s="30"/>
      <c r="R485" s="30"/>
    </row>
    <row r="486" spans="1:18" ht="16.05" customHeight="1" x14ac:dyDescent="0.3">
      <c r="A486" s="28">
        <v>483</v>
      </c>
      <c r="B486" s="28" t="s">
        <v>551</v>
      </c>
      <c r="C486" s="28" t="s">
        <v>147</v>
      </c>
      <c r="D486" s="28" t="s">
        <v>168</v>
      </c>
      <c r="E486" s="28" t="s">
        <v>170</v>
      </c>
      <c r="F486" s="28" t="s">
        <v>165</v>
      </c>
      <c r="G486" s="28" t="s">
        <v>1724</v>
      </c>
      <c r="H486" s="28"/>
      <c r="I486" s="28"/>
      <c r="J486" s="28"/>
      <c r="K486" s="28"/>
      <c r="L486" s="28"/>
      <c r="M486" s="28"/>
      <c r="N486" s="28"/>
      <c r="O486" s="28"/>
      <c r="P486" s="28"/>
      <c r="Q486" s="28"/>
      <c r="R486" s="28"/>
    </row>
    <row r="487" spans="1:18" ht="16.05" customHeight="1" x14ac:dyDescent="0.3">
      <c r="A487" s="30">
        <v>484</v>
      </c>
      <c r="B487" s="30" t="s">
        <v>551</v>
      </c>
      <c r="C487" s="30" t="s">
        <v>146</v>
      </c>
      <c r="D487" s="30" t="s">
        <v>172</v>
      </c>
      <c r="E487" s="30" t="s">
        <v>171</v>
      </c>
      <c r="F487" s="30" t="s">
        <v>173</v>
      </c>
      <c r="G487" s="30" t="s">
        <v>1724</v>
      </c>
      <c r="H487" s="30"/>
      <c r="I487" s="30"/>
      <c r="J487" s="30"/>
      <c r="K487" s="30"/>
      <c r="L487" s="30"/>
      <c r="M487" s="30"/>
      <c r="N487" s="30"/>
      <c r="O487" s="30"/>
      <c r="P487" s="30"/>
      <c r="Q487" s="30"/>
      <c r="R487" s="30"/>
    </row>
    <row r="488" spans="1:18" ht="16.05" customHeight="1" x14ac:dyDescent="0.3">
      <c r="A488" s="28">
        <v>485</v>
      </c>
      <c r="B488" s="28" t="s">
        <v>551</v>
      </c>
      <c r="C488" s="28" t="s">
        <v>143</v>
      </c>
      <c r="D488" s="28" t="s">
        <v>172</v>
      </c>
      <c r="E488" s="28" t="s">
        <v>174</v>
      </c>
      <c r="F488" s="28" t="s">
        <v>169</v>
      </c>
      <c r="G488" s="28" t="s">
        <v>1724</v>
      </c>
      <c r="H488" s="28"/>
      <c r="I488" s="28"/>
      <c r="J488" s="28"/>
      <c r="K488" s="28"/>
      <c r="L488" s="28"/>
      <c r="M488" s="28"/>
      <c r="N488" s="28"/>
      <c r="O488" s="28"/>
      <c r="P488" s="28"/>
      <c r="Q488" s="28"/>
      <c r="R488" s="28"/>
    </row>
    <row r="489" spans="1:18" ht="16.05" customHeight="1" x14ac:dyDescent="0.3">
      <c r="A489" s="30">
        <v>486</v>
      </c>
      <c r="B489" s="30" t="s">
        <v>551</v>
      </c>
      <c r="C489" s="30" t="s">
        <v>143</v>
      </c>
      <c r="D489" s="30" t="s">
        <v>176</v>
      </c>
      <c r="E489" s="30" t="s">
        <v>175</v>
      </c>
      <c r="F489" s="30" t="s">
        <v>165</v>
      </c>
      <c r="G489" s="30" t="s">
        <v>1724</v>
      </c>
      <c r="H489" s="30"/>
      <c r="I489" s="30"/>
      <c r="J489" s="30"/>
      <c r="K489" s="30"/>
      <c r="L489" s="30"/>
      <c r="M489" s="30"/>
      <c r="N489" s="30"/>
      <c r="O489" s="30"/>
      <c r="P489" s="30"/>
      <c r="Q489" s="30"/>
      <c r="R489" s="30"/>
    </row>
    <row r="490" spans="1:18" ht="16.05" customHeight="1" x14ac:dyDescent="0.3">
      <c r="A490" s="28">
        <v>487</v>
      </c>
      <c r="B490" s="28" t="s">
        <v>551</v>
      </c>
      <c r="C490" s="28" t="s">
        <v>144</v>
      </c>
      <c r="D490" s="28" t="s">
        <v>176</v>
      </c>
      <c r="E490" s="28" t="s">
        <v>177</v>
      </c>
      <c r="F490" s="28" t="s">
        <v>173</v>
      </c>
      <c r="G490" s="28" t="s">
        <v>1724</v>
      </c>
      <c r="H490" s="28"/>
      <c r="I490" s="28"/>
      <c r="J490" s="28"/>
      <c r="K490" s="28"/>
      <c r="L490" s="28"/>
      <c r="M490" s="28"/>
      <c r="N490" s="28"/>
      <c r="O490" s="28"/>
      <c r="P490" s="28"/>
      <c r="Q490" s="28"/>
      <c r="R490" s="28"/>
    </row>
    <row r="491" spans="1:18" ht="16.05" customHeight="1" x14ac:dyDescent="0.3">
      <c r="A491" s="30">
        <v>488</v>
      </c>
      <c r="B491" s="30" t="s">
        <v>551</v>
      </c>
      <c r="C491" s="30" t="s">
        <v>145</v>
      </c>
      <c r="D491" s="30" t="s">
        <v>179</v>
      </c>
      <c r="E491" s="30" t="s">
        <v>178</v>
      </c>
      <c r="F491" s="30" t="s">
        <v>165</v>
      </c>
      <c r="G491" s="30" t="s">
        <v>1724</v>
      </c>
      <c r="H491" s="30"/>
      <c r="I491" s="30"/>
      <c r="J491" s="30"/>
      <c r="K491" s="30"/>
      <c r="L491" s="30"/>
      <c r="M491" s="30"/>
      <c r="N491" s="30"/>
      <c r="O491" s="30"/>
      <c r="P491" s="30"/>
      <c r="Q491" s="30"/>
      <c r="R491" s="30"/>
    </row>
    <row r="492" spans="1:18" ht="16.05" customHeight="1" x14ac:dyDescent="0.3">
      <c r="A492" s="28">
        <v>489</v>
      </c>
      <c r="B492" s="28" t="s">
        <v>551</v>
      </c>
      <c r="C492" s="28" t="s">
        <v>146</v>
      </c>
      <c r="D492" s="28" t="s">
        <v>181</v>
      </c>
      <c r="E492" s="28" t="s">
        <v>180</v>
      </c>
      <c r="F492" s="28" t="s">
        <v>182</v>
      </c>
      <c r="G492" s="28" t="s">
        <v>1724</v>
      </c>
      <c r="H492" s="28"/>
      <c r="I492" s="28"/>
      <c r="J492" s="28"/>
      <c r="K492" s="28"/>
      <c r="L492" s="28"/>
      <c r="M492" s="28"/>
      <c r="N492" s="28"/>
      <c r="O492" s="28"/>
      <c r="P492" s="28"/>
      <c r="Q492" s="28"/>
      <c r="R492" s="28"/>
    </row>
    <row r="493" spans="1:18" ht="16.05" customHeight="1" x14ac:dyDescent="0.3">
      <c r="A493" s="30">
        <v>490</v>
      </c>
      <c r="B493" s="30" t="s">
        <v>551</v>
      </c>
      <c r="C493" s="30" t="s">
        <v>148</v>
      </c>
      <c r="D493" s="30" t="s">
        <v>168</v>
      </c>
      <c r="E493" s="30" t="s">
        <v>183</v>
      </c>
      <c r="F493" s="30" t="s">
        <v>169</v>
      </c>
      <c r="G493" s="30" t="s">
        <v>1724</v>
      </c>
      <c r="H493" s="30"/>
      <c r="I493" s="30"/>
      <c r="J493" s="30"/>
      <c r="K493" s="30"/>
      <c r="L493" s="30"/>
      <c r="M493" s="30"/>
      <c r="N493" s="30"/>
      <c r="O493" s="30"/>
      <c r="P493" s="30"/>
      <c r="Q493" s="30"/>
      <c r="R493" s="30"/>
    </row>
    <row r="494" spans="1:18" ht="16.05" customHeight="1" x14ac:dyDescent="0.3">
      <c r="A494" s="28">
        <v>491</v>
      </c>
      <c r="B494" s="28" t="s">
        <v>551</v>
      </c>
      <c r="C494" s="28" t="s">
        <v>147</v>
      </c>
      <c r="D494" s="28" t="s">
        <v>181</v>
      </c>
      <c r="E494" s="28" t="s">
        <v>184</v>
      </c>
      <c r="F494" s="28" t="s">
        <v>169</v>
      </c>
      <c r="G494" s="28" t="s">
        <v>1724</v>
      </c>
      <c r="H494" s="28"/>
      <c r="I494" s="28"/>
      <c r="J494" s="28"/>
      <c r="K494" s="28"/>
      <c r="L494" s="28"/>
      <c r="M494" s="28"/>
      <c r="N494" s="28"/>
      <c r="O494" s="28"/>
      <c r="P494" s="28"/>
      <c r="Q494" s="28"/>
      <c r="R494" s="28"/>
    </row>
    <row r="495" spans="1:18" ht="16.05" customHeight="1" x14ac:dyDescent="0.3">
      <c r="A495" s="30">
        <v>492</v>
      </c>
      <c r="B495" s="30" t="s">
        <v>551</v>
      </c>
      <c r="C495" s="30" t="s">
        <v>148</v>
      </c>
      <c r="D495" s="30" t="s">
        <v>176</v>
      </c>
      <c r="E495" s="30" t="s">
        <v>185</v>
      </c>
      <c r="F495" s="30" t="s">
        <v>169</v>
      </c>
      <c r="G495" s="30" t="s">
        <v>1724</v>
      </c>
      <c r="H495" s="30"/>
      <c r="I495" s="30"/>
      <c r="J495" s="30"/>
      <c r="K495" s="30"/>
      <c r="L495" s="30"/>
      <c r="M495" s="30"/>
      <c r="N495" s="30"/>
      <c r="O495" s="30"/>
      <c r="P495" s="30"/>
      <c r="Q495" s="30"/>
      <c r="R495" s="30"/>
    </row>
    <row r="496" spans="1:18" ht="16.05" customHeight="1" x14ac:dyDescent="0.3">
      <c r="A496" s="28">
        <v>493</v>
      </c>
      <c r="B496" s="28" t="s">
        <v>551</v>
      </c>
      <c r="C496" s="28" t="s">
        <v>152</v>
      </c>
      <c r="D496" s="28" t="s">
        <v>168</v>
      </c>
      <c r="E496" s="28" t="s">
        <v>186</v>
      </c>
      <c r="F496" s="28" t="s">
        <v>173</v>
      </c>
      <c r="G496" s="28" t="s">
        <v>1724</v>
      </c>
      <c r="H496" s="28"/>
      <c r="I496" s="28"/>
      <c r="J496" s="28"/>
      <c r="K496" s="28"/>
      <c r="L496" s="28"/>
      <c r="M496" s="28"/>
      <c r="N496" s="28"/>
      <c r="O496" s="28"/>
      <c r="P496" s="28"/>
      <c r="Q496" s="28"/>
      <c r="R496" s="28"/>
    </row>
    <row r="497" spans="1:18" ht="16.05" customHeight="1" x14ac:dyDescent="0.3">
      <c r="A497" s="30">
        <v>494</v>
      </c>
      <c r="B497" s="30" t="s">
        <v>551</v>
      </c>
      <c r="C497" s="30" t="s">
        <v>151</v>
      </c>
      <c r="D497" s="30" t="s">
        <v>179</v>
      </c>
      <c r="E497" s="30" t="s">
        <v>187</v>
      </c>
      <c r="F497" s="30" t="s">
        <v>165</v>
      </c>
      <c r="G497" s="30" t="s">
        <v>1724</v>
      </c>
      <c r="H497" s="30"/>
      <c r="I497" s="30"/>
      <c r="J497" s="30"/>
      <c r="K497" s="30"/>
      <c r="L497" s="30"/>
      <c r="M497" s="30"/>
      <c r="N497" s="30"/>
      <c r="O497" s="30"/>
      <c r="P497" s="30"/>
      <c r="Q497" s="30"/>
      <c r="R497" s="30"/>
    </row>
    <row r="498" spans="1:18" ht="16.05" customHeight="1" x14ac:dyDescent="0.3">
      <c r="A498" s="28">
        <v>495</v>
      </c>
      <c r="B498" s="28" t="s">
        <v>551</v>
      </c>
      <c r="C498" s="28" t="s">
        <v>143</v>
      </c>
      <c r="D498" s="28" t="s">
        <v>176</v>
      </c>
      <c r="E498" s="28" t="s">
        <v>188</v>
      </c>
      <c r="F498" s="28" t="s">
        <v>165</v>
      </c>
      <c r="G498" s="28" t="s">
        <v>1724</v>
      </c>
      <c r="H498" s="28"/>
      <c r="I498" s="28"/>
      <c r="J498" s="28"/>
      <c r="K498" s="28"/>
      <c r="L498" s="28"/>
      <c r="M498" s="28"/>
      <c r="N498" s="28"/>
      <c r="O498" s="28"/>
      <c r="P498" s="28"/>
      <c r="Q498" s="28"/>
      <c r="R498" s="28"/>
    </row>
    <row r="499" spans="1:18" ht="16.05" customHeight="1" x14ac:dyDescent="0.3">
      <c r="A499" s="30">
        <v>496</v>
      </c>
      <c r="B499" s="30" t="s">
        <v>552</v>
      </c>
      <c r="C499" s="30" t="s">
        <v>142</v>
      </c>
      <c r="D499" s="30" t="s">
        <v>164</v>
      </c>
      <c r="E499" s="30" t="s">
        <v>163</v>
      </c>
      <c r="F499" s="30" t="s">
        <v>165</v>
      </c>
      <c r="G499" s="30" t="s">
        <v>1724</v>
      </c>
      <c r="H499" s="30"/>
      <c r="I499" s="30"/>
      <c r="J499" s="30"/>
      <c r="K499" s="30"/>
      <c r="L499" s="30"/>
      <c r="M499" s="30"/>
      <c r="N499" s="30"/>
      <c r="O499" s="30"/>
      <c r="P499" s="30"/>
      <c r="Q499" s="30"/>
      <c r="R499" s="30"/>
    </row>
    <row r="500" spans="1:18" ht="16.05" customHeight="1" x14ac:dyDescent="0.3">
      <c r="A500" s="28">
        <v>497</v>
      </c>
      <c r="B500" s="28" t="s">
        <v>552</v>
      </c>
      <c r="C500" s="28" t="s">
        <v>146</v>
      </c>
      <c r="D500" s="28" t="s">
        <v>168</v>
      </c>
      <c r="E500" s="28" t="s">
        <v>167</v>
      </c>
      <c r="F500" s="28" t="s">
        <v>169</v>
      </c>
      <c r="G500" s="28" t="s">
        <v>1724</v>
      </c>
      <c r="H500" s="28"/>
      <c r="I500" s="28"/>
      <c r="J500" s="28"/>
      <c r="K500" s="28"/>
      <c r="L500" s="28"/>
      <c r="M500" s="28"/>
      <c r="N500" s="28"/>
      <c r="O500" s="28"/>
      <c r="P500" s="28"/>
      <c r="Q500" s="28"/>
      <c r="R500" s="28"/>
    </row>
    <row r="501" spans="1:18" ht="16.05" customHeight="1" x14ac:dyDescent="0.3">
      <c r="A501" s="30">
        <v>498</v>
      </c>
      <c r="B501" s="30" t="s">
        <v>552</v>
      </c>
      <c r="C501" s="30" t="s">
        <v>147</v>
      </c>
      <c r="D501" s="30" t="s">
        <v>168</v>
      </c>
      <c r="E501" s="30" t="s">
        <v>170</v>
      </c>
      <c r="F501" s="30" t="s">
        <v>165</v>
      </c>
      <c r="G501" s="30" t="s">
        <v>1724</v>
      </c>
      <c r="H501" s="30"/>
      <c r="I501" s="30"/>
      <c r="J501" s="30"/>
      <c r="K501" s="30"/>
      <c r="L501" s="30"/>
      <c r="M501" s="30"/>
      <c r="N501" s="30"/>
      <c r="O501" s="30"/>
      <c r="P501" s="30"/>
      <c r="Q501" s="30"/>
      <c r="R501" s="30"/>
    </row>
    <row r="502" spans="1:18" ht="16.05" customHeight="1" x14ac:dyDescent="0.3">
      <c r="A502" s="28">
        <v>499</v>
      </c>
      <c r="B502" s="28" t="s">
        <v>552</v>
      </c>
      <c r="C502" s="28" t="s">
        <v>146</v>
      </c>
      <c r="D502" s="28" t="s">
        <v>172</v>
      </c>
      <c r="E502" s="28" t="s">
        <v>171</v>
      </c>
      <c r="F502" s="28" t="s">
        <v>173</v>
      </c>
      <c r="G502" s="28" t="s">
        <v>1724</v>
      </c>
      <c r="H502" s="28"/>
      <c r="I502" s="28"/>
      <c r="J502" s="28"/>
      <c r="K502" s="28"/>
      <c r="L502" s="28"/>
      <c r="M502" s="28"/>
      <c r="N502" s="28"/>
      <c r="O502" s="28"/>
      <c r="P502" s="28"/>
      <c r="Q502" s="28"/>
      <c r="R502" s="28"/>
    </row>
    <row r="503" spans="1:18" ht="16.05" customHeight="1" x14ac:dyDescent="0.3">
      <c r="A503" s="30">
        <v>500</v>
      </c>
      <c r="B503" s="30" t="s">
        <v>552</v>
      </c>
      <c r="C503" s="30" t="s">
        <v>143</v>
      </c>
      <c r="D503" s="30" t="s">
        <v>172</v>
      </c>
      <c r="E503" s="30" t="s">
        <v>174</v>
      </c>
      <c r="F503" s="30" t="s">
        <v>169</v>
      </c>
      <c r="G503" s="30" t="s">
        <v>1724</v>
      </c>
      <c r="H503" s="30"/>
      <c r="I503" s="30"/>
      <c r="J503" s="30"/>
      <c r="K503" s="30"/>
      <c r="L503" s="30"/>
      <c r="M503" s="30"/>
      <c r="N503" s="30"/>
      <c r="O503" s="30"/>
      <c r="P503" s="30"/>
      <c r="Q503" s="30"/>
      <c r="R503" s="30"/>
    </row>
    <row r="504" spans="1:18" ht="16.05" customHeight="1" x14ac:dyDescent="0.3">
      <c r="A504" s="28">
        <v>501</v>
      </c>
      <c r="B504" s="28" t="s">
        <v>552</v>
      </c>
      <c r="C504" s="28" t="s">
        <v>143</v>
      </c>
      <c r="D504" s="28" t="s">
        <v>176</v>
      </c>
      <c r="E504" s="28" t="s">
        <v>175</v>
      </c>
      <c r="F504" s="28" t="s">
        <v>165</v>
      </c>
      <c r="G504" s="28" t="s">
        <v>1724</v>
      </c>
      <c r="H504" s="28"/>
      <c r="I504" s="28"/>
      <c r="J504" s="28"/>
      <c r="K504" s="28"/>
      <c r="L504" s="28"/>
      <c r="M504" s="28"/>
      <c r="N504" s="28"/>
      <c r="O504" s="28"/>
      <c r="P504" s="28"/>
      <c r="Q504" s="28"/>
      <c r="R504" s="28"/>
    </row>
    <row r="505" spans="1:18" ht="16.05" customHeight="1" x14ac:dyDescent="0.3">
      <c r="A505" s="30">
        <v>502</v>
      </c>
      <c r="B505" s="30" t="s">
        <v>552</v>
      </c>
      <c r="C505" s="30" t="s">
        <v>144</v>
      </c>
      <c r="D505" s="30" t="s">
        <v>176</v>
      </c>
      <c r="E505" s="30" t="s">
        <v>177</v>
      </c>
      <c r="F505" s="30" t="s">
        <v>173</v>
      </c>
      <c r="G505" s="30" t="s">
        <v>1724</v>
      </c>
      <c r="H505" s="30"/>
      <c r="I505" s="30"/>
      <c r="J505" s="30"/>
      <c r="K505" s="30"/>
      <c r="L505" s="30"/>
      <c r="M505" s="30"/>
      <c r="N505" s="30"/>
      <c r="O505" s="30"/>
      <c r="P505" s="30"/>
      <c r="Q505" s="30"/>
      <c r="R505" s="30"/>
    </row>
    <row r="506" spans="1:18" ht="16.05" customHeight="1" x14ac:dyDescent="0.3">
      <c r="A506" s="28">
        <v>503</v>
      </c>
      <c r="B506" s="28" t="s">
        <v>552</v>
      </c>
      <c r="C506" s="28" t="s">
        <v>145</v>
      </c>
      <c r="D506" s="28" t="s">
        <v>179</v>
      </c>
      <c r="E506" s="28" t="s">
        <v>178</v>
      </c>
      <c r="F506" s="28" t="s">
        <v>165</v>
      </c>
      <c r="G506" s="28" t="s">
        <v>1724</v>
      </c>
      <c r="H506" s="28"/>
      <c r="I506" s="28"/>
      <c r="J506" s="28"/>
      <c r="K506" s="28"/>
      <c r="L506" s="28"/>
      <c r="M506" s="28"/>
      <c r="N506" s="28"/>
      <c r="O506" s="28"/>
      <c r="P506" s="28"/>
      <c r="Q506" s="28"/>
      <c r="R506" s="28"/>
    </row>
    <row r="507" spans="1:18" ht="16.05" customHeight="1" x14ac:dyDescent="0.3">
      <c r="A507" s="30">
        <v>504</v>
      </c>
      <c r="B507" s="30" t="s">
        <v>552</v>
      </c>
      <c r="C507" s="30" t="s">
        <v>146</v>
      </c>
      <c r="D507" s="30" t="s">
        <v>181</v>
      </c>
      <c r="E507" s="30" t="s">
        <v>180</v>
      </c>
      <c r="F507" s="30" t="s">
        <v>182</v>
      </c>
      <c r="G507" s="30" t="s">
        <v>1724</v>
      </c>
      <c r="H507" s="30"/>
      <c r="I507" s="30"/>
      <c r="J507" s="30"/>
      <c r="K507" s="30"/>
      <c r="L507" s="30"/>
      <c r="M507" s="30"/>
      <c r="N507" s="30"/>
      <c r="O507" s="30"/>
      <c r="P507" s="30"/>
      <c r="Q507" s="30"/>
      <c r="R507" s="30"/>
    </row>
    <row r="508" spans="1:18" ht="16.05" customHeight="1" x14ac:dyDescent="0.3">
      <c r="A508" s="28">
        <v>505</v>
      </c>
      <c r="B508" s="28" t="s">
        <v>552</v>
      </c>
      <c r="C508" s="28" t="s">
        <v>148</v>
      </c>
      <c r="D508" s="28" t="s">
        <v>168</v>
      </c>
      <c r="E508" s="28" t="s">
        <v>183</v>
      </c>
      <c r="F508" s="28" t="s">
        <v>169</v>
      </c>
      <c r="G508" s="28" t="s">
        <v>1724</v>
      </c>
      <c r="H508" s="28"/>
      <c r="I508" s="28"/>
      <c r="J508" s="28"/>
      <c r="K508" s="28"/>
      <c r="L508" s="28"/>
      <c r="M508" s="28"/>
      <c r="N508" s="28"/>
      <c r="O508" s="28"/>
      <c r="P508" s="28"/>
      <c r="Q508" s="28"/>
      <c r="R508" s="28"/>
    </row>
    <row r="509" spans="1:18" ht="16.05" customHeight="1" x14ac:dyDescent="0.3">
      <c r="A509" s="30">
        <v>506</v>
      </c>
      <c r="B509" s="30" t="s">
        <v>552</v>
      </c>
      <c r="C509" s="30" t="s">
        <v>147</v>
      </c>
      <c r="D509" s="30" t="s">
        <v>181</v>
      </c>
      <c r="E509" s="30" t="s">
        <v>184</v>
      </c>
      <c r="F509" s="30" t="s">
        <v>169</v>
      </c>
      <c r="G509" s="30" t="s">
        <v>1724</v>
      </c>
      <c r="H509" s="30"/>
      <c r="I509" s="30"/>
      <c r="J509" s="30"/>
      <c r="K509" s="30"/>
      <c r="L509" s="30"/>
      <c r="M509" s="30"/>
      <c r="N509" s="30"/>
      <c r="O509" s="30"/>
      <c r="P509" s="30"/>
      <c r="Q509" s="30"/>
      <c r="R509" s="30"/>
    </row>
    <row r="510" spans="1:18" ht="16.05" customHeight="1" x14ac:dyDescent="0.3">
      <c r="A510" s="28">
        <v>507</v>
      </c>
      <c r="B510" s="28" t="s">
        <v>552</v>
      </c>
      <c r="C510" s="28" t="s">
        <v>148</v>
      </c>
      <c r="D510" s="28" t="s">
        <v>176</v>
      </c>
      <c r="E510" s="28" t="s">
        <v>185</v>
      </c>
      <c r="F510" s="28" t="s">
        <v>169</v>
      </c>
      <c r="G510" s="28" t="s">
        <v>1724</v>
      </c>
      <c r="H510" s="28"/>
      <c r="I510" s="28"/>
      <c r="J510" s="28"/>
      <c r="K510" s="28"/>
      <c r="L510" s="28"/>
      <c r="M510" s="28"/>
      <c r="N510" s="28"/>
      <c r="O510" s="28"/>
      <c r="P510" s="28"/>
      <c r="Q510" s="28"/>
      <c r="R510" s="28"/>
    </row>
    <row r="511" spans="1:18" ht="16.05" customHeight="1" x14ac:dyDescent="0.3">
      <c r="A511" s="30">
        <v>508</v>
      </c>
      <c r="B511" s="30" t="s">
        <v>552</v>
      </c>
      <c r="C511" s="30" t="s">
        <v>152</v>
      </c>
      <c r="D511" s="30" t="s">
        <v>168</v>
      </c>
      <c r="E511" s="30" t="s">
        <v>186</v>
      </c>
      <c r="F511" s="30" t="s">
        <v>173</v>
      </c>
      <c r="G511" s="30" t="s">
        <v>1724</v>
      </c>
      <c r="H511" s="30"/>
      <c r="I511" s="30"/>
      <c r="J511" s="30"/>
      <c r="K511" s="30"/>
      <c r="L511" s="30"/>
      <c r="M511" s="30"/>
      <c r="N511" s="30"/>
      <c r="O511" s="30"/>
      <c r="P511" s="30"/>
      <c r="Q511" s="30"/>
      <c r="R511" s="30"/>
    </row>
    <row r="512" spans="1:18" ht="16.05" customHeight="1" x14ac:dyDescent="0.3">
      <c r="A512" s="28">
        <v>509</v>
      </c>
      <c r="B512" s="28" t="s">
        <v>552</v>
      </c>
      <c r="C512" s="28" t="s">
        <v>151</v>
      </c>
      <c r="D512" s="28" t="s">
        <v>179</v>
      </c>
      <c r="E512" s="28" t="s">
        <v>187</v>
      </c>
      <c r="F512" s="28" t="s">
        <v>165</v>
      </c>
      <c r="G512" s="28" t="s">
        <v>1724</v>
      </c>
      <c r="H512" s="28"/>
      <c r="I512" s="28"/>
      <c r="J512" s="28"/>
      <c r="K512" s="28"/>
      <c r="L512" s="28"/>
      <c r="M512" s="28"/>
      <c r="N512" s="28"/>
      <c r="O512" s="28"/>
      <c r="P512" s="28"/>
      <c r="Q512" s="28"/>
      <c r="R512" s="28"/>
    </row>
    <row r="513" spans="1:18" ht="16.05" customHeight="1" x14ac:dyDescent="0.3">
      <c r="A513" s="30">
        <v>510</v>
      </c>
      <c r="B513" s="30" t="s">
        <v>552</v>
      </c>
      <c r="C513" s="30" t="s">
        <v>143</v>
      </c>
      <c r="D513" s="30" t="s">
        <v>176</v>
      </c>
      <c r="E513" s="30" t="s">
        <v>188</v>
      </c>
      <c r="F513" s="30" t="s">
        <v>165</v>
      </c>
      <c r="G513" s="30" t="s">
        <v>1724</v>
      </c>
      <c r="H513" s="30"/>
      <c r="I513" s="30"/>
      <c r="J513" s="30"/>
      <c r="K513" s="30"/>
      <c r="L513" s="30"/>
      <c r="M513" s="30"/>
      <c r="N513" s="30"/>
      <c r="O513" s="30"/>
      <c r="P513" s="30"/>
      <c r="Q513" s="30"/>
      <c r="R513" s="30"/>
    </row>
    <row r="514" spans="1:18" ht="16.05" customHeight="1" x14ac:dyDescent="0.3">
      <c r="A514" s="28">
        <v>511</v>
      </c>
      <c r="B514" s="28" t="s">
        <v>553</v>
      </c>
      <c r="C514" s="28" t="s">
        <v>142</v>
      </c>
      <c r="D514" s="28" t="s">
        <v>164</v>
      </c>
      <c r="E514" s="28" t="s">
        <v>163</v>
      </c>
      <c r="F514" s="28" t="s">
        <v>165</v>
      </c>
      <c r="G514" s="28" t="s">
        <v>1724</v>
      </c>
      <c r="H514" s="28"/>
      <c r="I514" s="28"/>
      <c r="J514" s="28"/>
      <c r="K514" s="28"/>
      <c r="L514" s="28"/>
      <c r="M514" s="28"/>
      <c r="N514" s="28"/>
      <c r="O514" s="28"/>
      <c r="P514" s="28"/>
      <c r="Q514" s="28"/>
      <c r="R514" s="28"/>
    </row>
    <row r="515" spans="1:18" ht="16.05" customHeight="1" x14ac:dyDescent="0.3">
      <c r="A515" s="30">
        <v>512</v>
      </c>
      <c r="B515" s="30" t="s">
        <v>553</v>
      </c>
      <c r="C515" s="30" t="s">
        <v>146</v>
      </c>
      <c r="D515" s="30" t="s">
        <v>168</v>
      </c>
      <c r="E515" s="30" t="s">
        <v>167</v>
      </c>
      <c r="F515" s="30" t="s">
        <v>169</v>
      </c>
      <c r="G515" s="30" t="s">
        <v>1724</v>
      </c>
      <c r="H515" s="30"/>
      <c r="I515" s="30"/>
      <c r="J515" s="30"/>
      <c r="K515" s="30"/>
      <c r="L515" s="30"/>
      <c r="M515" s="30"/>
      <c r="N515" s="30"/>
      <c r="O515" s="30"/>
      <c r="P515" s="30"/>
      <c r="Q515" s="30"/>
      <c r="R515" s="30"/>
    </row>
    <row r="516" spans="1:18" ht="16.05" customHeight="1" x14ac:dyDescent="0.3">
      <c r="A516" s="28">
        <v>513</v>
      </c>
      <c r="B516" s="28" t="s">
        <v>553</v>
      </c>
      <c r="C516" s="28" t="s">
        <v>147</v>
      </c>
      <c r="D516" s="28" t="s">
        <v>168</v>
      </c>
      <c r="E516" s="28" t="s">
        <v>170</v>
      </c>
      <c r="F516" s="28" t="s">
        <v>165</v>
      </c>
      <c r="G516" s="28" t="s">
        <v>1724</v>
      </c>
      <c r="H516" s="28"/>
      <c r="I516" s="28"/>
      <c r="J516" s="28"/>
      <c r="K516" s="28"/>
      <c r="L516" s="28"/>
      <c r="M516" s="28"/>
      <c r="N516" s="28"/>
      <c r="O516" s="28"/>
      <c r="P516" s="28"/>
      <c r="Q516" s="28"/>
      <c r="R516" s="28"/>
    </row>
    <row r="517" spans="1:18" ht="16.05" customHeight="1" x14ac:dyDescent="0.3">
      <c r="A517" s="30">
        <v>514</v>
      </c>
      <c r="B517" s="30" t="s">
        <v>553</v>
      </c>
      <c r="C517" s="30" t="s">
        <v>146</v>
      </c>
      <c r="D517" s="30" t="s">
        <v>172</v>
      </c>
      <c r="E517" s="30" t="s">
        <v>171</v>
      </c>
      <c r="F517" s="30" t="s">
        <v>173</v>
      </c>
      <c r="G517" s="30" t="s">
        <v>1724</v>
      </c>
      <c r="H517" s="30"/>
      <c r="I517" s="30"/>
      <c r="J517" s="30"/>
      <c r="K517" s="30"/>
      <c r="L517" s="30"/>
      <c r="M517" s="30"/>
      <c r="N517" s="30"/>
      <c r="O517" s="30"/>
      <c r="P517" s="30"/>
      <c r="Q517" s="30"/>
      <c r="R517" s="30"/>
    </row>
    <row r="518" spans="1:18" ht="16.05" customHeight="1" x14ac:dyDescent="0.3">
      <c r="A518" s="28">
        <v>515</v>
      </c>
      <c r="B518" s="28" t="s">
        <v>553</v>
      </c>
      <c r="C518" s="28" t="s">
        <v>143</v>
      </c>
      <c r="D518" s="28" t="s">
        <v>172</v>
      </c>
      <c r="E518" s="28" t="s">
        <v>174</v>
      </c>
      <c r="F518" s="28" t="s">
        <v>169</v>
      </c>
      <c r="G518" s="28" t="s">
        <v>1724</v>
      </c>
      <c r="H518" s="28"/>
      <c r="I518" s="28"/>
      <c r="J518" s="28"/>
      <c r="K518" s="28"/>
      <c r="L518" s="28"/>
      <c r="M518" s="28"/>
      <c r="N518" s="28"/>
      <c r="O518" s="28"/>
      <c r="P518" s="28"/>
      <c r="Q518" s="28"/>
      <c r="R518" s="28"/>
    </row>
    <row r="519" spans="1:18" ht="16.05" customHeight="1" x14ac:dyDescent="0.3">
      <c r="A519" s="30">
        <v>516</v>
      </c>
      <c r="B519" s="30" t="s">
        <v>553</v>
      </c>
      <c r="C519" s="30" t="s">
        <v>143</v>
      </c>
      <c r="D519" s="30" t="s">
        <v>176</v>
      </c>
      <c r="E519" s="30" t="s">
        <v>175</v>
      </c>
      <c r="F519" s="30" t="s">
        <v>165</v>
      </c>
      <c r="G519" s="30" t="s">
        <v>1724</v>
      </c>
      <c r="H519" s="30"/>
      <c r="I519" s="30"/>
      <c r="J519" s="30"/>
      <c r="K519" s="30"/>
      <c r="L519" s="30"/>
      <c r="M519" s="30"/>
      <c r="N519" s="30"/>
      <c r="O519" s="30"/>
      <c r="P519" s="30"/>
      <c r="Q519" s="30"/>
      <c r="R519" s="30"/>
    </row>
    <row r="520" spans="1:18" ht="16.05" customHeight="1" x14ac:dyDescent="0.3">
      <c r="A520" s="28">
        <v>517</v>
      </c>
      <c r="B520" s="28" t="s">
        <v>553</v>
      </c>
      <c r="C520" s="28" t="s">
        <v>144</v>
      </c>
      <c r="D520" s="28" t="s">
        <v>176</v>
      </c>
      <c r="E520" s="28" t="s">
        <v>177</v>
      </c>
      <c r="F520" s="28" t="s">
        <v>173</v>
      </c>
      <c r="G520" s="28" t="s">
        <v>1724</v>
      </c>
      <c r="H520" s="28"/>
      <c r="I520" s="28"/>
      <c r="J520" s="28"/>
      <c r="K520" s="28"/>
      <c r="L520" s="28"/>
      <c r="M520" s="28"/>
      <c r="N520" s="28"/>
      <c r="O520" s="28"/>
      <c r="P520" s="28"/>
      <c r="Q520" s="28"/>
      <c r="R520" s="28"/>
    </row>
    <row r="521" spans="1:18" ht="16.05" customHeight="1" x14ac:dyDescent="0.3">
      <c r="A521" s="30">
        <v>518</v>
      </c>
      <c r="B521" s="30" t="s">
        <v>553</v>
      </c>
      <c r="C521" s="30" t="s">
        <v>145</v>
      </c>
      <c r="D521" s="30" t="s">
        <v>179</v>
      </c>
      <c r="E521" s="30" t="s">
        <v>178</v>
      </c>
      <c r="F521" s="30" t="s">
        <v>165</v>
      </c>
      <c r="G521" s="30" t="s">
        <v>1724</v>
      </c>
      <c r="H521" s="30"/>
      <c r="I521" s="30"/>
      <c r="J521" s="30"/>
      <c r="K521" s="30"/>
      <c r="L521" s="30"/>
      <c r="M521" s="30"/>
      <c r="N521" s="30"/>
      <c r="O521" s="30"/>
      <c r="P521" s="30"/>
      <c r="Q521" s="30"/>
      <c r="R521" s="30"/>
    </row>
    <row r="522" spans="1:18" ht="16.05" customHeight="1" x14ac:dyDescent="0.3">
      <c r="A522" s="28">
        <v>519</v>
      </c>
      <c r="B522" s="28" t="s">
        <v>553</v>
      </c>
      <c r="C522" s="28" t="s">
        <v>146</v>
      </c>
      <c r="D522" s="28" t="s">
        <v>181</v>
      </c>
      <c r="E522" s="28" t="s">
        <v>180</v>
      </c>
      <c r="F522" s="28" t="s">
        <v>182</v>
      </c>
      <c r="G522" s="28" t="s">
        <v>1724</v>
      </c>
      <c r="H522" s="28"/>
      <c r="I522" s="28"/>
      <c r="J522" s="28"/>
      <c r="K522" s="28"/>
      <c r="L522" s="28"/>
      <c r="M522" s="28"/>
      <c r="N522" s="28"/>
      <c r="O522" s="28"/>
      <c r="P522" s="28"/>
      <c r="Q522" s="28"/>
      <c r="R522" s="28"/>
    </row>
    <row r="523" spans="1:18" ht="16.05" customHeight="1" x14ac:dyDescent="0.3">
      <c r="A523" s="30">
        <v>520</v>
      </c>
      <c r="B523" s="30" t="s">
        <v>553</v>
      </c>
      <c r="C523" s="30" t="s">
        <v>148</v>
      </c>
      <c r="D523" s="30" t="s">
        <v>168</v>
      </c>
      <c r="E523" s="30" t="s">
        <v>183</v>
      </c>
      <c r="F523" s="30" t="s">
        <v>169</v>
      </c>
      <c r="G523" s="30" t="s">
        <v>1724</v>
      </c>
      <c r="H523" s="30"/>
      <c r="I523" s="30"/>
      <c r="J523" s="30"/>
      <c r="K523" s="30"/>
      <c r="L523" s="30"/>
      <c r="M523" s="30"/>
      <c r="N523" s="30"/>
      <c r="O523" s="30"/>
      <c r="P523" s="30"/>
      <c r="Q523" s="30"/>
      <c r="R523" s="30"/>
    </row>
    <row r="524" spans="1:18" ht="16.05" customHeight="1" x14ac:dyDescent="0.3">
      <c r="A524" s="28">
        <v>521</v>
      </c>
      <c r="B524" s="28" t="s">
        <v>553</v>
      </c>
      <c r="C524" s="28" t="s">
        <v>147</v>
      </c>
      <c r="D524" s="28" t="s">
        <v>181</v>
      </c>
      <c r="E524" s="28" t="s">
        <v>184</v>
      </c>
      <c r="F524" s="28" t="s">
        <v>169</v>
      </c>
      <c r="G524" s="28" t="s">
        <v>1724</v>
      </c>
      <c r="H524" s="28"/>
      <c r="I524" s="28"/>
      <c r="J524" s="28"/>
      <c r="K524" s="28"/>
      <c r="L524" s="28"/>
      <c r="M524" s="28"/>
      <c r="N524" s="28"/>
      <c r="O524" s="28"/>
      <c r="P524" s="28"/>
      <c r="Q524" s="28"/>
      <c r="R524" s="28"/>
    </row>
    <row r="525" spans="1:18" ht="16.05" customHeight="1" x14ac:dyDescent="0.3">
      <c r="A525" s="30">
        <v>522</v>
      </c>
      <c r="B525" s="30" t="s">
        <v>553</v>
      </c>
      <c r="C525" s="30" t="s">
        <v>148</v>
      </c>
      <c r="D525" s="30" t="s">
        <v>176</v>
      </c>
      <c r="E525" s="30" t="s">
        <v>185</v>
      </c>
      <c r="F525" s="30" t="s">
        <v>169</v>
      </c>
      <c r="G525" s="30" t="s">
        <v>1724</v>
      </c>
      <c r="H525" s="30"/>
      <c r="I525" s="30"/>
      <c r="J525" s="30"/>
      <c r="K525" s="30"/>
      <c r="L525" s="30"/>
      <c r="M525" s="30"/>
      <c r="N525" s="30"/>
      <c r="O525" s="30"/>
      <c r="P525" s="30"/>
      <c r="Q525" s="30"/>
      <c r="R525" s="30"/>
    </row>
    <row r="526" spans="1:18" ht="16.05" customHeight="1" x14ac:dyDescent="0.3">
      <c r="A526" s="28">
        <v>523</v>
      </c>
      <c r="B526" s="28" t="s">
        <v>553</v>
      </c>
      <c r="C526" s="28" t="s">
        <v>152</v>
      </c>
      <c r="D526" s="28" t="s">
        <v>168</v>
      </c>
      <c r="E526" s="28" t="s">
        <v>186</v>
      </c>
      <c r="F526" s="28" t="s">
        <v>173</v>
      </c>
      <c r="G526" s="28" t="s">
        <v>1724</v>
      </c>
      <c r="H526" s="28"/>
      <c r="I526" s="28"/>
      <c r="J526" s="28"/>
      <c r="K526" s="28"/>
      <c r="L526" s="28"/>
      <c r="M526" s="28"/>
      <c r="N526" s="28"/>
      <c r="O526" s="28"/>
      <c r="P526" s="28"/>
      <c r="Q526" s="28"/>
      <c r="R526" s="28"/>
    </row>
    <row r="527" spans="1:18" ht="16.05" customHeight="1" x14ac:dyDescent="0.3">
      <c r="A527" s="30">
        <v>524</v>
      </c>
      <c r="B527" s="30" t="s">
        <v>553</v>
      </c>
      <c r="C527" s="30" t="s">
        <v>151</v>
      </c>
      <c r="D527" s="30" t="s">
        <v>179</v>
      </c>
      <c r="E527" s="30" t="s">
        <v>187</v>
      </c>
      <c r="F527" s="30" t="s">
        <v>165</v>
      </c>
      <c r="G527" s="30" t="s">
        <v>1724</v>
      </c>
      <c r="H527" s="30"/>
      <c r="I527" s="30"/>
      <c r="J527" s="30"/>
      <c r="K527" s="30"/>
      <c r="L527" s="30"/>
      <c r="M527" s="30"/>
      <c r="N527" s="30"/>
      <c r="O527" s="30"/>
      <c r="P527" s="30"/>
      <c r="Q527" s="30"/>
      <c r="R527" s="30"/>
    </row>
    <row r="528" spans="1:18" ht="16.05" customHeight="1" x14ac:dyDescent="0.3">
      <c r="A528" s="28">
        <v>525</v>
      </c>
      <c r="B528" s="28" t="s">
        <v>553</v>
      </c>
      <c r="C528" s="28" t="s">
        <v>143</v>
      </c>
      <c r="D528" s="28" t="s">
        <v>176</v>
      </c>
      <c r="E528" s="28" t="s">
        <v>188</v>
      </c>
      <c r="F528" s="28" t="s">
        <v>165</v>
      </c>
      <c r="G528" s="28" t="s">
        <v>1724</v>
      </c>
      <c r="H528" s="28"/>
      <c r="I528" s="28"/>
      <c r="J528" s="28"/>
      <c r="K528" s="28"/>
      <c r="L528" s="28"/>
      <c r="M528" s="28"/>
      <c r="N528" s="28"/>
      <c r="O528" s="28"/>
      <c r="P528" s="28"/>
      <c r="Q528" s="28"/>
      <c r="R528" s="28"/>
    </row>
    <row r="529" spans="1:18" ht="16.05" customHeight="1" x14ac:dyDescent="0.3">
      <c r="A529" s="30">
        <v>526</v>
      </c>
      <c r="B529" s="30" t="s">
        <v>554</v>
      </c>
      <c r="C529" s="30" t="s">
        <v>142</v>
      </c>
      <c r="D529" s="30" t="s">
        <v>164</v>
      </c>
      <c r="E529" s="30" t="s">
        <v>163</v>
      </c>
      <c r="F529" s="30" t="s">
        <v>165</v>
      </c>
      <c r="G529" s="30" t="s">
        <v>1724</v>
      </c>
      <c r="H529" s="30"/>
      <c r="I529" s="30"/>
      <c r="J529" s="30"/>
      <c r="K529" s="30"/>
      <c r="L529" s="30"/>
      <c r="M529" s="30"/>
      <c r="N529" s="30"/>
      <c r="O529" s="30"/>
      <c r="P529" s="30"/>
      <c r="Q529" s="30"/>
      <c r="R529" s="30"/>
    </row>
    <row r="530" spans="1:18" ht="16.05" customHeight="1" x14ac:dyDescent="0.3">
      <c r="A530" s="28">
        <v>527</v>
      </c>
      <c r="B530" s="28" t="s">
        <v>554</v>
      </c>
      <c r="C530" s="28" t="s">
        <v>146</v>
      </c>
      <c r="D530" s="28" t="s">
        <v>168</v>
      </c>
      <c r="E530" s="28" t="s">
        <v>167</v>
      </c>
      <c r="F530" s="28" t="s">
        <v>169</v>
      </c>
      <c r="G530" s="28" t="s">
        <v>1724</v>
      </c>
      <c r="H530" s="28"/>
      <c r="I530" s="28"/>
      <c r="J530" s="28"/>
      <c r="K530" s="28"/>
      <c r="L530" s="28"/>
      <c r="M530" s="28"/>
      <c r="N530" s="28"/>
      <c r="O530" s="28"/>
      <c r="P530" s="28"/>
      <c r="Q530" s="28"/>
      <c r="R530" s="28"/>
    </row>
    <row r="531" spans="1:18" ht="16.05" customHeight="1" x14ac:dyDescent="0.3">
      <c r="A531" s="30">
        <v>528</v>
      </c>
      <c r="B531" s="30" t="s">
        <v>554</v>
      </c>
      <c r="C531" s="30" t="s">
        <v>147</v>
      </c>
      <c r="D531" s="30" t="s">
        <v>168</v>
      </c>
      <c r="E531" s="30" t="s">
        <v>170</v>
      </c>
      <c r="F531" s="30" t="s">
        <v>165</v>
      </c>
      <c r="G531" s="30" t="s">
        <v>1724</v>
      </c>
      <c r="H531" s="30"/>
      <c r="I531" s="30"/>
      <c r="J531" s="30"/>
      <c r="K531" s="30"/>
      <c r="L531" s="30"/>
      <c r="M531" s="30"/>
      <c r="N531" s="30"/>
      <c r="O531" s="30"/>
      <c r="P531" s="30"/>
      <c r="Q531" s="30"/>
      <c r="R531" s="30"/>
    </row>
    <row r="532" spans="1:18" ht="16.05" customHeight="1" x14ac:dyDescent="0.3">
      <c r="A532" s="28">
        <v>529</v>
      </c>
      <c r="B532" s="28" t="s">
        <v>554</v>
      </c>
      <c r="C532" s="28" t="s">
        <v>146</v>
      </c>
      <c r="D532" s="28" t="s">
        <v>172</v>
      </c>
      <c r="E532" s="28" t="s">
        <v>171</v>
      </c>
      <c r="F532" s="28" t="s">
        <v>173</v>
      </c>
      <c r="G532" s="28" t="s">
        <v>1724</v>
      </c>
      <c r="H532" s="28"/>
      <c r="I532" s="28"/>
      <c r="J532" s="28"/>
      <c r="K532" s="28"/>
      <c r="L532" s="28"/>
      <c r="M532" s="28"/>
      <c r="N532" s="28"/>
      <c r="O532" s="28"/>
      <c r="P532" s="28"/>
      <c r="Q532" s="28"/>
      <c r="R532" s="28"/>
    </row>
    <row r="533" spans="1:18" ht="16.05" customHeight="1" x14ac:dyDescent="0.3">
      <c r="A533" s="30">
        <v>530</v>
      </c>
      <c r="B533" s="30" t="s">
        <v>554</v>
      </c>
      <c r="C533" s="30" t="s">
        <v>143</v>
      </c>
      <c r="D533" s="30" t="s">
        <v>172</v>
      </c>
      <c r="E533" s="30" t="s">
        <v>174</v>
      </c>
      <c r="F533" s="30" t="s">
        <v>169</v>
      </c>
      <c r="G533" s="30" t="s">
        <v>1724</v>
      </c>
      <c r="H533" s="30"/>
      <c r="I533" s="30"/>
      <c r="J533" s="30"/>
      <c r="K533" s="30"/>
      <c r="L533" s="30"/>
      <c r="M533" s="30"/>
      <c r="N533" s="30"/>
      <c r="O533" s="30"/>
      <c r="P533" s="30"/>
      <c r="Q533" s="30"/>
      <c r="R533" s="30"/>
    </row>
    <row r="534" spans="1:18" ht="16.05" customHeight="1" x14ac:dyDescent="0.3">
      <c r="A534" s="28">
        <v>531</v>
      </c>
      <c r="B534" s="28" t="s">
        <v>554</v>
      </c>
      <c r="C534" s="28" t="s">
        <v>143</v>
      </c>
      <c r="D534" s="28" t="s">
        <v>176</v>
      </c>
      <c r="E534" s="28" t="s">
        <v>175</v>
      </c>
      <c r="F534" s="28" t="s">
        <v>165</v>
      </c>
      <c r="G534" s="28" t="s">
        <v>1724</v>
      </c>
      <c r="H534" s="28"/>
      <c r="I534" s="28"/>
      <c r="J534" s="28"/>
      <c r="K534" s="28"/>
      <c r="L534" s="28"/>
      <c r="M534" s="28"/>
      <c r="N534" s="28"/>
      <c r="O534" s="28"/>
      <c r="P534" s="28"/>
      <c r="Q534" s="28"/>
      <c r="R534" s="28"/>
    </row>
    <row r="535" spans="1:18" ht="16.05" customHeight="1" x14ac:dyDescent="0.3">
      <c r="A535" s="30">
        <v>532</v>
      </c>
      <c r="B535" s="30" t="s">
        <v>554</v>
      </c>
      <c r="C535" s="30" t="s">
        <v>144</v>
      </c>
      <c r="D535" s="30" t="s">
        <v>176</v>
      </c>
      <c r="E535" s="30" t="s">
        <v>177</v>
      </c>
      <c r="F535" s="30" t="s">
        <v>173</v>
      </c>
      <c r="G535" s="30" t="s">
        <v>1724</v>
      </c>
      <c r="H535" s="30"/>
      <c r="I535" s="30"/>
      <c r="J535" s="30"/>
      <c r="K535" s="30"/>
      <c r="L535" s="30"/>
      <c r="M535" s="30"/>
      <c r="N535" s="30"/>
      <c r="O535" s="30"/>
      <c r="P535" s="30"/>
      <c r="Q535" s="30"/>
      <c r="R535" s="30"/>
    </row>
    <row r="536" spans="1:18" ht="16.05" customHeight="1" x14ac:dyDescent="0.3">
      <c r="A536" s="28">
        <v>533</v>
      </c>
      <c r="B536" s="28" t="s">
        <v>554</v>
      </c>
      <c r="C536" s="28" t="s">
        <v>145</v>
      </c>
      <c r="D536" s="28" t="s">
        <v>179</v>
      </c>
      <c r="E536" s="28" t="s">
        <v>178</v>
      </c>
      <c r="F536" s="28" t="s">
        <v>165</v>
      </c>
      <c r="G536" s="28" t="s">
        <v>1724</v>
      </c>
      <c r="H536" s="28"/>
      <c r="I536" s="28"/>
      <c r="J536" s="28"/>
      <c r="K536" s="28"/>
      <c r="L536" s="28"/>
      <c r="M536" s="28"/>
      <c r="N536" s="28"/>
      <c r="O536" s="28"/>
      <c r="P536" s="28"/>
      <c r="Q536" s="28"/>
      <c r="R536" s="28"/>
    </row>
    <row r="537" spans="1:18" ht="16.05" customHeight="1" x14ac:dyDescent="0.3">
      <c r="A537" s="30">
        <v>534</v>
      </c>
      <c r="B537" s="30" t="s">
        <v>554</v>
      </c>
      <c r="C537" s="30" t="s">
        <v>146</v>
      </c>
      <c r="D537" s="30" t="s">
        <v>181</v>
      </c>
      <c r="E537" s="30" t="s">
        <v>180</v>
      </c>
      <c r="F537" s="30" t="s">
        <v>182</v>
      </c>
      <c r="G537" s="30" t="s">
        <v>1724</v>
      </c>
      <c r="H537" s="30"/>
      <c r="I537" s="30"/>
      <c r="J537" s="30"/>
      <c r="K537" s="30"/>
      <c r="L537" s="30"/>
      <c r="M537" s="30"/>
      <c r="N537" s="30"/>
      <c r="O537" s="30"/>
      <c r="P537" s="30"/>
      <c r="Q537" s="30"/>
      <c r="R537" s="30"/>
    </row>
    <row r="538" spans="1:18" ht="16.05" customHeight="1" x14ac:dyDescent="0.3">
      <c r="A538" s="28">
        <v>535</v>
      </c>
      <c r="B538" s="28" t="s">
        <v>554</v>
      </c>
      <c r="C538" s="28" t="s">
        <v>148</v>
      </c>
      <c r="D538" s="28" t="s">
        <v>168</v>
      </c>
      <c r="E538" s="28" t="s">
        <v>183</v>
      </c>
      <c r="F538" s="28" t="s">
        <v>169</v>
      </c>
      <c r="G538" s="28" t="s">
        <v>1724</v>
      </c>
      <c r="H538" s="28"/>
      <c r="I538" s="28"/>
      <c r="J538" s="28"/>
      <c r="K538" s="28"/>
      <c r="L538" s="28"/>
      <c r="M538" s="28"/>
      <c r="N538" s="28"/>
      <c r="O538" s="28"/>
      <c r="P538" s="28"/>
      <c r="Q538" s="28"/>
      <c r="R538" s="28"/>
    </row>
    <row r="539" spans="1:18" ht="16.05" customHeight="1" x14ac:dyDescent="0.3">
      <c r="A539" s="30">
        <v>536</v>
      </c>
      <c r="B539" s="30" t="s">
        <v>554</v>
      </c>
      <c r="C539" s="30" t="s">
        <v>147</v>
      </c>
      <c r="D539" s="30" t="s">
        <v>181</v>
      </c>
      <c r="E539" s="30" t="s">
        <v>184</v>
      </c>
      <c r="F539" s="30" t="s">
        <v>169</v>
      </c>
      <c r="G539" s="30" t="s">
        <v>1724</v>
      </c>
      <c r="H539" s="30"/>
      <c r="I539" s="30"/>
      <c r="J539" s="30"/>
      <c r="K539" s="30"/>
      <c r="L539" s="30"/>
      <c r="M539" s="30"/>
      <c r="N539" s="30"/>
      <c r="O539" s="30"/>
      <c r="P539" s="30"/>
      <c r="Q539" s="30"/>
      <c r="R539" s="30"/>
    </row>
    <row r="540" spans="1:18" ht="16.05" customHeight="1" x14ac:dyDescent="0.3">
      <c r="A540" s="28">
        <v>537</v>
      </c>
      <c r="B540" s="28" t="s">
        <v>554</v>
      </c>
      <c r="C540" s="28" t="s">
        <v>148</v>
      </c>
      <c r="D540" s="28" t="s">
        <v>176</v>
      </c>
      <c r="E540" s="28" t="s">
        <v>185</v>
      </c>
      <c r="F540" s="28" t="s">
        <v>169</v>
      </c>
      <c r="G540" s="28" t="s">
        <v>1724</v>
      </c>
      <c r="H540" s="28"/>
      <c r="I540" s="28"/>
      <c r="J540" s="28"/>
      <c r="K540" s="28"/>
      <c r="L540" s="28"/>
      <c r="M540" s="28"/>
      <c r="N540" s="28"/>
      <c r="O540" s="28"/>
      <c r="P540" s="28"/>
      <c r="Q540" s="28"/>
      <c r="R540" s="28"/>
    </row>
    <row r="541" spans="1:18" ht="16.05" customHeight="1" x14ac:dyDescent="0.3">
      <c r="A541" s="30">
        <v>538</v>
      </c>
      <c r="B541" s="30" t="s">
        <v>554</v>
      </c>
      <c r="C541" s="30" t="s">
        <v>152</v>
      </c>
      <c r="D541" s="30" t="s">
        <v>168</v>
      </c>
      <c r="E541" s="30" t="s">
        <v>186</v>
      </c>
      <c r="F541" s="30" t="s">
        <v>173</v>
      </c>
      <c r="G541" s="30" t="s">
        <v>1724</v>
      </c>
      <c r="H541" s="30"/>
      <c r="I541" s="30"/>
      <c r="J541" s="30"/>
      <c r="K541" s="30"/>
      <c r="L541" s="30"/>
      <c r="M541" s="30"/>
      <c r="N541" s="30"/>
      <c r="O541" s="30"/>
      <c r="P541" s="30"/>
      <c r="Q541" s="30"/>
      <c r="R541" s="30"/>
    </row>
    <row r="542" spans="1:18" ht="16.05" customHeight="1" x14ac:dyDescent="0.3">
      <c r="A542" s="28">
        <v>539</v>
      </c>
      <c r="B542" s="28" t="s">
        <v>554</v>
      </c>
      <c r="C542" s="28" t="s">
        <v>151</v>
      </c>
      <c r="D542" s="28" t="s">
        <v>179</v>
      </c>
      <c r="E542" s="28" t="s">
        <v>187</v>
      </c>
      <c r="F542" s="28" t="s">
        <v>165</v>
      </c>
      <c r="G542" s="28" t="s">
        <v>1724</v>
      </c>
      <c r="H542" s="28"/>
      <c r="I542" s="28"/>
      <c r="J542" s="28"/>
      <c r="K542" s="28"/>
      <c r="L542" s="28"/>
      <c r="M542" s="28"/>
      <c r="N542" s="28"/>
      <c r="O542" s="28"/>
      <c r="P542" s="28"/>
      <c r="Q542" s="28"/>
      <c r="R542" s="28"/>
    </row>
    <row r="543" spans="1:18" ht="16.05" customHeight="1" x14ac:dyDescent="0.3">
      <c r="A543" s="30">
        <v>540</v>
      </c>
      <c r="B543" s="30" t="s">
        <v>554</v>
      </c>
      <c r="C543" s="30" t="s">
        <v>143</v>
      </c>
      <c r="D543" s="30" t="s">
        <v>176</v>
      </c>
      <c r="E543" s="30" t="s">
        <v>188</v>
      </c>
      <c r="F543" s="30" t="s">
        <v>165</v>
      </c>
      <c r="G543" s="30" t="s">
        <v>1724</v>
      </c>
      <c r="H543" s="30"/>
      <c r="I543" s="30"/>
      <c r="J543" s="30"/>
      <c r="K543" s="30"/>
      <c r="L543" s="30"/>
      <c r="M543" s="30"/>
      <c r="N543" s="30"/>
      <c r="O543" s="30"/>
      <c r="P543" s="30"/>
      <c r="Q543" s="30"/>
      <c r="R543" s="30"/>
    </row>
  </sheetData>
  <mergeCells count="2">
    <mergeCell ref="A2:R2"/>
    <mergeCell ref="A1:R1"/>
  </mergeCell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7">
        <x14:dataValidation type="list" allowBlank="1" xr:uid="{00000000-0002-0000-1800-000000000000}">
          <x14:formula1>
            <xm:f>REF!$A$2:$A$37</xm:f>
          </x14:formula1>
          <xm:sqref>B4:B543</xm:sqref>
        </x14:dataValidation>
        <x14:dataValidation type="list" allowBlank="1" xr:uid="{00000000-0002-0000-1800-000001000000}">
          <x14:formula1>
            <xm:f>REF!$D$2:$D$14</xm:f>
          </x14:formula1>
          <xm:sqref>C4:C543</xm:sqref>
        </x14:dataValidation>
        <x14:dataValidation type="list" allowBlank="1" xr:uid="{00000000-0002-0000-1800-000002000000}">
          <x14:formula1>
            <xm:f>REF!$E$2:$E$13</xm:f>
          </x14:formula1>
          <xm:sqref>D4:D543</xm:sqref>
        </x14:dataValidation>
        <x14:dataValidation type="list" allowBlank="1" xr:uid="{00000000-0002-0000-1800-000003000000}">
          <x14:formula1>
            <xm:f>REF!$P$2:$P$5</xm:f>
          </x14:formula1>
          <xm:sqref>F4:F543</xm:sqref>
        </x14:dataValidation>
        <x14:dataValidation type="list" allowBlank="1" xr:uid="{00000000-0002-0000-1800-000004000000}">
          <x14:formula1>
            <xm:f>REF!$J$2:$J$5</xm:f>
          </x14:formula1>
          <xm:sqref>G4:G543</xm:sqref>
        </x14:dataValidation>
        <x14:dataValidation type="list" allowBlank="1" xr:uid="{00000000-0002-0000-1800-000005000000}">
          <x14:formula1>
            <xm:f>REF!$F$2:$F$7</xm:f>
          </x14:formula1>
          <xm:sqref>I4:I543</xm:sqref>
        </x14:dataValidation>
        <x14:dataValidation type="list" allowBlank="1" xr:uid="{00000000-0002-0000-1800-000006000000}">
          <x14:formula1>
            <xm:f>REF!$C$2:$C$24</xm:f>
          </x14:formula1>
          <xm:sqref>J4:J543</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Q363"/>
  <sheetViews>
    <sheetView showGridLines="0" workbookViewId="0">
      <pane xSplit="4" ySplit="3" topLeftCell="E4" activePane="bottomRight" state="frozen"/>
      <selection pane="topRight"/>
      <selection pane="bottomLeft"/>
      <selection pane="bottomRight" activeCell="H13" sqref="H13"/>
    </sheetView>
  </sheetViews>
  <sheetFormatPr defaultRowHeight="14.4" x14ac:dyDescent="0.3"/>
  <cols>
    <col min="1" max="1" width="4" customWidth="1"/>
    <col min="2" max="2" width="22" customWidth="1"/>
    <col min="3" max="3" width="16" customWidth="1"/>
    <col min="4" max="4" width="11" customWidth="1"/>
    <col min="5" max="5" width="24" customWidth="1"/>
    <col min="6" max="6" width="13" customWidth="1"/>
    <col min="7" max="7" width="10" customWidth="1"/>
    <col min="8" max="8" width="15" customWidth="1"/>
    <col min="9" max="9" width="11" customWidth="1"/>
    <col min="10" max="10" width="13" customWidth="1"/>
    <col min="11" max="11" width="15" customWidth="1"/>
    <col min="12" max="13" width="11" customWidth="1"/>
    <col min="14" max="16" width="12" customWidth="1"/>
    <col min="17" max="17" width="22" customWidth="1"/>
  </cols>
  <sheetData>
    <row r="1" spans="1:17" ht="28.05" customHeight="1" x14ac:dyDescent="0.3">
      <c r="A1" s="45" t="s">
        <v>1725</v>
      </c>
      <c r="B1" s="33"/>
      <c r="C1" s="33"/>
      <c r="D1" s="33"/>
      <c r="E1" s="33"/>
      <c r="F1" s="33"/>
      <c r="G1" s="33"/>
      <c r="H1" s="33"/>
      <c r="I1" s="33"/>
      <c r="J1" s="33"/>
      <c r="K1" s="33"/>
      <c r="L1" s="33"/>
      <c r="M1" s="33"/>
      <c r="N1" s="33"/>
      <c r="O1" s="33"/>
      <c r="P1" s="33"/>
      <c r="Q1" s="33"/>
    </row>
    <row r="2" spans="1:17" ht="16.05" customHeight="1" x14ac:dyDescent="0.3">
      <c r="A2" s="39" t="s">
        <v>1726</v>
      </c>
      <c r="B2" s="33"/>
      <c r="C2" s="33"/>
      <c r="D2" s="33"/>
      <c r="E2" s="33"/>
      <c r="F2" s="33"/>
      <c r="G2" s="33"/>
      <c r="H2" s="33"/>
      <c r="I2" s="33"/>
      <c r="J2" s="33"/>
      <c r="K2" s="33"/>
      <c r="L2" s="33"/>
      <c r="M2" s="33"/>
      <c r="N2" s="33"/>
      <c r="O2" s="33"/>
      <c r="P2" s="33"/>
      <c r="Q2" s="33"/>
    </row>
    <row r="3" spans="1:17" ht="31.95" customHeight="1" x14ac:dyDescent="0.3">
      <c r="A3" s="27" t="s">
        <v>78</v>
      </c>
      <c r="B3" s="27" t="s">
        <v>192</v>
      </c>
      <c r="C3" s="27" t="s">
        <v>135</v>
      </c>
      <c r="D3" s="27" t="s">
        <v>157</v>
      </c>
      <c r="E3" s="27" t="s">
        <v>258</v>
      </c>
      <c r="F3" s="27" t="s">
        <v>249</v>
      </c>
      <c r="G3" s="27" t="s">
        <v>247</v>
      </c>
      <c r="H3" s="27" t="s">
        <v>259</v>
      </c>
      <c r="I3" s="27" t="s">
        <v>221</v>
      </c>
      <c r="J3" s="27" t="s">
        <v>260</v>
      </c>
      <c r="K3" s="27" t="s">
        <v>261</v>
      </c>
      <c r="L3" s="27" t="s">
        <v>262</v>
      </c>
      <c r="M3" s="27" t="s">
        <v>201</v>
      </c>
      <c r="N3" s="27" t="s">
        <v>263</v>
      </c>
      <c r="O3" s="27" t="s">
        <v>264</v>
      </c>
      <c r="P3" s="27" t="s">
        <v>255</v>
      </c>
      <c r="Q3" s="27" t="s">
        <v>86</v>
      </c>
    </row>
    <row r="4" spans="1:17" ht="16.05" customHeight="1" x14ac:dyDescent="0.3">
      <c r="A4" s="28">
        <v>1</v>
      </c>
      <c r="B4" s="28" t="s">
        <v>519</v>
      </c>
      <c r="C4" s="28" t="s">
        <v>142</v>
      </c>
      <c r="D4" s="28" t="s">
        <v>164</v>
      </c>
      <c r="E4" s="28" t="s">
        <v>1727</v>
      </c>
      <c r="F4" s="28"/>
      <c r="G4" s="28" t="s">
        <v>1724</v>
      </c>
      <c r="H4" s="28"/>
      <c r="I4" s="28"/>
      <c r="J4" s="28"/>
      <c r="K4" s="28"/>
      <c r="L4" s="28"/>
      <c r="M4" s="28"/>
      <c r="N4" s="28"/>
      <c r="O4" s="28"/>
      <c r="P4" s="28"/>
      <c r="Q4" s="28"/>
    </row>
    <row r="5" spans="1:17" ht="16.05" customHeight="1" x14ac:dyDescent="0.3">
      <c r="A5" s="30">
        <v>2</v>
      </c>
      <c r="B5" s="30" t="s">
        <v>519</v>
      </c>
      <c r="C5" s="30" t="s">
        <v>146</v>
      </c>
      <c r="D5" s="30" t="s">
        <v>168</v>
      </c>
      <c r="E5" s="30" t="s">
        <v>1728</v>
      </c>
      <c r="F5" s="30"/>
      <c r="G5" s="30" t="s">
        <v>1724</v>
      </c>
      <c r="H5" s="30"/>
      <c r="I5" s="30"/>
      <c r="J5" s="30"/>
      <c r="K5" s="30"/>
      <c r="L5" s="30"/>
      <c r="M5" s="30"/>
      <c r="N5" s="30"/>
      <c r="O5" s="30"/>
      <c r="P5" s="30"/>
      <c r="Q5" s="30"/>
    </row>
    <row r="6" spans="1:17" ht="16.05" customHeight="1" x14ac:dyDescent="0.3">
      <c r="A6" s="28">
        <v>3</v>
      </c>
      <c r="B6" s="28" t="s">
        <v>519</v>
      </c>
      <c r="C6" s="28" t="s">
        <v>147</v>
      </c>
      <c r="D6" s="28" t="s">
        <v>168</v>
      </c>
      <c r="E6" s="28" t="s">
        <v>1729</v>
      </c>
      <c r="F6" s="28"/>
      <c r="G6" s="28" t="s">
        <v>1724</v>
      </c>
      <c r="H6" s="28"/>
      <c r="I6" s="28"/>
      <c r="J6" s="28"/>
      <c r="K6" s="28"/>
      <c r="L6" s="28"/>
      <c r="M6" s="28"/>
      <c r="N6" s="28"/>
      <c r="O6" s="28"/>
      <c r="P6" s="28"/>
      <c r="Q6" s="28"/>
    </row>
    <row r="7" spans="1:17" ht="16.05" customHeight="1" x14ac:dyDescent="0.3">
      <c r="A7" s="30">
        <v>4</v>
      </c>
      <c r="B7" s="30" t="s">
        <v>519</v>
      </c>
      <c r="C7" s="30" t="s">
        <v>143</v>
      </c>
      <c r="D7" s="30" t="s">
        <v>172</v>
      </c>
      <c r="E7" s="30" t="s">
        <v>1730</v>
      </c>
      <c r="F7" s="30"/>
      <c r="G7" s="30" t="s">
        <v>1724</v>
      </c>
      <c r="H7" s="30"/>
      <c r="I7" s="30"/>
      <c r="J7" s="30"/>
      <c r="K7" s="30"/>
      <c r="L7" s="30"/>
      <c r="M7" s="30"/>
      <c r="N7" s="30"/>
      <c r="O7" s="30"/>
      <c r="P7" s="30"/>
      <c r="Q7" s="30"/>
    </row>
    <row r="8" spans="1:17" ht="16.05" customHeight="1" x14ac:dyDescent="0.3">
      <c r="A8" s="28">
        <v>5</v>
      </c>
      <c r="B8" s="28" t="s">
        <v>519</v>
      </c>
      <c r="C8" s="28" t="s">
        <v>143</v>
      </c>
      <c r="D8" s="28" t="s">
        <v>176</v>
      </c>
      <c r="E8" s="28" t="s">
        <v>1731</v>
      </c>
      <c r="F8" s="28"/>
      <c r="G8" s="28" t="s">
        <v>1724</v>
      </c>
      <c r="H8" s="28"/>
      <c r="I8" s="28"/>
      <c r="J8" s="28"/>
      <c r="K8" s="28"/>
      <c r="L8" s="28"/>
      <c r="M8" s="28"/>
      <c r="N8" s="28"/>
      <c r="O8" s="28"/>
      <c r="P8" s="28"/>
      <c r="Q8" s="28"/>
    </row>
    <row r="9" spans="1:17" ht="16.05" customHeight="1" x14ac:dyDescent="0.3">
      <c r="A9" s="30">
        <v>6</v>
      </c>
      <c r="B9" s="30" t="s">
        <v>519</v>
      </c>
      <c r="C9" s="30" t="s">
        <v>144</v>
      </c>
      <c r="D9" s="30" t="s">
        <v>176</v>
      </c>
      <c r="E9" s="30" t="s">
        <v>1732</v>
      </c>
      <c r="F9" s="30"/>
      <c r="G9" s="30" t="s">
        <v>1724</v>
      </c>
      <c r="H9" s="30"/>
      <c r="I9" s="30"/>
      <c r="J9" s="30"/>
      <c r="K9" s="30"/>
      <c r="L9" s="30"/>
      <c r="M9" s="30"/>
      <c r="N9" s="30"/>
      <c r="O9" s="30"/>
      <c r="P9" s="30"/>
      <c r="Q9" s="30"/>
    </row>
    <row r="10" spans="1:17" ht="16.05" customHeight="1" x14ac:dyDescent="0.3">
      <c r="A10" s="28">
        <v>7</v>
      </c>
      <c r="B10" s="28" t="s">
        <v>519</v>
      </c>
      <c r="C10" s="28" t="s">
        <v>148</v>
      </c>
      <c r="D10" s="28" t="s">
        <v>168</v>
      </c>
      <c r="E10" s="28" t="s">
        <v>1733</v>
      </c>
      <c r="F10" s="28"/>
      <c r="G10" s="28" t="s">
        <v>1724</v>
      </c>
      <c r="H10" s="28"/>
      <c r="I10" s="28"/>
      <c r="J10" s="28"/>
      <c r="K10" s="28"/>
      <c r="L10" s="28"/>
      <c r="M10" s="28"/>
      <c r="N10" s="28"/>
      <c r="O10" s="28"/>
      <c r="P10" s="28"/>
      <c r="Q10" s="28"/>
    </row>
    <row r="11" spans="1:17" ht="16.05" customHeight="1" x14ac:dyDescent="0.3">
      <c r="A11" s="30">
        <v>8</v>
      </c>
      <c r="B11" s="30" t="s">
        <v>519</v>
      </c>
      <c r="C11" s="30" t="s">
        <v>148</v>
      </c>
      <c r="D11" s="30" t="s">
        <v>176</v>
      </c>
      <c r="E11" s="30" t="s">
        <v>1734</v>
      </c>
      <c r="F11" s="30"/>
      <c r="G11" s="30" t="s">
        <v>1724</v>
      </c>
      <c r="H11" s="30"/>
      <c r="I11" s="30"/>
      <c r="J11" s="30"/>
      <c r="K11" s="30"/>
      <c r="L11" s="30"/>
      <c r="M11" s="30"/>
      <c r="N11" s="30"/>
      <c r="O11" s="30"/>
      <c r="P11" s="30"/>
      <c r="Q11" s="30"/>
    </row>
    <row r="12" spans="1:17" ht="16.05" customHeight="1" x14ac:dyDescent="0.3">
      <c r="A12" s="28">
        <v>9</v>
      </c>
      <c r="B12" s="28" t="s">
        <v>519</v>
      </c>
      <c r="C12" s="28" t="s">
        <v>152</v>
      </c>
      <c r="D12" s="28" t="s">
        <v>168</v>
      </c>
      <c r="E12" s="28" t="s">
        <v>1735</v>
      </c>
      <c r="F12" s="28"/>
      <c r="G12" s="28" t="s">
        <v>1724</v>
      </c>
      <c r="H12" s="28"/>
      <c r="I12" s="28"/>
      <c r="J12" s="28"/>
      <c r="K12" s="28"/>
      <c r="L12" s="28"/>
      <c r="M12" s="28"/>
      <c r="N12" s="28"/>
      <c r="O12" s="28"/>
      <c r="P12" s="28"/>
      <c r="Q12" s="28"/>
    </row>
    <row r="13" spans="1:17" ht="16.05" customHeight="1" x14ac:dyDescent="0.3">
      <c r="A13" s="30">
        <v>10</v>
      </c>
      <c r="B13" s="30" t="s">
        <v>519</v>
      </c>
      <c r="C13" s="30" t="s">
        <v>143</v>
      </c>
      <c r="D13" s="30" t="s">
        <v>176</v>
      </c>
      <c r="E13" s="30" t="s">
        <v>1736</v>
      </c>
      <c r="F13" s="30"/>
      <c r="G13" s="30" t="s">
        <v>1724</v>
      </c>
      <c r="H13" s="30"/>
      <c r="I13" s="30"/>
      <c r="J13" s="30"/>
      <c r="K13" s="30"/>
      <c r="L13" s="30"/>
      <c r="M13" s="30"/>
      <c r="N13" s="30"/>
      <c r="O13" s="30"/>
      <c r="P13" s="30"/>
      <c r="Q13" s="30"/>
    </row>
    <row r="14" spans="1:17" ht="16.05" customHeight="1" x14ac:dyDescent="0.3">
      <c r="A14" s="28">
        <v>11</v>
      </c>
      <c r="B14" s="28" t="s">
        <v>520</v>
      </c>
      <c r="C14" s="28" t="s">
        <v>142</v>
      </c>
      <c r="D14" s="28" t="s">
        <v>164</v>
      </c>
      <c r="E14" s="28" t="s">
        <v>1727</v>
      </c>
      <c r="F14" s="28"/>
      <c r="G14" s="28" t="s">
        <v>1724</v>
      </c>
      <c r="H14" s="28"/>
      <c r="I14" s="28"/>
      <c r="J14" s="28"/>
      <c r="K14" s="28"/>
      <c r="L14" s="28"/>
      <c r="M14" s="28"/>
      <c r="N14" s="28"/>
      <c r="O14" s="28"/>
      <c r="P14" s="28"/>
      <c r="Q14" s="28"/>
    </row>
    <row r="15" spans="1:17" ht="16.05" customHeight="1" x14ac:dyDescent="0.3">
      <c r="A15" s="30">
        <v>12</v>
      </c>
      <c r="B15" s="30" t="s">
        <v>520</v>
      </c>
      <c r="C15" s="30" t="s">
        <v>146</v>
      </c>
      <c r="D15" s="30" t="s">
        <v>168</v>
      </c>
      <c r="E15" s="30" t="s">
        <v>1728</v>
      </c>
      <c r="F15" s="30"/>
      <c r="G15" s="30" t="s">
        <v>1724</v>
      </c>
      <c r="H15" s="30"/>
      <c r="I15" s="30"/>
      <c r="J15" s="30"/>
      <c r="K15" s="30"/>
      <c r="L15" s="30"/>
      <c r="M15" s="30"/>
      <c r="N15" s="30"/>
      <c r="O15" s="30"/>
      <c r="P15" s="30"/>
      <c r="Q15" s="30"/>
    </row>
    <row r="16" spans="1:17" ht="16.05" customHeight="1" x14ac:dyDescent="0.3">
      <c r="A16" s="28">
        <v>13</v>
      </c>
      <c r="B16" s="28" t="s">
        <v>520</v>
      </c>
      <c r="C16" s="28" t="s">
        <v>147</v>
      </c>
      <c r="D16" s="28" t="s">
        <v>168</v>
      </c>
      <c r="E16" s="28" t="s">
        <v>1729</v>
      </c>
      <c r="F16" s="28"/>
      <c r="G16" s="28" t="s">
        <v>1724</v>
      </c>
      <c r="H16" s="28"/>
      <c r="I16" s="28"/>
      <c r="J16" s="28"/>
      <c r="K16" s="28"/>
      <c r="L16" s="28"/>
      <c r="M16" s="28"/>
      <c r="N16" s="28"/>
      <c r="O16" s="28"/>
      <c r="P16" s="28"/>
      <c r="Q16" s="28"/>
    </row>
    <row r="17" spans="1:17" ht="16.05" customHeight="1" x14ac:dyDescent="0.3">
      <c r="A17" s="30">
        <v>14</v>
      </c>
      <c r="B17" s="30" t="s">
        <v>520</v>
      </c>
      <c r="C17" s="30" t="s">
        <v>143</v>
      </c>
      <c r="D17" s="30" t="s">
        <v>172</v>
      </c>
      <c r="E17" s="30" t="s">
        <v>1730</v>
      </c>
      <c r="F17" s="30"/>
      <c r="G17" s="30" t="s">
        <v>1724</v>
      </c>
      <c r="H17" s="30"/>
      <c r="I17" s="30"/>
      <c r="J17" s="30"/>
      <c r="K17" s="30"/>
      <c r="L17" s="30"/>
      <c r="M17" s="30"/>
      <c r="N17" s="30"/>
      <c r="O17" s="30"/>
      <c r="P17" s="30"/>
      <c r="Q17" s="30"/>
    </row>
    <row r="18" spans="1:17" ht="16.05" customHeight="1" x14ac:dyDescent="0.3">
      <c r="A18" s="28">
        <v>15</v>
      </c>
      <c r="B18" s="28" t="s">
        <v>520</v>
      </c>
      <c r="C18" s="28" t="s">
        <v>143</v>
      </c>
      <c r="D18" s="28" t="s">
        <v>176</v>
      </c>
      <c r="E18" s="28" t="s">
        <v>1731</v>
      </c>
      <c r="F18" s="28"/>
      <c r="G18" s="28" t="s">
        <v>1724</v>
      </c>
      <c r="H18" s="28"/>
      <c r="I18" s="28"/>
      <c r="J18" s="28"/>
      <c r="K18" s="28"/>
      <c r="L18" s="28"/>
      <c r="M18" s="28"/>
      <c r="N18" s="28"/>
      <c r="O18" s="28"/>
      <c r="P18" s="28"/>
      <c r="Q18" s="28"/>
    </row>
    <row r="19" spans="1:17" ht="16.05" customHeight="1" x14ac:dyDescent="0.3">
      <c r="A19" s="30">
        <v>16</v>
      </c>
      <c r="B19" s="30" t="s">
        <v>520</v>
      </c>
      <c r="C19" s="30" t="s">
        <v>144</v>
      </c>
      <c r="D19" s="30" t="s">
        <v>176</v>
      </c>
      <c r="E19" s="30" t="s">
        <v>1732</v>
      </c>
      <c r="F19" s="30"/>
      <c r="G19" s="30" t="s">
        <v>1724</v>
      </c>
      <c r="H19" s="30"/>
      <c r="I19" s="30"/>
      <c r="J19" s="30"/>
      <c r="K19" s="30"/>
      <c r="L19" s="30"/>
      <c r="M19" s="30"/>
      <c r="N19" s="30"/>
      <c r="O19" s="30"/>
      <c r="P19" s="30"/>
      <c r="Q19" s="30"/>
    </row>
    <row r="20" spans="1:17" ht="16.05" customHeight="1" x14ac:dyDescent="0.3">
      <c r="A20" s="28">
        <v>17</v>
      </c>
      <c r="B20" s="28" t="s">
        <v>520</v>
      </c>
      <c r="C20" s="28" t="s">
        <v>148</v>
      </c>
      <c r="D20" s="28" t="s">
        <v>168</v>
      </c>
      <c r="E20" s="28" t="s">
        <v>1733</v>
      </c>
      <c r="F20" s="28"/>
      <c r="G20" s="28" t="s">
        <v>1724</v>
      </c>
      <c r="H20" s="28"/>
      <c r="I20" s="28"/>
      <c r="J20" s="28"/>
      <c r="K20" s="28"/>
      <c r="L20" s="28"/>
      <c r="M20" s="28"/>
      <c r="N20" s="28"/>
      <c r="O20" s="28"/>
      <c r="P20" s="28"/>
      <c r="Q20" s="28"/>
    </row>
    <row r="21" spans="1:17" ht="16.05" customHeight="1" x14ac:dyDescent="0.3">
      <c r="A21" s="30">
        <v>18</v>
      </c>
      <c r="B21" s="30" t="s">
        <v>520</v>
      </c>
      <c r="C21" s="30" t="s">
        <v>148</v>
      </c>
      <c r="D21" s="30" t="s">
        <v>176</v>
      </c>
      <c r="E21" s="30" t="s">
        <v>1734</v>
      </c>
      <c r="F21" s="30"/>
      <c r="G21" s="30" t="s">
        <v>1724</v>
      </c>
      <c r="H21" s="30"/>
      <c r="I21" s="30"/>
      <c r="J21" s="30"/>
      <c r="K21" s="30"/>
      <c r="L21" s="30"/>
      <c r="M21" s="30"/>
      <c r="N21" s="30"/>
      <c r="O21" s="30"/>
      <c r="P21" s="30"/>
      <c r="Q21" s="30"/>
    </row>
    <row r="22" spans="1:17" ht="16.05" customHeight="1" x14ac:dyDescent="0.3">
      <c r="A22" s="28">
        <v>19</v>
      </c>
      <c r="B22" s="28" t="s">
        <v>520</v>
      </c>
      <c r="C22" s="28" t="s">
        <v>152</v>
      </c>
      <c r="D22" s="28" t="s">
        <v>168</v>
      </c>
      <c r="E22" s="28" t="s">
        <v>1735</v>
      </c>
      <c r="F22" s="28"/>
      <c r="G22" s="28" t="s">
        <v>1724</v>
      </c>
      <c r="H22" s="28"/>
      <c r="I22" s="28"/>
      <c r="J22" s="28"/>
      <c r="K22" s="28"/>
      <c r="L22" s="28"/>
      <c r="M22" s="28"/>
      <c r="N22" s="28"/>
      <c r="O22" s="28"/>
      <c r="P22" s="28"/>
      <c r="Q22" s="28"/>
    </row>
    <row r="23" spans="1:17" ht="16.05" customHeight="1" x14ac:dyDescent="0.3">
      <c r="A23" s="30">
        <v>20</v>
      </c>
      <c r="B23" s="30" t="s">
        <v>520</v>
      </c>
      <c r="C23" s="30" t="s">
        <v>143</v>
      </c>
      <c r="D23" s="30" t="s">
        <v>176</v>
      </c>
      <c r="E23" s="30" t="s">
        <v>1736</v>
      </c>
      <c r="F23" s="30"/>
      <c r="G23" s="30" t="s">
        <v>1724</v>
      </c>
      <c r="H23" s="30"/>
      <c r="I23" s="30"/>
      <c r="J23" s="30"/>
      <c r="K23" s="30"/>
      <c r="L23" s="30"/>
      <c r="M23" s="30"/>
      <c r="N23" s="30"/>
      <c r="O23" s="30"/>
      <c r="P23" s="30"/>
      <c r="Q23" s="30"/>
    </row>
    <row r="24" spans="1:17" ht="16.05" customHeight="1" x14ac:dyDescent="0.3">
      <c r="A24" s="28">
        <v>21</v>
      </c>
      <c r="B24" s="28" t="s">
        <v>521</v>
      </c>
      <c r="C24" s="28" t="s">
        <v>142</v>
      </c>
      <c r="D24" s="28" t="s">
        <v>164</v>
      </c>
      <c r="E24" s="28" t="s">
        <v>1727</v>
      </c>
      <c r="F24" s="28"/>
      <c r="G24" s="28" t="s">
        <v>1724</v>
      </c>
      <c r="H24" s="28"/>
      <c r="I24" s="28"/>
      <c r="J24" s="28"/>
      <c r="K24" s="28"/>
      <c r="L24" s="28"/>
      <c r="M24" s="28"/>
      <c r="N24" s="28"/>
      <c r="O24" s="28"/>
      <c r="P24" s="28"/>
      <c r="Q24" s="28"/>
    </row>
    <row r="25" spans="1:17" ht="16.05" customHeight="1" x14ac:dyDescent="0.3">
      <c r="A25" s="30">
        <v>22</v>
      </c>
      <c r="B25" s="30" t="s">
        <v>521</v>
      </c>
      <c r="C25" s="30" t="s">
        <v>146</v>
      </c>
      <c r="D25" s="30" t="s">
        <v>168</v>
      </c>
      <c r="E25" s="30" t="s">
        <v>1728</v>
      </c>
      <c r="F25" s="30"/>
      <c r="G25" s="30" t="s">
        <v>1724</v>
      </c>
      <c r="H25" s="30"/>
      <c r="I25" s="30"/>
      <c r="J25" s="30"/>
      <c r="K25" s="30"/>
      <c r="L25" s="30"/>
      <c r="M25" s="30"/>
      <c r="N25" s="30"/>
      <c r="O25" s="30"/>
      <c r="P25" s="30"/>
      <c r="Q25" s="30"/>
    </row>
    <row r="26" spans="1:17" ht="16.05" customHeight="1" x14ac:dyDescent="0.3">
      <c r="A26" s="28">
        <v>23</v>
      </c>
      <c r="B26" s="28" t="s">
        <v>521</v>
      </c>
      <c r="C26" s="28" t="s">
        <v>147</v>
      </c>
      <c r="D26" s="28" t="s">
        <v>168</v>
      </c>
      <c r="E26" s="28" t="s">
        <v>1729</v>
      </c>
      <c r="F26" s="28"/>
      <c r="G26" s="28" t="s">
        <v>1724</v>
      </c>
      <c r="H26" s="28"/>
      <c r="I26" s="28"/>
      <c r="J26" s="28"/>
      <c r="K26" s="28"/>
      <c r="L26" s="28"/>
      <c r="M26" s="28"/>
      <c r="N26" s="28"/>
      <c r="O26" s="28"/>
      <c r="P26" s="28"/>
      <c r="Q26" s="28"/>
    </row>
    <row r="27" spans="1:17" ht="16.05" customHeight="1" x14ac:dyDescent="0.3">
      <c r="A27" s="30">
        <v>24</v>
      </c>
      <c r="B27" s="30" t="s">
        <v>521</v>
      </c>
      <c r="C27" s="30" t="s">
        <v>143</v>
      </c>
      <c r="D27" s="30" t="s">
        <v>172</v>
      </c>
      <c r="E27" s="30" t="s">
        <v>1730</v>
      </c>
      <c r="F27" s="30"/>
      <c r="G27" s="30" t="s">
        <v>1724</v>
      </c>
      <c r="H27" s="30"/>
      <c r="I27" s="30"/>
      <c r="J27" s="30"/>
      <c r="K27" s="30"/>
      <c r="L27" s="30"/>
      <c r="M27" s="30"/>
      <c r="N27" s="30"/>
      <c r="O27" s="30"/>
      <c r="P27" s="30"/>
      <c r="Q27" s="30"/>
    </row>
    <row r="28" spans="1:17" ht="16.05" customHeight="1" x14ac:dyDescent="0.3">
      <c r="A28" s="28">
        <v>25</v>
      </c>
      <c r="B28" s="28" t="s">
        <v>521</v>
      </c>
      <c r="C28" s="28" t="s">
        <v>143</v>
      </c>
      <c r="D28" s="28" t="s">
        <v>176</v>
      </c>
      <c r="E28" s="28" t="s">
        <v>1731</v>
      </c>
      <c r="F28" s="28"/>
      <c r="G28" s="28" t="s">
        <v>1724</v>
      </c>
      <c r="H28" s="28"/>
      <c r="I28" s="28"/>
      <c r="J28" s="28"/>
      <c r="K28" s="28"/>
      <c r="L28" s="28"/>
      <c r="M28" s="28"/>
      <c r="N28" s="28"/>
      <c r="O28" s="28"/>
      <c r="P28" s="28"/>
      <c r="Q28" s="28"/>
    </row>
    <row r="29" spans="1:17" ht="16.05" customHeight="1" x14ac:dyDescent="0.3">
      <c r="A29" s="30">
        <v>26</v>
      </c>
      <c r="B29" s="30" t="s">
        <v>521</v>
      </c>
      <c r="C29" s="30" t="s">
        <v>144</v>
      </c>
      <c r="D29" s="30" t="s">
        <v>176</v>
      </c>
      <c r="E29" s="30" t="s">
        <v>1732</v>
      </c>
      <c r="F29" s="30"/>
      <c r="G29" s="30" t="s">
        <v>1724</v>
      </c>
      <c r="H29" s="30"/>
      <c r="I29" s="30"/>
      <c r="J29" s="30"/>
      <c r="K29" s="30"/>
      <c r="L29" s="30"/>
      <c r="M29" s="30"/>
      <c r="N29" s="30"/>
      <c r="O29" s="30"/>
      <c r="P29" s="30"/>
      <c r="Q29" s="30"/>
    </row>
    <row r="30" spans="1:17" ht="16.05" customHeight="1" x14ac:dyDescent="0.3">
      <c r="A30" s="28">
        <v>27</v>
      </c>
      <c r="B30" s="28" t="s">
        <v>521</v>
      </c>
      <c r="C30" s="28" t="s">
        <v>148</v>
      </c>
      <c r="D30" s="28" t="s">
        <v>168</v>
      </c>
      <c r="E30" s="28" t="s">
        <v>1733</v>
      </c>
      <c r="F30" s="28"/>
      <c r="G30" s="28" t="s">
        <v>1724</v>
      </c>
      <c r="H30" s="28"/>
      <c r="I30" s="28"/>
      <c r="J30" s="28"/>
      <c r="K30" s="28"/>
      <c r="L30" s="28"/>
      <c r="M30" s="28"/>
      <c r="N30" s="28"/>
      <c r="O30" s="28"/>
      <c r="P30" s="28"/>
      <c r="Q30" s="28"/>
    </row>
    <row r="31" spans="1:17" ht="16.05" customHeight="1" x14ac:dyDescent="0.3">
      <c r="A31" s="30">
        <v>28</v>
      </c>
      <c r="B31" s="30" t="s">
        <v>521</v>
      </c>
      <c r="C31" s="30" t="s">
        <v>148</v>
      </c>
      <c r="D31" s="30" t="s">
        <v>176</v>
      </c>
      <c r="E31" s="30" t="s">
        <v>1734</v>
      </c>
      <c r="F31" s="30"/>
      <c r="G31" s="30" t="s">
        <v>1724</v>
      </c>
      <c r="H31" s="30"/>
      <c r="I31" s="30"/>
      <c r="J31" s="30"/>
      <c r="K31" s="30"/>
      <c r="L31" s="30"/>
      <c r="M31" s="30"/>
      <c r="N31" s="30"/>
      <c r="O31" s="30"/>
      <c r="P31" s="30"/>
      <c r="Q31" s="30"/>
    </row>
    <row r="32" spans="1:17" ht="16.05" customHeight="1" x14ac:dyDescent="0.3">
      <c r="A32" s="28">
        <v>29</v>
      </c>
      <c r="B32" s="28" t="s">
        <v>521</v>
      </c>
      <c r="C32" s="28" t="s">
        <v>152</v>
      </c>
      <c r="D32" s="28" t="s">
        <v>168</v>
      </c>
      <c r="E32" s="28" t="s">
        <v>1735</v>
      </c>
      <c r="F32" s="28"/>
      <c r="G32" s="28" t="s">
        <v>1724</v>
      </c>
      <c r="H32" s="28"/>
      <c r="I32" s="28"/>
      <c r="J32" s="28"/>
      <c r="K32" s="28"/>
      <c r="L32" s="28"/>
      <c r="M32" s="28"/>
      <c r="N32" s="28"/>
      <c r="O32" s="28"/>
      <c r="P32" s="28"/>
      <c r="Q32" s="28"/>
    </row>
    <row r="33" spans="1:17" ht="16.05" customHeight="1" x14ac:dyDescent="0.3">
      <c r="A33" s="30">
        <v>30</v>
      </c>
      <c r="B33" s="30" t="s">
        <v>521</v>
      </c>
      <c r="C33" s="30" t="s">
        <v>143</v>
      </c>
      <c r="D33" s="30" t="s">
        <v>176</v>
      </c>
      <c r="E33" s="30" t="s">
        <v>1736</v>
      </c>
      <c r="F33" s="30"/>
      <c r="G33" s="30" t="s">
        <v>1724</v>
      </c>
      <c r="H33" s="30"/>
      <c r="I33" s="30"/>
      <c r="J33" s="30"/>
      <c r="K33" s="30"/>
      <c r="L33" s="30"/>
      <c r="M33" s="30"/>
      <c r="N33" s="30"/>
      <c r="O33" s="30"/>
      <c r="P33" s="30"/>
      <c r="Q33" s="30"/>
    </row>
    <row r="34" spans="1:17" ht="16.05" customHeight="1" x14ac:dyDescent="0.3">
      <c r="A34" s="28">
        <v>31</v>
      </c>
      <c r="B34" s="28" t="s">
        <v>522</v>
      </c>
      <c r="C34" s="28" t="s">
        <v>142</v>
      </c>
      <c r="D34" s="28" t="s">
        <v>164</v>
      </c>
      <c r="E34" s="28" t="s">
        <v>1727</v>
      </c>
      <c r="F34" s="28"/>
      <c r="G34" s="28" t="s">
        <v>1724</v>
      </c>
      <c r="H34" s="28"/>
      <c r="I34" s="28"/>
      <c r="J34" s="28"/>
      <c r="K34" s="28"/>
      <c r="L34" s="28"/>
      <c r="M34" s="28"/>
      <c r="N34" s="28"/>
      <c r="O34" s="28"/>
      <c r="P34" s="28"/>
      <c r="Q34" s="28"/>
    </row>
    <row r="35" spans="1:17" ht="16.05" customHeight="1" x14ac:dyDescent="0.3">
      <c r="A35" s="30">
        <v>32</v>
      </c>
      <c r="B35" s="30" t="s">
        <v>522</v>
      </c>
      <c r="C35" s="30" t="s">
        <v>146</v>
      </c>
      <c r="D35" s="30" t="s">
        <v>168</v>
      </c>
      <c r="E35" s="30" t="s">
        <v>1728</v>
      </c>
      <c r="F35" s="30"/>
      <c r="G35" s="30" t="s">
        <v>1724</v>
      </c>
      <c r="H35" s="30"/>
      <c r="I35" s="30"/>
      <c r="J35" s="30"/>
      <c r="K35" s="30"/>
      <c r="L35" s="30"/>
      <c r="M35" s="30"/>
      <c r="N35" s="30"/>
      <c r="O35" s="30"/>
      <c r="P35" s="30"/>
      <c r="Q35" s="30"/>
    </row>
    <row r="36" spans="1:17" ht="16.05" customHeight="1" x14ac:dyDescent="0.3">
      <c r="A36" s="28">
        <v>33</v>
      </c>
      <c r="B36" s="28" t="s">
        <v>522</v>
      </c>
      <c r="C36" s="28" t="s">
        <v>147</v>
      </c>
      <c r="D36" s="28" t="s">
        <v>168</v>
      </c>
      <c r="E36" s="28" t="s">
        <v>1729</v>
      </c>
      <c r="F36" s="28"/>
      <c r="G36" s="28" t="s">
        <v>1724</v>
      </c>
      <c r="H36" s="28"/>
      <c r="I36" s="28"/>
      <c r="J36" s="28"/>
      <c r="K36" s="28"/>
      <c r="L36" s="28"/>
      <c r="M36" s="28"/>
      <c r="N36" s="28"/>
      <c r="O36" s="28"/>
      <c r="P36" s="28"/>
      <c r="Q36" s="28"/>
    </row>
    <row r="37" spans="1:17" ht="16.05" customHeight="1" x14ac:dyDescent="0.3">
      <c r="A37" s="30">
        <v>34</v>
      </c>
      <c r="B37" s="30" t="s">
        <v>522</v>
      </c>
      <c r="C37" s="30" t="s">
        <v>143</v>
      </c>
      <c r="D37" s="30" t="s">
        <v>172</v>
      </c>
      <c r="E37" s="30" t="s">
        <v>1730</v>
      </c>
      <c r="F37" s="30"/>
      <c r="G37" s="30" t="s">
        <v>1724</v>
      </c>
      <c r="H37" s="30"/>
      <c r="I37" s="30"/>
      <c r="J37" s="30"/>
      <c r="K37" s="30"/>
      <c r="L37" s="30"/>
      <c r="M37" s="30"/>
      <c r="N37" s="30"/>
      <c r="O37" s="30"/>
      <c r="P37" s="30"/>
      <c r="Q37" s="30"/>
    </row>
    <row r="38" spans="1:17" ht="16.05" customHeight="1" x14ac:dyDescent="0.3">
      <c r="A38" s="28">
        <v>35</v>
      </c>
      <c r="B38" s="28" t="s">
        <v>522</v>
      </c>
      <c r="C38" s="28" t="s">
        <v>143</v>
      </c>
      <c r="D38" s="28" t="s">
        <v>176</v>
      </c>
      <c r="E38" s="28" t="s">
        <v>1731</v>
      </c>
      <c r="F38" s="28"/>
      <c r="G38" s="28" t="s">
        <v>1724</v>
      </c>
      <c r="H38" s="28"/>
      <c r="I38" s="28"/>
      <c r="J38" s="28"/>
      <c r="K38" s="28"/>
      <c r="L38" s="28"/>
      <c r="M38" s="28"/>
      <c r="N38" s="28"/>
      <c r="O38" s="28"/>
      <c r="P38" s="28"/>
      <c r="Q38" s="28"/>
    </row>
    <row r="39" spans="1:17" ht="16.05" customHeight="1" x14ac:dyDescent="0.3">
      <c r="A39" s="30">
        <v>36</v>
      </c>
      <c r="B39" s="30" t="s">
        <v>522</v>
      </c>
      <c r="C39" s="30" t="s">
        <v>144</v>
      </c>
      <c r="D39" s="30" t="s">
        <v>176</v>
      </c>
      <c r="E39" s="30" t="s">
        <v>1732</v>
      </c>
      <c r="F39" s="30"/>
      <c r="G39" s="30" t="s">
        <v>1724</v>
      </c>
      <c r="H39" s="30"/>
      <c r="I39" s="30"/>
      <c r="J39" s="30"/>
      <c r="K39" s="30"/>
      <c r="L39" s="30"/>
      <c r="M39" s="30"/>
      <c r="N39" s="30"/>
      <c r="O39" s="30"/>
      <c r="P39" s="30"/>
      <c r="Q39" s="30"/>
    </row>
    <row r="40" spans="1:17" ht="16.05" customHeight="1" x14ac:dyDescent="0.3">
      <c r="A40" s="28">
        <v>37</v>
      </c>
      <c r="B40" s="28" t="s">
        <v>522</v>
      </c>
      <c r="C40" s="28" t="s">
        <v>148</v>
      </c>
      <c r="D40" s="28" t="s">
        <v>168</v>
      </c>
      <c r="E40" s="28" t="s">
        <v>1733</v>
      </c>
      <c r="F40" s="28"/>
      <c r="G40" s="28" t="s">
        <v>1724</v>
      </c>
      <c r="H40" s="28"/>
      <c r="I40" s="28"/>
      <c r="J40" s="28"/>
      <c r="K40" s="28"/>
      <c r="L40" s="28"/>
      <c r="M40" s="28"/>
      <c r="N40" s="28"/>
      <c r="O40" s="28"/>
      <c r="P40" s="28"/>
      <c r="Q40" s="28"/>
    </row>
    <row r="41" spans="1:17" ht="16.05" customHeight="1" x14ac:dyDescent="0.3">
      <c r="A41" s="30">
        <v>38</v>
      </c>
      <c r="B41" s="30" t="s">
        <v>522</v>
      </c>
      <c r="C41" s="30" t="s">
        <v>148</v>
      </c>
      <c r="D41" s="30" t="s">
        <v>176</v>
      </c>
      <c r="E41" s="30" t="s">
        <v>1734</v>
      </c>
      <c r="F41" s="30"/>
      <c r="G41" s="30" t="s">
        <v>1724</v>
      </c>
      <c r="H41" s="30"/>
      <c r="I41" s="30"/>
      <c r="J41" s="30"/>
      <c r="K41" s="30"/>
      <c r="L41" s="30"/>
      <c r="M41" s="30"/>
      <c r="N41" s="30"/>
      <c r="O41" s="30"/>
      <c r="P41" s="30"/>
      <c r="Q41" s="30"/>
    </row>
    <row r="42" spans="1:17" ht="16.05" customHeight="1" x14ac:dyDescent="0.3">
      <c r="A42" s="28">
        <v>39</v>
      </c>
      <c r="B42" s="28" t="s">
        <v>522</v>
      </c>
      <c r="C42" s="28" t="s">
        <v>152</v>
      </c>
      <c r="D42" s="28" t="s">
        <v>168</v>
      </c>
      <c r="E42" s="28" t="s">
        <v>1735</v>
      </c>
      <c r="F42" s="28"/>
      <c r="G42" s="28" t="s">
        <v>1724</v>
      </c>
      <c r="H42" s="28"/>
      <c r="I42" s="28"/>
      <c r="J42" s="28"/>
      <c r="K42" s="28"/>
      <c r="L42" s="28"/>
      <c r="M42" s="28"/>
      <c r="N42" s="28"/>
      <c r="O42" s="28"/>
      <c r="P42" s="28"/>
      <c r="Q42" s="28"/>
    </row>
    <row r="43" spans="1:17" ht="16.05" customHeight="1" x14ac:dyDescent="0.3">
      <c r="A43" s="30">
        <v>40</v>
      </c>
      <c r="B43" s="30" t="s">
        <v>522</v>
      </c>
      <c r="C43" s="30" t="s">
        <v>143</v>
      </c>
      <c r="D43" s="30" t="s">
        <v>176</v>
      </c>
      <c r="E43" s="30" t="s">
        <v>1736</v>
      </c>
      <c r="F43" s="30"/>
      <c r="G43" s="30" t="s">
        <v>1724</v>
      </c>
      <c r="H43" s="30"/>
      <c r="I43" s="30"/>
      <c r="J43" s="30"/>
      <c r="K43" s="30"/>
      <c r="L43" s="30"/>
      <c r="M43" s="30"/>
      <c r="N43" s="30"/>
      <c r="O43" s="30"/>
      <c r="P43" s="30"/>
      <c r="Q43" s="30"/>
    </row>
    <row r="44" spans="1:17" ht="16.05" customHeight="1" x14ac:dyDescent="0.3">
      <c r="A44" s="28">
        <v>41</v>
      </c>
      <c r="B44" s="28" t="s">
        <v>523</v>
      </c>
      <c r="C44" s="28" t="s">
        <v>142</v>
      </c>
      <c r="D44" s="28" t="s">
        <v>164</v>
      </c>
      <c r="E44" s="28" t="s">
        <v>1727</v>
      </c>
      <c r="F44" s="28"/>
      <c r="G44" s="28" t="s">
        <v>1724</v>
      </c>
      <c r="H44" s="28"/>
      <c r="I44" s="28"/>
      <c r="J44" s="28"/>
      <c r="K44" s="28"/>
      <c r="L44" s="28"/>
      <c r="M44" s="28"/>
      <c r="N44" s="28"/>
      <c r="O44" s="28"/>
      <c r="P44" s="28"/>
      <c r="Q44" s="28"/>
    </row>
    <row r="45" spans="1:17" ht="16.05" customHeight="1" x14ac:dyDescent="0.3">
      <c r="A45" s="30">
        <v>42</v>
      </c>
      <c r="B45" s="30" t="s">
        <v>523</v>
      </c>
      <c r="C45" s="30" t="s">
        <v>146</v>
      </c>
      <c r="D45" s="30" t="s">
        <v>168</v>
      </c>
      <c r="E45" s="30" t="s">
        <v>1728</v>
      </c>
      <c r="F45" s="30"/>
      <c r="G45" s="30" t="s">
        <v>1724</v>
      </c>
      <c r="H45" s="30"/>
      <c r="I45" s="30"/>
      <c r="J45" s="30"/>
      <c r="K45" s="30"/>
      <c r="L45" s="30"/>
      <c r="M45" s="30"/>
      <c r="N45" s="30"/>
      <c r="O45" s="30"/>
      <c r="P45" s="30"/>
      <c r="Q45" s="30"/>
    </row>
    <row r="46" spans="1:17" ht="16.05" customHeight="1" x14ac:dyDescent="0.3">
      <c r="A46" s="28">
        <v>43</v>
      </c>
      <c r="B46" s="28" t="s">
        <v>523</v>
      </c>
      <c r="C46" s="28" t="s">
        <v>147</v>
      </c>
      <c r="D46" s="28" t="s">
        <v>168</v>
      </c>
      <c r="E46" s="28" t="s">
        <v>1729</v>
      </c>
      <c r="F46" s="28"/>
      <c r="G46" s="28" t="s">
        <v>1724</v>
      </c>
      <c r="H46" s="28"/>
      <c r="I46" s="28"/>
      <c r="J46" s="28"/>
      <c r="K46" s="28"/>
      <c r="L46" s="28"/>
      <c r="M46" s="28"/>
      <c r="N46" s="28"/>
      <c r="O46" s="28"/>
      <c r="P46" s="28"/>
      <c r="Q46" s="28"/>
    </row>
    <row r="47" spans="1:17" ht="16.05" customHeight="1" x14ac:dyDescent="0.3">
      <c r="A47" s="30">
        <v>44</v>
      </c>
      <c r="B47" s="30" t="s">
        <v>523</v>
      </c>
      <c r="C47" s="30" t="s">
        <v>143</v>
      </c>
      <c r="D47" s="30" t="s">
        <v>172</v>
      </c>
      <c r="E47" s="30" t="s">
        <v>1730</v>
      </c>
      <c r="F47" s="30"/>
      <c r="G47" s="30" t="s">
        <v>1724</v>
      </c>
      <c r="H47" s="30"/>
      <c r="I47" s="30"/>
      <c r="J47" s="30"/>
      <c r="K47" s="30"/>
      <c r="L47" s="30"/>
      <c r="M47" s="30"/>
      <c r="N47" s="30"/>
      <c r="O47" s="30"/>
      <c r="P47" s="30"/>
      <c r="Q47" s="30"/>
    </row>
    <row r="48" spans="1:17" ht="16.05" customHeight="1" x14ac:dyDescent="0.3">
      <c r="A48" s="28">
        <v>45</v>
      </c>
      <c r="B48" s="28" t="s">
        <v>523</v>
      </c>
      <c r="C48" s="28" t="s">
        <v>143</v>
      </c>
      <c r="D48" s="28" t="s">
        <v>176</v>
      </c>
      <c r="E48" s="28" t="s">
        <v>1731</v>
      </c>
      <c r="F48" s="28"/>
      <c r="G48" s="28" t="s">
        <v>1724</v>
      </c>
      <c r="H48" s="28"/>
      <c r="I48" s="28"/>
      <c r="J48" s="28"/>
      <c r="K48" s="28"/>
      <c r="L48" s="28"/>
      <c r="M48" s="28"/>
      <c r="N48" s="28"/>
      <c r="O48" s="28"/>
      <c r="P48" s="28"/>
      <c r="Q48" s="28"/>
    </row>
    <row r="49" spans="1:17" ht="16.05" customHeight="1" x14ac:dyDescent="0.3">
      <c r="A49" s="30">
        <v>46</v>
      </c>
      <c r="B49" s="30" t="s">
        <v>523</v>
      </c>
      <c r="C49" s="30" t="s">
        <v>144</v>
      </c>
      <c r="D49" s="30" t="s">
        <v>176</v>
      </c>
      <c r="E49" s="30" t="s">
        <v>1732</v>
      </c>
      <c r="F49" s="30"/>
      <c r="G49" s="30" t="s">
        <v>1724</v>
      </c>
      <c r="H49" s="30"/>
      <c r="I49" s="30"/>
      <c r="J49" s="30"/>
      <c r="K49" s="30"/>
      <c r="L49" s="30"/>
      <c r="M49" s="30"/>
      <c r="N49" s="30"/>
      <c r="O49" s="30"/>
      <c r="P49" s="30"/>
      <c r="Q49" s="30"/>
    </row>
    <row r="50" spans="1:17" ht="16.05" customHeight="1" x14ac:dyDescent="0.3">
      <c r="A50" s="28">
        <v>47</v>
      </c>
      <c r="B50" s="28" t="s">
        <v>523</v>
      </c>
      <c r="C50" s="28" t="s">
        <v>148</v>
      </c>
      <c r="D50" s="28" t="s">
        <v>168</v>
      </c>
      <c r="E50" s="28" t="s">
        <v>1733</v>
      </c>
      <c r="F50" s="28"/>
      <c r="G50" s="28" t="s">
        <v>1724</v>
      </c>
      <c r="H50" s="28"/>
      <c r="I50" s="28"/>
      <c r="J50" s="28"/>
      <c r="K50" s="28"/>
      <c r="L50" s="28"/>
      <c r="M50" s="28"/>
      <c r="N50" s="28"/>
      <c r="O50" s="28"/>
      <c r="P50" s="28"/>
      <c r="Q50" s="28"/>
    </row>
    <row r="51" spans="1:17" ht="16.05" customHeight="1" x14ac:dyDescent="0.3">
      <c r="A51" s="30">
        <v>48</v>
      </c>
      <c r="B51" s="30" t="s">
        <v>523</v>
      </c>
      <c r="C51" s="30" t="s">
        <v>148</v>
      </c>
      <c r="D51" s="30" t="s">
        <v>176</v>
      </c>
      <c r="E51" s="30" t="s">
        <v>1734</v>
      </c>
      <c r="F51" s="30"/>
      <c r="G51" s="30" t="s">
        <v>1724</v>
      </c>
      <c r="H51" s="30"/>
      <c r="I51" s="30"/>
      <c r="J51" s="30"/>
      <c r="K51" s="30"/>
      <c r="L51" s="30"/>
      <c r="M51" s="30"/>
      <c r="N51" s="30"/>
      <c r="O51" s="30"/>
      <c r="P51" s="30"/>
      <c r="Q51" s="30"/>
    </row>
    <row r="52" spans="1:17" ht="16.05" customHeight="1" x14ac:dyDescent="0.3">
      <c r="A52" s="28">
        <v>49</v>
      </c>
      <c r="B52" s="28" t="s">
        <v>523</v>
      </c>
      <c r="C52" s="28" t="s">
        <v>152</v>
      </c>
      <c r="D52" s="28" t="s">
        <v>168</v>
      </c>
      <c r="E52" s="28" t="s">
        <v>1735</v>
      </c>
      <c r="F52" s="28"/>
      <c r="G52" s="28" t="s">
        <v>1724</v>
      </c>
      <c r="H52" s="28"/>
      <c r="I52" s="28"/>
      <c r="J52" s="28"/>
      <c r="K52" s="28"/>
      <c r="L52" s="28"/>
      <c r="M52" s="28"/>
      <c r="N52" s="28"/>
      <c r="O52" s="28"/>
      <c r="P52" s="28"/>
      <c r="Q52" s="28"/>
    </row>
    <row r="53" spans="1:17" ht="16.05" customHeight="1" x14ac:dyDescent="0.3">
      <c r="A53" s="30">
        <v>50</v>
      </c>
      <c r="B53" s="30" t="s">
        <v>523</v>
      </c>
      <c r="C53" s="30" t="s">
        <v>143</v>
      </c>
      <c r="D53" s="30" t="s">
        <v>176</v>
      </c>
      <c r="E53" s="30" t="s">
        <v>1736</v>
      </c>
      <c r="F53" s="30"/>
      <c r="G53" s="30" t="s">
        <v>1724</v>
      </c>
      <c r="H53" s="30"/>
      <c r="I53" s="30"/>
      <c r="J53" s="30"/>
      <c r="K53" s="30"/>
      <c r="L53" s="30"/>
      <c r="M53" s="30"/>
      <c r="N53" s="30"/>
      <c r="O53" s="30"/>
      <c r="P53" s="30"/>
      <c r="Q53" s="30"/>
    </row>
    <row r="54" spans="1:17" ht="16.05" customHeight="1" x14ac:dyDescent="0.3">
      <c r="A54" s="28">
        <v>51</v>
      </c>
      <c r="B54" s="28" t="s">
        <v>524</v>
      </c>
      <c r="C54" s="28" t="s">
        <v>142</v>
      </c>
      <c r="D54" s="28" t="s">
        <v>164</v>
      </c>
      <c r="E54" s="28" t="s">
        <v>1727</v>
      </c>
      <c r="F54" s="28"/>
      <c r="G54" s="28" t="s">
        <v>1724</v>
      </c>
      <c r="H54" s="28"/>
      <c r="I54" s="28"/>
      <c r="J54" s="28"/>
      <c r="K54" s="28"/>
      <c r="L54" s="28"/>
      <c r="M54" s="28"/>
      <c r="N54" s="28"/>
      <c r="O54" s="28"/>
      <c r="P54" s="28"/>
      <c r="Q54" s="28"/>
    </row>
    <row r="55" spans="1:17" ht="16.05" customHeight="1" x14ac:dyDescent="0.3">
      <c r="A55" s="30">
        <v>52</v>
      </c>
      <c r="B55" s="30" t="s">
        <v>524</v>
      </c>
      <c r="C55" s="30" t="s">
        <v>146</v>
      </c>
      <c r="D55" s="30" t="s">
        <v>168</v>
      </c>
      <c r="E55" s="30" t="s">
        <v>1728</v>
      </c>
      <c r="F55" s="30"/>
      <c r="G55" s="30" t="s">
        <v>1724</v>
      </c>
      <c r="H55" s="30"/>
      <c r="I55" s="30"/>
      <c r="J55" s="30"/>
      <c r="K55" s="30"/>
      <c r="L55" s="30"/>
      <c r="M55" s="30"/>
      <c r="N55" s="30"/>
      <c r="O55" s="30"/>
      <c r="P55" s="30"/>
      <c r="Q55" s="30"/>
    </row>
    <row r="56" spans="1:17" ht="16.05" customHeight="1" x14ac:dyDescent="0.3">
      <c r="A56" s="28">
        <v>53</v>
      </c>
      <c r="B56" s="28" t="s">
        <v>524</v>
      </c>
      <c r="C56" s="28" t="s">
        <v>147</v>
      </c>
      <c r="D56" s="28" t="s">
        <v>168</v>
      </c>
      <c r="E56" s="28" t="s">
        <v>1729</v>
      </c>
      <c r="F56" s="28"/>
      <c r="G56" s="28" t="s">
        <v>1724</v>
      </c>
      <c r="H56" s="28"/>
      <c r="I56" s="28"/>
      <c r="J56" s="28"/>
      <c r="K56" s="28"/>
      <c r="L56" s="28"/>
      <c r="M56" s="28"/>
      <c r="N56" s="28"/>
      <c r="O56" s="28"/>
      <c r="P56" s="28"/>
      <c r="Q56" s="28"/>
    </row>
    <row r="57" spans="1:17" ht="16.05" customHeight="1" x14ac:dyDescent="0.3">
      <c r="A57" s="30">
        <v>54</v>
      </c>
      <c r="B57" s="30" t="s">
        <v>524</v>
      </c>
      <c r="C57" s="30" t="s">
        <v>143</v>
      </c>
      <c r="D57" s="30" t="s">
        <v>172</v>
      </c>
      <c r="E57" s="30" t="s">
        <v>1730</v>
      </c>
      <c r="F57" s="30"/>
      <c r="G57" s="30" t="s">
        <v>1724</v>
      </c>
      <c r="H57" s="30"/>
      <c r="I57" s="30"/>
      <c r="J57" s="30"/>
      <c r="K57" s="30"/>
      <c r="L57" s="30"/>
      <c r="M57" s="30"/>
      <c r="N57" s="30"/>
      <c r="O57" s="30"/>
      <c r="P57" s="30"/>
      <c r="Q57" s="30"/>
    </row>
    <row r="58" spans="1:17" ht="16.05" customHeight="1" x14ac:dyDescent="0.3">
      <c r="A58" s="28">
        <v>55</v>
      </c>
      <c r="B58" s="28" t="s">
        <v>524</v>
      </c>
      <c r="C58" s="28" t="s">
        <v>143</v>
      </c>
      <c r="D58" s="28" t="s">
        <v>176</v>
      </c>
      <c r="E58" s="28" t="s">
        <v>1731</v>
      </c>
      <c r="F58" s="28"/>
      <c r="G58" s="28" t="s">
        <v>1724</v>
      </c>
      <c r="H58" s="28"/>
      <c r="I58" s="28"/>
      <c r="J58" s="28"/>
      <c r="K58" s="28"/>
      <c r="L58" s="28"/>
      <c r="M58" s="28"/>
      <c r="N58" s="28"/>
      <c r="O58" s="28"/>
      <c r="P58" s="28"/>
      <c r="Q58" s="28"/>
    </row>
    <row r="59" spans="1:17" ht="16.05" customHeight="1" x14ac:dyDescent="0.3">
      <c r="A59" s="30">
        <v>56</v>
      </c>
      <c r="B59" s="30" t="s">
        <v>524</v>
      </c>
      <c r="C59" s="30" t="s">
        <v>144</v>
      </c>
      <c r="D59" s="30" t="s">
        <v>176</v>
      </c>
      <c r="E59" s="30" t="s">
        <v>1732</v>
      </c>
      <c r="F59" s="30"/>
      <c r="G59" s="30" t="s">
        <v>1724</v>
      </c>
      <c r="H59" s="30"/>
      <c r="I59" s="30"/>
      <c r="J59" s="30"/>
      <c r="K59" s="30"/>
      <c r="L59" s="30"/>
      <c r="M59" s="30"/>
      <c r="N59" s="30"/>
      <c r="O59" s="30"/>
      <c r="P59" s="30"/>
      <c r="Q59" s="30"/>
    </row>
    <row r="60" spans="1:17" ht="16.05" customHeight="1" x14ac:dyDescent="0.3">
      <c r="A60" s="28">
        <v>57</v>
      </c>
      <c r="B60" s="28" t="s">
        <v>524</v>
      </c>
      <c r="C60" s="28" t="s">
        <v>148</v>
      </c>
      <c r="D60" s="28" t="s">
        <v>168</v>
      </c>
      <c r="E60" s="28" t="s">
        <v>1733</v>
      </c>
      <c r="F60" s="28"/>
      <c r="G60" s="28" t="s">
        <v>1724</v>
      </c>
      <c r="H60" s="28"/>
      <c r="I60" s="28"/>
      <c r="J60" s="28"/>
      <c r="K60" s="28"/>
      <c r="L60" s="28"/>
      <c r="M60" s="28"/>
      <c r="N60" s="28"/>
      <c r="O60" s="28"/>
      <c r="P60" s="28"/>
      <c r="Q60" s="28"/>
    </row>
    <row r="61" spans="1:17" ht="16.05" customHeight="1" x14ac:dyDescent="0.3">
      <c r="A61" s="30">
        <v>58</v>
      </c>
      <c r="B61" s="30" t="s">
        <v>524</v>
      </c>
      <c r="C61" s="30" t="s">
        <v>148</v>
      </c>
      <c r="D61" s="30" t="s">
        <v>176</v>
      </c>
      <c r="E61" s="30" t="s">
        <v>1734</v>
      </c>
      <c r="F61" s="30"/>
      <c r="G61" s="30" t="s">
        <v>1724</v>
      </c>
      <c r="H61" s="30"/>
      <c r="I61" s="30"/>
      <c r="J61" s="30"/>
      <c r="K61" s="30"/>
      <c r="L61" s="30"/>
      <c r="M61" s="30"/>
      <c r="N61" s="30"/>
      <c r="O61" s="30"/>
      <c r="P61" s="30"/>
      <c r="Q61" s="30"/>
    </row>
    <row r="62" spans="1:17" ht="16.05" customHeight="1" x14ac:dyDescent="0.3">
      <c r="A62" s="28">
        <v>59</v>
      </c>
      <c r="B62" s="28" t="s">
        <v>524</v>
      </c>
      <c r="C62" s="28" t="s">
        <v>152</v>
      </c>
      <c r="D62" s="28" t="s">
        <v>168</v>
      </c>
      <c r="E62" s="28" t="s">
        <v>1735</v>
      </c>
      <c r="F62" s="28"/>
      <c r="G62" s="28" t="s">
        <v>1724</v>
      </c>
      <c r="H62" s="28"/>
      <c r="I62" s="28"/>
      <c r="J62" s="28"/>
      <c r="K62" s="28"/>
      <c r="L62" s="28"/>
      <c r="M62" s="28"/>
      <c r="N62" s="28"/>
      <c r="O62" s="28"/>
      <c r="P62" s="28"/>
      <c r="Q62" s="28"/>
    </row>
    <row r="63" spans="1:17" ht="16.05" customHeight="1" x14ac:dyDescent="0.3">
      <c r="A63" s="30">
        <v>60</v>
      </c>
      <c r="B63" s="30" t="s">
        <v>524</v>
      </c>
      <c r="C63" s="30" t="s">
        <v>143</v>
      </c>
      <c r="D63" s="30" t="s">
        <v>176</v>
      </c>
      <c r="E63" s="30" t="s">
        <v>1736</v>
      </c>
      <c r="F63" s="30"/>
      <c r="G63" s="30" t="s">
        <v>1724</v>
      </c>
      <c r="H63" s="30"/>
      <c r="I63" s="30"/>
      <c r="J63" s="30"/>
      <c r="K63" s="30"/>
      <c r="L63" s="30"/>
      <c r="M63" s="30"/>
      <c r="N63" s="30"/>
      <c r="O63" s="30"/>
      <c r="P63" s="30"/>
      <c r="Q63" s="30"/>
    </row>
    <row r="64" spans="1:17" ht="16.05" customHeight="1" x14ac:dyDescent="0.3">
      <c r="A64" s="28">
        <v>61</v>
      </c>
      <c r="B64" s="28" t="s">
        <v>525</v>
      </c>
      <c r="C64" s="28" t="s">
        <v>142</v>
      </c>
      <c r="D64" s="28" t="s">
        <v>164</v>
      </c>
      <c r="E64" s="28" t="s">
        <v>1727</v>
      </c>
      <c r="F64" s="28"/>
      <c r="G64" s="28" t="s">
        <v>1724</v>
      </c>
      <c r="H64" s="28"/>
      <c r="I64" s="28"/>
      <c r="J64" s="28"/>
      <c r="K64" s="28"/>
      <c r="L64" s="28"/>
      <c r="M64" s="28"/>
      <c r="N64" s="28"/>
      <c r="O64" s="28"/>
      <c r="P64" s="28"/>
      <c r="Q64" s="28"/>
    </row>
    <row r="65" spans="1:17" ht="16.05" customHeight="1" x14ac:dyDescent="0.3">
      <c r="A65" s="30">
        <v>62</v>
      </c>
      <c r="B65" s="30" t="s">
        <v>525</v>
      </c>
      <c r="C65" s="30" t="s">
        <v>146</v>
      </c>
      <c r="D65" s="30" t="s">
        <v>168</v>
      </c>
      <c r="E65" s="30" t="s">
        <v>1728</v>
      </c>
      <c r="F65" s="30"/>
      <c r="G65" s="30" t="s">
        <v>1724</v>
      </c>
      <c r="H65" s="30"/>
      <c r="I65" s="30"/>
      <c r="J65" s="30"/>
      <c r="K65" s="30"/>
      <c r="L65" s="30"/>
      <c r="M65" s="30"/>
      <c r="N65" s="30"/>
      <c r="O65" s="30"/>
      <c r="P65" s="30"/>
      <c r="Q65" s="30"/>
    </row>
    <row r="66" spans="1:17" ht="16.05" customHeight="1" x14ac:dyDescent="0.3">
      <c r="A66" s="28">
        <v>63</v>
      </c>
      <c r="B66" s="28" t="s">
        <v>525</v>
      </c>
      <c r="C66" s="28" t="s">
        <v>147</v>
      </c>
      <c r="D66" s="28" t="s">
        <v>168</v>
      </c>
      <c r="E66" s="28" t="s">
        <v>1729</v>
      </c>
      <c r="F66" s="28"/>
      <c r="G66" s="28" t="s">
        <v>1724</v>
      </c>
      <c r="H66" s="28"/>
      <c r="I66" s="28"/>
      <c r="J66" s="28"/>
      <c r="K66" s="28"/>
      <c r="L66" s="28"/>
      <c r="M66" s="28"/>
      <c r="N66" s="28"/>
      <c r="O66" s="28"/>
      <c r="P66" s="28"/>
      <c r="Q66" s="28"/>
    </row>
    <row r="67" spans="1:17" ht="16.05" customHeight="1" x14ac:dyDescent="0.3">
      <c r="A67" s="30">
        <v>64</v>
      </c>
      <c r="B67" s="30" t="s">
        <v>525</v>
      </c>
      <c r="C67" s="30" t="s">
        <v>143</v>
      </c>
      <c r="D67" s="30" t="s">
        <v>172</v>
      </c>
      <c r="E67" s="30" t="s">
        <v>1730</v>
      </c>
      <c r="F67" s="30"/>
      <c r="G67" s="30" t="s">
        <v>1724</v>
      </c>
      <c r="H67" s="30"/>
      <c r="I67" s="30"/>
      <c r="J67" s="30"/>
      <c r="K67" s="30"/>
      <c r="L67" s="30"/>
      <c r="M67" s="30"/>
      <c r="N67" s="30"/>
      <c r="O67" s="30"/>
      <c r="P67" s="30"/>
      <c r="Q67" s="30"/>
    </row>
    <row r="68" spans="1:17" ht="16.05" customHeight="1" x14ac:dyDescent="0.3">
      <c r="A68" s="28">
        <v>65</v>
      </c>
      <c r="B68" s="28" t="s">
        <v>525</v>
      </c>
      <c r="C68" s="28" t="s">
        <v>143</v>
      </c>
      <c r="D68" s="28" t="s">
        <v>176</v>
      </c>
      <c r="E68" s="28" t="s">
        <v>1731</v>
      </c>
      <c r="F68" s="28"/>
      <c r="G68" s="28" t="s">
        <v>1724</v>
      </c>
      <c r="H68" s="28"/>
      <c r="I68" s="28"/>
      <c r="J68" s="28"/>
      <c r="K68" s="28"/>
      <c r="L68" s="28"/>
      <c r="M68" s="28"/>
      <c r="N68" s="28"/>
      <c r="O68" s="28"/>
      <c r="P68" s="28"/>
      <c r="Q68" s="28"/>
    </row>
    <row r="69" spans="1:17" ht="16.05" customHeight="1" x14ac:dyDescent="0.3">
      <c r="A69" s="30">
        <v>66</v>
      </c>
      <c r="B69" s="30" t="s">
        <v>525</v>
      </c>
      <c r="C69" s="30" t="s">
        <v>144</v>
      </c>
      <c r="D69" s="30" t="s">
        <v>176</v>
      </c>
      <c r="E69" s="30" t="s">
        <v>1732</v>
      </c>
      <c r="F69" s="30"/>
      <c r="G69" s="30" t="s">
        <v>1724</v>
      </c>
      <c r="H69" s="30"/>
      <c r="I69" s="30"/>
      <c r="J69" s="30"/>
      <c r="K69" s="30"/>
      <c r="L69" s="30"/>
      <c r="M69" s="30"/>
      <c r="N69" s="30"/>
      <c r="O69" s="30"/>
      <c r="P69" s="30"/>
      <c r="Q69" s="30"/>
    </row>
    <row r="70" spans="1:17" ht="16.05" customHeight="1" x14ac:dyDescent="0.3">
      <c r="A70" s="28">
        <v>67</v>
      </c>
      <c r="B70" s="28" t="s">
        <v>525</v>
      </c>
      <c r="C70" s="28" t="s">
        <v>148</v>
      </c>
      <c r="D70" s="28" t="s">
        <v>168</v>
      </c>
      <c r="E70" s="28" t="s">
        <v>1733</v>
      </c>
      <c r="F70" s="28"/>
      <c r="G70" s="28" t="s">
        <v>1724</v>
      </c>
      <c r="H70" s="28"/>
      <c r="I70" s="28"/>
      <c r="J70" s="28"/>
      <c r="K70" s="28"/>
      <c r="L70" s="28"/>
      <c r="M70" s="28"/>
      <c r="N70" s="28"/>
      <c r="O70" s="28"/>
      <c r="P70" s="28"/>
      <c r="Q70" s="28"/>
    </row>
    <row r="71" spans="1:17" ht="16.05" customHeight="1" x14ac:dyDescent="0.3">
      <c r="A71" s="30">
        <v>68</v>
      </c>
      <c r="B71" s="30" t="s">
        <v>525</v>
      </c>
      <c r="C71" s="30" t="s">
        <v>148</v>
      </c>
      <c r="D71" s="30" t="s">
        <v>176</v>
      </c>
      <c r="E71" s="30" t="s">
        <v>1734</v>
      </c>
      <c r="F71" s="30"/>
      <c r="G71" s="30" t="s">
        <v>1724</v>
      </c>
      <c r="H71" s="30"/>
      <c r="I71" s="30"/>
      <c r="J71" s="30"/>
      <c r="K71" s="30"/>
      <c r="L71" s="30"/>
      <c r="M71" s="30"/>
      <c r="N71" s="30"/>
      <c r="O71" s="30"/>
      <c r="P71" s="30"/>
      <c r="Q71" s="30"/>
    </row>
    <row r="72" spans="1:17" ht="16.05" customHeight="1" x14ac:dyDescent="0.3">
      <c r="A72" s="28">
        <v>69</v>
      </c>
      <c r="B72" s="28" t="s">
        <v>525</v>
      </c>
      <c r="C72" s="28" t="s">
        <v>152</v>
      </c>
      <c r="D72" s="28" t="s">
        <v>168</v>
      </c>
      <c r="E72" s="28" t="s">
        <v>1735</v>
      </c>
      <c r="F72" s="28"/>
      <c r="G72" s="28" t="s">
        <v>1724</v>
      </c>
      <c r="H72" s="28"/>
      <c r="I72" s="28"/>
      <c r="J72" s="28"/>
      <c r="K72" s="28"/>
      <c r="L72" s="28"/>
      <c r="M72" s="28"/>
      <c r="N72" s="28"/>
      <c r="O72" s="28"/>
      <c r="P72" s="28"/>
      <c r="Q72" s="28"/>
    </row>
    <row r="73" spans="1:17" ht="16.05" customHeight="1" x14ac:dyDescent="0.3">
      <c r="A73" s="30">
        <v>70</v>
      </c>
      <c r="B73" s="30" t="s">
        <v>525</v>
      </c>
      <c r="C73" s="30" t="s">
        <v>143</v>
      </c>
      <c r="D73" s="30" t="s">
        <v>176</v>
      </c>
      <c r="E73" s="30" t="s">
        <v>1736</v>
      </c>
      <c r="F73" s="30"/>
      <c r="G73" s="30" t="s">
        <v>1724</v>
      </c>
      <c r="H73" s="30"/>
      <c r="I73" s="30"/>
      <c r="J73" s="30"/>
      <c r="K73" s="30"/>
      <c r="L73" s="30"/>
      <c r="M73" s="30"/>
      <c r="N73" s="30"/>
      <c r="O73" s="30"/>
      <c r="P73" s="30"/>
      <c r="Q73" s="30"/>
    </row>
    <row r="74" spans="1:17" ht="16.05" customHeight="1" x14ac:dyDescent="0.3">
      <c r="A74" s="28">
        <v>71</v>
      </c>
      <c r="B74" s="28" t="s">
        <v>526</v>
      </c>
      <c r="C74" s="28" t="s">
        <v>142</v>
      </c>
      <c r="D74" s="28" t="s">
        <v>164</v>
      </c>
      <c r="E74" s="28" t="s">
        <v>1727</v>
      </c>
      <c r="F74" s="28"/>
      <c r="G74" s="28" t="s">
        <v>1724</v>
      </c>
      <c r="H74" s="28"/>
      <c r="I74" s="28"/>
      <c r="J74" s="28"/>
      <c r="K74" s="28"/>
      <c r="L74" s="28"/>
      <c r="M74" s="28"/>
      <c r="N74" s="28"/>
      <c r="O74" s="28"/>
      <c r="P74" s="28"/>
      <c r="Q74" s="28"/>
    </row>
    <row r="75" spans="1:17" ht="16.05" customHeight="1" x14ac:dyDescent="0.3">
      <c r="A75" s="30">
        <v>72</v>
      </c>
      <c r="B75" s="30" t="s">
        <v>526</v>
      </c>
      <c r="C75" s="30" t="s">
        <v>146</v>
      </c>
      <c r="D75" s="30" t="s">
        <v>168</v>
      </c>
      <c r="E75" s="30" t="s">
        <v>1728</v>
      </c>
      <c r="F75" s="30"/>
      <c r="G75" s="30" t="s">
        <v>1724</v>
      </c>
      <c r="H75" s="30"/>
      <c r="I75" s="30"/>
      <c r="J75" s="30"/>
      <c r="K75" s="30"/>
      <c r="L75" s="30"/>
      <c r="M75" s="30"/>
      <c r="N75" s="30"/>
      <c r="O75" s="30"/>
      <c r="P75" s="30"/>
      <c r="Q75" s="30"/>
    </row>
    <row r="76" spans="1:17" ht="16.05" customHeight="1" x14ac:dyDescent="0.3">
      <c r="A76" s="28">
        <v>73</v>
      </c>
      <c r="B76" s="28" t="s">
        <v>526</v>
      </c>
      <c r="C76" s="28" t="s">
        <v>147</v>
      </c>
      <c r="D76" s="28" t="s">
        <v>168</v>
      </c>
      <c r="E76" s="28" t="s">
        <v>1729</v>
      </c>
      <c r="F76" s="28"/>
      <c r="G76" s="28" t="s">
        <v>1724</v>
      </c>
      <c r="H76" s="28"/>
      <c r="I76" s="28"/>
      <c r="J76" s="28"/>
      <c r="K76" s="28"/>
      <c r="L76" s="28"/>
      <c r="M76" s="28"/>
      <c r="N76" s="28"/>
      <c r="O76" s="28"/>
      <c r="P76" s="28"/>
      <c r="Q76" s="28"/>
    </row>
    <row r="77" spans="1:17" ht="16.05" customHeight="1" x14ac:dyDescent="0.3">
      <c r="A77" s="30">
        <v>74</v>
      </c>
      <c r="B77" s="30" t="s">
        <v>526</v>
      </c>
      <c r="C77" s="30" t="s">
        <v>143</v>
      </c>
      <c r="D77" s="30" t="s">
        <v>172</v>
      </c>
      <c r="E77" s="30" t="s">
        <v>1730</v>
      </c>
      <c r="F77" s="30"/>
      <c r="G77" s="30" t="s">
        <v>1724</v>
      </c>
      <c r="H77" s="30"/>
      <c r="I77" s="30"/>
      <c r="J77" s="30"/>
      <c r="K77" s="30"/>
      <c r="L77" s="30"/>
      <c r="M77" s="30"/>
      <c r="N77" s="30"/>
      <c r="O77" s="30"/>
      <c r="P77" s="30"/>
      <c r="Q77" s="30"/>
    </row>
    <row r="78" spans="1:17" ht="16.05" customHeight="1" x14ac:dyDescent="0.3">
      <c r="A78" s="28">
        <v>75</v>
      </c>
      <c r="B78" s="28" t="s">
        <v>526</v>
      </c>
      <c r="C78" s="28" t="s">
        <v>143</v>
      </c>
      <c r="D78" s="28" t="s">
        <v>176</v>
      </c>
      <c r="E78" s="28" t="s">
        <v>1731</v>
      </c>
      <c r="F78" s="28"/>
      <c r="G78" s="28" t="s">
        <v>1724</v>
      </c>
      <c r="H78" s="28"/>
      <c r="I78" s="28"/>
      <c r="J78" s="28"/>
      <c r="K78" s="28"/>
      <c r="L78" s="28"/>
      <c r="M78" s="28"/>
      <c r="N78" s="28"/>
      <c r="O78" s="28"/>
      <c r="P78" s="28"/>
      <c r="Q78" s="28"/>
    </row>
    <row r="79" spans="1:17" ht="16.05" customHeight="1" x14ac:dyDescent="0.3">
      <c r="A79" s="30">
        <v>76</v>
      </c>
      <c r="B79" s="30" t="s">
        <v>526</v>
      </c>
      <c r="C79" s="30" t="s">
        <v>144</v>
      </c>
      <c r="D79" s="30" t="s">
        <v>176</v>
      </c>
      <c r="E79" s="30" t="s">
        <v>1732</v>
      </c>
      <c r="F79" s="30"/>
      <c r="G79" s="30" t="s">
        <v>1724</v>
      </c>
      <c r="H79" s="30"/>
      <c r="I79" s="30"/>
      <c r="J79" s="30"/>
      <c r="K79" s="30"/>
      <c r="L79" s="30"/>
      <c r="M79" s="30"/>
      <c r="N79" s="30"/>
      <c r="O79" s="30"/>
      <c r="P79" s="30"/>
      <c r="Q79" s="30"/>
    </row>
    <row r="80" spans="1:17" ht="16.05" customHeight="1" x14ac:dyDescent="0.3">
      <c r="A80" s="28">
        <v>77</v>
      </c>
      <c r="B80" s="28" t="s">
        <v>526</v>
      </c>
      <c r="C80" s="28" t="s">
        <v>148</v>
      </c>
      <c r="D80" s="28" t="s">
        <v>168</v>
      </c>
      <c r="E80" s="28" t="s">
        <v>1733</v>
      </c>
      <c r="F80" s="28"/>
      <c r="G80" s="28" t="s">
        <v>1724</v>
      </c>
      <c r="H80" s="28"/>
      <c r="I80" s="28"/>
      <c r="J80" s="28"/>
      <c r="K80" s="28"/>
      <c r="L80" s="28"/>
      <c r="M80" s="28"/>
      <c r="N80" s="28"/>
      <c r="O80" s="28"/>
      <c r="P80" s="28"/>
      <c r="Q80" s="28"/>
    </row>
    <row r="81" spans="1:17" ht="16.05" customHeight="1" x14ac:dyDescent="0.3">
      <c r="A81" s="30">
        <v>78</v>
      </c>
      <c r="B81" s="30" t="s">
        <v>526</v>
      </c>
      <c r="C81" s="30" t="s">
        <v>148</v>
      </c>
      <c r="D81" s="30" t="s">
        <v>176</v>
      </c>
      <c r="E81" s="30" t="s">
        <v>1734</v>
      </c>
      <c r="F81" s="30"/>
      <c r="G81" s="30" t="s">
        <v>1724</v>
      </c>
      <c r="H81" s="30"/>
      <c r="I81" s="30"/>
      <c r="J81" s="30"/>
      <c r="K81" s="30"/>
      <c r="L81" s="30"/>
      <c r="M81" s="30"/>
      <c r="N81" s="30"/>
      <c r="O81" s="30"/>
      <c r="P81" s="30"/>
      <c r="Q81" s="30"/>
    </row>
    <row r="82" spans="1:17" ht="16.05" customHeight="1" x14ac:dyDescent="0.3">
      <c r="A82" s="28">
        <v>79</v>
      </c>
      <c r="B82" s="28" t="s">
        <v>526</v>
      </c>
      <c r="C82" s="28" t="s">
        <v>152</v>
      </c>
      <c r="D82" s="28" t="s">
        <v>168</v>
      </c>
      <c r="E82" s="28" t="s">
        <v>1735</v>
      </c>
      <c r="F82" s="28"/>
      <c r="G82" s="28" t="s">
        <v>1724</v>
      </c>
      <c r="H82" s="28"/>
      <c r="I82" s="28"/>
      <c r="J82" s="28"/>
      <c r="K82" s="28"/>
      <c r="L82" s="28"/>
      <c r="M82" s="28"/>
      <c r="N82" s="28"/>
      <c r="O82" s="28"/>
      <c r="P82" s="28"/>
      <c r="Q82" s="28"/>
    </row>
    <row r="83" spans="1:17" ht="16.05" customHeight="1" x14ac:dyDescent="0.3">
      <c r="A83" s="30">
        <v>80</v>
      </c>
      <c r="B83" s="30" t="s">
        <v>526</v>
      </c>
      <c r="C83" s="30" t="s">
        <v>143</v>
      </c>
      <c r="D83" s="30" t="s">
        <v>176</v>
      </c>
      <c r="E83" s="30" t="s">
        <v>1736</v>
      </c>
      <c r="F83" s="30"/>
      <c r="G83" s="30" t="s">
        <v>1724</v>
      </c>
      <c r="H83" s="30"/>
      <c r="I83" s="30"/>
      <c r="J83" s="30"/>
      <c r="K83" s="30"/>
      <c r="L83" s="30"/>
      <c r="M83" s="30"/>
      <c r="N83" s="30"/>
      <c r="O83" s="30"/>
      <c r="P83" s="30"/>
      <c r="Q83" s="30"/>
    </row>
    <row r="84" spans="1:17" ht="16.05" customHeight="1" x14ac:dyDescent="0.3">
      <c r="A84" s="28">
        <v>81</v>
      </c>
      <c r="B84" s="28" t="s">
        <v>527</v>
      </c>
      <c r="C84" s="28" t="s">
        <v>142</v>
      </c>
      <c r="D84" s="28" t="s">
        <v>164</v>
      </c>
      <c r="E84" s="28" t="s">
        <v>1727</v>
      </c>
      <c r="F84" s="28"/>
      <c r="G84" s="28" t="s">
        <v>1724</v>
      </c>
      <c r="H84" s="28"/>
      <c r="I84" s="28"/>
      <c r="J84" s="28"/>
      <c r="K84" s="28"/>
      <c r="L84" s="28"/>
      <c r="M84" s="28"/>
      <c r="N84" s="28"/>
      <c r="O84" s="28"/>
      <c r="P84" s="28"/>
      <c r="Q84" s="28"/>
    </row>
    <row r="85" spans="1:17" ht="16.05" customHeight="1" x14ac:dyDescent="0.3">
      <c r="A85" s="30">
        <v>82</v>
      </c>
      <c r="B85" s="30" t="s">
        <v>527</v>
      </c>
      <c r="C85" s="30" t="s">
        <v>146</v>
      </c>
      <c r="D85" s="30" t="s">
        <v>168</v>
      </c>
      <c r="E85" s="30" t="s">
        <v>1728</v>
      </c>
      <c r="F85" s="30"/>
      <c r="G85" s="30" t="s">
        <v>1724</v>
      </c>
      <c r="H85" s="30"/>
      <c r="I85" s="30"/>
      <c r="J85" s="30"/>
      <c r="K85" s="30"/>
      <c r="L85" s="30"/>
      <c r="M85" s="30"/>
      <c r="N85" s="30"/>
      <c r="O85" s="30"/>
      <c r="P85" s="30"/>
      <c r="Q85" s="30"/>
    </row>
    <row r="86" spans="1:17" ht="16.05" customHeight="1" x14ac:dyDescent="0.3">
      <c r="A86" s="28">
        <v>83</v>
      </c>
      <c r="B86" s="28" t="s">
        <v>527</v>
      </c>
      <c r="C86" s="28" t="s">
        <v>147</v>
      </c>
      <c r="D86" s="28" t="s">
        <v>168</v>
      </c>
      <c r="E86" s="28" t="s">
        <v>1729</v>
      </c>
      <c r="F86" s="28"/>
      <c r="G86" s="28" t="s">
        <v>1724</v>
      </c>
      <c r="H86" s="28"/>
      <c r="I86" s="28"/>
      <c r="J86" s="28"/>
      <c r="K86" s="28"/>
      <c r="L86" s="28"/>
      <c r="M86" s="28"/>
      <c r="N86" s="28"/>
      <c r="O86" s="28"/>
      <c r="P86" s="28"/>
      <c r="Q86" s="28"/>
    </row>
    <row r="87" spans="1:17" ht="16.05" customHeight="1" x14ac:dyDescent="0.3">
      <c r="A87" s="30">
        <v>84</v>
      </c>
      <c r="B87" s="30" t="s">
        <v>527</v>
      </c>
      <c r="C87" s="30" t="s">
        <v>143</v>
      </c>
      <c r="D87" s="30" t="s">
        <v>172</v>
      </c>
      <c r="E87" s="30" t="s">
        <v>1730</v>
      </c>
      <c r="F87" s="30"/>
      <c r="G87" s="30" t="s">
        <v>1724</v>
      </c>
      <c r="H87" s="30"/>
      <c r="I87" s="30"/>
      <c r="J87" s="30"/>
      <c r="K87" s="30"/>
      <c r="L87" s="30"/>
      <c r="M87" s="30"/>
      <c r="N87" s="30"/>
      <c r="O87" s="30"/>
      <c r="P87" s="30"/>
      <c r="Q87" s="30"/>
    </row>
    <row r="88" spans="1:17" ht="16.05" customHeight="1" x14ac:dyDescent="0.3">
      <c r="A88" s="28">
        <v>85</v>
      </c>
      <c r="B88" s="28" t="s">
        <v>527</v>
      </c>
      <c r="C88" s="28" t="s">
        <v>143</v>
      </c>
      <c r="D88" s="28" t="s">
        <v>176</v>
      </c>
      <c r="E88" s="28" t="s">
        <v>1731</v>
      </c>
      <c r="F88" s="28"/>
      <c r="G88" s="28" t="s">
        <v>1724</v>
      </c>
      <c r="H88" s="28"/>
      <c r="I88" s="28"/>
      <c r="J88" s="28"/>
      <c r="K88" s="28"/>
      <c r="L88" s="28"/>
      <c r="M88" s="28"/>
      <c r="N88" s="28"/>
      <c r="O88" s="28"/>
      <c r="P88" s="28"/>
      <c r="Q88" s="28"/>
    </row>
    <row r="89" spans="1:17" ht="16.05" customHeight="1" x14ac:dyDescent="0.3">
      <c r="A89" s="30">
        <v>86</v>
      </c>
      <c r="B89" s="30" t="s">
        <v>527</v>
      </c>
      <c r="C89" s="30" t="s">
        <v>144</v>
      </c>
      <c r="D89" s="30" t="s">
        <v>176</v>
      </c>
      <c r="E89" s="30" t="s">
        <v>1732</v>
      </c>
      <c r="F89" s="30"/>
      <c r="G89" s="30" t="s">
        <v>1724</v>
      </c>
      <c r="H89" s="30"/>
      <c r="I89" s="30"/>
      <c r="J89" s="30"/>
      <c r="K89" s="30"/>
      <c r="L89" s="30"/>
      <c r="M89" s="30"/>
      <c r="N89" s="30"/>
      <c r="O89" s="30"/>
      <c r="P89" s="30"/>
      <c r="Q89" s="30"/>
    </row>
    <row r="90" spans="1:17" ht="16.05" customHeight="1" x14ac:dyDescent="0.3">
      <c r="A90" s="28">
        <v>87</v>
      </c>
      <c r="B90" s="28" t="s">
        <v>527</v>
      </c>
      <c r="C90" s="28" t="s">
        <v>148</v>
      </c>
      <c r="D90" s="28" t="s">
        <v>168</v>
      </c>
      <c r="E90" s="28" t="s">
        <v>1733</v>
      </c>
      <c r="F90" s="28"/>
      <c r="G90" s="28" t="s">
        <v>1724</v>
      </c>
      <c r="H90" s="28"/>
      <c r="I90" s="28"/>
      <c r="J90" s="28"/>
      <c r="K90" s="28"/>
      <c r="L90" s="28"/>
      <c r="M90" s="28"/>
      <c r="N90" s="28"/>
      <c r="O90" s="28"/>
      <c r="P90" s="28"/>
      <c r="Q90" s="28"/>
    </row>
    <row r="91" spans="1:17" ht="16.05" customHeight="1" x14ac:dyDescent="0.3">
      <c r="A91" s="30">
        <v>88</v>
      </c>
      <c r="B91" s="30" t="s">
        <v>527</v>
      </c>
      <c r="C91" s="30" t="s">
        <v>148</v>
      </c>
      <c r="D91" s="30" t="s">
        <v>176</v>
      </c>
      <c r="E91" s="30" t="s">
        <v>1734</v>
      </c>
      <c r="F91" s="30"/>
      <c r="G91" s="30" t="s">
        <v>1724</v>
      </c>
      <c r="H91" s="30"/>
      <c r="I91" s="30"/>
      <c r="J91" s="30"/>
      <c r="K91" s="30"/>
      <c r="L91" s="30"/>
      <c r="M91" s="30"/>
      <c r="N91" s="30"/>
      <c r="O91" s="30"/>
      <c r="P91" s="30"/>
      <c r="Q91" s="30"/>
    </row>
    <row r="92" spans="1:17" ht="16.05" customHeight="1" x14ac:dyDescent="0.3">
      <c r="A92" s="28">
        <v>89</v>
      </c>
      <c r="B92" s="28" t="s">
        <v>527</v>
      </c>
      <c r="C92" s="28" t="s">
        <v>152</v>
      </c>
      <c r="D92" s="28" t="s">
        <v>168</v>
      </c>
      <c r="E92" s="28" t="s">
        <v>1735</v>
      </c>
      <c r="F92" s="28"/>
      <c r="G92" s="28" t="s">
        <v>1724</v>
      </c>
      <c r="H92" s="28"/>
      <c r="I92" s="28"/>
      <c r="J92" s="28"/>
      <c r="K92" s="28"/>
      <c r="L92" s="28"/>
      <c r="M92" s="28"/>
      <c r="N92" s="28"/>
      <c r="O92" s="28"/>
      <c r="P92" s="28"/>
      <c r="Q92" s="28"/>
    </row>
    <row r="93" spans="1:17" ht="16.05" customHeight="1" x14ac:dyDescent="0.3">
      <c r="A93" s="30">
        <v>90</v>
      </c>
      <c r="B93" s="30" t="s">
        <v>527</v>
      </c>
      <c r="C93" s="30" t="s">
        <v>143</v>
      </c>
      <c r="D93" s="30" t="s">
        <v>176</v>
      </c>
      <c r="E93" s="30" t="s">
        <v>1736</v>
      </c>
      <c r="F93" s="30"/>
      <c r="G93" s="30" t="s">
        <v>1724</v>
      </c>
      <c r="H93" s="30"/>
      <c r="I93" s="30"/>
      <c r="J93" s="30"/>
      <c r="K93" s="30"/>
      <c r="L93" s="30"/>
      <c r="M93" s="30"/>
      <c r="N93" s="30"/>
      <c r="O93" s="30"/>
      <c r="P93" s="30"/>
      <c r="Q93" s="30"/>
    </row>
    <row r="94" spans="1:17" ht="16.05" customHeight="1" x14ac:dyDescent="0.3">
      <c r="A94" s="28">
        <v>91</v>
      </c>
      <c r="B94" s="28" t="s">
        <v>528</v>
      </c>
      <c r="C94" s="28" t="s">
        <v>142</v>
      </c>
      <c r="D94" s="28" t="s">
        <v>164</v>
      </c>
      <c r="E94" s="28" t="s">
        <v>1727</v>
      </c>
      <c r="F94" s="28"/>
      <c r="G94" s="28" t="s">
        <v>1724</v>
      </c>
      <c r="H94" s="28"/>
      <c r="I94" s="28"/>
      <c r="J94" s="28"/>
      <c r="K94" s="28"/>
      <c r="L94" s="28"/>
      <c r="M94" s="28"/>
      <c r="N94" s="28"/>
      <c r="O94" s="28"/>
      <c r="P94" s="28"/>
      <c r="Q94" s="28"/>
    </row>
    <row r="95" spans="1:17" ht="16.05" customHeight="1" x14ac:dyDescent="0.3">
      <c r="A95" s="30">
        <v>92</v>
      </c>
      <c r="B95" s="30" t="s">
        <v>528</v>
      </c>
      <c r="C95" s="30" t="s">
        <v>146</v>
      </c>
      <c r="D95" s="30" t="s">
        <v>168</v>
      </c>
      <c r="E95" s="30" t="s">
        <v>1728</v>
      </c>
      <c r="F95" s="30"/>
      <c r="G95" s="30" t="s">
        <v>1724</v>
      </c>
      <c r="H95" s="30"/>
      <c r="I95" s="30"/>
      <c r="J95" s="30"/>
      <c r="K95" s="30"/>
      <c r="L95" s="30"/>
      <c r="M95" s="30"/>
      <c r="N95" s="30"/>
      <c r="O95" s="30"/>
      <c r="P95" s="30"/>
      <c r="Q95" s="30"/>
    </row>
    <row r="96" spans="1:17" ht="16.05" customHeight="1" x14ac:dyDescent="0.3">
      <c r="A96" s="28">
        <v>93</v>
      </c>
      <c r="B96" s="28" t="s">
        <v>528</v>
      </c>
      <c r="C96" s="28" t="s">
        <v>147</v>
      </c>
      <c r="D96" s="28" t="s">
        <v>168</v>
      </c>
      <c r="E96" s="28" t="s">
        <v>1729</v>
      </c>
      <c r="F96" s="28"/>
      <c r="G96" s="28" t="s">
        <v>1724</v>
      </c>
      <c r="H96" s="28"/>
      <c r="I96" s="28"/>
      <c r="J96" s="28"/>
      <c r="K96" s="28"/>
      <c r="L96" s="28"/>
      <c r="M96" s="28"/>
      <c r="N96" s="28"/>
      <c r="O96" s="28"/>
      <c r="P96" s="28"/>
      <c r="Q96" s="28"/>
    </row>
    <row r="97" spans="1:17" ht="16.05" customHeight="1" x14ac:dyDescent="0.3">
      <c r="A97" s="30">
        <v>94</v>
      </c>
      <c r="B97" s="30" t="s">
        <v>528</v>
      </c>
      <c r="C97" s="30" t="s">
        <v>143</v>
      </c>
      <c r="D97" s="30" t="s">
        <v>172</v>
      </c>
      <c r="E97" s="30" t="s">
        <v>1730</v>
      </c>
      <c r="F97" s="30"/>
      <c r="G97" s="30" t="s">
        <v>1724</v>
      </c>
      <c r="H97" s="30"/>
      <c r="I97" s="30"/>
      <c r="J97" s="30"/>
      <c r="K97" s="30"/>
      <c r="L97" s="30"/>
      <c r="M97" s="30"/>
      <c r="N97" s="30"/>
      <c r="O97" s="30"/>
      <c r="P97" s="30"/>
      <c r="Q97" s="30"/>
    </row>
    <row r="98" spans="1:17" ht="16.05" customHeight="1" x14ac:dyDescent="0.3">
      <c r="A98" s="28">
        <v>95</v>
      </c>
      <c r="B98" s="28" t="s">
        <v>528</v>
      </c>
      <c r="C98" s="28" t="s">
        <v>143</v>
      </c>
      <c r="D98" s="28" t="s">
        <v>176</v>
      </c>
      <c r="E98" s="28" t="s">
        <v>1731</v>
      </c>
      <c r="F98" s="28"/>
      <c r="G98" s="28" t="s">
        <v>1724</v>
      </c>
      <c r="H98" s="28"/>
      <c r="I98" s="28"/>
      <c r="J98" s="28"/>
      <c r="K98" s="28"/>
      <c r="L98" s="28"/>
      <c r="M98" s="28"/>
      <c r="N98" s="28"/>
      <c r="O98" s="28"/>
      <c r="P98" s="28"/>
      <c r="Q98" s="28"/>
    </row>
    <row r="99" spans="1:17" ht="16.05" customHeight="1" x14ac:dyDescent="0.3">
      <c r="A99" s="30">
        <v>96</v>
      </c>
      <c r="B99" s="30" t="s">
        <v>528</v>
      </c>
      <c r="C99" s="30" t="s">
        <v>144</v>
      </c>
      <c r="D99" s="30" t="s">
        <v>176</v>
      </c>
      <c r="E99" s="30" t="s">
        <v>1732</v>
      </c>
      <c r="F99" s="30"/>
      <c r="G99" s="30" t="s">
        <v>1724</v>
      </c>
      <c r="H99" s="30"/>
      <c r="I99" s="30"/>
      <c r="J99" s="30"/>
      <c r="K99" s="30"/>
      <c r="L99" s="30"/>
      <c r="M99" s="30"/>
      <c r="N99" s="30"/>
      <c r="O99" s="30"/>
      <c r="P99" s="30"/>
      <c r="Q99" s="30"/>
    </row>
    <row r="100" spans="1:17" ht="16.05" customHeight="1" x14ac:dyDescent="0.3">
      <c r="A100" s="28">
        <v>97</v>
      </c>
      <c r="B100" s="28" t="s">
        <v>528</v>
      </c>
      <c r="C100" s="28" t="s">
        <v>148</v>
      </c>
      <c r="D100" s="28" t="s">
        <v>168</v>
      </c>
      <c r="E100" s="28" t="s">
        <v>1733</v>
      </c>
      <c r="F100" s="28"/>
      <c r="G100" s="28" t="s">
        <v>1724</v>
      </c>
      <c r="H100" s="28"/>
      <c r="I100" s="28"/>
      <c r="J100" s="28"/>
      <c r="K100" s="28"/>
      <c r="L100" s="28"/>
      <c r="M100" s="28"/>
      <c r="N100" s="28"/>
      <c r="O100" s="28"/>
      <c r="P100" s="28"/>
      <c r="Q100" s="28"/>
    </row>
    <row r="101" spans="1:17" ht="16.05" customHeight="1" x14ac:dyDescent="0.3">
      <c r="A101" s="30">
        <v>98</v>
      </c>
      <c r="B101" s="30" t="s">
        <v>528</v>
      </c>
      <c r="C101" s="30" t="s">
        <v>148</v>
      </c>
      <c r="D101" s="30" t="s">
        <v>176</v>
      </c>
      <c r="E101" s="30" t="s">
        <v>1734</v>
      </c>
      <c r="F101" s="30"/>
      <c r="G101" s="30" t="s">
        <v>1724</v>
      </c>
      <c r="H101" s="30"/>
      <c r="I101" s="30"/>
      <c r="J101" s="30"/>
      <c r="K101" s="30"/>
      <c r="L101" s="30"/>
      <c r="M101" s="30"/>
      <c r="N101" s="30"/>
      <c r="O101" s="30"/>
      <c r="P101" s="30"/>
      <c r="Q101" s="30"/>
    </row>
    <row r="102" spans="1:17" ht="16.05" customHeight="1" x14ac:dyDescent="0.3">
      <c r="A102" s="28">
        <v>99</v>
      </c>
      <c r="B102" s="28" t="s">
        <v>528</v>
      </c>
      <c r="C102" s="28" t="s">
        <v>152</v>
      </c>
      <c r="D102" s="28" t="s">
        <v>168</v>
      </c>
      <c r="E102" s="28" t="s">
        <v>1735</v>
      </c>
      <c r="F102" s="28"/>
      <c r="G102" s="28" t="s">
        <v>1724</v>
      </c>
      <c r="H102" s="28"/>
      <c r="I102" s="28"/>
      <c r="J102" s="28"/>
      <c r="K102" s="28"/>
      <c r="L102" s="28"/>
      <c r="M102" s="28"/>
      <c r="N102" s="28"/>
      <c r="O102" s="28"/>
      <c r="P102" s="28"/>
      <c r="Q102" s="28"/>
    </row>
    <row r="103" spans="1:17" ht="16.05" customHeight="1" x14ac:dyDescent="0.3">
      <c r="A103" s="30">
        <v>100</v>
      </c>
      <c r="B103" s="30" t="s">
        <v>528</v>
      </c>
      <c r="C103" s="30" t="s">
        <v>143</v>
      </c>
      <c r="D103" s="30" t="s">
        <v>176</v>
      </c>
      <c r="E103" s="30" t="s">
        <v>1736</v>
      </c>
      <c r="F103" s="30"/>
      <c r="G103" s="30" t="s">
        <v>1724</v>
      </c>
      <c r="H103" s="30"/>
      <c r="I103" s="30"/>
      <c r="J103" s="30"/>
      <c r="K103" s="30"/>
      <c r="L103" s="30"/>
      <c r="M103" s="30"/>
      <c r="N103" s="30"/>
      <c r="O103" s="30"/>
      <c r="P103" s="30"/>
      <c r="Q103" s="30"/>
    </row>
    <row r="104" spans="1:17" ht="16.05" customHeight="1" x14ac:dyDescent="0.3">
      <c r="A104" s="28">
        <v>101</v>
      </c>
      <c r="B104" s="28" t="s">
        <v>529</v>
      </c>
      <c r="C104" s="28" t="s">
        <v>142</v>
      </c>
      <c r="D104" s="28" t="s">
        <v>164</v>
      </c>
      <c r="E104" s="28" t="s">
        <v>1727</v>
      </c>
      <c r="F104" s="28"/>
      <c r="G104" s="28" t="s">
        <v>1724</v>
      </c>
      <c r="H104" s="28"/>
      <c r="I104" s="28"/>
      <c r="J104" s="28"/>
      <c r="K104" s="28"/>
      <c r="L104" s="28"/>
      <c r="M104" s="28"/>
      <c r="N104" s="28"/>
      <c r="O104" s="28"/>
      <c r="P104" s="28"/>
      <c r="Q104" s="28"/>
    </row>
    <row r="105" spans="1:17" ht="16.05" customHeight="1" x14ac:dyDescent="0.3">
      <c r="A105" s="30">
        <v>102</v>
      </c>
      <c r="B105" s="30" t="s">
        <v>529</v>
      </c>
      <c r="C105" s="30" t="s">
        <v>146</v>
      </c>
      <c r="D105" s="30" t="s">
        <v>168</v>
      </c>
      <c r="E105" s="30" t="s">
        <v>1728</v>
      </c>
      <c r="F105" s="30"/>
      <c r="G105" s="30" t="s">
        <v>1724</v>
      </c>
      <c r="H105" s="30"/>
      <c r="I105" s="30"/>
      <c r="J105" s="30"/>
      <c r="K105" s="30"/>
      <c r="L105" s="30"/>
      <c r="M105" s="30"/>
      <c r="N105" s="30"/>
      <c r="O105" s="30"/>
      <c r="P105" s="30"/>
      <c r="Q105" s="30"/>
    </row>
    <row r="106" spans="1:17" ht="16.05" customHeight="1" x14ac:dyDescent="0.3">
      <c r="A106" s="28">
        <v>103</v>
      </c>
      <c r="B106" s="28" t="s">
        <v>529</v>
      </c>
      <c r="C106" s="28" t="s">
        <v>147</v>
      </c>
      <c r="D106" s="28" t="s">
        <v>168</v>
      </c>
      <c r="E106" s="28" t="s">
        <v>1729</v>
      </c>
      <c r="F106" s="28"/>
      <c r="G106" s="28" t="s">
        <v>1724</v>
      </c>
      <c r="H106" s="28"/>
      <c r="I106" s="28"/>
      <c r="J106" s="28"/>
      <c r="K106" s="28"/>
      <c r="L106" s="28"/>
      <c r="M106" s="28"/>
      <c r="N106" s="28"/>
      <c r="O106" s="28"/>
      <c r="P106" s="28"/>
      <c r="Q106" s="28"/>
    </row>
    <row r="107" spans="1:17" ht="16.05" customHeight="1" x14ac:dyDescent="0.3">
      <c r="A107" s="30">
        <v>104</v>
      </c>
      <c r="B107" s="30" t="s">
        <v>529</v>
      </c>
      <c r="C107" s="30" t="s">
        <v>143</v>
      </c>
      <c r="D107" s="30" t="s">
        <v>172</v>
      </c>
      <c r="E107" s="30" t="s">
        <v>1730</v>
      </c>
      <c r="F107" s="30"/>
      <c r="G107" s="30" t="s">
        <v>1724</v>
      </c>
      <c r="H107" s="30"/>
      <c r="I107" s="30"/>
      <c r="J107" s="30"/>
      <c r="K107" s="30"/>
      <c r="L107" s="30"/>
      <c r="M107" s="30"/>
      <c r="N107" s="30"/>
      <c r="O107" s="30"/>
      <c r="P107" s="30"/>
      <c r="Q107" s="30"/>
    </row>
    <row r="108" spans="1:17" ht="16.05" customHeight="1" x14ac:dyDescent="0.3">
      <c r="A108" s="28">
        <v>105</v>
      </c>
      <c r="B108" s="28" t="s">
        <v>529</v>
      </c>
      <c r="C108" s="28" t="s">
        <v>143</v>
      </c>
      <c r="D108" s="28" t="s">
        <v>176</v>
      </c>
      <c r="E108" s="28" t="s">
        <v>1731</v>
      </c>
      <c r="F108" s="28"/>
      <c r="G108" s="28" t="s">
        <v>1724</v>
      </c>
      <c r="H108" s="28"/>
      <c r="I108" s="28"/>
      <c r="J108" s="28"/>
      <c r="K108" s="28"/>
      <c r="L108" s="28"/>
      <c r="M108" s="28"/>
      <c r="N108" s="28"/>
      <c r="O108" s="28"/>
      <c r="P108" s="28"/>
      <c r="Q108" s="28"/>
    </row>
    <row r="109" spans="1:17" ht="16.05" customHeight="1" x14ac:dyDescent="0.3">
      <c r="A109" s="30">
        <v>106</v>
      </c>
      <c r="B109" s="30" t="s">
        <v>529</v>
      </c>
      <c r="C109" s="30" t="s">
        <v>144</v>
      </c>
      <c r="D109" s="30" t="s">
        <v>176</v>
      </c>
      <c r="E109" s="30" t="s">
        <v>1732</v>
      </c>
      <c r="F109" s="30"/>
      <c r="G109" s="30" t="s">
        <v>1724</v>
      </c>
      <c r="H109" s="30"/>
      <c r="I109" s="30"/>
      <c r="J109" s="30"/>
      <c r="K109" s="30"/>
      <c r="L109" s="30"/>
      <c r="M109" s="30"/>
      <c r="N109" s="30"/>
      <c r="O109" s="30"/>
      <c r="P109" s="30"/>
      <c r="Q109" s="30"/>
    </row>
    <row r="110" spans="1:17" ht="16.05" customHeight="1" x14ac:dyDescent="0.3">
      <c r="A110" s="28">
        <v>107</v>
      </c>
      <c r="B110" s="28" t="s">
        <v>529</v>
      </c>
      <c r="C110" s="28" t="s">
        <v>148</v>
      </c>
      <c r="D110" s="28" t="s">
        <v>168</v>
      </c>
      <c r="E110" s="28" t="s">
        <v>1733</v>
      </c>
      <c r="F110" s="28"/>
      <c r="G110" s="28" t="s">
        <v>1724</v>
      </c>
      <c r="H110" s="28"/>
      <c r="I110" s="28"/>
      <c r="J110" s="28"/>
      <c r="K110" s="28"/>
      <c r="L110" s="28"/>
      <c r="M110" s="28"/>
      <c r="N110" s="28"/>
      <c r="O110" s="28"/>
      <c r="P110" s="28"/>
      <c r="Q110" s="28"/>
    </row>
    <row r="111" spans="1:17" ht="16.05" customHeight="1" x14ac:dyDescent="0.3">
      <c r="A111" s="30">
        <v>108</v>
      </c>
      <c r="B111" s="30" t="s">
        <v>529</v>
      </c>
      <c r="C111" s="30" t="s">
        <v>148</v>
      </c>
      <c r="D111" s="30" t="s">
        <v>176</v>
      </c>
      <c r="E111" s="30" t="s">
        <v>1734</v>
      </c>
      <c r="F111" s="30"/>
      <c r="G111" s="30" t="s">
        <v>1724</v>
      </c>
      <c r="H111" s="30"/>
      <c r="I111" s="30"/>
      <c r="J111" s="30"/>
      <c r="K111" s="30"/>
      <c r="L111" s="30"/>
      <c r="M111" s="30"/>
      <c r="N111" s="30"/>
      <c r="O111" s="30"/>
      <c r="P111" s="30"/>
      <c r="Q111" s="30"/>
    </row>
    <row r="112" spans="1:17" ht="16.05" customHeight="1" x14ac:dyDescent="0.3">
      <c r="A112" s="28">
        <v>109</v>
      </c>
      <c r="B112" s="28" t="s">
        <v>529</v>
      </c>
      <c r="C112" s="28" t="s">
        <v>152</v>
      </c>
      <c r="D112" s="28" t="s">
        <v>168</v>
      </c>
      <c r="E112" s="28" t="s">
        <v>1735</v>
      </c>
      <c r="F112" s="28"/>
      <c r="G112" s="28" t="s">
        <v>1724</v>
      </c>
      <c r="H112" s="28"/>
      <c r="I112" s="28"/>
      <c r="J112" s="28"/>
      <c r="K112" s="28"/>
      <c r="L112" s="28"/>
      <c r="M112" s="28"/>
      <c r="N112" s="28"/>
      <c r="O112" s="28"/>
      <c r="P112" s="28"/>
      <c r="Q112" s="28"/>
    </row>
    <row r="113" spans="1:17" ht="16.05" customHeight="1" x14ac:dyDescent="0.3">
      <c r="A113" s="30">
        <v>110</v>
      </c>
      <c r="B113" s="30" t="s">
        <v>529</v>
      </c>
      <c r="C113" s="30" t="s">
        <v>143</v>
      </c>
      <c r="D113" s="30" t="s">
        <v>176</v>
      </c>
      <c r="E113" s="30" t="s">
        <v>1736</v>
      </c>
      <c r="F113" s="30"/>
      <c r="G113" s="30" t="s">
        <v>1724</v>
      </c>
      <c r="H113" s="30"/>
      <c r="I113" s="30"/>
      <c r="J113" s="30"/>
      <c r="K113" s="30"/>
      <c r="L113" s="30"/>
      <c r="M113" s="30"/>
      <c r="N113" s="30"/>
      <c r="O113" s="30"/>
      <c r="P113" s="30"/>
      <c r="Q113" s="30"/>
    </row>
    <row r="114" spans="1:17" ht="16.05" customHeight="1" x14ac:dyDescent="0.3">
      <c r="A114" s="28">
        <v>111</v>
      </c>
      <c r="B114" s="28" t="s">
        <v>530</v>
      </c>
      <c r="C114" s="28" t="s">
        <v>142</v>
      </c>
      <c r="D114" s="28" t="s">
        <v>164</v>
      </c>
      <c r="E114" s="28" t="s">
        <v>1727</v>
      </c>
      <c r="F114" s="28"/>
      <c r="G114" s="28" t="s">
        <v>1724</v>
      </c>
      <c r="H114" s="28"/>
      <c r="I114" s="28"/>
      <c r="J114" s="28"/>
      <c r="K114" s="28"/>
      <c r="L114" s="28"/>
      <c r="M114" s="28"/>
      <c r="N114" s="28"/>
      <c r="O114" s="28"/>
      <c r="P114" s="28"/>
      <c r="Q114" s="28"/>
    </row>
    <row r="115" spans="1:17" ht="16.05" customHeight="1" x14ac:dyDescent="0.3">
      <c r="A115" s="30">
        <v>112</v>
      </c>
      <c r="B115" s="30" t="s">
        <v>530</v>
      </c>
      <c r="C115" s="30" t="s">
        <v>146</v>
      </c>
      <c r="D115" s="30" t="s">
        <v>168</v>
      </c>
      <c r="E115" s="30" t="s">
        <v>1728</v>
      </c>
      <c r="F115" s="30"/>
      <c r="G115" s="30" t="s">
        <v>1724</v>
      </c>
      <c r="H115" s="30"/>
      <c r="I115" s="30"/>
      <c r="J115" s="30"/>
      <c r="K115" s="30"/>
      <c r="L115" s="30"/>
      <c r="M115" s="30"/>
      <c r="N115" s="30"/>
      <c r="O115" s="30"/>
      <c r="P115" s="30"/>
      <c r="Q115" s="30"/>
    </row>
    <row r="116" spans="1:17" ht="16.05" customHeight="1" x14ac:dyDescent="0.3">
      <c r="A116" s="28">
        <v>113</v>
      </c>
      <c r="B116" s="28" t="s">
        <v>530</v>
      </c>
      <c r="C116" s="28" t="s">
        <v>147</v>
      </c>
      <c r="D116" s="28" t="s">
        <v>168</v>
      </c>
      <c r="E116" s="28" t="s">
        <v>1729</v>
      </c>
      <c r="F116" s="28"/>
      <c r="G116" s="28" t="s">
        <v>1724</v>
      </c>
      <c r="H116" s="28"/>
      <c r="I116" s="28"/>
      <c r="J116" s="28"/>
      <c r="K116" s="28"/>
      <c r="L116" s="28"/>
      <c r="M116" s="28"/>
      <c r="N116" s="28"/>
      <c r="O116" s="28"/>
      <c r="P116" s="28"/>
      <c r="Q116" s="28"/>
    </row>
    <row r="117" spans="1:17" ht="16.05" customHeight="1" x14ac:dyDescent="0.3">
      <c r="A117" s="30">
        <v>114</v>
      </c>
      <c r="B117" s="30" t="s">
        <v>530</v>
      </c>
      <c r="C117" s="30" t="s">
        <v>143</v>
      </c>
      <c r="D117" s="30" t="s">
        <v>172</v>
      </c>
      <c r="E117" s="30" t="s">
        <v>1730</v>
      </c>
      <c r="F117" s="30"/>
      <c r="G117" s="30" t="s">
        <v>1724</v>
      </c>
      <c r="H117" s="30"/>
      <c r="I117" s="30"/>
      <c r="J117" s="30"/>
      <c r="K117" s="30"/>
      <c r="L117" s="30"/>
      <c r="M117" s="30"/>
      <c r="N117" s="30"/>
      <c r="O117" s="30"/>
      <c r="P117" s="30"/>
      <c r="Q117" s="30"/>
    </row>
    <row r="118" spans="1:17" ht="16.05" customHeight="1" x14ac:dyDescent="0.3">
      <c r="A118" s="28">
        <v>115</v>
      </c>
      <c r="B118" s="28" t="s">
        <v>530</v>
      </c>
      <c r="C118" s="28" t="s">
        <v>143</v>
      </c>
      <c r="D118" s="28" t="s">
        <v>176</v>
      </c>
      <c r="E118" s="28" t="s">
        <v>1731</v>
      </c>
      <c r="F118" s="28"/>
      <c r="G118" s="28" t="s">
        <v>1724</v>
      </c>
      <c r="H118" s="28"/>
      <c r="I118" s="28"/>
      <c r="J118" s="28"/>
      <c r="K118" s="28"/>
      <c r="L118" s="28"/>
      <c r="M118" s="28"/>
      <c r="N118" s="28"/>
      <c r="O118" s="28"/>
      <c r="P118" s="28"/>
      <c r="Q118" s="28"/>
    </row>
    <row r="119" spans="1:17" ht="16.05" customHeight="1" x14ac:dyDescent="0.3">
      <c r="A119" s="30">
        <v>116</v>
      </c>
      <c r="B119" s="30" t="s">
        <v>530</v>
      </c>
      <c r="C119" s="30" t="s">
        <v>144</v>
      </c>
      <c r="D119" s="30" t="s">
        <v>176</v>
      </c>
      <c r="E119" s="30" t="s">
        <v>1732</v>
      </c>
      <c r="F119" s="30"/>
      <c r="G119" s="30" t="s">
        <v>1724</v>
      </c>
      <c r="H119" s="30"/>
      <c r="I119" s="30"/>
      <c r="J119" s="30"/>
      <c r="K119" s="30"/>
      <c r="L119" s="30"/>
      <c r="M119" s="30"/>
      <c r="N119" s="30"/>
      <c r="O119" s="30"/>
      <c r="P119" s="30"/>
      <c r="Q119" s="30"/>
    </row>
    <row r="120" spans="1:17" ht="16.05" customHeight="1" x14ac:dyDescent="0.3">
      <c r="A120" s="28">
        <v>117</v>
      </c>
      <c r="B120" s="28" t="s">
        <v>530</v>
      </c>
      <c r="C120" s="28" t="s">
        <v>148</v>
      </c>
      <c r="D120" s="28" t="s">
        <v>168</v>
      </c>
      <c r="E120" s="28" t="s">
        <v>1733</v>
      </c>
      <c r="F120" s="28"/>
      <c r="G120" s="28" t="s">
        <v>1724</v>
      </c>
      <c r="H120" s="28"/>
      <c r="I120" s="28"/>
      <c r="J120" s="28"/>
      <c r="K120" s="28"/>
      <c r="L120" s="28"/>
      <c r="M120" s="28"/>
      <c r="N120" s="28"/>
      <c r="O120" s="28"/>
      <c r="P120" s="28"/>
      <c r="Q120" s="28"/>
    </row>
    <row r="121" spans="1:17" ht="16.05" customHeight="1" x14ac:dyDescent="0.3">
      <c r="A121" s="30">
        <v>118</v>
      </c>
      <c r="B121" s="30" t="s">
        <v>530</v>
      </c>
      <c r="C121" s="30" t="s">
        <v>148</v>
      </c>
      <c r="D121" s="30" t="s">
        <v>176</v>
      </c>
      <c r="E121" s="30" t="s">
        <v>1734</v>
      </c>
      <c r="F121" s="30"/>
      <c r="G121" s="30" t="s">
        <v>1724</v>
      </c>
      <c r="H121" s="30"/>
      <c r="I121" s="30"/>
      <c r="J121" s="30"/>
      <c r="K121" s="30"/>
      <c r="L121" s="30"/>
      <c r="M121" s="30"/>
      <c r="N121" s="30"/>
      <c r="O121" s="30"/>
      <c r="P121" s="30"/>
      <c r="Q121" s="30"/>
    </row>
    <row r="122" spans="1:17" ht="16.05" customHeight="1" x14ac:dyDescent="0.3">
      <c r="A122" s="28">
        <v>119</v>
      </c>
      <c r="B122" s="28" t="s">
        <v>530</v>
      </c>
      <c r="C122" s="28" t="s">
        <v>152</v>
      </c>
      <c r="D122" s="28" t="s">
        <v>168</v>
      </c>
      <c r="E122" s="28" t="s">
        <v>1735</v>
      </c>
      <c r="F122" s="28"/>
      <c r="G122" s="28" t="s">
        <v>1724</v>
      </c>
      <c r="H122" s="28"/>
      <c r="I122" s="28"/>
      <c r="J122" s="28"/>
      <c r="K122" s="28"/>
      <c r="L122" s="28"/>
      <c r="M122" s="28"/>
      <c r="N122" s="28"/>
      <c r="O122" s="28"/>
      <c r="P122" s="28"/>
      <c r="Q122" s="28"/>
    </row>
    <row r="123" spans="1:17" ht="16.05" customHeight="1" x14ac:dyDescent="0.3">
      <c r="A123" s="30">
        <v>120</v>
      </c>
      <c r="B123" s="30" t="s">
        <v>530</v>
      </c>
      <c r="C123" s="30" t="s">
        <v>143</v>
      </c>
      <c r="D123" s="30" t="s">
        <v>176</v>
      </c>
      <c r="E123" s="30" t="s">
        <v>1736</v>
      </c>
      <c r="F123" s="30"/>
      <c r="G123" s="30" t="s">
        <v>1724</v>
      </c>
      <c r="H123" s="30"/>
      <c r="I123" s="30"/>
      <c r="J123" s="30"/>
      <c r="K123" s="30"/>
      <c r="L123" s="30"/>
      <c r="M123" s="30"/>
      <c r="N123" s="30"/>
      <c r="O123" s="30"/>
      <c r="P123" s="30"/>
      <c r="Q123" s="30"/>
    </row>
    <row r="124" spans="1:17" ht="16.05" customHeight="1" x14ac:dyDescent="0.3">
      <c r="A124" s="28">
        <v>121</v>
      </c>
      <c r="B124" s="28" t="s">
        <v>531</v>
      </c>
      <c r="C124" s="28" t="s">
        <v>142</v>
      </c>
      <c r="D124" s="28" t="s">
        <v>164</v>
      </c>
      <c r="E124" s="28" t="s">
        <v>1727</v>
      </c>
      <c r="F124" s="28"/>
      <c r="G124" s="28" t="s">
        <v>1724</v>
      </c>
      <c r="H124" s="28"/>
      <c r="I124" s="28"/>
      <c r="J124" s="28"/>
      <c r="K124" s="28"/>
      <c r="L124" s="28"/>
      <c r="M124" s="28"/>
      <c r="N124" s="28"/>
      <c r="O124" s="28"/>
      <c r="P124" s="28"/>
      <c r="Q124" s="28"/>
    </row>
    <row r="125" spans="1:17" ht="16.05" customHeight="1" x14ac:dyDescent="0.3">
      <c r="A125" s="30">
        <v>122</v>
      </c>
      <c r="B125" s="30" t="s">
        <v>531</v>
      </c>
      <c r="C125" s="30" t="s">
        <v>146</v>
      </c>
      <c r="D125" s="30" t="s">
        <v>168</v>
      </c>
      <c r="E125" s="30" t="s">
        <v>1728</v>
      </c>
      <c r="F125" s="30"/>
      <c r="G125" s="30" t="s">
        <v>1724</v>
      </c>
      <c r="H125" s="30"/>
      <c r="I125" s="30"/>
      <c r="J125" s="30"/>
      <c r="K125" s="30"/>
      <c r="L125" s="30"/>
      <c r="M125" s="30"/>
      <c r="N125" s="30"/>
      <c r="O125" s="30"/>
      <c r="P125" s="30"/>
      <c r="Q125" s="30"/>
    </row>
    <row r="126" spans="1:17" ht="16.05" customHeight="1" x14ac:dyDescent="0.3">
      <c r="A126" s="28">
        <v>123</v>
      </c>
      <c r="B126" s="28" t="s">
        <v>531</v>
      </c>
      <c r="C126" s="28" t="s">
        <v>147</v>
      </c>
      <c r="D126" s="28" t="s">
        <v>168</v>
      </c>
      <c r="E126" s="28" t="s">
        <v>1729</v>
      </c>
      <c r="F126" s="28"/>
      <c r="G126" s="28" t="s">
        <v>1724</v>
      </c>
      <c r="H126" s="28"/>
      <c r="I126" s="28"/>
      <c r="J126" s="28"/>
      <c r="K126" s="28"/>
      <c r="L126" s="28"/>
      <c r="M126" s="28"/>
      <c r="N126" s="28"/>
      <c r="O126" s="28"/>
      <c r="P126" s="28"/>
      <c r="Q126" s="28"/>
    </row>
    <row r="127" spans="1:17" ht="16.05" customHeight="1" x14ac:dyDescent="0.3">
      <c r="A127" s="30">
        <v>124</v>
      </c>
      <c r="B127" s="30" t="s">
        <v>531</v>
      </c>
      <c r="C127" s="30" t="s">
        <v>143</v>
      </c>
      <c r="D127" s="30" t="s">
        <v>172</v>
      </c>
      <c r="E127" s="30" t="s">
        <v>1730</v>
      </c>
      <c r="F127" s="30"/>
      <c r="G127" s="30" t="s">
        <v>1724</v>
      </c>
      <c r="H127" s="30"/>
      <c r="I127" s="30"/>
      <c r="J127" s="30"/>
      <c r="K127" s="30"/>
      <c r="L127" s="30"/>
      <c r="M127" s="30"/>
      <c r="N127" s="30"/>
      <c r="O127" s="30"/>
      <c r="P127" s="30"/>
      <c r="Q127" s="30"/>
    </row>
    <row r="128" spans="1:17" ht="16.05" customHeight="1" x14ac:dyDescent="0.3">
      <c r="A128" s="28">
        <v>125</v>
      </c>
      <c r="B128" s="28" t="s">
        <v>531</v>
      </c>
      <c r="C128" s="28" t="s">
        <v>143</v>
      </c>
      <c r="D128" s="28" t="s">
        <v>176</v>
      </c>
      <c r="E128" s="28" t="s">
        <v>1731</v>
      </c>
      <c r="F128" s="28"/>
      <c r="G128" s="28" t="s">
        <v>1724</v>
      </c>
      <c r="H128" s="28"/>
      <c r="I128" s="28"/>
      <c r="J128" s="28"/>
      <c r="K128" s="28"/>
      <c r="L128" s="28"/>
      <c r="M128" s="28"/>
      <c r="N128" s="28"/>
      <c r="O128" s="28"/>
      <c r="P128" s="28"/>
      <c r="Q128" s="28"/>
    </row>
    <row r="129" spans="1:17" ht="16.05" customHeight="1" x14ac:dyDescent="0.3">
      <c r="A129" s="30">
        <v>126</v>
      </c>
      <c r="B129" s="30" t="s">
        <v>531</v>
      </c>
      <c r="C129" s="30" t="s">
        <v>144</v>
      </c>
      <c r="D129" s="30" t="s">
        <v>176</v>
      </c>
      <c r="E129" s="30" t="s">
        <v>1732</v>
      </c>
      <c r="F129" s="30"/>
      <c r="G129" s="30" t="s">
        <v>1724</v>
      </c>
      <c r="H129" s="30"/>
      <c r="I129" s="30"/>
      <c r="J129" s="30"/>
      <c r="K129" s="30"/>
      <c r="L129" s="30"/>
      <c r="M129" s="30"/>
      <c r="N129" s="30"/>
      <c r="O129" s="30"/>
      <c r="P129" s="30"/>
      <c r="Q129" s="30"/>
    </row>
    <row r="130" spans="1:17" ht="16.05" customHeight="1" x14ac:dyDescent="0.3">
      <c r="A130" s="28">
        <v>127</v>
      </c>
      <c r="B130" s="28" t="s">
        <v>531</v>
      </c>
      <c r="C130" s="28" t="s">
        <v>148</v>
      </c>
      <c r="D130" s="28" t="s">
        <v>168</v>
      </c>
      <c r="E130" s="28" t="s">
        <v>1733</v>
      </c>
      <c r="F130" s="28"/>
      <c r="G130" s="28" t="s">
        <v>1724</v>
      </c>
      <c r="H130" s="28"/>
      <c r="I130" s="28"/>
      <c r="J130" s="28"/>
      <c r="K130" s="28"/>
      <c r="L130" s="28"/>
      <c r="M130" s="28"/>
      <c r="N130" s="28"/>
      <c r="O130" s="28"/>
      <c r="P130" s="28"/>
      <c r="Q130" s="28"/>
    </row>
    <row r="131" spans="1:17" ht="16.05" customHeight="1" x14ac:dyDescent="0.3">
      <c r="A131" s="30">
        <v>128</v>
      </c>
      <c r="B131" s="30" t="s">
        <v>531</v>
      </c>
      <c r="C131" s="30" t="s">
        <v>148</v>
      </c>
      <c r="D131" s="30" t="s">
        <v>176</v>
      </c>
      <c r="E131" s="30" t="s">
        <v>1734</v>
      </c>
      <c r="F131" s="30"/>
      <c r="G131" s="30" t="s">
        <v>1724</v>
      </c>
      <c r="H131" s="30"/>
      <c r="I131" s="30"/>
      <c r="J131" s="30"/>
      <c r="K131" s="30"/>
      <c r="L131" s="30"/>
      <c r="M131" s="30"/>
      <c r="N131" s="30"/>
      <c r="O131" s="30"/>
      <c r="P131" s="30"/>
      <c r="Q131" s="30"/>
    </row>
    <row r="132" spans="1:17" ht="16.05" customHeight="1" x14ac:dyDescent="0.3">
      <c r="A132" s="28">
        <v>129</v>
      </c>
      <c r="B132" s="28" t="s">
        <v>531</v>
      </c>
      <c r="C132" s="28" t="s">
        <v>152</v>
      </c>
      <c r="D132" s="28" t="s">
        <v>168</v>
      </c>
      <c r="E132" s="28" t="s">
        <v>1735</v>
      </c>
      <c r="F132" s="28"/>
      <c r="G132" s="28" t="s">
        <v>1724</v>
      </c>
      <c r="H132" s="28"/>
      <c r="I132" s="28"/>
      <c r="J132" s="28"/>
      <c r="K132" s="28"/>
      <c r="L132" s="28"/>
      <c r="M132" s="28"/>
      <c r="N132" s="28"/>
      <c r="O132" s="28"/>
      <c r="P132" s="28"/>
      <c r="Q132" s="28"/>
    </row>
    <row r="133" spans="1:17" ht="16.05" customHeight="1" x14ac:dyDescent="0.3">
      <c r="A133" s="30">
        <v>130</v>
      </c>
      <c r="B133" s="30" t="s">
        <v>531</v>
      </c>
      <c r="C133" s="30" t="s">
        <v>143</v>
      </c>
      <c r="D133" s="30" t="s">
        <v>176</v>
      </c>
      <c r="E133" s="30" t="s">
        <v>1736</v>
      </c>
      <c r="F133" s="30"/>
      <c r="G133" s="30" t="s">
        <v>1724</v>
      </c>
      <c r="H133" s="30"/>
      <c r="I133" s="30"/>
      <c r="J133" s="30"/>
      <c r="K133" s="30"/>
      <c r="L133" s="30"/>
      <c r="M133" s="30"/>
      <c r="N133" s="30"/>
      <c r="O133" s="30"/>
      <c r="P133" s="30"/>
      <c r="Q133" s="30"/>
    </row>
    <row r="134" spans="1:17" ht="16.05" customHeight="1" x14ac:dyDescent="0.3">
      <c r="A134" s="28">
        <v>131</v>
      </c>
      <c r="B134" s="28" t="s">
        <v>532</v>
      </c>
      <c r="C134" s="28" t="s">
        <v>142</v>
      </c>
      <c r="D134" s="28" t="s">
        <v>164</v>
      </c>
      <c r="E134" s="28" t="s">
        <v>1727</v>
      </c>
      <c r="F134" s="28"/>
      <c r="G134" s="28" t="s">
        <v>1724</v>
      </c>
      <c r="H134" s="28"/>
      <c r="I134" s="28"/>
      <c r="J134" s="28"/>
      <c r="K134" s="28"/>
      <c r="L134" s="28"/>
      <c r="M134" s="28"/>
      <c r="N134" s="28"/>
      <c r="O134" s="28"/>
      <c r="P134" s="28"/>
      <c r="Q134" s="28"/>
    </row>
    <row r="135" spans="1:17" ht="16.05" customHeight="1" x14ac:dyDescent="0.3">
      <c r="A135" s="30">
        <v>132</v>
      </c>
      <c r="B135" s="30" t="s">
        <v>532</v>
      </c>
      <c r="C135" s="30" t="s">
        <v>146</v>
      </c>
      <c r="D135" s="30" t="s">
        <v>168</v>
      </c>
      <c r="E135" s="30" t="s">
        <v>1728</v>
      </c>
      <c r="F135" s="30"/>
      <c r="G135" s="30" t="s">
        <v>1724</v>
      </c>
      <c r="H135" s="30"/>
      <c r="I135" s="30"/>
      <c r="J135" s="30"/>
      <c r="K135" s="30"/>
      <c r="L135" s="30"/>
      <c r="M135" s="30"/>
      <c r="N135" s="30"/>
      <c r="O135" s="30"/>
      <c r="P135" s="30"/>
      <c r="Q135" s="30"/>
    </row>
    <row r="136" spans="1:17" ht="16.05" customHeight="1" x14ac:dyDescent="0.3">
      <c r="A136" s="28">
        <v>133</v>
      </c>
      <c r="B136" s="28" t="s">
        <v>532</v>
      </c>
      <c r="C136" s="28" t="s">
        <v>147</v>
      </c>
      <c r="D136" s="28" t="s">
        <v>168</v>
      </c>
      <c r="E136" s="28" t="s">
        <v>1729</v>
      </c>
      <c r="F136" s="28"/>
      <c r="G136" s="28" t="s">
        <v>1724</v>
      </c>
      <c r="H136" s="28"/>
      <c r="I136" s="28"/>
      <c r="J136" s="28"/>
      <c r="K136" s="28"/>
      <c r="L136" s="28"/>
      <c r="M136" s="28"/>
      <c r="N136" s="28"/>
      <c r="O136" s="28"/>
      <c r="P136" s="28"/>
      <c r="Q136" s="28"/>
    </row>
    <row r="137" spans="1:17" ht="16.05" customHeight="1" x14ac:dyDescent="0.3">
      <c r="A137" s="30">
        <v>134</v>
      </c>
      <c r="B137" s="30" t="s">
        <v>532</v>
      </c>
      <c r="C137" s="30" t="s">
        <v>143</v>
      </c>
      <c r="D137" s="30" t="s">
        <v>172</v>
      </c>
      <c r="E137" s="30" t="s">
        <v>1730</v>
      </c>
      <c r="F137" s="30"/>
      <c r="G137" s="30" t="s">
        <v>1724</v>
      </c>
      <c r="H137" s="30"/>
      <c r="I137" s="30"/>
      <c r="J137" s="30"/>
      <c r="K137" s="30"/>
      <c r="L137" s="30"/>
      <c r="M137" s="30"/>
      <c r="N137" s="30"/>
      <c r="O137" s="30"/>
      <c r="P137" s="30"/>
      <c r="Q137" s="30"/>
    </row>
    <row r="138" spans="1:17" ht="16.05" customHeight="1" x14ac:dyDescent="0.3">
      <c r="A138" s="28">
        <v>135</v>
      </c>
      <c r="B138" s="28" t="s">
        <v>532</v>
      </c>
      <c r="C138" s="28" t="s">
        <v>143</v>
      </c>
      <c r="D138" s="28" t="s">
        <v>176</v>
      </c>
      <c r="E138" s="28" t="s">
        <v>1731</v>
      </c>
      <c r="F138" s="28"/>
      <c r="G138" s="28" t="s">
        <v>1724</v>
      </c>
      <c r="H138" s="28"/>
      <c r="I138" s="28"/>
      <c r="J138" s="28"/>
      <c r="K138" s="28"/>
      <c r="L138" s="28"/>
      <c r="M138" s="28"/>
      <c r="N138" s="28"/>
      <c r="O138" s="28"/>
      <c r="P138" s="28"/>
      <c r="Q138" s="28"/>
    </row>
    <row r="139" spans="1:17" ht="16.05" customHeight="1" x14ac:dyDescent="0.3">
      <c r="A139" s="30">
        <v>136</v>
      </c>
      <c r="B139" s="30" t="s">
        <v>532</v>
      </c>
      <c r="C139" s="30" t="s">
        <v>144</v>
      </c>
      <c r="D139" s="30" t="s">
        <v>176</v>
      </c>
      <c r="E139" s="30" t="s">
        <v>1732</v>
      </c>
      <c r="F139" s="30"/>
      <c r="G139" s="30" t="s">
        <v>1724</v>
      </c>
      <c r="H139" s="30"/>
      <c r="I139" s="30"/>
      <c r="J139" s="30"/>
      <c r="K139" s="30"/>
      <c r="L139" s="30"/>
      <c r="M139" s="30"/>
      <c r="N139" s="30"/>
      <c r="O139" s="30"/>
      <c r="P139" s="30"/>
      <c r="Q139" s="30"/>
    </row>
    <row r="140" spans="1:17" ht="16.05" customHeight="1" x14ac:dyDescent="0.3">
      <c r="A140" s="28">
        <v>137</v>
      </c>
      <c r="B140" s="28" t="s">
        <v>532</v>
      </c>
      <c r="C140" s="28" t="s">
        <v>148</v>
      </c>
      <c r="D140" s="28" t="s">
        <v>168</v>
      </c>
      <c r="E140" s="28" t="s">
        <v>1733</v>
      </c>
      <c r="F140" s="28"/>
      <c r="G140" s="28" t="s">
        <v>1724</v>
      </c>
      <c r="H140" s="28"/>
      <c r="I140" s="28"/>
      <c r="J140" s="28"/>
      <c r="K140" s="28"/>
      <c r="L140" s="28"/>
      <c r="M140" s="28"/>
      <c r="N140" s="28"/>
      <c r="O140" s="28"/>
      <c r="P140" s="28"/>
      <c r="Q140" s="28"/>
    </row>
    <row r="141" spans="1:17" ht="16.05" customHeight="1" x14ac:dyDescent="0.3">
      <c r="A141" s="30">
        <v>138</v>
      </c>
      <c r="B141" s="30" t="s">
        <v>532</v>
      </c>
      <c r="C141" s="30" t="s">
        <v>148</v>
      </c>
      <c r="D141" s="30" t="s">
        <v>176</v>
      </c>
      <c r="E141" s="30" t="s">
        <v>1734</v>
      </c>
      <c r="F141" s="30"/>
      <c r="G141" s="30" t="s">
        <v>1724</v>
      </c>
      <c r="H141" s="30"/>
      <c r="I141" s="30"/>
      <c r="J141" s="30"/>
      <c r="K141" s="30"/>
      <c r="L141" s="30"/>
      <c r="M141" s="30"/>
      <c r="N141" s="30"/>
      <c r="O141" s="30"/>
      <c r="P141" s="30"/>
      <c r="Q141" s="30"/>
    </row>
    <row r="142" spans="1:17" ht="16.05" customHeight="1" x14ac:dyDescent="0.3">
      <c r="A142" s="28">
        <v>139</v>
      </c>
      <c r="B142" s="28" t="s">
        <v>532</v>
      </c>
      <c r="C142" s="28" t="s">
        <v>152</v>
      </c>
      <c r="D142" s="28" t="s">
        <v>168</v>
      </c>
      <c r="E142" s="28" t="s">
        <v>1735</v>
      </c>
      <c r="F142" s="28"/>
      <c r="G142" s="28" t="s">
        <v>1724</v>
      </c>
      <c r="H142" s="28"/>
      <c r="I142" s="28"/>
      <c r="J142" s="28"/>
      <c r="K142" s="28"/>
      <c r="L142" s="28"/>
      <c r="M142" s="28"/>
      <c r="N142" s="28"/>
      <c r="O142" s="28"/>
      <c r="P142" s="28"/>
      <c r="Q142" s="28"/>
    </row>
    <row r="143" spans="1:17" ht="16.05" customHeight="1" x14ac:dyDescent="0.3">
      <c r="A143" s="30">
        <v>140</v>
      </c>
      <c r="B143" s="30" t="s">
        <v>532</v>
      </c>
      <c r="C143" s="30" t="s">
        <v>143</v>
      </c>
      <c r="D143" s="30" t="s">
        <v>176</v>
      </c>
      <c r="E143" s="30" t="s">
        <v>1736</v>
      </c>
      <c r="F143" s="30"/>
      <c r="G143" s="30" t="s">
        <v>1724</v>
      </c>
      <c r="H143" s="30"/>
      <c r="I143" s="30"/>
      <c r="J143" s="30"/>
      <c r="K143" s="30"/>
      <c r="L143" s="30"/>
      <c r="M143" s="30"/>
      <c r="N143" s="30"/>
      <c r="O143" s="30"/>
      <c r="P143" s="30"/>
      <c r="Q143" s="30"/>
    </row>
    <row r="144" spans="1:17" ht="16.05" customHeight="1" x14ac:dyDescent="0.3">
      <c r="A144" s="28">
        <v>141</v>
      </c>
      <c r="B144" s="28" t="s">
        <v>533</v>
      </c>
      <c r="C144" s="28" t="s">
        <v>142</v>
      </c>
      <c r="D144" s="28" t="s">
        <v>164</v>
      </c>
      <c r="E144" s="28" t="s">
        <v>1727</v>
      </c>
      <c r="F144" s="28"/>
      <c r="G144" s="28" t="s">
        <v>1724</v>
      </c>
      <c r="H144" s="28"/>
      <c r="I144" s="28"/>
      <c r="J144" s="28"/>
      <c r="K144" s="28"/>
      <c r="L144" s="28"/>
      <c r="M144" s="28"/>
      <c r="N144" s="28"/>
      <c r="O144" s="28"/>
      <c r="P144" s="28"/>
      <c r="Q144" s="28"/>
    </row>
    <row r="145" spans="1:17" ht="16.05" customHeight="1" x14ac:dyDescent="0.3">
      <c r="A145" s="30">
        <v>142</v>
      </c>
      <c r="B145" s="30" t="s">
        <v>533</v>
      </c>
      <c r="C145" s="30" t="s">
        <v>146</v>
      </c>
      <c r="D145" s="30" t="s">
        <v>168</v>
      </c>
      <c r="E145" s="30" t="s">
        <v>1728</v>
      </c>
      <c r="F145" s="30"/>
      <c r="G145" s="30" t="s">
        <v>1724</v>
      </c>
      <c r="H145" s="30"/>
      <c r="I145" s="30"/>
      <c r="J145" s="30"/>
      <c r="K145" s="30"/>
      <c r="L145" s="30"/>
      <c r="M145" s="30"/>
      <c r="N145" s="30"/>
      <c r="O145" s="30"/>
      <c r="P145" s="30"/>
      <c r="Q145" s="30"/>
    </row>
    <row r="146" spans="1:17" ht="16.05" customHeight="1" x14ac:dyDescent="0.3">
      <c r="A146" s="28">
        <v>143</v>
      </c>
      <c r="B146" s="28" t="s">
        <v>533</v>
      </c>
      <c r="C146" s="28" t="s">
        <v>147</v>
      </c>
      <c r="D146" s="28" t="s">
        <v>168</v>
      </c>
      <c r="E146" s="28" t="s">
        <v>1729</v>
      </c>
      <c r="F146" s="28"/>
      <c r="G146" s="28" t="s">
        <v>1724</v>
      </c>
      <c r="H146" s="28"/>
      <c r="I146" s="28"/>
      <c r="J146" s="28"/>
      <c r="K146" s="28"/>
      <c r="L146" s="28"/>
      <c r="M146" s="28"/>
      <c r="N146" s="28"/>
      <c r="O146" s="28"/>
      <c r="P146" s="28"/>
      <c r="Q146" s="28"/>
    </row>
    <row r="147" spans="1:17" ht="16.05" customHeight="1" x14ac:dyDescent="0.3">
      <c r="A147" s="30">
        <v>144</v>
      </c>
      <c r="B147" s="30" t="s">
        <v>533</v>
      </c>
      <c r="C147" s="30" t="s">
        <v>143</v>
      </c>
      <c r="D147" s="30" t="s">
        <v>172</v>
      </c>
      <c r="E147" s="30" t="s">
        <v>1730</v>
      </c>
      <c r="F147" s="30"/>
      <c r="G147" s="30" t="s">
        <v>1724</v>
      </c>
      <c r="H147" s="30"/>
      <c r="I147" s="30"/>
      <c r="J147" s="30"/>
      <c r="K147" s="30"/>
      <c r="L147" s="30"/>
      <c r="M147" s="30"/>
      <c r="N147" s="30"/>
      <c r="O147" s="30"/>
      <c r="P147" s="30"/>
      <c r="Q147" s="30"/>
    </row>
    <row r="148" spans="1:17" ht="16.05" customHeight="1" x14ac:dyDescent="0.3">
      <c r="A148" s="28">
        <v>145</v>
      </c>
      <c r="B148" s="28" t="s">
        <v>533</v>
      </c>
      <c r="C148" s="28" t="s">
        <v>143</v>
      </c>
      <c r="D148" s="28" t="s">
        <v>176</v>
      </c>
      <c r="E148" s="28" t="s">
        <v>1731</v>
      </c>
      <c r="F148" s="28"/>
      <c r="G148" s="28" t="s">
        <v>1724</v>
      </c>
      <c r="H148" s="28"/>
      <c r="I148" s="28"/>
      <c r="J148" s="28"/>
      <c r="K148" s="28"/>
      <c r="L148" s="28"/>
      <c r="M148" s="28"/>
      <c r="N148" s="28"/>
      <c r="O148" s="28"/>
      <c r="P148" s="28"/>
      <c r="Q148" s="28"/>
    </row>
    <row r="149" spans="1:17" ht="16.05" customHeight="1" x14ac:dyDescent="0.3">
      <c r="A149" s="30">
        <v>146</v>
      </c>
      <c r="B149" s="30" t="s">
        <v>533</v>
      </c>
      <c r="C149" s="30" t="s">
        <v>144</v>
      </c>
      <c r="D149" s="30" t="s">
        <v>176</v>
      </c>
      <c r="E149" s="30" t="s">
        <v>1732</v>
      </c>
      <c r="F149" s="30"/>
      <c r="G149" s="30" t="s">
        <v>1724</v>
      </c>
      <c r="H149" s="30"/>
      <c r="I149" s="30"/>
      <c r="J149" s="30"/>
      <c r="K149" s="30"/>
      <c r="L149" s="30"/>
      <c r="M149" s="30"/>
      <c r="N149" s="30"/>
      <c r="O149" s="30"/>
      <c r="P149" s="30"/>
      <c r="Q149" s="30"/>
    </row>
    <row r="150" spans="1:17" ht="16.05" customHeight="1" x14ac:dyDescent="0.3">
      <c r="A150" s="28">
        <v>147</v>
      </c>
      <c r="B150" s="28" t="s">
        <v>533</v>
      </c>
      <c r="C150" s="28" t="s">
        <v>148</v>
      </c>
      <c r="D150" s="28" t="s">
        <v>168</v>
      </c>
      <c r="E150" s="28" t="s">
        <v>1733</v>
      </c>
      <c r="F150" s="28"/>
      <c r="G150" s="28" t="s">
        <v>1724</v>
      </c>
      <c r="H150" s="28"/>
      <c r="I150" s="28"/>
      <c r="J150" s="28"/>
      <c r="K150" s="28"/>
      <c r="L150" s="28"/>
      <c r="M150" s="28"/>
      <c r="N150" s="28"/>
      <c r="O150" s="28"/>
      <c r="P150" s="28"/>
      <c r="Q150" s="28"/>
    </row>
    <row r="151" spans="1:17" ht="16.05" customHeight="1" x14ac:dyDescent="0.3">
      <c r="A151" s="30">
        <v>148</v>
      </c>
      <c r="B151" s="30" t="s">
        <v>533</v>
      </c>
      <c r="C151" s="30" t="s">
        <v>148</v>
      </c>
      <c r="D151" s="30" t="s">
        <v>176</v>
      </c>
      <c r="E151" s="30" t="s">
        <v>1734</v>
      </c>
      <c r="F151" s="30"/>
      <c r="G151" s="30" t="s">
        <v>1724</v>
      </c>
      <c r="H151" s="30"/>
      <c r="I151" s="30"/>
      <c r="J151" s="30"/>
      <c r="K151" s="30"/>
      <c r="L151" s="30"/>
      <c r="M151" s="30"/>
      <c r="N151" s="30"/>
      <c r="O151" s="30"/>
      <c r="P151" s="30"/>
      <c r="Q151" s="30"/>
    </row>
    <row r="152" spans="1:17" ht="16.05" customHeight="1" x14ac:dyDescent="0.3">
      <c r="A152" s="28">
        <v>149</v>
      </c>
      <c r="B152" s="28" t="s">
        <v>533</v>
      </c>
      <c r="C152" s="28" t="s">
        <v>152</v>
      </c>
      <c r="D152" s="28" t="s">
        <v>168</v>
      </c>
      <c r="E152" s="28" t="s">
        <v>1735</v>
      </c>
      <c r="F152" s="28"/>
      <c r="G152" s="28" t="s">
        <v>1724</v>
      </c>
      <c r="H152" s="28"/>
      <c r="I152" s="28"/>
      <c r="J152" s="28"/>
      <c r="K152" s="28"/>
      <c r="L152" s="28"/>
      <c r="M152" s="28"/>
      <c r="N152" s="28"/>
      <c r="O152" s="28"/>
      <c r="P152" s="28"/>
      <c r="Q152" s="28"/>
    </row>
    <row r="153" spans="1:17" ht="16.05" customHeight="1" x14ac:dyDescent="0.3">
      <c r="A153" s="30">
        <v>150</v>
      </c>
      <c r="B153" s="30" t="s">
        <v>533</v>
      </c>
      <c r="C153" s="30" t="s">
        <v>143</v>
      </c>
      <c r="D153" s="30" t="s">
        <v>176</v>
      </c>
      <c r="E153" s="30" t="s">
        <v>1736</v>
      </c>
      <c r="F153" s="30"/>
      <c r="G153" s="30" t="s">
        <v>1724</v>
      </c>
      <c r="H153" s="30"/>
      <c r="I153" s="30"/>
      <c r="J153" s="30"/>
      <c r="K153" s="30"/>
      <c r="L153" s="30"/>
      <c r="M153" s="30"/>
      <c r="N153" s="30"/>
      <c r="O153" s="30"/>
      <c r="P153" s="30"/>
      <c r="Q153" s="30"/>
    </row>
    <row r="154" spans="1:17" ht="16.05" customHeight="1" x14ac:dyDescent="0.3">
      <c r="A154" s="28">
        <v>151</v>
      </c>
      <c r="B154" s="28" t="s">
        <v>534</v>
      </c>
      <c r="C154" s="28" t="s">
        <v>142</v>
      </c>
      <c r="D154" s="28" t="s">
        <v>164</v>
      </c>
      <c r="E154" s="28" t="s">
        <v>1727</v>
      </c>
      <c r="F154" s="28"/>
      <c r="G154" s="28" t="s">
        <v>1724</v>
      </c>
      <c r="H154" s="28"/>
      <c r="I154" s="28"/>
      <c r="J154" s="28"/>
      <c r="K154" s="28"/>
      <c r="L154" s="28"/>
      <c r="M154" s="28"/>
      <c r="N154" s="28"/>
      <c r="O154" s="28"/>
      <c r="P154" s="28"/>
      <c r="Q154" s="28"/>
    </row>
    <row r="155" spans="1:17" ht="16.05" customHeight="1" x14ac:dyDescent="0.3">
      <c r="A155" s="30">
        <v>152</v>
      </c>
      <c r="B155" s="30" t="s">
        <v>534</v>
      </c>
      <c r="C155" s="30" t="s">
        <v>146</v>
      </c>
      <c r="D155" s="30" t="s">
        <v>168</v>
      </c>
      <c r="E155" s="30" t="s">
        <v>1728</v>
      </c>
      <c r="F155" s="30"/>
      <c r="G155" s="30" t="s">
        <v>1724</v>
      </c>
      <c r="H155" s="30"/>
      <c r="I155" s="30"/>
      <c r="J155" s="30"/>
      <c r="K155" s="30"/>
      <c r="L155" s="30"/>
      <c r="M155" s="30"/>
      <c r="N155" s="30"/>
      <c r="O155" s="30"/>
      <c r="P155" s="30"/>
      <c r="Q155" s="30"/>
    </row>
    <row r="156" spans="1:17" ht="16.05" customHeight="1" x14ac:dyDescent="0.3">
      <c r="A156" s="28">
        <v>153</v>
      </c>
      <c r="B156" s="28" t="s">
        <v>534</v>
      </c>
      <c r="C156" s="28" t="s">
        <v>147</v>
      </c>
      <c r="D156" s="28" t="s">
        <v>168</v>
      </c>
      <c r="E156" s="28" t="s">
        <v>1729</v>
      </c>
      <c r="F156" s="28"/>
      <c r="G156" s="28" t="s">
        <v>1724</v>
      </c>
      <c r="H156" s="28"/>
      <c r="I156" s="28"/>
      <c r="J156" s="28"/>
      <c r="K156" s="28"/>
      <c r="L156" s="28"/>
      <c r="M156" s="28"/>
      <c r="N156" s="28"/>
      <c r="O156" s="28"/>
      <c r="P156" s="28"/>
      <c r="Q156" s="28"/>
    </row>
    <row r="157" spans="1:17" ht="16.05" customHeight="1" x14ac:dyDescent="0.3">
      <c r="A157" s="30">
        <v>154</v>
      </c>
      <c r="B157" s="30" t="s">
        <v>534</v>
      </c>
      <c r="C157" s="30" t="s">
        <v>143</v>
      </c>
      <c r="D157" s="30" t="s">
        <v>172</v>
      </c>
      <c r="E157" s="30" t="s">
        <v>1730</v>
      </c>
      <c r="F157" s="30"/>
      <c r="G157" s="30" t="s">
        <v>1724</v>
      </c>
      <c r="H157" s="30"/>
      <c r="I157" s="30"/>
      <c r="J157" s="30"/>
      <c r="K157" s="30"/>
      <c r="L157" s="30"/>
      <c r="M157" s="30"/>
      <c r="N157" s="30"/>
      <c r="O157" s="30"/>
      <c r="P157" s="30"/>
      <c r="Q157" s="30"/>
    </row>
    <row r="158" spans="1:17" ht="16.05" customHeight="1" x14ac:dyDescent="0.3">
      <c r="A158" s="28">
        <v>155</v>
      </c>
      <c r="B158" s="28" t="s">
        <v>534</v>
      </c>
      <c r="C158" s="28" t="s">
        <v>143</v>
      </c>
      <c r="D158" s="28" t="s">
        <v>176</v>
      </c>
      <c r="E158" s="28" t="s">
        <v>1731</v>
      </c>
      <c r="F158" s="28"/>
      <c r="G158" s="28" t="s">
        <v>1724</v>
      </c>
      <c r="H158" s="28"/>
      <c r="I158" s="28"/>
      <c r="J158" s="28"/>
      <c r="K158" s="28"/>
      <c r="L158" s="28"/>
      <c r="M158" s="28"/>
      <c r="N158" s="28"/>
      <c r="O158" s="28"/>
      <c r="P158" s="28"/>
      <c r="Q158" s="28"/>
    </row>
    <row r="159" spans="1:17" ht="16.05" customHeight="1" x14ac:dyDescent="0.3">
      <c r="A159" s="30">
        <v>156</v>
      </c>
      <c r="B159" s="30" t="s">
        <v>534</v>
      </c>
      <c r="C159" s="30" t="s">
        <v>144</v>
      </c>
      <c r="D159" s="30" t="s">
        <v>176</v>
      </c>
      <c r="E159" s="30" t="s">
        <v>1732</v>
      </c>
      <c r="F159" s="30"/>
      <c r="G159" s="30" t="s">
        <v>1724</v>
      </c>
      <c r="H159" s="30"/>
      <c r="I159" s="30"/>
      <c r="J159" s="30"/>
      <c r="K159" s="30"/>
      <c r="L159" s="30"/>
      <c r="M159" s="30"/>
      <c r="N159" s="30"/>
      <c r="O159" s="30"/>
      <c r="P159" s="30"/>
      <c r="Q159" s="30"/>
    </row>
    <row r="160" spans="1:17" ht="16.05" customHeight="1" x14ac:dyDescent="0.3">
      <c r="A160" s="28">
        <v>157</v>
      </c>
      <c r="B160" s="28" t="s">
        <v>534</v>
      </c>
      <c r="C160" s="28" t="s">
        <v>148</v>
      </c>
      <c r="D160" s="28" t="s">
        <v>168</v>
      </c>
      <c r="E160" s="28" t="s">
        <v>1733</v>
      </c>
      <c r="F160" s="28"/>
      <c r="G160" s="28" t="s">
        <v>1724</v>
      </c>
      <c r="H160" s="28"/>
      <c r="I160" s="28"/>
      <c r="J160" s="28"/>
      <c r="K160" s="28"/>
      <c r="L160" s="28"/>
      <c r="M160" s="28"/>
      <c r="N160" s="28"/>
      <c r="O160" s="28"/>
      <c r="P160" s="28"/>
      <c r="Q160" s="28"/>
    </row>
    <row r="161" spans="1:17" ht="16.05" customHeight="1" x14ac:dyDescent="0.3">
      <c r="A161" s="30">
        <v>158</v>
      </c>
      <c r="B161" s="30" t="s">
        <v>534</v>
      </c>
      <c r="C161" s="30" t="s">
        <v>148</v>
      </c>
      <c r="D161" s="30" t="s">
        <v>176</v>
      </c>
      <c r="E161" s="30" t="s">
        <v>1734</v>
      </c>
      <c r="F161" s="30"/>
      <c r="G161" s="30" t="s">
        <v>1724</v>
      </c>
      <c r="H161" s="30"/>
      <c r="I161" s="30"/>
      <c r="J161" s="30"/>
      <c r="K161" s="30"/>
      <c r="L161" s="30"/>
      <c r="M161" s="30"/>
      <c r="N161" s="30"/>
      <c r="O161" s="30"/>
      <c r="P161" s="30"/>
      <c r="Q161" s="30"/>
    </row>
    <row r="162" spans="1:17" ht="16.05" customHeight="1" x14ac:dyDescent="0.3">
      <c r="A162" s="28">
        <v>159</v>
      </c>
      <c r="B162" s="28" t="s">
        <v>534</v>
      </c>
      <c r="C162" s="28" t="s">
        <v>152</v>
      </c>
      <c r="D162" s="28" t="s">
        <v>168</v>
      </c>
      <c r="E162" s="28" t="s">
        <v>1735</v>
      </c>
      <c r="F162" s="28"/>
      <c r="G162" s="28" t="s">
        <v>1724</v>
      </c>
      <c r="H162" s="28"/>
      <c r="I162" s="28"/>
      <c r="J162" s="28"/>
      <c r="K162" s="28"/>
      <c r="L162" s="28"/>
      <c r="M162" s="28"/>
      <c r="N162" s="28"/>
      <c r="O162" s="28"/>
      <c r="P162" s="28"/>
      <c r="Q162" s="28"/>
    </row>
    <row r="163" spans="1:17" ht="16.05" customHeight="1" x14ac:dyDescent="0.3">
      <c r="A163" s="30">
        <v>160</v>
      </c>
      <c r="B163" s="30" t="s">
        <v>534</v>
      </c>
      <c r="C163" s="30" t="s">
        <v>143</v>
      </c>
      <c r="D163" s="30" t="s">
        <v>176</v>
      </c>
      <c r="E163" s="30" t="s">
        <v>1736</v>
      </c>
      <c r="F163" s="30"/>
      <c r="G163" s="30" t="s">
        <v>1724</v>
      </c>
      <c r="H163" s="30"/>
      <c r="I163" s="30"/>
      <c r="J163" s="30"/>
      <c r="K163" s="30"/>
      <c r="L163" s="30"/>
      <c r="M163" s="30"/>
      <c r="N163" s="30"/>
      <c r="O163" s="30"/>
      <c r="P163" s="30"/>
      <c r="Q163" s="30"/>
    </row>
    <row r="164" spans="1:17" ht="16.05" customHeight="1" x14ac:dyDescent="0.3">
      <c r="A164" s="28">
        <v>161</v>
      </c>
      <c r="B164" s="28" t="s">
        <v>535</v>
      </c>
      <c r="C164" s="28" t="s">
        <v>142</v>
      </c>
      <c r="D164" s="28" t="s">
        <v>164</v>
      </c>
      <c r="E164" s="28" t="s">
        <v>1727</v>
      </c>
      <c r="F164" s="28"/>
      <c r="G164" s="28" t="s">
        <v>1724</v>
      </c>
      <c r="H164" s="28"/>
      <c r="I164" s="28"/>
      <c r="J164" s="28"/>
      <c r="K164" s="28"/>
      <c r="L164" s="28"/>
      <c r="M164" s="28"/>
      <c r="N164" s="28"/>
      <c r="O164" s="28"/>
      <c r="P164" s="28"/>
      <c r="Q164" s="28"/>
    </row>
    <row r="165" spans="1:17" ht="16.05" customHeight="1" x14ac:dyDescent="0.3">
      <c r="A165" s="30">
        <v>162</v>
      </c>
      <c r="B165" s="30" t="s">
        <v>535</v>
      </c>
      <c r="C165" s="30" t="s">
        <v>146</v>
      </c>
      <c r="D165" s="30" t="s">
        <v>168</v>
      </c>
      <c r="E165" s="30" t="s">
        <v>1728</v>
      </c>
      <c r="F165" s="30"/>
      <c r="G165" s="30" t="s">
        <v>1724</v>
      </c>
      <c r="H165" s="30"/>
      <c r="I165" s="30"/>
      <c r="J165" s="30"/>
      <c r="K165" s="30"/>
      <c r="L165" s="30"/>
      <c r="M165" s="30"/>
      <c r="N165" s="30"/>
      <c r="O165" s="30"/>
      <c r="P165" s="30"/>
      <c r="Q165" s="30"/>
    </row>
    <row r="166" spans="1:17" ht="16.05" customHeight="1" x14ac:dyDescent="0.3">
      <c r="A166" s="28">
        <v>163</v>
      </c>
      <c r="B166" s="28" t="s">
        <v>535</v>
      </c>
      <c r="C166" s="28" t="s">
        <v>147</v>
      </c>
      <c r="D166" s="28" t="s">
        <v>168</v>
      </c>
      <c r="E166" s="28" t="s">
        <v>1729</v>
      </c>
      <c r="F166" s="28"/>
      <c r="G166" s="28" t="s">
        <v>1724</v>
      </c>
      <c r="H166" s="28"/>
      <c r="I166" s="28"/>
      <c r="J166" s="28"/>
      <c r="K166" s="28"/>
      <c r="L166" s="28"/>
      <c r="M166" s="28"/>
      <c r="N166" s="28"/>
      <c r="O166" s="28"/>
      <c r="P166" s="28"/>
      <c r="Q166" s="28"/>
    </row>
    <row r="167" spans="1:17" ht="16.05" customHeight="1" x14ac:dyDescent="0.3">
      <c r="A167" s="30">
        <v>164</v>
      </c>
      <c r="B167" s="30" t="s">
        <v>535</v>
      </c>
      <c r="C167" s="30" t="s">
        <v>143</v>
      </c>
      <c r="D167" s="30" t="s">
        <v>172</v>
      </c>
      <c r="E167" s="30" t="s">
        <v>1730</v>
      </c>
      <c r="F167" s="30"/>
      <c r="G167" s="30" t="s">
        <v>1724</v>
      </c>
      <c r="H167" s="30"/>
      <c r="I167" s="30"/>
      <c r="J167" s="30"/>
      <c r="K167" s="30"/>
      <c r="L167" s="30"/>
      <c r="M167" s="30"/>
      <c r="N167" s="30"/>
      <c r="O167" s="30"/>
      <c r="P167" s="30"/>
      <c r="Q167" s="30"/>
    </row>
    <row r="168" spans="1:17" ht="16.05" customHeight="1" x14ac:dyDescent="0.3">
      <c r="A168" s="28">
        <v>165</v>
      </c>
      <c r="B168" s="28" t="s">
        <v>535</v>
      </c>
      <c r="C168" s="28" t="s">
        <v>143</v>
      </c>
      <c r="D168" s="28" t="s">
        <v>176</v>
      </c>
      <c r="E168" s="28" t="s">
        <v>1731</v>
      </c>
      <c r="F168" s="28"/>
      <c r="G168" s="28" t="s">
        <v>1724</v>
      </c>
      <c r="H168" s="28"/>
      <c r="I168" s="28"/>
      <c r="J168" s="28"/>
      <c r="K168" s="28"/>
      <c r="L168" s="28"/>
      <c r="M168" s="28"/>
      <c r="N168" s="28"/>
      <c r="O168" s="28"/>
      <c r="P168" s="28"/>
      <c r="Q168" s="28"/>
    </row>
    <row r="169" spans="1:17" ht="16.05" customHeight="1" x14ac:dyDescent="0.3">
      <c r="A169" s="30">
        <v>166</v>
      </c>
      <c r="B169" s="30" t="s">
        <v>535</v>
      </c>
      <c r="C169" s="30" t="s">
        <v>144</v>
      </c>
      <c r="D169" s="30" t="s">
        <v>176</v>
      </c>
      <c r="E169" s="30" t="s">
        <v>1732</v>
      </c>
      <c r="F169" s="30"/>
      <c r="G169" s="30" t="s">
        <v>1724</v>
      </c>
      <c r="H169" s="30"/>
      <c r="I169" s="30"/>
      <c r="J169" s="30"/>
      <c r="K169" s="30"/>
      <c r="L169" s="30"/>
      <c r="M169" s="30"/>
      <c r="N169" s="30"/>
      <c r="O169" s="30"/>
      <c r="P169" s="30"/>
      <c r="Q169" s="30"/>
    </row>
    <row r="170" spans="1:17" ht="16.05" customHeight="1" x14ac:dyDescent="0.3">
      <c r="A170" s="28">
        <v>167</v>
      </c>
      <c r="B170" s="28" t="s">
        <v>535</v>
      </c>
      <c r="C170" s="28" t="s">
        <v>148</v>
      </c>
      <c r="D170" s="28" t="s">
        <v>168</v>
      </c>
      <c r="E170" s="28" t="s">
        <v>1733</v>
      </c>
      <c r="F170" s="28"/>
      <c r="G170" s="28" t="s">
        <v>1724</v>
      </c>
      <c r="H170" s="28"/>
      <c r="I170" s="28"/>
      <c r="J170" s="28"/>
      <c r="K170" s="28"/>
      <c r="L170" s="28"/>
      <c r="M170" s="28"/>
      <c r="N170" s="28"/>
      <c r="O170" s="28"/>
      <c r="P170" s="28"/>
      <c r="Q170" s="28"/>
    </row>
    <row r="171" spans="1:17" ht="16.05" customHeight="1" x14ac:dyDescent="0.3">
      <c r="A171" s="30">
        <v>168</v>
      </c>
      <c r="B171" s="30" t="s">
        <v>535</v>
      </c>
      <c r="C171" s="30" t="s">
        <v>148</v>
      </c>
      <c r="D171" s="30" t="s">
        <v>176</v>
      </c>
      <c r="E171" s="30" t="s">
        <v>1734</v>
      </c>
      <c r="F171" s="30"/>
      <c r="G171" s="30" t="s">
        <v>1724</v>
      </c>
      <c r="H171" s="30"/>
      <c r="I171" s="30"/>
      <c r="J171" s="30"/>
      <c r="K171" s="30"/>
      <c r="L171" s="30"/>
      <c r="M171" s="30"/>
      <c r="N171" s="30"/>
      <c r="O171" s="30"/>
      <c r="P171" s="30"/>
      <c r="Q171" s="30"/>
    </row>
    <row r="172" spans="1:17" ht="16.05" customHeight="1" x14ac:dyDescent="0.3">
      <c r="A172" s="28">
        <v>169</v>
      </c>
      <c r="B172" s="28" t="s">
        <v>535</v>
      </c>
      <c r="C172" s="28" t="s">
        <v>152</v>
      </c>
      <c r="D172" s="28" t="s">
        <v>168</v>
      </c>
      <c r="E172" s="28" t="s">
        <v>1735</v>
      </c>
      <c r="F172" s="28"/>
      <c r="G172" s="28" t="s">
        <v>1724</v>
      </c>
      <c r="H172" s="28"/>
      <c r="I172" s="28"/>
      <c r="J172" s="28"/>
      <c r="K172" s="28"/>
      <c r="L172" s="28"/>
      <c r="M172" s="28"/>
      <c r="N172" s="28"/>
      <c r="O172" s="28"/>
      <c r="P172" s="28"/>
      <c r="Q172" s="28"/>
    </row>
    <row r="173" spans="1:17" ht="16.05" customHeight="1" x14ac:dyDescent="0.3">
      <c r="A173" s="30">
        <v>170</v>
      </c>
      <c r="B173" s="30" t="s">
        <v>535</v>
      </c>
      <c r="C173" s="30" t="s">
        <v>143</v>
      </c>
      <c r="D173" s="30" t="s">
        <v>176</v>
      </c>
      <c r="E173" s="30" t="s">
        <v>1736</v>
      </c>
      <c r="F173" s="30"/>
      <c r="G173" s="30" t="s">
        <v>1724</v>
      </c>
      <c r="H173" s="30"/>
      <c r="I173" s="30"/>
      <c r="J173" s="30"/>
      <c r="K173" s="30"/>
      <c r="L173" s="30"/>
      <c r="M173" s="30"/>
      <c r="N173" s="30"/>
      <c r="O173" s="30"/>
      <c r="P173" s="30"/>
      <c r="Q173" s="30"/>
    </row>
    <row r="174" spans="1:17" ht="16.05" customHeight="1" x14ac:dyDescent="0.3">
      <c r="A174" s="28">
        <v>171</v>
      </c>
      <c r="B174" s="28" t="s">
        <v>536</v>
      </c>
      <c r="C174" s="28" t="s">
        <v>142</v>
      </c>
      <c r="D174" s="28" t="s">
        <v>164</v>
      </c>
      <c r="E174" s="28" t="s">
        <v>1727</v>
      </c>
      <c r="F174" s="28"/>
      <c r="G174" s="28" t="s">
        <v>1724</v>
      </c>
      <c r="H174" s="28"/>
      <c r="I174" s="28"/>
      <c r="J174" s="28"/>
      <c r="K174" s="28"/>
      <c r="L174" s="28"/>
      <c r="M174" s="28"/>
      <c r="N174" s="28"/>
      <c r="O174" s="28"/>
      <c r="P174" s="28"/>
      <c r="Q174" s="28"/>
    </row>
    <row r="175" spans="1:17" ht="16.05" customHeight="1" x14ac:dyDescent="0.3">
      <c r="A175" s="30">
        <v>172</v>
      </c>
      <c r="B175" s="30" t="s">
        <v>536</v>
      </c>
      <c r="C175" s="30" t="s">
        <v>146</v>
      </c>
      <c r="D175" s="30" t="s">
        <v>168</v>
      </c>
      <c r="E175" s="30" t="s">
        <v>1728</v>
      </c>
      <c r="F175" s="30"/>
      <c r="G175" s="30" t="s">
        <v>1724</v>
      </c>
      <c r="H175" s="30"/>
      <c r="I175" s="30"/>
      <c r="J175" s="30"/>
      <c r="K175" s="30"/>
      <c r="L175" s="30"/>
      <c r="M175" s="30"/>
      <c r="N175" s="30"/>
      <c r="O175" s="30"/>
      <c r="P175" s="30"/>
      <c r="Q175" s="30"/>
    </row>
    <row r="176" spans="1:17" ht="16.05" customHeight="1" x14ac:dyDescent="0.3">
      <c r="A176" s="28">
        <v>173</v>
      </c>
      <c r="B176" s="28" t="s">
        <v>536</v>
      </c>
      <c r="C176" s="28" t="s">
        <v>147</v>
      </c>
      <c r="D176" s="28" t="s">
        <v>168</v>
      </c>
      <c r="E176" s="28" t="s">
        <v>1729</v>
      </c>
      <c r="F176" s="28"/>
      <c r="G176" s="28" t="s">
        <v>1724</v>
      </c>
      <c r="H176" s="28"/>
      <c r="I176" s="28"/>
      <c r="J176" s="28"/>
      <c r="K176" s="28"/>
      <c r="L176" s="28"/>
      <c r="M176" s="28"/>
      <c r="N176" s="28"/>
      <c r="O176" s="28"/>
      <c r="P176" s="28"/>
      <c r="Q176" s="28"/>
    </row>
    <row r="177" spans="1:17" ht="16.05" customHeight="1" x14ac:dyDescent="0.3">
      <c r="A177" s="30">
        <v>174</v>
      </c>
      <c r="B177" s="30" t="s">
        <v>536</v>
      </c>
      <c r="C177" s="30" t="s">
        <v>143</v>
      </c>
      <c r="D177" s="30" t="s">
        <v>172</v>
      </c>
      <c r="E177" s="30" t="s">
        <v>1730</v>
      </c>
      <c r="F177" s="30"/>
      <c r="G177" s="30" t="s">
        <v>1724</v>
      </c>
      <c r="H177" s="30"/>
      <c r="I177" s="30"/>
      <c r="J177" s="30"/>
      <c r="K177" s="30"/>
      <c r="L177" s="30"/>
      <c r="M177" s="30"/>
      <c r="N177" s="30"/>
      <c r="O177" s="30"/>
      <c r="P177" s="30"/>
      <c r="Q177" s="30"/>
    </row>
    <row r="178" spans="1:17" ht="16.05" customHeight="1" x14ac:dyDescent="0.3">
      <c r="A178" s="28">
        <v>175</v>
      </c>
      <c r="B178" s="28" t="s">
        <v>536</v>
      </c>
      <c r="C178" s="28" t="s">
        <v>143</v>
      </c>
      <c r="D178" s="28" t="s">
        <v>176</v>
      </c>
      <c r="E178" s="28" t="s">
        <v>1731</v>
      </c>
      <c r="F178" s="28"/>
      <c r="G178" s="28" t="s">
        <v>1724</v>
      </c>
      <c r="H178" s="28"/>
      <c r="I178" s="28"/>
      <c r="J178" s="28"/>
      <c r="K178" s="28"/>
      <c r="L178" s="28"/>
      <c r="M178" s="28"/>
      <c r="N178" s="28"/>
      <c r="O178" s="28"/>
      <c r="P178" s="28"/>
      <c r="Q178" s="28"/>
    </row>
    <row r="179" spans="1:17" ht="16.05" customHeight="1" x14ac:dyDescent="0.3">
      <c r="A179" s="30">
        <v>176</v>
      </c>
      <c r="B179" s="30" t="s">
        <v>536</v>
      </c>
      <c r="C179" s="30" t="s">
        <v>144</v>
      </c>
      <c r="D179" s="30" t="s">
        <v>176</v>
      </c>
      <c r="E179" s="30" t="s">
        <v>1732</v>
      </c>
      <c r="F179" s="30"/>
      <c r="G179" s="30" t="s">
        <v>1724</v>
      </c>
      <c r="H179" s="30"/>
      <c r="I179" s="30"/>
      <c r="J179" s="30"/>
      <c r="K179" s="30"/>
      <c r="L179" s="30"/>
      <c r="M179" s="30"/>
      <c r="N179" s="30"/>
      <c r="O179" s="30"/>
      <c r="P179" s="30"/>
      <c r="Q179" s="30"/>
    </row>
    <row r="180" spans="1:17" ht="16.05" customHeight="1" x14ac:dyDescent="0.3">
      <c r="A180" s="28">
        <v>177</v>
      </c>
      <c r="B180" s="28" t="s">
        <v>536</v>
      </c>
      <c r="C180" s="28" t="s">
        <v>148</v>
      </c>
      <c r="D180" s="28" t="s">
        <v>168</v>
      </c>
      <c r="E180" s="28" t="s">
        <v>1733</v>
      </c>
      <c r="F180" s="28"/>
      <c r="G180" s="28" t="s">
        <v>1724</v>
      </c>
      <c r="H180" s="28"/>
      <c r="I180" s="28"/>
      <c r="J180" s="28"/>
      <c r="K180" s="28"/>
      <c r="L180" s="28"/>
      <c r="M180" s="28"/>
      <c r="N180" s="28"/>
      <c r="O180" s="28"/>
      <c r="P180" s="28"/>
      <c r="Q180" s="28"/>
    </row>
    <row r="181" spans="1:17" ht="16.05" customHeight="1" x14ac:dyDescent="0.3">
      <c r="A181" s="30">
        <v>178</v>
      </c>
      <c r="B181" s="30" t="s">
        <v>536</v>
      </c>
      <c r="C181" s="30" t="s">
        <v>148</v>
      </c>
      <c r="D181" s="30" t="s">
        <v>176</v>
      </c>
      <c r="E181" s="30" t="s">
        <v>1734</v>
      </c>
      <c r="F181" s="30"/>
      <c r="G181" s="30" t="s">
        <v>1724</v>
      </c>
      <c r="H181" s="30"/>
      <c r="I181" s="30"/>
      <c r="J181" s="30"/>
      <c r="K181" s="30"/>
      <c r="L181" s="30"/>
      <c r="M181" s="30"/>
      <c r="N181" s="30"/>
      <c r="O181" s="30"/>
      <c r="P181" s="30"/>
      <c r="Q181" s="30"/>
    </row>
    <row r="182" spans="1:17" ht="16.05" customHeight="1" x14ac:dyDescent="0.3">
      <c r="A182" s="28">
        <v>179</v>
      </c>
      <c r="B182" s="28" t="s">
        <v>536</v>
      </c>
      <c r="C182" s="28" t="s">
        <v>152</v>
      </c>
      <c r="D182" s="28" t="s">
        <v>168</v>
      </c>
      <c r="E182" s="28" t="s">
        <v>1735</v>
      </c>
      <c r="F182" s="28"/>
      <c r="G182" s="28" t="s">
        <v>1724</v>
      </c>
      <c r="H182" s="28"/>
      <c r="I182" s="28"/>
      <c r="J182" s="28"/>
      <c r="K182" s="28"/>
      <c r="L182" s="28"/>
      <c r="M182" s="28"/>
      <c r="N182" s="28"/>
      <c r="O182" s="28"/>
      <c r="P182" s="28"/>
      <c r="Q182" s="28"/>
    </row>
    <row r="183" spans="1:17" ht="16.05" customHeight="1" x14ac:dyDescent="0.3">
      <c r="A183" s="30">
        <v>180</v>
      </c>
      <c r="B183" s="30" t="s">
        <v>536</v>
      </c>
      <c r="C183" s="30" t="s">
        <v>143</v>
      </c>
      <c r="D183" s="30" t="s">
        <v>176</v>
      </c>
      <c r="E183" s="30" t="s">
        <v>1736</v>
      </c>
      <c r="F183" s="30"/>
      <c r="G183" s="30" t="s">
        <v>1724</v>
      </c>
      <c r="H183" s="30"/>
      <c r="I183" s="30"/>
      <c r="J183" s="30"/>
      <c r="K183" s="30"/>
      <c r="L183" s="30"/>
      <c r="M183" s="30"/>
      <c r="N183" s="30"/>
      <c r="O183" s="30"/>
      <c r="P183" s="30"/>
      <c r="Q183" s="30"/>
    </row>
    <row r="184" spans="1:17" ht="16.05" customHeight="1" x14ac:dyDescent="0.3">
      <c r="A184" s="28">
        <v>181</v>
      </c>
      <c r="B184" s="28" t="s">
        <v>537</v>
      </c>
      <c r="C184" s="28" t="s">
        <v>142</v>
      </c>
      <c r="D184" s="28" t="s">
        <v>164</v>
      </c>
      <c r="E184" s="28" t="s">
        <v>1727</v>
      </c>
      <c r="F184" s="28"/>
      <c r="G184" s="28" t="s">
        <v>1724</v>
      </c>
      <c r="H184" s="28"/>
      <c r="I184" s="28"/>
      <c r="J184" s="28"/>
      <c r="K184" s="28"/>
      <c r="L184" s="28"/>
      <c r="M184" s="28"/>
      <c r="N184" s="28"/>
      <c r="O184" s="28"/>
      <c r="P184" s="28"/>
      <c r="Q184" s="28"/>
    </row>
    <row r="185" spans="1:17" ht="16.05" customHeight="1" x14ac:dyDescent="0.3">
      <c r="A185" s="30">
        <v>182</v>
      </c>
      <c r="B185" s="30" t="s">
        <v>537</v>
      </c>
      <c r="C185" s="30" t="s">
        <v>146</v>
      </c>
      <c r="D185" s="30" t="s">
        <v>168</v>
      </c>
      <c r="E185" s="30" t="s">
        <v>1728</v>
      </c>
      <c r="F185" s="30"/>
      <c r="G185" s="30" t="s">
        <v>1724</v>
      </c>
      <c r="H185" s="30"/>
      <c r="I185" s="30"/>
      <c r="J185" s="30"/>
      <c r="K185" s="30"/>
      <c r="L185" s="30"/>
      <c r="M185" s="30"/>
      <c r="N185" s="30"/>
      <c r="O185" s="30"/>
      <c r="P185" s="30"/>
      <c r="Q185" s="30"/>
    </row>
    <row r="186" spans="1:17" ht="16.05" customHeight="1" x14ac:dyDescent="0.3">
      <c r="A186" s="28">
        <v>183</v>
      </c>
      <c r="B186" s="28" t="s">
        <v>537</v>
      </c>
      <c r="C186" s="28" t="s">
        <v>147</v>
      </c>
      <c r="D186" s="28" t="s">
        <v>168</v>
      </c>
      <c r="E186" s="28" t="s">
        <v>1729</v>
      </c>
      <c r="F186" s="28"/>
      <c r="G186" s="28" t="s">
        <v>1724</v>
      </c>
      <c r="H186" s="28"/>
      <c r="I186" s="28"/>
      <c r="J186" s="28"/>
      <c r="K186" s="28"/>
      <c r="L186" s="28"/>
      <c r="M186" s="28"/>
      <c r="N186" s="28"/>
      <c r="O186" s="28"/>
      <c r="P186" s="28"/>
      <c r="Q186" s="28"/>
    </row>
    <row r="187" spans="1:17" ht="16.05" customHeight="1" x14ac:dyDescent="0.3">
      <c r="A187" s="30">
        <v>184</v>
      </c>
      <c r="B187" s="30" t="s">
        <v>537</v>
      </c>
      <c r="C187" s="30" t="s">
        <v>143</v>
      </c>
      <c r="D187" s="30" t="s">
        <v>172</v>
      </c>
      <c r="E187" s="30" t="s">
        <v>1730</v>
      </c>
      <c r="F187" s="30"/>
      <c r="G187" s="30" t="s">
        <v>1724</v>
      </c>
      <c r="H187" s="30"/>
      <c r="I187" s="30"/>
      <c r="J187" s="30"/>
      <c r="K187" s="30"/>
      <c r="L187" s="30"/>
      <c r="M187" s="30"/>
      <c r="N187" s="30"/>
      <c r="O187" s="30"/>
      <c r="P187" s="30"/>
      <c r="Q187" s="30"/>
    </row>
    <row r="188" spans="1:17" ht="16.05" customHeight="1" x14ac:dyDescent="0.3">
      <c r="A188" s="28">
        <v>185</v>
      </c>
      <c r="B188" s="28" t="s">
        <v>537</v>
      </c>
      <c r="C188" s="28" t="s">
        <v>143</v>
      </c>
      <c r="D188" s="28" t="s">
        <v>176</v>
      </c>
      <c r="E188" s="28" t="s">
        <v>1731</v>
      </c>
      <c r="F188" s="28"/>
      <c r="G188" s="28" t="s">
        <v>1724</v>
      </c>
      <c r="H188" s="28"/>
      <c r="I188" s="28"/>
      <c r="J188" s="28"/>
      <c r="K188" s="28"/>
      <c r="L188" s="28"/>
      <c r="M188" s="28"/>
      <c r="N188" s="28"/>
      <c r="O188" s="28"/>
      <c r="P188" s="28"/>
      <c r="Q188" s="28"/>
    </row>
    <row r="189" spans="1:17" ht="16.05" customHeight="1" x14ac:dyDescent="0.3">
      <c r="A189" s="30">
        <v>186</v>
      </c>
      <c r="B189" s="30" t="s">
        <v>537</v>
      </c>
      <c r="C189" s="30" t="s">
        <v>144</v>
      </c>
      <c r="D189" s="30" t="s">
        <v>176</v>
      </c>
      <c r="E189" s="30" t="s">
        <v>1732</v>
      </c>
      <c r="F189" s="30"/>
      <c r="G189" s="30" t="s">
        <v>1724</v>
      </c>
      <c r="H189" s="30"/>
      <c r="I189" s="30"/>
      <c r="J189" s="30"/>
      <c r="K189" s="30"/>
      <c r="L189" s="30"/>
      <c r="M189" s="30"/>
      <c r="N189" s="30"/>
      <c r="O189" s="30"/>
      <c r="P189" s="30"/>
      <c r="Q189" s="30"/>
    </row>
    <row r="190" spans="1:17" ht="16.05" customHeight="1" x14ac:dyDescent="0.3">
      <c r="A190" s="28">
        <v>187</v>
      </c>
      <c r="B190" s="28" t="s">
        <v>537</v>
      </c>
      <c r="C190" s="28" t="s">
        <v>148</v>
      </c>
      <c r="D190" s="28" t="s">
        <v>168</v>
      </c>
      <c r="E190" s="28" t="s">
        <v>1733</v>
      </c>
      <c r="F190" s="28"/>
      <c r="G190" s="28" t="s">
        <v>1724</v>
      </c>
      <c r="H190" s="28"/>
      <c r="I190" s="28"/>
      <c r="J190" s="28"/>
      <c r="K190" s="28"/>
      <c r="L190" s="28"/>
      <c r="M190" s="28"/>
      <c r="N190" s="28"/>
      <c r="O190" s="28"/>
      <c r="P190" s="28"/>
      <c r="Q190" s="28"/>
    </row>
    <row r="191" spans="1:17" ht="16.05" customHeight="1" x14ac:dyDescent="0.3">
      <c r="A191" s="30">
        <v>188</v>
      </c>
      <c r="B191" s="30" t="s">
        <v>537</v>
      </c>
      <c r="C191" s="30" t="s">
        <v>148</v>
      </c>
      <c r="D191" s="30" t="s">
        <v>176</v>
      </c>
      <c r="E191" s="30" t="s">
        <v>1734</v>
      </c>
      <c r="F191" s="30"/>
      <c r="G191" s="30" t="s">
        <v>1724</v>
      </c>
      <c r="H191" s="30"/>
      <c r="I191" s="30"/>
      <c r="J191" s="30"/>
      <c r="K191" s="30"/>
      <c r="L191" s="30"/>
      <c r="M191" s="30"/>
      <c r="N191" s="30"/>
      <c r="O191" s="30"/>
      <c r="P191" s="30"/>
      <c r="Q191" s="30"/>
    </row>
    <row r="192" spans="1:17" ht="16.05" customHeight="1" x14ac:dyDescent="0.3">
      <c r="A192" s="28">
        <v>189</v>
      </c>
      <c r="B192" s="28" t="s">
        <v>537</v>
      </c>
      <c r="C192" s="28" t="s">
        <v>152</v>
      </c>
      <c r="D192" s="28" t="s">
        <v>168</v>
      </c>
      <c r="E192" s="28" t="s">
        <v>1735</v>
      </c>
      <c r="F192" s="28"/>
      <c r="G192" s="28" t="s">
        <v>1724</v>
      </c>
      <c r="H192" s="28"/>
      <c r="I192" s="28"/>
      <c r="J192" s="28"/>
      <c r="K192" s="28"/>
      <c r="L192" s="28"/>
      <c r="M192" s="28"/>
      <c r="N192" s="28"/>
      <c r="O192" s="28"/>
      <c r="P192" s="28"/>
      <c r="Q192" s="28"/>
    </row>
    <row r="193" spans="1:17" ht="16.05" customHeight="1" x14ac:dyDescent="0.3">
      <c r="A193" s="30">
        <v>190</v>
      </c>
      <c r="B193" s="30" t="s">
        <v>537</v>
      </c>
      <c r="C193" s="30" t="s">
        <v>143</v>
      </c>
      <c r="D193" s="30" t="s">
        <v>176</v>
      </c>
      <c r="E193" s="30" t="s">
        <v>1736</v>
      </c>
      <c r="F193" s="30"/>
      <c r="G193" s="30" t="s">
        <v>1724</v>
      </c>
      <c r="H193" s="30"/>
      <c r="I193" s="30"/>
      <c r="J193" s="30"/>
      <c r="K193" s="30"/>
      <c r="L193" s="30"/>
      <c r="M193" s="30"/>
      <c r="N193" s="30"/>
      <c r="O193" s="30"/>
      <c r="P193" s="30"/>
      <c r="Q193" s="30"/>
    </row>
    <row r="194" spans="1:17" ht="16.05" customHeight="1" x14ac:dyDescent="0.3">
      <c r="A194" s="28">
        <v>191</v>
      </c>
      <c r="B194" s="28" t="s">
        <v>538</v>
      </c>
      <c r="C194" s="28" t="s">
        <v>142</v>
      </c>
      <c r="D194" s="28" t="s">
        <v>164</v>
      </c>
      <c r="E194" s="28" t="s">
        <v>1727</v>
      </c>
      <c r="F194" s="28"/>
      <c r="G194" s="28" t="s">
        <v>1724</v>
      </c>
      <c r="H194" s="28"/>
      <c r="I194" s="28"/>
      <c r="J194" s="28"/>
      <c r="K194" s="28"/>
      <c r="L194" s="28"/>
      <c r="M194" s="28"/>
      <c r="N194" s="28"/>
      <c r="O194" s="28"/>
      <c r="P194" s="28"/>
      <c r="Q194" s="28"/>
    </row>
    <row r="195" spans="1:17" ht="16.05" customHeight="1" x14ac:dyDescent="0.3">
      <c r="A195" s="30">
        <v>192</v>
      </c>
      <c r="B195" s="30" t="s">
        <v>538</v>
      </c>
      <c r="C195" s="30" t="s">
        <v>146</v>
      </c>
      <c r="D195" s="30" t="s">
        <v>168</v>
      </c>
      <c r="E195" s="30" t="s">
        <v>1728</v>
      </c>
      <c r="F195" s="30"/>
      <c r="G195" s="30" t="s">
        <v>1724</v>
      </c>
      <c r="H195" s="30"/>
      <c r="I195" s="30"/>
      <c r="J195" s="30"/>
      <c r="K195" s="30"/>
      <c r="L195" s="30"/>
      <c r="M195" s="30"/>
      <c r="N195" s="30"/>
      <c r="O195" s="30"/>
      <c r="P195" s="30"/>
      <c r="Q195" s="30"/>
    </row>
    <row r="196" spans="1:17" ht="16.05" customHeight="1" x14ac:dyDescent="0.3">
      <c r="A196" s="28">
        <v>193</v>
      </c>
      <c r="B196" s="28" t="s">
        <v>538</v>
      </c>
      <c r="C196" s="28" t="s">
        <v>147</v>
      </c>
      <c r="D196" s="28" t="s">
        <v>168</v>
      </c>
      <c r="E196" s="28" t="s">
        <v>1729</v>
      </c>
      <c r="F196" s="28"/>
      <c r="G196" s="28" t="s">
        <v>1724</v>
      </c>
      <c r="H196" s="28"/>
      <c r="I196" s="28"/>
      <c r="J196" s="28"/>
      <c r="K196" s="28"/>
      <c r="L196" s="28"/>
      <c r="M196" s="28"/>
      <c r="N196" s="28"/>
      <c r="O196" s="28"/>
      <c r="P196" s="28"/>
      <c r="Q196" s="28"/>
    </row>
    <row r="197" spans="1:17" ht="16.05" customHeight="1" x14ac:dyDescent="0.3">
      <c r="A197" s="30">
        <v>194</v>
      </c>
      <c r="B197" s="30" t="s">
        <v>538</v>
      </c>
      <c r="C197" s="30" t="s">
        <v>143</v>
      </c>
      <c r="D197" s="30" t="s">
        <v>172</v>
      </c>
      <c r="E197" s="30" t="s">
        <v>1730</v>
      </c>
      <c r="F197" s="30"/>
      <c r="G197" s="30" t="s">
        <v>1724</v>
      </c>
      <c r="H197" s="30"/>
      <c r="I197" s="30"/>
      <c r="J197" s="30"/>
      <c r="K197" s="30"/>
      <c r="L197" s="30"/>
      <c r="M197" s="30"/>
      <c r="N197" s="30"/>
      <c r="O197" s="30"/>
      <c r="P197" s="30"/>
      <c r="Q197" s="30"/>
    </row>
    <row r="198" spans="1:17" ht="16.05" customHeight="1" x14ac:dyDescent="0.3">
      <c r="A198" s="28">
        <v>195</v>
      </c>
      <c r="B198" s="28" t="s">
        <v>538</v>
      </c>
      <c r="C198" s="28" t="s">
        <v>143</v>
      </c>
      <c r="D198" s="28" t="s">
        <v>176</v>
      </c>
      <c r="E198" s="28" t="s">
        <v>1731</v>
      </c>
      <c r="F198" s="28"/>
      <c r="G198" s="28" t="s">
        <v>1724</v>
      </c>
      <c r="H198" s="28"/>
      <c r="I198" s="28"/>
      <c r="J198" s="28"/>
      <c r="K198" s="28"/>
      <c r="L198" s="28"/>
      <c r="M198" s="28"/>
      <c r="N198" s="28"/>
      <c r="O198" s="28"/>
      <c r="P198" s="28"/>
      <c r="Q198" s="28"/>
    </row>
    <row r="199" spans="1:17" ht="16.05" customHeight="1" x14ac:dyDescent="0.3">
      <c r="A199" s="30">
        <v>196</v>
      </c>
      <c r="B199" s="30" t="s">
        <v>538</v>
      </c>
      <c r="C199" s="30" t="s">
        <v>144</v>
      </c>
      <c r="D199" s="30" t="s">
        <v>176</v>
      </c>
      <c r="E199" s="30" t="s">
        <v>1732</v>
      </c>
      <c r="F199" s="30"/>
      <c r="G199" s="30" t="s">
        <v>1724</v>
      </c>
      <c r="H199" s="30"/>
      <c r="I199" s="30"/>
      <c r="J199" s="30"/>
      <c r="K199" s="30"/>
      <c r="L199" s="30"/>
      <c r="M199" s="30"/>
      <c r="N199" s="30"/>
      <c r="O199" s="30"/>
      <c r="P199" s="30"/>
      <c r="Q199" s="30"/>
    </row>
    <row r="200" spans="1:17" ht="16.05" customHeight="1" x14ac:dyDescent="0.3">
      <c r="A200" s="28">
        <v>197</v>
      </c>
      <c r="B200" s="28" t="s">
        <v>538</v>
      </c>
      <c r="C200" s="28" t="s">
        <v>148</v>
      </c>
      <c r="D200" s="28" t="s">
        <v>168</v>
      </c>
      <c r="E200" s="28" t="s">
        <v>1733</v>
      </c>
      <c r="F200" s="28"/>
      <c r="G200" s="28" t="s">
        <v>1724</v>
      </c>
      <c r="H200" s="28"/>
      <c r="I200" s="28"/>
      <c r="J200" s="28"/>
      <c r="K200" s="28"/>
      <c r="L200" s="28"/>
      <c r="M200" s="28"/>
      <c r="N200" s="28"/>
      <c r="O200" s="28"/>
      <c r="P200" s="28"/>
      <c r="Q200" s="28"/>
    </row>
    <row r="201" spans="1:17" ht="16.05" customHeight="1" x14ac:dyDescent="0.3">
      <c r="A201" s="30">
        <v>198</v>
      </c>
      <c r="B201" s="30" t="s">
        <v>538</v>
      </c>
      <c r="C201" s="30" t="s">
        <v>148</v>
      </c>
      <c r="D201" s="30" t="s">
        <v>176</v>
      </c>
      <c r="E201" s="30" t="s">
        <v>1734</v>
      </c>
      <c r="F201" s="30"/>
      <c r="G201" s="30" t="s">
        <v>1724</v>
      </c>
      <c r="H201" s="30"/>
      <c r="I201" s="30"/>
      <c r="J201" s="30"/>
      <c r="K201" s="30"/>
      <c r="L201" s="30"/>
      <c r="M201" s="30"/>
      <c r="N201" s="30"/>
      <c r="O201" s="30"/>
      <c r="P201" s="30"/>
      <c r="Q201" s="30"/>
    </row>
    <row r="202" spans="1:17" ht="16.05" customHeight="1" x14ac:dyDescent="0.3">
      <c r="A202" s="28">
        <v>199</v>
      </c>
      <c r="B202" s="28" t="s">
        <v>538</v>
      </c>
      <c r="C202" s="28" t="s">
        <v>152</v>
      </c>
      <c r="D202" s="28" t="s">
        <v>168</v>
      </c>
      <c r="E202" s="28" t="s">
        <v>1735</v>
      </c>
      <c r="F202" s="28"/>
      <c r="G202" s="28" t="s">
        <v>1724</v>
      </c>
      <c r="H202" s="28"/>
      <c r="I202" s="28"/>
      <c r="J202" s="28"/>
      <c r="K202" s="28"/>
      <c r="L202" s="28"/>
      <c r="M202" s="28"/>
      <c r="N202" s="28"/>
      <c r="O202" s="28"/>
      <c r="P202" s="28"/>
      <c r="Q202" s="28"/>
    </row>
    <row r="203" spans="1:17" ht="16.05" customHeight="1" x14ac:dyDescent="0.3">
      <c r="A203" s="30">
        <v>200</v>
      </c>
      <c r="B203" s="30" t="s">
        <v>538</v>
      </c>
      <c r="C203" s="30" t="s">
        <v>143</v>
      </c>
      <c r="D203" s="30" t="s">
        <v>176</v>
      </c>
      <c r="E203" s="30" t="s">
        <v>1736</v>
      </c>
      <c r="F203" s="30"/>
      <c r="G203" s="30" t="s">
        <v>1724</v>
      </c>
      <c r="H203" s="30"/>
      <c r="I203" s="30"/>
      <c r="J203" s="30"/>
      <c r="K203" s="30"/>
      <c r="L203" s="30"/>
      <c r="M203" s="30"/>
      <c r="N203" s="30"/>
      <c r="O203" s="30"/>
      <c r="P203" s="30"/>
      <c r="Q203" s="30"/>
    </row>
    <row r="204" spans="1:17" ht="16.05" customHeight="1" x14ac:dyDescent="0.3">
      <c r="A204" s="28">
        <v>201</v>
      </c>
      <c r="B204" s="28" t="s">
        <v>539</v>
      </c>
      <c r="C204" s="28" t="s">
        <v>142</v>
      </c>
      <c r="D204" s="28" t="s">
        <v>164</v>
      </c>
      <c r="E204" s="28" t="s">
        <v>1727</v>
      </c>
      <c r="F204" s="28"/>
      <c r="G204" s="28" t="s">
        <v>1724</v>
      </c>
      <c r="H204" s="28"/>
      <c r="I204" s="28"/>
      <c r="J204" s="28"/>
      <c r="K204" s="28"/>
      <c r="L204" s="28"/>
      <c r="M204" s="28"/>
      <c r="N204" s="28"/>
      <c r="O204" s="28"/>
      <c r="P204" s="28"/>
      <c r="Q204" s="28"/>
    </row>
    <row r="205" spans="1:17" ht="16.05" customHeight="1" x14ac:dyDescent="0.3">
      <c r="A205" s="30">
        <v>202</v>
      </c>
      <c r="B205" s="30" t="s">
        <v>539</v>
      </c>
      <c r="C205" s="30" t="s">
        <v>146</v>
      </c>
      <c r="D205" s="30" t="s">
        <v>168</v>
      </c>
      <c r="E205" s="30" t="s">
        <v>1728</v>
      </c>
      <c r="F205" s="30"/>
      <c r="G205" s="30" t="s">
        <v>1724</v>
      </c>
      <c r="H205" s="30"/>
      <c r="I205" s="30"/>
      <c r="J205" s="30"/>
      <c r="K205" s="30"/>
      <c r="L205" s="30"/>
      <c r="M205" s="30"/>
      <c r="N205" s="30"/>
      <c r="O205" s="30"/>
      <c r="P205" s="30"/>
      <c r="Q205" s="30"/>
    </row>
    <row r="206" spans="1:17" ht="16.05" customHeight="1" x14ac:dyDescent="0.3">
      <c r="A206" s="28">
        <v>203</v>
      </c>
      <c r="B206" s="28" t="s">
        <v>539</v>
      </c>
      <c r="C206" s="28" t="s">
        <v>147</v>
      </c>
      <c r="D206" s="28" t="s">
        <v>168</v>
      </c>
      <c r="E206" s="28" t="s">
        <v>1729</v>
      </c>
      <c r="F206" s="28"/>
      <c r="G206" s="28" t="s">
        <v>1724</v>
      </c>
      <c r="H206" s="28"/>
      <c r="I206" s="28"/>
      <c r="J206" s="28"/>
      <c r="K206" s="28"/>
      <c r="L206" s="28"/>
      <c r="M206" s="28"/>
      <c r="N206" s="28"/>
      <c r="O206" s="28"/>
      <c r="P206" s="28"/>
      <c r="Q206" s="28"/>
    </row>
    <row r="207" spans="1:17" ht="16.05" customHeight="1" x14ac:dyDescent="0.3">
      <c r="A207" s="30">
        <v>204</v>
      </c>
      <c r="B207" s="30" t="s">
        <v>539</v>
      </c>
      <c r="C207" s="30" t="s">
        <v>143</v>
      </c>
      <c r="D207" s="30" t="s">
        <v>172</v>
      </c>
      <c r="E207" s="30" t="s">
        <v>1730</v>
      </c>
      <c r="F207" s="30"/>
      <c r="G207" s="30" t="s">
        <v>1724</v>
      </c>
      <c r="H207" s="30"/>
      <c r="I207" s="30"/>
      <c r="J207" s="30"/>
      <c r="K207" s="30"/>
      <c r="L207" s="30"/>
      <c r="M207" s="30"/>
      <c r="N207" s="30"/>
      <c r="O207" s="30"/>
      <c r="P207" s="30"/>
      <c r="Q207" s="30"/>
    </row>
    <row r="208" spans="1:17" ht="16.05" customHeight="1" x14ac:dyDescent="0.3">
      <c r="A208" s="28">
        <v>205</v>
      </c>
      <c r="B208" s="28" t="s">
        <v>539</v>
      </c>
      <c r="C208" s="28" t="s">
        <v>143</v>
      </c>
      <c r="D208" s="28" t="s">
        <v>176</v>
      </c>
      <c r="E208" s="28" t="s">
        <v>1731</v>
      </c>
      <c r="F208" s="28"/>
      <c r="G208" s="28" t="s">
        <v>1724</v>
      </c>
      <c r="H208" s="28"/>
      <c r="I208" s="28"/>
      <c r="J208" s="28"/>
      <c r="K208" s="28"/>
      <c r="L208" s="28"/>
      <c r="M208" s="28"/>
      <c r="N208" s="28"/>
      <c r="O208" s="28"/>
      <c r="P208" s="28"/>
      <c r="Q208" s="28"/>
    </row>
    <row r="209" spans="1:17" ht="16.05" customHeight="1" x14ac:dyDescent="0.3">
      <c r="A209" s="30">
        <v>206</v>
      </c>
      <c r="B209" s="30" t="s">
        <v>539</v>
      </c>
      <c r="C209" s="30" t="s">
        <v>144</v>
      </c>
      <c r="D209" s="30" t="s">
        <v>176</v>
      </c>
      <c r="E209" s="30" t="s">
        <v>1732</v>
      </c>
      <c r="F209" s="30"/>
      <c r="G209" s="30" t="s">
        <v>1724</v>
      </c>
      <c r="H209" s="30"/>
      <c r="I209" s="30"/>
      <c r="J209" s="30"/>
      <c r="K209" s="30"/>
      <c r="L209" s="30"/>
      <c r="M209" s="30"/>
      <c r="N209" s="30"/>
      <c r="O209" s="30"/>
      <c r="P209" s="30"/>
      <c r="Q209" s="30"/>
    </row>
    <row r="210" spans="1:17" ht="16.05" customHeight="1" x14ac:dyDescent="0.3">
      <c r="A210" s="28">
        <v>207</v>
      </c>
      <c r="B210" s="28" t="s">
        <v>539</v>
      </c>
      <c r="C210" s="28" t="s">
        <v>148</v>
      </c>
      <c r="D210" s="28" t="s">
        <v>168</v>
      </c>
      <c r="E210" s="28" t="s">
        <v>1733</v>
      </c>
      <c r="F210" s="28"/>
      <c r="G210" s="28" t="s">
        <v>1724</v>
      </c>
      <c r="H210" s="28"/>
      <c r="I210" s="28"/>
      <c r="J210" s="28"/>
      <c r="K210" s="28"/>
      <c r="L210" s="28"/>
      <c r="M210" s="28"/>
      <c r="N210" s="28"/>
      <c r="O210" s="28"/>
      <c r="P210" s="28"/>
      <c r="Q210" s="28"/>
    </row>
    <row r="211" spans="1:17" ht="16.05" customHeight="1" x14ac:dyDescent="0.3">
      <c r="A211" s="30">
        <v>208</v>
      </c>
      <c r="B211" s="30" t="s">
        <v>539</v>
      </c>
      <c r="C211" s="30" t="s">
        <v>148</v>
      </c>
      <c r="D211" s="30" t="s">
        <v>176</v>
      </c>
      <c r="E211" s="30" t="s">
        <v>1734</v>
      </c>
      <c r="F211" s="30"/>
      <c r="G211" s="30" t="s">
        <v>1724</v>
      </c>
      <c r="H211" s="30"/>
      <c r="I211" s="30"/>
      <c r="J211" s="30"/>
      <c r="K211" s="30"/>
      <c r="L211" s="30"/>
      <c r="M211" s="30"/>
      <c r="N211" s="30"/>
      <c r="O211" s="30"/>
      <c r="P211" s="30"/>
      <c r="Q211" s="30"/>
    </row>
    <row r="212" spans="1:17" ht="16.05" customHeight="1" x14ac:dyDescent="0.3">
      <c r="A212" s="28">
        <v>209</v>
      </c>
      <c r="B212" s="28" t="s">
        <v>539</v>
      </c>
      <c r="C212" s="28" t="s">
        <v>152</v>
      </c>
      <c r="D212" s="28" t="s">
        <v>168</v>
      </c>
      <c r="E212" s="28" t="s">
        <v>1735</v>
      </c>
      <c r="F212" s="28"/>
      <c r="G212" s="28" t="s">
        <v>1724</v>
      </c>
      <c r="H212" s="28"/>
      <c r="I212" s="28"/>
      <c r="J212" s="28"/>
      <c r="K212" s="28"/>
      <c r="L212" s="28"/>
      <c r="M212" s="28"/>
      <c r="N212" s="28"/>
      <c r="O212" s="28"/>
      <c r="P212" s="28"/>
      <c r="Q212" s="28"/>
    </row>
    <row r="213" spans="1:17" ht="16.05" customHeight="1" x14ac:dyDescent="0.3">
      <c r="A213" s="30">
        <v>210</v>
      </c>
      <c r="B213" s="30" t="s">
        <v>539</v>
      </c>
      <c r="C213" s="30" t="s">
        <v>143</v>
      </c>
      <c r="D213" s="30" t="s">
        <v>176</v>
      </c>
      <c r="E213" s="30" t="s">
        <v>1736</v>
      </c>
      <c r="F213" s="30"/>
      <c r="G213" s="30" t="s">
        <v>1724</v>
      </c>
      <c r="H213" s="30"/>
      <c r="I213" s="30"/>
      <c r="J213" s="30"/>
      <c r="K213" s="30"/>
      <c r="L213" s="30"/>
      <c r="M213" s="30"/>
      <c r="N213" s="30"/>
      <c r="O213" s="30"/>
      <c r="P213" s="30"/>
      <c r="Q213" s="30"/>
    </row>
    <row r="214" spans="1:17" ht="16.05" customHeight="1" x14ac:dyDescent="0.3">
      <c r="A214" s="28">
        <v>211</v>
      </c>
      <c r="B214" s="28" t="s">
        <v>540</v>
      </c>
      <c r="C214" s="28" t="s">
        <v>142</v>
      </c>
      <c r="D214" s="28" t="s">
        <v>164</v>
      </c>
      <c r="E214" s="28" t="s">
        <v>1727</v>
      </c>
      <c r="F214" s="28"/>
      <c r="G214" s="28" t="s">
        <v>1724</v>
      </c>
      <c r="H214" s="28"/>
      <c r="I214" s="28"/>
      <c r="J214" s="28"/>
      <c r="K214" s="28"/>
      <c r="L214" s="28"/>
      <c r="M214" s="28"/>
      <c r="N214" s="28"/>
      <c r="O214" s="28"/>
      <c r="P214" s="28"/>
      <c r="Q214" s="28"/>
    </row>
    <row r="215" spans="1:17" ht="16.05" customHeight="1" x14ac:dyDescent="0.3">
      <c r="A215" s="30">
        <v>212</v>
      </c>
      <c r="B215" s="30" t="s">
        <v>540</v>
      </c>
      <c r="C215" s="30" t="s">
        <v>146</v>
      </c>
      <c r="D215" s="30" t="s">
        <v>168</v>
      </c>
      <c r="E215" s="30" t="s">
        <v>1728</v>
      </c>
      <c r="F215" s="30"/>
      <c r="G215" s="30" t="s">
        <v>1724</v>
      </c>
      <c r="H215" s="30"/>
      <c r="I215" s="30"/>
      <c r="J215" s="30"/>
      <c r="K215" s="30"/>
      <c r="L215" s="30"/>
      <c r="M215" s="30"/>
      <c r="N215" s="30"/>
      <c r="O215" s="30"/>
      <c r="P215" s="30"/>
      <c r="Q215" s="30"/>
    </row>
    <row r="216" spans="1:17" ht="16.05" customHeight="1" x14ac:dyDescent="0.3">
      <c r="A216" s="28">
        <v>213</v>
      </c>
      <c r="B216" s="28" t="s">
        <v>540</v>
      </c>
      <c r="C216" s="28" t="s">
        <v>147</v>
      </c>
      <c r="D216" s="28" t="s">
        <v>168</v>
      </c>
      <c r="E216" s="28" t="s">
        <v>1729</v>
      </c>
      <c r="F216" s="28"/>
      <c r="G216" s="28" t="s">
        <v>1724</v>
      </c>
      <c r="H216" s="28"/>
      <c r="I216" s="28"/>
      <c r="J216" s="28"/>
      <c r="K216" s="28"/>
      <c r="L216" s="28"/>
      <c r="M216" s="28"/>
      <c r="N216" s="28"/>
      <c r="O216" s="28"/>
      <c r="P216" s="28"/>
      <c r="Q216" s="28"/>
    </row>
    <row r="217" spans="1:17" ht="16.05" customHeight="1" x14ac:dyDescent="0.3">
      <c r="A217" s="30">
        <v>214</v>
      </c>
      <c r="B217" s="30" t="s">
        <v>540</v>
      </c>
      <c r="C217" s="30" t="s">
        <v>143</v>
      </c>
      <c r="D217" s="30" t="s">
        <v>172</v>
      </c>
      <c r="E217" s="30" t="s">
        <v>1730</v>
      </c>
      <c r="F217" s="30"/>
      <c r="G217" s="30" t="s">
        <v>1724</v>
      </c>
      <c r="H217" s="30"/>
      <c r="I217" s="30"/>
      <c r="J217" s="30"/>
      <c r="K217" s="30"/>
      <c r="L217" s="30"/>
      <c r="M217" s="30"/>
      <c r="N217" s="30"/>
      <c r="O217" s="30"/>
      <c r="P217" s="30"/>
      <c r="Q217" s="30"/>
    </row>
    <row r="218" spans="1:17" ht="16.05" customHeight="1" x14ac:dyDescent="0.3">
      <c r="A218" s="28">
        <v>215</v>
      </c>
      <c r="B218" s="28" t="s">
        <v>540</v>
      </c>
      <c r="C218" s="28" t="s">
        <v>143</v>
      </c>
      <c r="D218" s="28" t="s">
        <v>176</v>
      </c>
      <c r="E218" s="28" t="s">
        <v>1731</v>
      </c>
      <c r="F218" s="28"/>
      <c r="G218" s="28" t="s">
        <v>1724</v>
      </c>
      <c r="H218" s="28"/>
      <c r="I218" s="28"/>
      <c r="J218" s="28"/>
      <c r="K218" s="28"/>
      <c r="L218" s="28"/>
      <c r="M218" s="28"/>
      <c r="N218" s="28"/>
      <c r="O218" s="28"/>
      <c r="P218" s="28"/>
      <c r="Q218" s="28"/>
    </row>
    <row r="219" spans="1:17" ht="16.05" customHeight="1" x14ac:dyDescent="0.3">
      <c r="A219" s="30">
        <v>216</v>
      </c>
      <c r="B219" s="30" t="s">
        <v>540</v>
      </c>
      <c r="C219" s="30" t="s">
        <v>144</v>
      </c>
      <c r="D219" s="30" t="s">
        <v>176</v>
      </c>
      <c r="E219" s="30" t="s">
        <v>1732</v>
      </c>
      <c r="F219" s="30"/>
      <c r="G219" s="30" t="s">
        <v>1724</v>
      </c>
      <c r="H219" s="30"/>
      <c r="I219" s="30"/>
      <c r="J219" s="30"/>
      <c r="K219" s="30"/>
      <c r="L219" s="30"/>
      <c r="M219" s="30"/>
      <c r="N219" s="30"/>
      <c r="O219" s="30"/>
      <c r="P219" s="30"/>
      <c r="Q219" s="30"/>
    </row>
    <row r="220" spans="1:17" ht="16.05" customHeight="1" x14ac:dyDescent="0.3">
      <c r="A220" s="28">
        <v>217</v>
      </c>
      <c r="B220" s="28" t="s">
        <v>540</v>
      </c>
      <c r="C220" s="28" t="s">
        <v>148</v>
      </c>
      <c r="D220" s="28" t="s">
        <v>168</v>
      </c>
      <c r="E220" s="28" t="s">
        <v>1733</v>
      </c>
      <c r="F220" s="28"/>
      <c r="G220" s="28" t="s">
        <v>1724</v>
      </c>
      <c r="H220" s="28"/>
      <c r="I220" s="28"/>
      <c r="J220" s="28"/>
      <c r="K220" s="28"/>
      <c r="L220" s="28"/>
      <c r="M220" s="28"/>
      <c r="N220" s="28"/>
      <c r="O220" s="28"/>
      <c r="P220" s="28"/>
      <c r="Q220" s="28"/>
    </row>
    <row r="221" spans="1:17" ht="16.05" customHeight="1" x14ac:dyDescent="0.3">
      <c r="A221" s="30">
        <v>218</v>
      </c>
      <c r="B221" s="30" t="s">
        <v>540</v>
      </c>
      <c r="C221" s="30" t="s">
        <v>148</v>
      </c>
      <c r="D221" s="30" t="s">
        <v>176</v>
      </c>
      <c r="E221" s="30" t="s">
        <v>1734</v>
      </c>
      <c r="F221" s="30"/>
      <c r="G221" s="30" t="s">
        <v>1724</v>
      </c>
      <c r="H221" s="30"/>
      <c r="I221" s="30"/>
      <c r="J221" s="30"/>
      <c r="K221" s="30"/>
      <c r="L221" s="30"/>
      <c r="M221" s="30"/>
      <c r="N221" s="30"/>
      <c r="O221" s="30"/>
      <c r="P221" s="30"/>
      <c r="Q221" s="30"/>
    </row>
    <row r="222" spans="1:17" ht="16.05" customHeight="1" x14ac:dyDescent="0.3">
      <c r="A222" s="28">
        <v>219</v>
      </c>
      <c r="B222" s="28" t="s">
        <v>540</v>
      </c>
      <c r="C222" s="28" t="s">
        <v>152</v>
      </c>
      <c r="D222" s="28" t="s">
        <v>168</v>
      </c>
      <c r="E222" s="28" t="s">
        <v>1735</v>
      </c>
      <c r="F222" s="28"/>
      <c r="G222" s="28" t="s">
        <v>1724</v>
      </c>
      <c r="H222" s="28"/>
      <c r="I222" s="28"/>
      <c r="J222" s="28"/>
      <c r="K222" s="28"/>
      <c r="L222" s="28"/>
      <c r="M222" s="28"/>
      <c r="N222" s="28"/>
      <c r="O222" s="28"/>
      <c r="P222" s="28"/>
      <c r="Q222" s="28"/>
    </row>
    <row r="223" spans="1:17" ht="16.05" customHeight="1" x14ac:dyDescent="0.3">
      <c r="A223" s="30">
        <v>220</v>
      </c>
      <c r="B223" s="30" t="s">
        <v>540</v>
      </c>
      <c r="C223" s="30" t="s">
        <v>143</v>
      </c>
      <c r="D223" s="30" t="s">
        <v>176</v>
      </c>
      <c r="E223" s="30" t="s">
        <v>1736</v>
      </c>
      <c r="F223" s="30"/>
      <c r="G223" s="30" t="s">
        <v>1724</v>
      </c>
      <c r="H223" s="30"/>
      <c r="I223" s="30"/>
      <c r="J223" s="30"/>
      <c r="K223" s="30"/>
      <c r="L223" s="30"/>
      <c r="M223" s="30"/>
      <c r="N223" s="30"/>
      <c r="O223" s="30"/>
      <c r="P223" s="30"/>
      <c r="Q223" s="30"/>
    </row>
    <row r="224" spans="1:17" ht="16.05" customHeight="1" x14ac:dyDescent="0.3">
      <c r="A224" s="28">
        <v>221</v>
      </c>
      <c r="B224" s="28" t="s">
        <v>541</v>
      </c>
      <c r="C224" s="28" t="s">
        <v>142</v>
      </c>
      <c r="D224" s="28" t="s">
        <v>164</v>
      </c>
      <c r="E224" s="28" t="s">
        <v>1727</v>
      </c>
      <c r="F224" s="28"/>
      <c r="G224" s="28" t="s">
        <v>1724</v>
      </c>
      <c r="H224" s="28"/>
      <c r="I224" s="28"/>
      <c r="J224" s="28"/>
      <c r="K224" s="28"/>
      <c r="L224" s="28"/>
      <c r="M224" s="28"/>
      <c r="N224" s="28"/>
      <c r="O224" s="28"/>
      <c r="P224" s="28"/>
      <c r="Q224" s="28"/>
    </row>
    <row r="225" spans="1:17" ht="16.05" customHeight="1" x14ac:dyDescent="0.3">
      <c r="A225" s="30">
        <v>222</v>
      </c>
      <c r="B225" s="30" t="s">
        <v>541</v>
      </c>
      <c r="C225" s="30" t="s">
        <v>146</v>
      </c>
      <c r="D225" s="30" t="s">
        <v>168</v>
      </c>
      <c r="E225" s="30" t="s">
        <v>1728</v>
      </c>
      <c r="F225" s="30"/>
      <c r="G225" s="30" t="s">
        <v>1724</v>
      </c>
      <c r="H225" s="30"/>
      <c r="I225" s="30"/>
      <c r="J225" s="30"/>
      <c r="K225" s="30"/>
      <c r="L225" s="30"/>
      <c r="M225" s="30"/>
      <c r="N225" s="30"/>
      <c r="O225" s="30"/>
      <c r="P225" s="30"/>
      <c r="Q225" s="30"/>
    </row>
    <row r="226" spans="1:17" ht="16.05" customHeight="1" x14ac:dyDescent="0.3">
      <c r="A226" s="28">
        <v>223</v>
      </c>
      <c r="B226" s="28" t="s">
        <v>541</v>
      </c>
      <c r="C226" s="28" t="s">
        <v>147</v>
      </c>
      <c r="D226" s="28" t="s">
        <v>168</v>
      </c>
      <c r="E226" s="28" t="s">
        <v>1729</v>
      </c>
      <c r="F226" s="28"/>
      <c r="G226" s="28" t="s">
        <v>1724</v>
      </c>
      <c r="H226" s="28"/>
      <c r="I226" s="28"/>
      <c r="J226" s="28"/>
      <c r="K226" s="28"/>
      <c r="L226" s="28"/>
      <c r="M226" s="28"/>
      <c r="N226" s="28"/>
      <c r="O226" s="28"/>
      <c r="P226" s="28"/>
      <c r="Q226" s="28"/>
    </row>
    <row r="227" spans="1:17" ht="16.05" customHeight="1" x14ac:dyDescent="0.3">
      <c r="A227" s="30">
        <v>224</v>
      </c>
      <c r="B227" s="30" t="s">
        <v>541</v>
      </c>
      <c r="C227" s="30" t="s">
        <v>143</v>
      </c>
      <c r="D227" s="30" t="s">
        <v>172</v>
      </c>
      <c r="E227" s="30" t="s">
        <v>1730</v>
      </c>
      <c r="F227" s="30"/>
      <c r="G227" s="30" t="s">
        <v>1724</v>
      </c>
      <c r="H227" s="30"/>
      <c r="I227" s="30"/>
      <c r="J227" s="30"/>
      <c r="K227" s="30"/>
      <c r="L227" s="30"/>
      <c r="M227" s="30"/>
      <c r="N227" s="30"/>
      <c r="O227" s="30"/>
      <c r="P227" s="30"/>
      <c r="Q227" s="30"/>
    </row>
    <row r="228" spans="1:17" ht="16.05" customHeight="1" x14ac:dyDescent="0.3">
      <c r="A228" s="28">
        <v>225</v>
      </c>
      <c r="B228" s="28" t="s">
        <v>541</v>
      </c>
      <c r="C228" s="28" t="s">
        <v>143</v>
      </c>
      <c r="D228" s="28" t="s">
        <v>176</v>
      </c>
      <c r="E228" s="28" t="s">
        <v>1731</v>
      </c>
      <c r="F228" s="28"/>
      <c r="G228" s="28" t="s">
        <v>1724</v>
      </c>
      <c r="H228" s="28"/>
      <c r="I228" s="28"/>
      <c r="J228" s="28"/>
      <c r="K228" s="28"/>
      <c r="L228" s="28"/>
      <c r="M228" s="28"/>
      <c r="N228" s="28"/>
      <c r="O228" s="28"/>
      <c r="P228" s="28"/>
      <c r="Q228" s="28"/>
    </row>
    <row r="229" spans="1:17" ht="16.05" customHeight="1" x14ac:dyDescent="0.3">
      <c r="A229" s="30">
        <v>226</v>
      </c>
      <c r="B229" s="30" t="s">
        <v>541</v>
      </c>
      <c r="C229" s="30" t="s">
        <v>144</v>
      </c>
      <c r="D229" s="30" t="s">
        <v>176</v>
      </c>
      <c r="E229" s="30" t="s">
        <v>1732</v>
      </c>
      <c r="F229" s="30"/>
      <c r="G229" s="30" t="s">
        <v>1724</v>
      </c>
      <c r="H229" s="30"/>
      <c r="I229" s="30"/>
      <c r="J229" s="30"/>
      <c r="K229" s="30"/>
      <c r="L229" s="30"/>
      <c r="M229" s="30"/>
      <c r="N229" s="30"/>
      <c r="O229" s="30"/>
      <c r="P229" s="30"/>
      <c r="Q229" s="30"/>
    </row>
    <row r="230" spans="1:17" ht="16.05" customHeight="1" x14ac:dyDescent="0.3">
      <c r="A230" s="28">
        <v>227</v>
      </c>
      <c r="B230" s="28" t="s">
        <v>541</v>
      </c>
      <c r="C230" s="28" t="s">
        <v>148</v>
      </c>
      <c r="D230" s="28" t="s">
        <v>168</v>
      </c>
      <c r="E230" s="28" t="s">
        <v>1733</v>
      </c>
      <c r="F230" s="28"/>
      <c r="G230" s="28" t="s">
        <v>1724</v>
      </c>
      <c r="H230" s="28"/>
      <c r="I230" s="28"/>
      <c r="J230" s="28"/>
      <c r="K230" s="28"/>
      <c r="L230" s="28"/>
      <c r="M230" s="28"/>
      <c r="N230" s="28"/>
      <c r="O230" s="28"/>
      <c r="P230" s="28"/>
      <c r="Q230" s="28"/>
    </row>
    <row r="231" spans="1:17" ht="16.05" customHeight="1" x14ac:dyDescent="0.3">
      <c r="A231" s="30">
        <v>228</v>
      </c>
      <c r="B231" s="30" t="s">
        <v>541</v>
      </c>
      <c r="C231" s="30" t="s">
        <v>148</v>
      </c>
      <c r="D231" s="30" t="s">
        <v>176</v>
      </c>
      <c r="E231" s="30" t="s">
        <v>1734</v>
      </c>
      <c r="F231" s="30"/>
      <c r="G231" s="30" t="s">
        <v>1724</v>
      </c>
      <c r="H231" s="30"/>
      <c r="I231" s="30"/>
      <c r="J231" s="30"/>
      <c r="K231" s="30"/>
      <c r="L231" s="30"/>
      <c r="M231" s="30"/>
      <c r="N231" s="30"/>
      <c r="O231" s="30"/>
      <c r="P231" s="30"/>
      <c r="Q231" s="30"/>
    </row>
    <row r="232" spans="1:17" ht="16.05" customHeight="1" x14ac:dyDescent="0.3">
      <c r="A232" s="28">
        <v>229</v>
      </c>
      <c r="B232" s="28" t="s">
        <v>541</v>
      </c>
      <c r="C232" s="28" t="s">
        <v>152</v>
      </c>
      <c r="D232" s="28" t="s">
        <v>168</v>
      </c>
      <c r="E232" s="28" t="s">
        <v>1735</v>
      </c>
      <c r="F232" s="28"/>
      <c r="G232" s="28" t="s">
        <v>1724</v>
      </c>
      <c r="H232" s="28"/>
      <c r="I232" s="28"/>
      <c r="J232" s="28"/>
      <c r="K232" s="28"/>
      <c r="L232" s="28"/>
      <c r="M232" s="28"/>
      <c r="N232" s="28"/>
      <c r="O232" s="28"/>
      <c r="P232" s="28"/>
      <c r="Q232" s="28"/>
    </row>
    <row r="233" spans="1:17" ht="16.05" customHeight="1" x14ac:dyDescent="0.3">
      <c r="A233" s="30">
        <v>230</v>
      </c>
      <c r="B233" s="30" t="s">
        <v>541</v>
      </c>
      <c r="C233" s="30" t="s">
        <v>143</v>
      </c>
      <c r="D233" s="30" t="s">
        <v>176</v>
      </c>
      <c r="E233" s="30" t="s">
        <v>1736</v>
      </c>
      <c r="F233" s="30"/>
      <c r="G233" s="30" t="s">
        <v>1724</v>
      </c>
      <c r="H233" s="30"/>
      <c r="I233" s="30"/>
      <c r="J233" s="30"/>
      <c r="K233" s="30"/>
      <c r="L233" s="30"/>
      <c r="M233" s="30"/>
      <c r="N233" s="30"/>
      <c r="O233" s="30"/>
      <c r="P233" s="30"/>
      <c r="Q233" s="30"/>
    </row>
    <row r="234" spans="1:17" ht="16.05" customHeight="1" x14ac:dyDescent="0.3">
      <c r="A234" s="28">
        <v>231</v>
      </c>
      <c r="B234" s="28" t="s">
        <v>542</v>
      </c>
      <c r="C234" s="28" t="s">
        <v>142</v>
      </c>
      <c r="D234" s="28" t="s">
        <v>164</v>
      </c>
      <c r="E234" s="28" t="s">
        <v>1727</v>
      </c>
      <c r="F234" s="28"/>
      <c r="G234" s="28" t="s">
        <v>1724</v>
      </c>
      <c r="H234" s="28"/>
      <c r="I234" s="28"/>
      <c r="J234" s="28"/>
      <c r="K234" s="28"/>
      <c r="L234" s="28"/>
      <c r="M234" s="28"/>
      <c r="N234" s="28"/>
      <c r="O234" s="28"/>
      <c r="P234" s="28"/>
      <c r="Q234" s="28"/>
    </row>
    <row r="235" spans="1:17" ht="16.05" customHeight="1" x14ac:dyDescent="0.3">
      <c r="A235" s="30">
        <v>232</v>
      </c>
      <c r="B235" s="30" t="s">
        <v>542</v>
      </c>
      <c r="C235" s="30" t="s">
        <v>146</v>
      </c>
      <c r="D235" s="30" t="s">
        <v>168</v>
      </c>
      <c r="E235" s="30" t="s">
        <v>1728</v>
      </c>
      <c r="F235" s="30"/>
      <c r="G235" s="30" t="s">
        <v>1724</v>
      </c>
      <c r="H235" s="30"/>
      <c r="I235" s="30"/>
      <c r="J235" s="30"/>
      <c r="K235" s="30"/>
      <c r="L235" s="30"/>
      <c r="M235" s="30"/>
      <c r="N235" s="30"/>
      <c r="O235" s="30"/>
      <c r="P235" s="30"/>
      <c r="Q235" s="30"/>
    </row>
    <row r="236" spans="1:17" ht="16.05" customHeight="1" x14ac:dyDescent="0.3">
      <c r="A236" s="28">
        <v>233</v>
      </c>
      <c r="B236" s="28" t="s">
        <v>542</v>
      </c>
      <c r="C236" s="28" t="s">
        <v>147</v>
      </c>
      <c r="D236" s="28" t="s">
        <v>168</v>
      </c>
      <c r="E236" s="28" t="s">
        <v>1729</v>
      </c>
      <c r="F236" s="28"/>
      <c r="G236" s="28" t="s">
        <v>1724</v>
      </c>
      <c r="H236" s="28"/>
      <c r="I236" s="28"/>
      <c r="J236" s="28"/>
      <c r="K236" s="28"/>
      <c r="L236" s="28"/>
      <c r="M236" s="28"/>
      <c r="N236" s="28"/>
      <c r="O236" s="28"/>
      <c r="P236" s="28"/>
      <c r="Q236" s="28"/>
    </row>
    <row r="237" spans="1:17" ht="16.05" customHeight="1" x14ac:dyDescent="0.3">
      <c r="A237" s="30">
        <v>234</v>
      </c>
      <c r="B237" s="30" t="s">
        <v>542</v>
      </c>
      <c r="C237" s="30" t="s">
        <v>143</v>
      </c>
      <c r="D237" s="30" t="s">
        <v>172</v>
      </c>
      <c r="E237" s="30" t="s">
        <v>1730</v>
      </c>
      <c r="F237" s="30"/>
      <c r="G237" s="30" t="s">
        <v>1724</v>
      </c>
      <c r="H237" s="30"/>
      <c r="I237" s="30"/>
      <c r="J237" s="30"/>
      <c r="K237" s="30"/>
      <c r="L237" s="30"/>
      <c r="M237" s="30"/>
      <c r="N237" s="30"/>
      <c r="O237" s="30"/>
      <c r="P237" s="30"/>
      <c r="Q237" s="30"/>
    </row>
    <row r="238" spans="1:17" ht="16.05" customHeight="1" x14ac:dyDescent="0.3">
      <c r="A238" s="28">
        <v>235</v>
      </c>
      <c r="B238" s="28" t="s">
        <v>542</v>
      </c>
      <c r="C238" s="28" t="s">
        <v>143</v>
      </c>
      <c r="D238" s="28" t="s">
        <v>176</v>
      </c>
      <c r="E238" s="28" t="s">
        <v>1731</v>
      </c>
      <c r="F238" s="28"/>
      <c r="G238" s="28" t="s">
        <v>1724</v>
      </c>
      <c r="H238" s="28"/>
      <c r="I238" s="28"/>
      <c r="J238" s="28"/>
      <c r="K238" s="28"/>
      <c r="L238" s="28"/>
      <c r="M238" s="28"/>
      <c r="N238" s="28"/>
      <c r="O238" s="28"/>
      <c r="P238" s="28"/>
      <c r="Q238" s="28"/>
    </row>
    <row r="239" spans="1:17" ht="16.05" customHeight="1" x14ac:dyDescent="0.3">
      <c r="A239" s="30">
        <v>236</v>
      </c>
      <c r="B239" s="30" t="s">
        <v>542</v>
      </c>
      <c r="C239" s="30" t="s">
        <v>144</v>
      </c>
      <c r="D239" s="30" t="s">
        <v>176</v>
      </c>
      <c r="E239" s="30" t="s">
        <v>1732</v>
      </c>
      <c r="F239" s="30"/>
      <c r="G239" s="30" t="s">
        <v>1724</v>
      </c>
      <c r="H239" s="30"/>
      <c r="I239" s="30"/>
      <c r="J239" s="30"/>
      <c r="K239" s="30"/>
      <c r="L239" s="30"/>
      <c r="M239" s="30"/>
      <c r="N239" s="30"/>
      <c r="O239" s="30"/>
      <c r="P239" s="30"/>
      <c r="Q239" s="30"/>
    </row>
    <row r="240" spans="1:17" ht="16.05" customHeight="1" x14ac:dyDescent="0.3">
      <c r="A240" s="28">
        <v>237</v>
      </c>
      <c r="B240" s="28" t="s">
        <v>542</v>
      </c>
      <c r="C240" s="28" t="s">
        <v>148</v>
      </c>
      <c r="D240" s="28" t="s">
        <v>168</v>
      </c>
      <c r="E240" s="28" t="s">
        <v>1733</v>
      </c>
      <c r="F240" s="28"/>
      <c r="G240" s="28" t="s">
        <v>1724</v>
      </c>
      <c r="H240" s="28"/>
      <c r="I240" s="28"/>
      <c r="J240" s="28"/>
      <c r="K240" s="28"/>
      <c r="L240" s="28"/>
      <c r="M240" s="28"/>
      <c r="N240" s="28"/>
      <c r="O240" s="28"/>
      <c r="P240" s="28"/>
      <c r="Q240" s="28"/>
    </row>
    <row r="241" spans="1:17" ht="16.05" customHeight="1" x14ac:dyDescent="0.3">
      <c r="A241" s="30">
        <v>238</v>
      </c>
      <c r="B241" s="30" t="s">
        <v>542</v>
      </c>
      <c r="C241" s="30" t="s">
        <v>148</v>
      </c>
      <c r="D241" s="30" t="s">
        <v>176</v>
      </c>
      <c r="E241" s="30" t="s">
        <v>1734</v>
      </c>
      <c r="F241" s="30"/>
      <c r="G241" s="30" t="s">
        <v>1724</v>
      </c>
      <c r="H241" s="30"/>
      <c r="I241" s="30"/>
      <c r="J241" s="30"/>
      <c r="K241" s="30"/>
      <c r="L241" s="30"/>
      <c r="M241" s="30"/>
      <c r="N241" s="30"/>
      <c r="O241" s="30"/>
      <c r="P241" s="30"/>
      <c r="Q241" s="30"/>
    </row>
    <row r="242" spans="1:17" ht="16.05" customHeight="1" x14ac:dyDescent="0.3">
      <c r="A242" s="28">
        <v>239</v>
      </c>
      <c r="B242" s="28" t="s">
        <v>542</v>
      </c>
      <c r="C242" s="28" t="s">
        <v>152</v>
      </c>
      <c r="D242" s="28" t="s">
        <v>168</v>
      </c>
      <c r="E242" s="28" t="s">
        <v>1735</v>
      </c>
      <c r="F242" s="28"/>
      <c r="G242" s="28" t="s">
        <v>1724</v>
      </c>
      <c r="H242" s="28"/>
      <c r="I242" s="28"/>
      <c r="J242" s="28"/>
      <c r="K242" s="28"/>
      <c r="L242" s="28"/>
      <c r="M242" s="28"/>
      <c r="N242" s="28"/>
      <c r="O242" s="28"/>
      <c r="P242" s="28"/>
      <c r="Q242" s="28"/>
    </row>
    <row r="243" spans="1:17" ht="16.05" customHeight="1" x14ac:dyDescent="0.3">
      <c r="A243" s="30">
        <v>240</v>
      </c>
      <c r="B243" s="30" t="s">
        <v>542</v>
      </c>
      <c r="C243" s="30" t="s">
        <v>143</v>
      </c>
      <c r="D243" s="30" t="s">
        <v>176</v>
      </c>
      <c r="E243" s="30" t="s">
        <v>1736</v>
      </c>
      <c r="F243" s="30"/>
      <c r="G243" s="30" t="s">
        <v>1724</v>
      </c>
      <c r="H243" s="30"/>
      <c r="I243" s="30"/>
      <c r="J243" s="30"/>
      <c r="K243" s="30"/>
      <c r="L243" s="30"/>
      <c r="M243" s="30"/>
      <c r="N243" s="30"/>
      <c r="O243" s="30"/>
      <c r="P243" s="30"/>
      <c r="Q243" s="30"/>
    </row>
    <row r="244" spans="1:17" ht="16.05" customHeight="1" x14ac:dyDescent="0.3">
      <c r="A244" s="28">
        <v>241</v>
      </c>
      <c r="B244" s="28" t="s">
        <v>543</v>
      </c>
      <c r="C244" s="28" t="s">
        <v>142</v>
      </c>
      <c r="D244" s="28" t="s">
        <v>164</v>
      </c>
      <c r="E244" s="28" t="s">
        <v>1727</v>
      </c>
      <c r="F244" s="28"/>
      <c r="G244" s="28" t="s">
        <v>1724</v>
      </c>
      <c r="H244" s="28"/>
      <c r="I244" s="28"/>
      <c r="J244" s="28"/>
      <c r="K244" s="28"/>
      <c r="L244" s="28"/>
      <c r="M244" s="28"/>
      <c r="N244" s="28"/>
      <c r="O244" s="28"/>
      <c r="P244" s="28"/>
      <c r="Q244" s="28"/>
    </row>
    <row r="245" spans="1:17" ht="16.05" customHeight="1" x14ac:dyDescent="0.3">
      <c r="A245" s="30">
        <v>242</v>
      </c>
      <c r="B245" s="30" t="s">
        <v>543</v>
      </c>
      <c r="C245" s="30" t="s">
        <v>146</v>
      </c>
      <c r="D245" s="30" t="s">
        <v>168</v>
      </c>
      <c r="E245" s="30" t="s">
        <v>1728</v>
      </c>
      <c r="F245" s="30"/>
      <c r="G245" s="30" t="s">
        <v>1724</v>
      </c>
      <c r="H245" s="30"/>
      <c r="I245" s="30"/>
      <c r="J245" s="30"/>
      <c r="K245" s="30"/>
      <c r="L245" s="30"/>
      <c r="M245" s="30"/>
      <c r="N245" s="30"/>
      <c r="O245" s="30"/>
      <c r="P245" s="30"/>
      <c r="Q245" s="30"/>
    </row>
    <row r="246" spans="1:17" ht="16.05" customHeight="1" x14ac:dyDescent="0.3">
      <c r="A246" s="28">
        <v>243</v>
      </c>
      <c r="B246" s="28" t="s">
        <v>543</v>
      </c>
      <c r="C246" s="28" t="s">
        <v>147</v>
      </c>
      <c r="D246" s="28" t="s">
        <v>168</v>
      </c>
      <c r="E246" s="28" t="s">
        <v>1729</v>
      </c>
      <c r="F246" s="28"/>
      <c r="G246" s="28" t="s">
        <v>1724</v>
      </c>
      <c r="H246" s="28"/>
      <c r="I246" s="28"/>
      <c r="J246" s="28"/>
      <c r="K246" s="28"/>
      <c r="L246" s="28"/>
      <c r="M246" s="28"/>
      <c r="N246" s="28"/>
      <c r="O246" s="28"/>
      <c r="P246" s="28"/>
      <c r="Q246" s="28"/>
    </row>
    <row r="247" spans="1:17" ht="16.05" customHeight="1" x14ac:dyDescent="0.3">
      <c r="A247" s="30">
        <v>244</v>
      </c>
      <c r="B247" s="30" t="s">
        <v>543</v>
      </c>
      <c r="C247" s="30" t="s">
        <v>143</v>
      </c>
      <c r="D247" s="30" t="s">
        <v>172</v>
      </c>
      <c r="E247" s="30" t="s">
        <v>1730</v>
      </c>
      <c r="F247" s="30"/>
      <c r="G247" s="30" t="s">
        <v>1724</v>
      </c>
      <c r="H247" s="30"/>
      <c r="I247" s="30"/>
      <c r="J247" s="30"/>
      <c r="K247" s="30"/>
      <c r="L247" s="30"/>
      <c r="M247" s="30"/>
      <c r="N247" s="30"/>
      <c r="O247" s="30"/>
      <c r="P247" s="30"/>
      <c r="Q247" s="30"/>
    </row>
    <row r="248" spans="1:17" ht="16.05" customHeight="1" x14ac:dyDescent="0.3">
      <c r="A248" s="28">
        <v>245</v>
      </c>
      <c r="B248" s="28" t="s">
        <v>543</v>
      </c>
      <c r="C248" s="28" t="s">
        <v>143</v>
      </c>
      <c r="D248" s="28" t="s">
        <v>176</v>
      </c>
      <c r="E248" s="28" t="s">
        <v>1731</v>
      </c>
      <c r="F248" s="28"/>
      <c r="G248" s="28" t="s">
        <v>1724</v>
      </c>
      <c r="H248" s="28"/>
      <c r="I248" s="28"/>
      <c r="J248" s="28"/>
      <c r="K248" s="28"/>
      <c r="L248" s="28"/>
      <c r="M248" s="28"/>
      <c r="N248" s="28"/>
      <c r="O248" s="28"/>
      <c r="P248" s="28"/>
      <c r="Q248" s="28"/>
    </row>
    <row r="249" spans="1:17" ht="16.05" customHeight="1" x14ac:dyDescent="0.3">
      <c r="A249" s="30">
        <v>246</v>
      </c>
      <c r="B249" s="30" t="s">
        <v>543</v>
      </c>
      <c r="C249" s="30" t="s">
        <v>144</v>
      </c>
      <c r="D249" s="30" t="s">
        <v>176</v>
      </c>
      <c r="E249" s="30" t="s">
        <v>1732</v>
      </c>
      <c r="F249" s="30"/>
      <c r="G249" s="30" t="s">
        <v>1724</v>
      </c>
      <c r="H249" s="30"/>
      <c r="I249" s="30"/>
      <c r="J249" s="30"/>
      <c r="K249" s="30"/>
      <c r="L249" s="30"/>
      <c r="M249" s="30"/>
      <c r="N249" s="30"/>
      <c r="O249" s="30"/>
      <c r="P249" s="30"/>
      <c r="Q249" s="30"/>
    </row>
    <row r="250" spans="1:17" ht="16.05" customHeight="1" x14ac:dyDescent="0.3">
      <c r="A250" s="28">
        <v>247</v>
      </c>
      <c r="B250" s="28" t="s">
        <v>543</v>
      </c>
      <c r="C250" s="28" t="s">
        <v>148</v>
      </c>
      <c r="D250" s="28" t="s">
        <v>168</v>
      </c>
      <c r="E250" s="28" t="s">
        <v>1733</v>
      </c>
      <c r="F250" s="28"/>
      <c r="G250" s="28" t="s">
        <v>1724</v>
      </c>
      <c r="H250" s="28"/>
      <c r="I250" s="28"/>
      <c r="J250" s="28"/>
      <c r="K250" s="28"/>
      <c r="L250" s="28"/>
      <c r="M250" s="28"/>
      <c r="N250" s="28"/>
      <c r="O250" s="28"/>
      <c r="P250" s="28"/>
      <c r="Q250" s="28"/>
    </row>
    <row r="251" spans="1:17" ht="16.05" customHeight="1" x14ac:dyDescent="0.3">
      <c r="A251" s="30">
        <v>248</v>
      </c>
      <c r="B251" s="30" t="s">
        <v>543</v>
      </c>
      <c r="C251" s="30" t="s">
        <v>148</v>
      </c>
      <c r="D251" s="30" t="s">
        <v>176</v>
      </c>
      <c r="E251" s="30" t="s">
        <v>1734</v>
      </c>
      <c r="F251" s="30"/>
      <c r="G251" s="30" t="s">
        <v>1724</v>
      </c>
      <c r="H251" s="30"/>
      <c r="I251" s="30"/>
      <c r="J251" s="30"/>
      <c r="K251" s="30"/>
      <c r="L251" s="30"/>
      <c r="M251" s="30"/>
      <c r="N251" s="30"/>
      <c r="O251" s="30"/>
      <c r="P251" s="30"/>
      <c r="Q251" s="30"/>
    </row>
    <row r="252" spans="1:17" ht="16.05" customHeight="1" x14ac:dyDescent="0.3">
      <c r="A252" s="28">
        <v>249</v>
      </c>
      <c r="B252" s="28" t="s">
        <v>543</v>
      </c>
      <c r="C252" s="28" t="s">
        <v>152</v>
      </c>
      <c r="D252" s="28" t="s">
        <v>168</v>
      </c>
      <c r="E252" s="28" t="s">
        <v>1735</v>
      </c>
      <c r="F252" s="28"/>
      <c r="G252" s="28" t="s">
        <v>1724</v>
      </c>
      <c r="H252" s="28"/>
      <c r="I252" s="28"/>
      <c r="J252" s="28"/>
      <c r="K252" s="28"/>
      <c r="L252" s="28"/>
      <c r="M252" s="28"/>
      <c r="N252" s="28"/>
      <c r="O252" s="28"/>
      <c r="P252" s="28"/>
      <c r="Q252" s="28"/>
    </row>
    <row r="253" spans="1:17" ht="16.05" customHeight="1" x14ac:dyDescent="0.3">
      <c r="A253" s="30">
        <v>250</v>
      </c>
      <c r="B253" s="30" t="s">
        <v>543</v>
      </c>
      <c r="C253" s="30" t="s">
        <v>143</v>
      </c>
      <c r="D253" s="30" t="s">
        <v>176</v>
      </c>
      <c r="E253" s="30" t="s">
        <v>1736</v>
      </c>
      <c r="F253" s="30"/>
      <c r="G253" s="30" t="s">
        <v>1724</v>
      </c>
      <c r="H253" s="30"/>
      <c r="I253" s="30"/>
      <c r="J253" s="30"/>
      <c r="K253" s="30"/>
      <c r="L253" s="30"/>
      <c r="M253" s="30"/>
      <c r="N253" s="30"/>
      <c r="O253" s="30"/>
      <c r="P253" s="30"/>
      <c r="Q253" s="30"/>
    </row>
    <row r="254" spans="1:17" ht="16.05" customHeight="1" x14ac:dyDescent="0.3">
      <c r="A254" s="28">
        <v>251</v>
      </c>
      <c r="B254" s="28" t="s">
        <v>544</v>
      </c>
      <c r="C254" s="28" t="s">
        <v>142</v>
      </c>
      <c r="D254" s="28" t="s">
        <v>164</v>
      </c>
      <c r="E254" s="28" t="s">
        <v>1727</v>
      </c>
      <c r="F254" s="28"/>
      <c r="G254" s="28" t="s">
        <v>1724</v>
      </c>
      <c r="H254" s="28"/>
      <c r="I254" s="28"/>
      <c r="J254" s="28"/>
      <c r="K254" s="28"/>
      <c r="L254" s="28"/>
      <c r="M254" s="28"/>
      <c r="N254" s="28"/>
      <c r="O254" s="28"/>
      <c r="P254" s="28"/>
      <c r="Q254" s="28"/>
    </row>
    <row r="255" spans="1:17" ht="16.05" customHeight="1" x14ac:dyDescent="0.3">
      <c r="A255" s="30">
        <v>252</v>
      </c>
      <c r="B255" s="30" t="s">
        <v>544</v>
      </c>
      <c r="C255" s="30" t="s">
        <v>146</v>
      </c>
      <c r="D255" s="30" t="s">
        <v>168</v>
      </c>
      <c r="E255" s="30" t="s">
        <v>1728</v>
      </c>
      <c r="F255" s="30"/>
      <c r="G255" s="30" t="s">
        <v>1724</v>
      </c>
      <c r="H255" s="30"/>
      <c r="I255" s="30"/>
      <c r="J255" s="30"/>
      <c r="K255" s="30"/>
      <c r="L255" s="30"/>
      <c r="M255" s="30"/>
      <c r="N255" s="30"/>
      <c r="O255" s="30"/>
      <c r="P255" s="30"/>
      <c r="Q255" s="30"/>
    </row>
    <row r="256" spans="1:17" ht="16.05" customHeight="1" x14ac:dyDescent="0.3">
      <c r="A256" s="28">
        <v>253</v>
      </c>
      <c r="B256" s="28" t="s">
        <v>544</v>
      </c>
      <c r="C256" s="28" t="s">
        <v>147</v>
      </c>
      <c r="D256" s="28" t="s">
        <v>168</v>
      </c>
      <c r="E256" s="28" t="s">
        <v>1729</v>
      </c>
      <c r="F256" s="28"/>
      <c r="G256" s="28" t="s">
        <v>1724</v>
      </c>
      <c r="H256" s="28"/>
      <c r="I256" s="28"/>
      <c r="J256" s="28"/>
      <c r="K256" s="28"/>
      <c r="L256" s="28"/>
      <c r="M256" s="28"/>
      <c r="N256" s="28"/>
      <c r="O256" s="28"/>
      <c r="P256" s="28"/>
      <c r="Q256" s="28"/>
    </row>
    <row r="257" spans="1:17" ht="16.05" customHeight="1" x14ac:dyDescent="0.3">
      <c r="A257" s="30">
        <v>254</v>
      </c>
      <c r="B257" s="30" t="s">
        <v>544</v>
      </c>
      <c r="C257" s="30" t="s">
        <v>143</v>
      </c>
      <c r="D257" s="30" t="s">
        <v>172</v>
      </c>
      <c r="E257" s="30" t="s">
        <v>1730</v>
      </c>
      <c r="F257" s="30"/>
      <c r="G257" s="30" t="s">
        <v>1724</v>
      </c>
      <c r="H257" s="30"/>
      <c r="I257" s="30"/>
      <c r="J257" s="30"/>
      <c r="K257" s="30"/>
      <c r="L257" s="30"/>
      <c r="M257" s="30"/>
      <c r="N257" s="30"/>
      <c r="O257" s="30"/>
      <c r="P257" s="30"/>
      <c r="Q257" s="30"/>
    </row>
    <row r="258" spans="1:17" ht="16.05" customHeight="1" x14ac:dyDescent="0.3">
      <c r="A258" s="28">
        <v>255</v>
      </c>
      <c r="B258" s="28" t="s">
        <v>544</v>
      </c>
      <c r="C258" s="28" t="s">
        <v>143</v>
      </c>
      <c r="D258" s="28" t="s">
        <v>176</v>
      </c>
      <c r="E258" s="28" t="s">
        <v>1731</v>
      </c>
      <c r="F258" s="28"/>
      <c r="G258" s="28" t="s">
        <v>1724</v>
      </c>
      <c r="H258" s="28"/>
      <c r="I258" s="28"/>
      <c r="J258" s="28"/>
      <c r="K258" s="28"/>
      <c r="L258" s="28"/>
      <c r="M258" s="28"/>
      <c r="N258" s="28"/>
      <c r="O258" s="28"/>
      <c r="P258" s="28"/>
      <c r="Q258" s="28"/>
    </row>
    <row r="259" spans="1:17" ht="16.05" customHeight="1" x14ac:dyDescent="0.3">
      <c r="A259" s="30">
        <v>256</v>
      </c>
      <c r="B259" s="30" t="s">
        <v>544</v>
      </c>
      <c r="C259" s="30" t="s">
        <v>144</v>
      </c>
      <c r="D259" s="30" t="s">
        <v>176</v>
      </c>
      <c r="E259" s="30" t="s">
        <v>1732</v>
      </c>
      <c r="F259" s="30"/>
      <c r="G259" s="30" t="s">
        <v>1724</v>
      </c>
      <c r="H259" s="30"/>
      <c r="I259" s="30"/>
      <c r="J259" s="30"/>
      <c r="K259" s="30"/>
      <c r="L259" s="30"/>
      <c r="M259" s="30"/>
      <c r="N259" s="30"/>
      <c r="O259" s="30"/>
      <c r="P259" s="30"/>
      <c r="Q259" s="30"/>
    </row>
    <row r="260" spans="1:17" ht="16.05" customHeight="1" x14ac:dyDescent="0.3">
      <c r="A260" s="28">
        <v>257</v>
      </c>
      <c r="B260" s="28" t="s">
        <v>544</v>
      </c>
      <c r="C260" s="28" t="s">
        <v>148</v>
      </c>
      <c r="D260" s="28" t="s">
        <v>168</v>
      </c>
      <c r="E260" s="28" t="s">
        <v>1733</v>
      </c>
      <c r="F260" s="28"/>
      <c r="G260" s="28" t="s">
        <v>1724</v>
      </c>
      <c r="H260" s="28"/>
      <c r="I260" s="28"/>
      <c r="J260" s="28"/>
      <c r="K260" s="28"/>
      <c r="L260" s="28"/>
      <c r="M260" s="28"/>
      <c r="N260" s="28"/>
      <c r="O260" s="28"/>
      <c r="P260" s="28"/>
      <c r="Q260" s="28"/>
    </row>
    <row r="261" spans="1:17" ht="16.05" customHeight="1" x14ac:dyDescent="0.3">
      <c r="A261" s="30">
        <v>258</v>
      </c>
      <c r="B261" s="30" t="s">
        <v>544</v>
      </c>
      <c r="C261" s="30" t="s">
        <v>148</v>
      </c>
      <c r="D261" s="30" t="s">
        <v>176</v>
      </c>
      <c r="E261" s="30" t="s">
        <v>1734</v>
      </c>
      <c r="F261" s="30"/>
      <c r="G261" s="30" t="s">
        <v>1724</v>
      </c>
      <c r="H261" s="30"/>
      <c r="I261" s="30"/>
      <c r="J261" s="30"/>
      <c r="K261" s="30"/>
      <c r="L261" s="30"/>
      <c r="M261" s="30"/>
      <c r="N261" s="30"/>
      <c r="O261" s="30"/>
      <c r="P261" s="30"/>
      <c r="Q261" s="30"/>
    </row>
    <row r="262" spans="1:17" ht="16.05" customHeight="1" x14ac:dyDescent="0.3">
      <c r="A262" s="28">
        <v>259</v>
      </c>
      <c r="B262" s="28" t="s">
        <v>544</v>
      </c>
      <c r="C262" s="28" t="s">
        <v>152</v>
      </c>
      <c r="D262" s="28" t="s">
        <v>168</v>
      </c>
      <c r="E262" s="28" t="s">
        <v>1735</v>
      </c>
      <c r="F262" s="28"/>
      <c r="G262" s="28" t="s">
        <v>1724</v>
      </c>
      <c r="H262" s="28"/>
      <c r="I262" s="28"/>
      <c r="J262" s="28"/>
      <c r="K262" s="28"/>
      <c r="L262" s="28"/>
      <c r="M262" s="28"/>
      <c r="N262" s="28"/>
      <c r="O262" s="28"/>
      <c r="P262" s="28"/>
      <c r="Q262" s="28"/>
    </row>
    <row r="263" spans="1:17" ht="16.05" customHeight="1" x14ac:dyDescent="0.3">
      <c r="A263" s="30">
        <v>260</v>
      </c>
      <c r="B263" s="30" t="s">
        <v>544</v>
      </c>
      <c r="C263" s="30" t="s">
        <v>143</v>
      </c>
      <c r="D263" s="30" t="s">
        <v>176</v>
      </c>
      <c r="E263" s="30" t="s">
        <v>1736</v>
      </c>
      <c r="F263" s="30"/>
      <c r="G263" s="30" t="s">
        <v>1724</v>
      </c>
      <c r="H263" s="30"/>
      <c r="I263" s="30"/>
      <c r="J263" s="30"/>
      <c r="K263" s="30"/>
      <c r="L263" s="30"/>
      <c r="M263" s="30"/>
      <c r="N263" s="30"/>
      <c r="O263" s="30"/>
      <c r="P263" s="30"/>
      <c r="Q263" s="30"/>
    </row>
    <row r="264" spans="1:17" ht="16.05" customHeight="1" x14ac:dyDescent="0.3">
      <c r="A264" s="28">
        <v>261</v>
      </c>
      <c r="B264" s="28" t="s">
        <v>545</v>
      </c>
      <c r="C264" s="28" t="s">
        <v>142</v>
      </c>
      <c r="D264" s="28" t="s">
        <v>164</v>
      </c>
      <c r="E264" s="28" t="s">
        <v>1727</v>
      </c>
      <c r="F264" s="28"/>
      <c r="G264" s="28" t="s">
        <v>1724</v>
      </c>
      <c r="H264" s="28"/>
      <c r="I264" s="28"/>
      <c r="J264" s="28"/>
      <c r="K264" s="28"/>
      <c r="L264" s="28"/>
      <c r="M264" s="28"/>
      <c r="N264" s="28"/>
      <c r="O264" s="28"/>
      <c r="P264" s="28"/>
      <c r="Q264" s="28"/>
    </row>
    <row r="265" spans="1:17" ht="16.05" customHeight="1" x14ac:dyDescent="0.3">
      <c r="A265" s="30">
        <v>262</v>
      </c>
      <c r="B265" s="30" t="s">
        <v>545</v>
      </c>
      <c r="C265" s="30" t="s">
        <v>146</v>
      </c>
      <c r="D265" s="30" t="s">
        <v>168</v>
      </c>
      <c r="E265" s="30" t="s">
        <v>1728</v>
      </c>
      <c r="F265" s="30"/>
      <c r="G265" s="30" t="s">
        <v>1724</v>
      </c>
      <c r="H265" s="30"/>
      <c r="I265" s="30"/>
      <c r="J265" s="30"/>
      <c r="K265" s="30"/>
      <c r="L265" s="30"/>
      <c r="M265" s="30"/>
      <c r="N265" s="30"/>
      <c r="O265" s="30"/>
      <c r="P265" s="30"/>
      <c r="Q265" s="30"/>
    </row>
    <row r="266" spans="1:17" ht="16.05" customHeight="1" x14ac:dyDescent="0.3">
      <c r="A266" s="28">
        <v>263</v>
      </c>
      <c r="B266" s="28" t="s">
        <v>545</v>
      </c>
      <c r="C266" s="28" t="s">
        <v>147</v>
      </c>
      <c r="D266" s="28" t="s">
        <v>168</v>
      </c>
      <c r="E266" s="28" t="s">
        <v>1729</v>
      </c>
      <c r="F266" s="28"/>
      <c r="G266" s="28" t="s">
        <v>1724</v>
      </c>
      <c r="H266" s="28"/>
      <c r="I266" s="28"/>
      <c r="J266" s="28"/>
      <c r="K266" s="28"/>
      <c r="L266" s="28"/>
      <c r="M266" s="28"/>
      <c r="N266" s="28"/>
      <c r="O266" s="28"/>
      <c r="P266" s="28"/>
      <c r="Q266" s="28"/>
    </row>
    <row r="267" spans="1:17" ht="16.05" customHeight="1" x14ac:dyDescent="0.3">
      <c r="A267" s="30">
        <v>264</v>
      </c>
      <c r="B267" s="30" t="s">
        <v>545</v>
      </c>
      <c r="C267" s="30" t="s">
        <v>143</v>
      </c>
      <c r="D267" s="30" t="s">
        <v>172</v>
      </c>
      <c r="E267" s="30" t="s">
        <v>1730</v>
      </c>
      <c r="F267" s="30"/>
      <c r="G267" s="30" t="s">
        <v>1724</v>
      </c>
      <c r="H267" s="30"/>
      <c r="I267" s="30"/>
      <c r="J267" s="30"/>
      <c r="K267" s="30"/>
      <c r="L267" s="30"/>
      <c r="M267" s="30"/>
      <c r="N267" s="30"/>
      <c r="O267" s="30"/>
      <c r="P267" s="30"/>
      <c r="Q267" s="30"/>
    </row>
    <row r="268" spans="1:17" ht="16.05" customHeight="1" x14ac:dyDescent="0.3">
      <c r="A268" s="28">
        <v>265</v>
      </c>
      <c r="B268" s="28" t="s">
        <v>545</v>
      </c>
      <c r="C268" s="28" t="s">
        <v>143</v>
      </c>
      <c r="D268" s="28" t="s">
        <v>176</v>
      </c>
      <c r="E268" s="28" t="s">
        <v>1731</v>
      </c>
      <c r="F268" s="28"/>
      <c r="G268" s="28" t="s">
        <v>1724</v>
      </c>
      <c r="H268" s="28"/>
      <c r="I268" s="28"/>
      <c r="J268" s="28"/>
      <c r="K268" s="28"/>
      <c r="L268" s="28"/>
      <c r="M268" s="28"/>
      <c r="N268" s="28"/>
      <c r="O268" s="28"/>
      <c r="P268" s="28"/>
      <c r="Q268" s="28"/>
    </row>
    <row r="269" spans="1:17" ht="16.05" customHeight="1" x14ac:dyDescent="0.3">
      <c r="A269" s="30">
        <v>266</v>
      </c>
      <c r="B269" s="30" t="s">
        <v>545</v>
      </c>
      <c r="C269" s="30" t="s">
        <v>144</v>
      </c>
      <c r="D269" s="30" t="s">
        <v>176</v>
      </c>
      <c r="E269" s="30" t="s">
        <v>1732</v>
      </c>
      <c r="F269" s="30"/>
      <c r="G269" s="30" t="s">
        <v>1724</v>
      </c>
      <c r="H269" s="30"/>
      <c r="I269" s="30"/>
      <c r="J269" s="30"/>
      <c r="K269" s="30"/>
      <c r="L269" s="30"/>
      <c r="M269" s="30"/>
      <c r="N269" s="30"/>
      <c r="O269" s="30"/>
      <c r="P269" s="30"/>
      <c r="Q269" s="30"/>
    </row>
    <row r="270" spans="1:17" ht="16.05" customHeight="1" x14ac:dyDescent="0.3">
      <c r="A270" s="28">
        <v>267</v>
      </c>
      <c r="B270" s="28" t="s">
        <v>545</v>
      </c>
      <c r="C270" s="28" t="s">
        <v>148</v>
      </c>
      <c r="D270" s="28" t="s">
        <v>168</v>
      </c>
      <c r="E270" s="28" t="s">
        <v>1733</v>
      </c>
      <c r="F270" s="28"/>
      <c r="G270" s="28" t="s">
        <v>1724</v>
      </c>
      <c r="H270" s="28"/>
      <c r="I270" s="28"/>
      <c r="J270" s="28"/>
      <c r="K270" s="28"/>
      <c r="L270" s="28"/>
      <c r="M270" s="28"/>
      <c r="N270" s="28"/>
      <c r="O270" s="28"/>
      <c r="P270" s="28"/>
      <c r="Q270" s="28"/>
    </row>
    <row r="271" spans="1:17" ht="16.05" customHeight="1" x14ac:dyDescent="0.3">
      <c r="A271" s="30">
        <v>268</v>
      </c>
      <c r="B271" s="30" t="s">
        <v>545</v>
      </c>
      <c r="C271" s="30" t="s">
        <v>148</v>
      </c>
      <c r="D271" s="30" t="s">
        <v>176</v>
      </c>
      <c r="E271" s="30" t="s">
        <v>1734</v>
      </c>
      <c r="F271" s="30"/>
      <c r="G271" s="30" t="s">
        <v>1724</v>
      </c>
      <c r="H271" s="30"/>
      <c r="I271" s="30"/>
      <c r="J271" s="30"/>
      <c r="K271" s="30"/>
      <c r="L271" s="30"/>
      <c r="M271" s="30"/>
      <c r="N271" s="30"/>
      <c r="O271" s="30"/>
      <c r="P271" s="30"/>
      <c r="Q271" s="30"/>
    </row>
    <row r="272" spans="1:17" ht="16.05" customHeight="1" x14ac:dyDescent="0.3">
      <c r="A272" s="28">
        <v>269</v>
      </c>
      <c r="B272" s="28" t="s">
        <v>545</v>
      </c>
      <c r="C272" s="28" t="s">
        <v>152</v>
      </c>
      <c r="D272" s="28" t="s">
        <v>168</v>
      </c>
      <c r="E272" s="28" t="s">
        <v>1735</v>
      </c>
      <c r="F272" s="28"/>
      <c r="G272" s="28" t="s">
        <v>1724</v>
      </c>
      <c r="H272" s="28"/>
      <c r="I272" s="28"/>
      <c r="J272" s="28"/>
      <c r="K272" s="28"/>
      <c r="L272" s="28"/>
      <c r="M272" s="28"/>
      <c r="N272" s="28"/>
      <c r="O272" s="28"/>
      <c r="P272" s="28"/>
      <c r="Q272" s="28"/>
    </row>
    <row r="273" spans="1:17" ht="16.05" customHeight="1" x14ac:dyDescent="0.3">
      <c r="A273" s="30">
        <v>270</v>
      </c>
      <c r="B273" s="30" t="s">
        <v>545</v>
      </c>
      <c r="C273" s="30" t="s">
        <v>143</v>
      </c>
      <c r="D273" s="30" t="s">
        <v>176</v>
      </c>
      <c r="E273" s="30" t="s">
        <v>1736</v>
      </c>
      <c r="F273" s="30"/>
      <c r="G273" s="30" t="s">
        <v>1724</v>
      </c>
      <c r="H273" s="30"/>
      <c r="I273" s="30"/>
      <c r="J273" s="30"/>
      <c r="K273" s="30"/>
      <c r="L273" s="30"/>
      <c r="M273" s="30"/>
      <c r="N273" s="30"/>
      <c r="O273" s="30"/>
      <c r="P273" s="30"/>
      <c r="Q273" s="30"/>
    </row>
    <row r="274" spans="1:17" ht="16.05" customHeight="1" x14ac:dyDescent="0.3">
      <c r="A274" s="28">
        <v>271</v>
      </c>
      <c r="B274" s="28" t="s">
        <v>546</v>
      </c>
      <c r="C274" s="28" t="s">
        <v>142</v>
      </c>
      <c r="D274" s="28" t="s">
        <v>164</v>
      </c>
      <c r="E274" s="28" t="s">
        <v>1727</v>
      </c>
      <c r="F274" s="28"/>
      <c r="G274" s="28" t="s">
        <v>1724</v>
      </c>
      <c r="H274" s="28"/>
      <c r="I274" s="28"/>
      <c r="J274" s="28"/>
      <c r="K274" s="28"/>
      <c r="L274" s="28"/>
      <c r="M274" s="28"/>
      <c r="N274" s="28"/>
      <c r="O274" s="28"/>
      <c r="P274" s="28"/>
      <c r="Q274" s="28"/>
    </row>
    <row r="275" spans="1:17" ht="16.05" customHeight="1" x14ac:dyDescent="0.3">
      <c r="A275" s="30">
        <v>272</v>
      </c>
      <c r="B275" s="30" t="s">
        <v>546</v>
      </c>
      <c r="C275" s="30" t="s">
        <v>146</v>
      </c>
      <c r="D275" s="30" t="s">
        <v>168</v>
      </c>
      <c r="E275" s="30" t="s">
        <v>1728</v>
      </c>
      <c r="F275" s="30"/>
      <c r="G275" s="30" t="s">
        <v>1724</v>
      </c>
      <c r="H275" s="30"/>
      <c r="I275" s="30"/>
      <c r="J275" s="30"/>
      <c r="K275" s="30"/>
      <c r="L275" s="30"/>
      <c r="M275" s="30"/>
      <c r="N275" s="30"/>
      <c r="O275" s="30"/>
      <c r="P275" s="30"/>
      <c r="Q275" s="30"/>
    </row>
    <row r="276" spans="1:17" ht="16.05" customHeight="1" x14ac:dyDescent="0.3">
      <c r="A276" s="28">
        <v>273</v>
      </c>
      <c r="B276" s="28" t="s">
        <v>546</v>
      </c>
      <c r="C276" s="28" t="s">
        <v>147</v>
      </c>
      <c r="D276" s="28" t="s">
        <v>168</v>
      </c>
      <c r="E276" s="28" t="s">
        <v>1729</v>
      </c>
      <c r="F276" s="28"/>
      <c r="G276" s="28" t="s">
        <v>1724</v>
      </c>
      <c r="H276" s="28"/>
      <c r="I276" s="28"/>
      <c r="J276" s="28"/>
      <c r="K276" s="28"/>
      <c r="L276" s="28"/>
      <c r="M276" s="28"/>
      <c r="N276" s="28"/>
      <c r="O276" s="28"/>
      <c r="P276" s="28"/>
      <c r="Q276" s="28"/>
    </row>
    <row r="277" spans="1:17" ht="16.05" customHeight="1" x14ac:dyDescent="0.3">
      <c r="A277" s="30">
        <v>274</v>
      </c>
      <c r="B277" s="30" t="s">
        <v>546</v>
      </c>
      <c r="C277" s="30" t="s">
        <v>143</v>
      </c>
      <c r="D277" s="30" t="s">
        <v>172</v>
      </c>
      <c r="E277" s="30" t="s">
        <v>1730</v>
      </c>
      <c r="F277" s="30"/>
      <c r="G277" s="30" t="s">
        <v>1724</v>
      </c>
      <c r="H277" s="30"/>
      <c r="I277" s="30"/>
      <c r="J277" s="30"/>
      <c r="K277" s="30"/>
      <c r="L277" s="30"/>
      <c r="M277" s="30"/>
      <c r="N277" s="30"/>
      <c r="O277" s="30"/>
      <c r="P277" s="30"/>
      <c r="Q277" s="30"/>
    </row>
    <row r="278" spans="1:17" ht="16.05" customHeight="1" x14ac:dyDescent="0.3">
      <c r="A278" s="28">
        <v>275</v>
      </c>
      <c r="B278" s="28" t="s">
        <v>546</v>
      </c>
      <c r="C278" s="28" t="s">
        <v>143</v>
      </c>
      <c r="D278" s="28" t="s">
        <v>176</v>
      </c>
      <c r="E278" s="28" t="s">
        <v>1731</v>
      </c>
      <c r="F278" s="28"/>
      <c r="G278" s="28" t="s">
        <v>1724</v>
      </c>
      <c r="H278" s="28"/>
      <c r="I278" s="28"/>
      <c r="J278" s="28"/>
      <c r="K278" s="28"/>
      <c r="L278" s="28"/>
      <c r="M278" s="28"/>
      <c r="N278" s="28"/>
      <c r="O278" s="28"/>
      <c r="P278" s="28"/>
      <c r="Q278" s="28"/>
    </row>
    <row r="279" spans="1:17" ht="16.05" customHeight="1" x14ac:dyDescent="0.3">
      <c r="A279" s="30">
        <v>276</v>
      </c>
      <c r="B279" s="30" t="s">
        <v>546</v>
      </c>
      <c r="C279" s="30" t="s">
        <v>144</v>
      </c>
      <c r="D279" s="30" t="s">
        <v>176</v>
      </c>
      <c r="E279" s="30" t="s">
        <v>1732</v>
      </c>
      <c r="F279" s="30"/>
      <c r="G279" s="30" t="s">
        <v>1724</v>
      </c>
      <c r="H279" s="30"/>
      <c r="I279" s="30"/>
      <c r="J279" s="30"/>
      <c r="K279" s="30"/>
      <c r="L279" s="30"/>
      <c r="M279" s="30"/>
      <c r="N279" s="30"/>
      <c r="O279" s="30"/>
      <c r="P279" s="30"/>
      <c r="Q279" s="30"/>
    </row>
    <row r="280" spans="1:17" ht="16.05" customHeight="1" x14ac:dyDescent="0.3">
      <c r="A280" s="28">
        <v>277</v>
      </c>
      <c r="B280" s="28" t="s">
        <v>546</v>
      </c>
      <c r="C280" s="28" t="s">
        <v>148</v>
      </c>
      <c r="D280" s="28" t="s">
        <v>168</v>
      </c>
      <c r="E280" s="28" t="s">
        <v>1733</v>
      </c>
      <c r="F280" s="28"/>
      <c r="G280" s="28" t="s">
        <v>1724</v>
      </c>
      <c r="H280" s="28"/>
      <c r="I280" s="28"/>
      <c r="J280" s="28"/>
      <c r="K280" s="28"/>
      <c r="L280" s="28"/>
      <c r="M280" s="28"/>
      <c r="N280" s="28"/>
      <c r="O280" s="28"/>
      <c r="P280" s="28"/>
      <c r="Q280" s="28"/>
    </row>
    <row r="281" spans="1:17" ht="16.05" customHeight="1" x14ac:dyDescent="0.3">
      <c r="A281" s="30">
        <v>278</v>
      </c>
      <c r="B281" s="30" t="s">
        <v>546</v>
      </c>
      <c r="C281" s="30" t="s">
        <v>148</v>
      </c>
      <c r="D281" s="30" t="s">
        <v>176</v>
      </c>
      <c r="E281" s="30" t="s">
        <v>1734</v>
      </c>
      <c r="F281" s="30"/>
      <c r="G281" s="30" t="s">
        <v>1724</v>
      </c>
      <c r="H281" s="30"/>
      <c r="I281" s="30"/>
      <c r="J281" s="30"/>
      <c r="K281" s="30"/>
      <c r="L281" s="30"/>
      <c r="M281" s="30"/>
      <c r="N281" s="30"/>
      <c r="O281" s="30"/>
      <c r="P281" s="30"/>
      <c r="Q281" s="30"/>
    </row>
    <row r="282" spans="1:17" ht="16.05" customHeight="1" x14ac:dyDescent="0.3">
      <c r="A282" s="28">
        <v>279</v>
      </c>
      <c r="B282" s="28" t="s">
        <v>546</v>
      </c>
      <c r="C282" s="28" t="s">
        <v>152</v>
      </c>
      <c r="D282" s="28" t="s">
        <v>168</v>
      </c>
      <c r="E282" s="28" t="s">
        <v>1735</v>
      </c>
      <c r="F282" s="28"/>
      <c r="G282" s="28" t="s">
        <v>1724</v>
      </c>
      <c r="H282" s="28"/>
      <c r="I282" s="28"/>
      <c r="J282" s="28"/>
      <c r="K282" s="28"/>
      <c r="L282" s="28"/>
      <c r="M282" s="28"/>
      <c r="N282" s="28"/>
      <c r="O282" s="28"/>
      <c r="P282" s="28"/>
      <c r="Q282" s="28"/>
    </row>
    <row r="283" spans="1:17" ht="16.05" customHeight="1" x14ac:dyDescent="0.3">
      <c r="A283" s="30">
        <v>280</v>
      </c>
      <c r="B283" s="30" t="s">
        <v>546</v>
      </c>
      <c r="C283" s="30" t="s">
        <v>143</v>
      </c>
      <c r="D283" s="30" t="s">
        <v>176</v>
      </c>
      <c r="E283" s="30" t="s">
        <v>1736</v>
      </c>
      <c r="F283" s="30"/>
      <c r="G283" s="30" t="s">
        <v>1724</v>
      </c>
      <c r="H283" s="30"/>
      <c r="I283" s="30"/>
      <c r="J283" s="30"/>
      <c r="K283" s="30"/>
      <c r="L283" s="30"/>
      <c r="M283" s="30"/>
      <c r="N283" s="30"/>
      <c r="O283" s="30"/>
      <c r="P283" s="30"/>
      <c r="Q283" s="30"/>
    </row>
    <row r="284" spans="1:17" ht="16.05" customHeight="1" x14ac:dyDescent="0.3">
      <c r="A284" s="28">
        <v>281</v>
      </c>
      <c r="B284" s="28" t="s">
        <v>547</v>
      </c>
      <c r="C284" s="28" t="s">
        <v>142</v>
      </c>
      <c r="D284" s="28" t="s">
        <v>164</v>
      </c>
      <c r="E284" s="28" t="s">
        <v>1727</v>
      </c>
      <c r="F284" s="28"/>
      <c r="G284" s="28" t="s">
        <v>1724</v>
      </c>
      <c r="H284" s="28"/>
      <c r="I284" s="28"/>
      <c r="J284" s="28"/>
      <c r="K284" s="28"/>
      <c r="L284" s="28"/>
      <c r="M284" s="28"/>
      <c r="N284" s="28"/>
      <c r="O284" s="28"/>
      <c r="P284" s="28"/>
      <c r="Q284" s="28"/>
    </row>
    <row r="285" spans="1:17" ht="16.05" customHeight="1" x14ac:dyDescent="0.3">
      <c r="A285" s="30">
        <v>282</v>
      </c>
      <c r="B285" s="30" t="s">
        <v>547</v>
      </c>
      <c r="C285" s="30" t="s">
        <v>146</v>
      </c>
      <c r="D285" s="30" t="s">
        <v>168</v>
      </c>
      <c r="E285" s="30" t="s">
        <v>1728</v>
      </c>
      <c r="F285" s="30"/>
      <c r="G285" s="30" t="s">
        <v>1724</v>
      </c>
      <c r="H285" s="30"/>
      <c r="I285" s="30"/>
      <c r="J285" s="30"/>
      <c r="K285" s="30"/>
      <c r="L285" s="30"/>
      <c r="M285" s="30"/>
      <c r="N285" s="30"/>
      <c r="O285" s="30"/>
      <c r="P285" s="30"/>
      <c r="Q285" s="30"/>
    </row>
    <row r="286" spans="1:17" ht="16.05" customHeight="1" x14ac:dyDescent="0.3">
      <c r="A286" s="28">
        <v>283</v>
      </c>
      <c r="B286" s="28" t="s">
        <v>547</v>
      </c>
      <c r="C286" s="28" t="s">
        <v>147</v>
      </c>
      <c r="D286" s="28" t="s">
        <v>168</v>
      </c>
      <c r="E286" s="28" t="s">
        <v>1729</v>
      </c>
      <c r="F286" s="28"/>
      <c r="G286" s="28" t="s">
        <v>1724</v>
      </c>
      <c r="H286" s="28"/>
      <c r="I286" s="28"/>
      <c r="J286" s="28"/>
      <c r="K286" s="28"/>
      <c r="L286" s="28"/>
      <c r="M286" s="28"/>
      <c r="N286" s="28"/>
      <c r="O286" s="28"/>
      <c r="P286" s="28"/>
      <c r="Q286" s="28"/>
    </row>
    <row r="287" spans="1:17" ht="16.05" customHeight="1" x14ac:dyDescent="0.3">
      <c r="A287" s="30">
        <v>284</v>
      </c>
      <c r="B287" s="30" t="s">
        <v>547</v>
      </c>
      <c r="C287" s="30" t="s">
        <v>143</v>
      </c>
      <c r="D287" s="30" t="s">
        <v>172</v>
      </c>
      <c r="E287" s="30" t="s">
        <v>1730</v>
      </c>
      <c r="F287" s="30"/>
      <c r="G287" s="30" t="s">
        <v>1724</v>
      </c>
      <c r="H287" s="30"/>
      <c r="I287" s="30"/>
      <c r="J287" s="30"/>
      <c r="K287" s="30"/>
      <c r="L287" s="30"/>
      <c r="M287" s="30"/>
      <c r="N287" s="30"/>
      <c r="O287" s="30"/>
      <c r="P287" s="30"/>
      <c r="Q287" s="30"/>
    </row>
    <row r="288" spans="1:17" ht="16.05" customHeight="1" x14ac:dyDescent="0.3">
      <c r="A288" s="28">
        <v>285</v>
      </c>
      <c r="B288" s="28" t="s">
        <v>547</v>
      </c>
      <c r="C288" s="28" t="s">
        <v>143</v>
      </c>
      <c r="D288" s="28" t="s">
        <v>176</v>
      </c>
      <c r="E288" s="28" t="s">
        <v>1731</v>
      </c>
      <c r="F288" s="28"/>
      <c r="G288" s="28" t="s">
        <v>1724</v>
      </c>
      <c r="H288" s="28"/>
      <c r="I288" s="28"/>
      <c r="J288" s="28"/>
      <c r="K288" s="28"/>
      <c r="L288" s="28"/>
      <c r="M288" s="28"/>
      <c r="N288" s="28"/>
      <c r="O288" s="28"/>
      <c r="P288" s="28"/>
      <c r="Q288" s="28"/>
    </row>
    <row r="289" spans="1:17" ht="16.05" customHeight="1" x14ac:dyDescent="0.3">
      <c r="A289" s="30">
        <v>286</v>
      </c>
      <c r="B289" s="30" t="s">
        <v>547</v>
      </c>
      <c r="C289" s="30" t="s">
        <v>144</v>
      </c>
      <c r="D289" s="30" t="s">
        <v>176</v>
      </c>
      <c r="E289" s="30" t="s">
        <v>1732</v>
      </c>
      <c r="F289" s="30"/>
      <c r="G289" s="30" t="s">
        <v>1724</v>
      </c>
      <c r="H289" s="30"/>
      <c r="I289" s="30"/>
      <c r="J289" s="30"/>
      <c r="K289" s="30"/>
      <c r="L289" s="30"/>
      <c r="M289" s="30"/>
      <c r="N289" s="30"/>
      <c r="O289" s="30"/>
      <c r="P289" s="30"/>
      <c r="Q289" s="30"/>
    </row>
    <row r="290" spans="1:17" ht="16.05" customHeight="1" x14ac:dyDescent="0.3">
      <c r="A290" s="28">
        <v>287</v>
      </c>
      <c r="B290" s="28" t="s">
        <v>547</v>
      </c>
      <c r="C290" s="28" t="s">
        <v>148</v>
      </c>
      <c r="D290" s="28" t="s">
        <v>168</v>
      </c>
      <c r="E290" s="28" t="s">
        <v>1733</v>
      </c>
      <c r="F290" s="28"/>
      <c r="G290" s="28" t="s">
        <v>1724</v>
      </c>
      <c r="H290" s="28"/>
      <c r="I290" s="28"/>
      <c r="J290" s="28"/>
      <c r="K290" s="28"/>
      <c r="L290" s="28"/>
      <c r="M290" s="28"/>
      <c r="N290" s="28"/>
      <c r="O290" s="28"/>
      <c r="P290" s="28"/>
      <c r="Q290" s="28"/>
    </row>
    <row r="291" spans="1:17" ht="16.05" customHeight="1" x14ac:dyDescent="0.3">
      <c r="A291" s="30">
        <v>288</v>
      </c>
      <c r="B291" s="30" t="s">
        <v>547</v>
      </c>
      <c r="C291" s="30" t="s">
        <v>148</v>
      </c>
      <c r="D291" s="30" t="s">
        <v>176</v>
      </c>
      <c r="E291" s="30" t="s">
        <v>1734</v>
      </c>
      <c r="F291" s="30"/>
      <c r="G291" s="30" t="s">
        <v>1724</v>
      </c>
      <c r="H291" s="30"/>
      <c r="I291" s="30"/>
      <c r="J291" s="30"/>
      <c r="K291" s="30"/>
      <c r="L291" s="30"/>
      <c r="M291" s="30"/>
      <c r="N291" s="30"/>
      <c r="O291" s="30"/>
      <c r="P291" s="30"/>
      <c r="Q291" s="30"/>
    </row>
    <row r="292" spans="1:17" ht="16.05" customHeight="1" x14ac:dyDescent="0.3">
      <c r="A292" s="28">
        <v>289</v>
      </c>
      <c r="B292" s="28" t="s">
        <v>547</v>
      </c>
      <c r="C292" s="28" t="s">
        <v>152</v>
      </c>
      <c r="D292" s="28" t="s">
        <v>168</v>
      </c>
      <c r="E292" s="28" t="s">
        <v>1735</v>
      </c>
      <c r="F292" s="28"/>
      <c r="G292" s="28" t="s">
        <v>1724</v>
      </c>
      <c r="H292" s="28"/>
      <c r="I292" s="28"/>
      <c r="J292" s="28"/>
      <c r="K292" s="28"/>
      <c r="L292" s="28"/>
      <c r="M292" s="28"/>
      <c r="N292" s="28"/>
      <c r="O292" s="28"/>
      <c r="P292" s="28"/>
      <c r="Q292" s="28"/>
    </row>
    <row r="293" spans="1:17" ht="16.05" customHeight="1" x14ac:dyDescent="0.3">
      <c r="A293" s="30">
        <v>290</v>
      </c>
      <c r="B293" s="30" t="s">
        <v>547</v>
      </c>
      <c r="C293" s="30" t="s">
        <v>143</v>
      </c>
      <c r="D293" s="30" t="s">
        <v>176</v>
      </c>
      <c r="E293" s="30" t="s">
        <v>1736</v>
      </c>
      <c r="F293" s="30"/>
      <c r="G293" s="30" t="s">
        <v>1724</v>
      </c>
      <c r="H293" s="30"/>
      <c r="I293" s="30"/>
      <c r="J293" s="30"/>
      <c r="K293" s="30"/>
      <c r="L293" s="30"/>
      <c r="M293" s="30"/>
      <c r="N293" s="30"/>
      <c r="O293" s="30"/>
      <c r="P293" s="30"/>
      <c r="Q293" s="30"/>
    </row>
    <row r="294" spans="1:17" ht="16.05" customHeight="1" x14ac:dyDescent="0.3">
      <c r="A294" s="28">
        <v>291</v>
      </c>
      <c r="B294" s="28" t="s">
        <v>548</v>
      </c>
      <c r="C294" s="28" t="s">
        <v>142</v>
      </c>
      <c r="D294" s="28" t="s">
        <v>164</v>
      </c>
      <c r="E294" s="28" t="s">
        <v>1727</v>
      </c>
      <c r="F294" s="28"/>
      <c r="G294" s="28" t="s">
        <v>1724</v>
      </c>
      <c r="H294" s="28"/>
      <c r="I294" s="28"/>
      <c r="J294" s="28"/>
      <c r="K294" s="28"/>
      <c r="L294" s="28"/>
      <c r="M294" s="28"/>
      <c r="N294" s="28"/>
      <c r="O294" s="28"/>
      <c r="P294" s="28"/>
      <c r="Q294" s="28"/>
    </row>
    <row r="295" spans="1:17" ht="16.05" customHeight="1" x14ac:dyDescent="0.3">
      <c r="A295" s="30">
        <v>292</v>
      </c>
      <c r="B295" s="30" t="s">
        <v>548</v>
      </c>
      <c r="C295" s="30" t="s">
        <v>146</v>
      </c>
      <c r="D295" s="30" t="s">
        <v>168</v>
      </c>
      <c r="E295" s="30" t="s">
        <v>1728</v>
      </c>
      <c r="F295" s="30"/>
      <c r="G295" s="30" t="s">
        <v>1724</v>
      </c>
      <c r="H295" s="30"/>
      <c r="I295" s="30"/>
      <c r="J295" s="30"/>
      <c r="K295" s="30"/>
      <c r="L295" s="30"/>
      <c r="M295" s="30"/>
      <c r="N295" s="30"/>
      <c r="O295" s="30"/>
      <c r="P295" s="30"/>
      <c r="Q295" s="30"/>
    </row>
    <row r="296" spans="1:17" ht="16.05" customHeight="1" x14ac:dyDescent="0.3">
      <c r="A296" s="28">
        <v>293</v>
      </c>
      <c r="B296" s="28" t="s">
        <v>548</v>
      </c>
      <c r="C296" s="28" t="s">
        <v>147</v>
      </c>
      <c r="D296" s="28" t="s">
        <v>168</v>
      </c>
      <c r="E296" s="28" t="s">
        <v>1729</v>
      </c>
      <c r="F296" s="28"/>
      <c r="G296" s="28" t="s">
        <v>1724</v>
      </c>
      <c r="H296" s="28"/>
      <c r="I296" s="28"/>
      <c r="J296" s="28"/>
      <c r="K296" s="28"/>
      <c r="L296" s="28"/>
      <c r="M296" s="28"/>
      <c r="N296" s="28"/>
      <c r="O296" s="28"/>
      <c r="P296" s="28"/>
      <c r="Q296" s="28"/>
    </row>
    <row r="297" spans="1:17" ht="16.05" customHeight="1" x14ac:dyDescent="0.3">
      <c r="A297" s="30">
        <v>294</v>
      </c>
      <c r="B297" s="30" t="s">
        <v>548</v>
      </c>
      <c r="C297" s="30" t="s">
        <v>143</v>
      </c>
      <c r="D297" s="30" t="s">
        <v>172</v>
      </c>
      <c r="E297" s="30" t="s">
        <v>1730</v>
      </c>
      <c r="F297" s="30"/>
      <c r="G297" s="30" t="s">
        <v>1724</v>
      </c>
      <c r="H297" s="30"/>
      <c r="I297" s="30"/>
      <c r="J297" s="30"/>
      <c r="K297" s="30"/>
      <c r="L297" s="30"/>
      <c r="M297" s="30"/>
      <c r="N297" s="30"/>
      <c r="O297" s="30"/>
      <c r="P297" s="30"/>
      <c r="Q297" s="30"/>
    </row>
    <row r="298" spans="1:17" ht="16.05" customHeight="1" x14ac:dyDescent="0.3">
      <c r="A298" s="28">
        <v>295</v>
      </c>
      <c r="B298" s="28" t="s">
        <v>548</v>
      </c>
      <c r="C298" s="28" t="s">
        <v>143</v>
      </c>
      <c r="D298" s="28" t="s">
        <v>176</v>
      </c>
      <c r="E298" s="28" t="s">
        <v>1731</v>
      </c>
      <c r="F298" s="28"/>
      <c r="G298" s="28" t="s">
        <v>1724</v>
      </c>
      <c r="H298" s="28"/>
      <c r="I298" s="28"/>
      <c r="J298" s="28"/>
      <c r="K298" s="28"/>
      <c r="L298" s="28"/>
      <c r="M298" s="28"/>
      <c r="N298" s="28"/>
      <c r="O298" s="28"/>
      <c r="P298" s="28"/>
      <c r="Q298" s="28"/>
    </row>
    <row r="299" spans="1:17" ht="16.05" customHeight="1" x14ac:dyDescent="0.3">
      <c r="A299" s="30">
        <v>296</v>
      </c>
      <c r="B299" s="30" t="s">
        <v>548</v>
      </c>
      <c r="C299" s="30" t="s">
        <v>144</v>
      </c>
      <c r="D299" s="30" t="s">
        <v>176</v>
      </c>
      <c r="E299" s="30" t="s">
        <v>1732</v>
      </c>
      <c r="F299" s="30"/>
      <c r="G299" s="30" t="s">
        <v>1724</v>
      </c>
      <c r="H299" s="30"/>
      <c r="I299" s="30"/>
      <c r="J299" s="30"/>
      <c r="K299" s="30"/>
      <c r="L299" s="30"/>
      <c r="M299" s="30"/>
      <c r="N299" s="30"/>
      <c r="O299" s="30"/>
      <c r="P299" s="30"/>
      <c r="Q299" s="30"/>
    </row>
    <row r="300" spans="1:17" ht="16.05" customHeight="1" x14ac:dyDescent="0.3">
      <c r="A300" s="28">
        <v>297</v>
      </c>
      <c r="B300" s="28" t="s">
        <v>548</v>
      </c>
      <c r="C300" s="28" t="s">
        <v>148</v>
      </c>
      <c r="D300" s="28" t="s">
        <v>168</v>
      </c>
      <c r="E300" s="28" t="s">
        <v>1733</v>
      </c>
      <c r="F300" s="28"/>
      <c r="G300" s="28" t="s">
        <v>1724</v>
      </c>
      <c r="H300" s="28"/>
      <c r="I300" s="28"/>
      <c r="J300" s="28"/>
      <c r="K300" s="28"/>
      <c r="L300" s="28"/>
      <c r="M300" s="28"/>
      <c r="N300" s="28"/>
      <c r="O300" s="28"/>
      <c r="P300" s="28"/>
      <c r="Q300" s="28"/>
    </row>
    <row r="301" spans="1:17" ht="16.05" customHeight="1" x14ac:dyDescent="0.3">
      <c r="A301" s="30">
        <v>298</v>
      </c>
      <c r="B301" s="30" t="s">
        <v>548</v>
      </c>
      <c r="C301" s="30" t="s">
        <v>148</v>
      </c>
      <c r="D301" s="30" t="s">
        <v>176</v>
      </c>
      <c r="E301" s="30" t="s">
        <v>1734</v>
      </c>
      <c r="F301" s="30"/>
      <c r="G301" s="30" t="s">
        <v>1724</v>
      </c>
      <c r="H301" s="30"/>
      <c r="I301" s="30"/>
      <c r="J301" s="30"/>
      <c r="K301" s="30"/>
      <c r="L301" s="30"/>
      <c r="M301" s="30"/>
      <c r="N301" s="30"/>
      <c r="O301" s="30"/>
      <c r="P301" s="30"/>
      <c r="Q301" s="30"/>
    </row>
    <row r="302" spans="1:17" ht="16.05" customHeight="1" x14ac:dyDescent="0.3">
      <c r="A302" s="28">
        <v>299</v>
      </c>
      <c r="B302" s="28" t="s">
        <v>548</v>
      </c>
      <c r="C302" s="28" t="s">
        <v>152</v>
      </c>
      <c r="D302" s="28" t="s">
        <v>168</v>
      </c>
      <c r="E302" s="28" t="s">
        <v>1735</v>
      </c>
      <c r="F302" s="28"/>
      <c r="G302" s="28" t="s">
        <v>1724</v>
      </c>
      <c r="H302" s="28"/>
      <c r="I302" s="28"/>
      <c r="J302" s="28"/>
      <c r="K302" s="28"/>
      <c r="L302" s="28"/>
      <c r="M302" s="28"/>
      <c r="N302" s="28"/>
      <c r="O302" s="28"/>
      <c r="P302" s="28"/>
      <c r="Q302" s="28"/>
    </row>
    <row r="303" spans="1:17" ht="16.05" customHeight="1" x14ac:dyDescent="0.3">
      <c r="A303" s="30">
        <v>300</v>
      </c>
      <c r="B303" s="30" t="s">
        <v>548</v>
      </c>
      <c r="C303" s="30" t="s">
        <v>143</v>
      </c>
      <c r="D303" s="30" t="s">
        <v>176</v>
      </c>
      <c r="E303" s="30" t="s">
        <v>1736</v>
      </c>
      <c r="F303" s="30"/>
      <c r="G303" s="30" t="s">
        <v>1724</v>
      </c>
      <c r="H303" s="30"/>
      <c r="I303" s="30"/>
      <c r="J303" s="30"/>
      <c r="K303" s="30"/>
      <c r="L303" s="30"/>
      <c r="M303" s="30"/>
      <c r="N303" s="30"/>
      <c r="O303" s="30"/>
      <c r="P303" s="30"/>
      <c r="Q303" s="30"/>
    </row>
    <row r="304" spans="1:17" ht="16.05" customHeight="1" x14ac:dyDescent="0.3">
      <c r="A304" s="28">
        <v>301</v>
      </c>
      <c r="B304" s="28" t="s">
        <v>549</v>
      </c>
      <c r="C304" s="28" t="s">
        <v>142</v>
      </c>
      <c r="D304" s="28" t="s">
        <v>164</v>
      </c>
      <c r="E304" s="28" t="s">
        <v>1727</v>
      </c>
      <c r="F304" s="28"/>
      <c r="G304" s="28" t="s">
        <v>1724</v>
      </c>
      <c r="H304" s="28"/>
      <c r="I304" s="28"/>
      <c r="J304" s="28"/>
      <c r="K304" s="28"/>
      <c r="L304" s="28"/>
      <c r="M304" s="28"/>
      <c r="N304" s="28"/>
      <c r="O304" s="28"/>
      <c r="P304" s="28"/>
      <c r="Q304" s="28"/>
    </row>
    <row r="305" spans="1:17" ht="16.05" customHeight="1" x14ac:dyDescent="0.3">
      <c r="A305" s="30">
        <v>302</v>
      </c>
      <c r="B305" s="30" t="s">
        <v>549</v>
      </c>
      <c r="C305" s="30" t="s">
        <v>146</v>
      </c>
      <c r="D305" s="30" t="s">
        <v>168</v>
      </c>
      <c r="E305" s="30" t="s">
        <v>1728</v>
      </c>
      <c r="F305" s="30"/>
      <c r="G305" s="30" t="s">
        <v>1724</v>
      </c>
      <c r="H305" s="30"/>
      <c r="I305" s="30"/>
      <c r="J305" s="30"/>
      <c r="K305" s="30"/>
      <c r="L305" s="30"/>
      <c r="M305" s="30"/>
      <c r="N305" s="30"/>
      <c r="O305" s="30"/>
      <c r="P305" s="30"/>
      <c r="Q305" s="30"/>
    </row>
    <row r="306" spans="1:17" ht="16.05" customHeight="1" x14ac:dyDescent="0.3">
      <c r="A306" s="28">
        <v>303</v>
      </c>
      <c r="B306" s="28" t="s">
        <v>549</v>
      </c>
      <c r="C306" s="28" t="s">
        <v>147</v>
      </c>
      <c r="D306" s="28" t="s">
        <v>168</v>
      </c>
      <c r="E306" s="28" t="s">
        <v>1729</v>
      </c>
      <c r="F306" s="28"/>
      <c r="G306" s="28" t="s">
        <v>1724</v>
      </c>
      <c r="H306" s="28"/>
      <c r="I306" s="28"/>
      <c r="J306" s="28"/>
      <c r="K306" s="28"/>
      <c r="L306" s="28"/>
      <c r="M306" s="28"/>
      <c r="N306" s="28"/>
      <c r="O306" s="28"/>
      <c r="P306" s="28"/>
      <c r="Q306" s="28"/>
    </row>
    <row r="307" spans="1:17" ht="16.05" customHeight="1" x14ac:dyDescent="0.3">
      <c r="A307" s="30">
        <v>304</v>
      </c>
      <c r="B307" s="30" t="s">
        <v>549</v>
      </c>
      <c r="C307" s="30" t="s">
        <v>143</v>
      </c>
      <c r="D307" s="30" t="s">
        <v>172</v>
      </c>
      <c r="E307" s="30" t="s">
        <v>1730</v>
      </c>
      <c r="F307" s="30"/>
      <c r="G307" s="30" t="s">
        <v>1724</v>
      </c>
      <c r="H307" s="30"/>
      <c r="I307" s="30"/>
      <c r="J307" s="30"/>
      <c r="K307" s="30"/>
      <c r="L307" s="30"/>
      <c r="M307" s="30"/>
      <c r="N307" s="30"/>
      <c r="O307" s="30"/>
      <c r="P307" s="30"/>
      <c r="Q307" s="30"/>
    </row>
    <row r="308" spans="1:17" ht="16.05" customHeight="1" x14ac:dyDescent="0.3">
      <c r="A308" s="28">
        <v>305</v>
      </c>
      <c r="B308" s="28" t="s">
        <v>549</v>
      </c>
      <c r="C308" s="28" t="s">
        <v>143</v>
      </c>
      <c r="D308" s="28" t="s">
        <v>176</v>
      </c>
      <c r="E308" s="28" t="s">
        <v>1731</v>
      </c>
      <c r="F308" s="28"/>
      <c r="G308" s="28" t="s">
        <v>1724</v>
      </c>
      <c r="H308" s="28"/>
      <c r="I308" s="28"/>
      <c r="J308" s="28"/>
      <c r="K308" s="28"/>
      <c r="L308" s="28"/>
      <c r="M308" s="28"/>
      <c r="N308" s="28"/>
      <c r="O308" s="28"/>
      <c r="P308" s="28"/>
      <c r="Q308" s="28"/>
    </row>
    <row r="309" spans="1:17" ht="16.05" customHeight="1" x14ac:dyDescent="0.3">
      <c r="A309" s="30">
        <v>306</v>
      </c>
      <c r="B309" s="30" t="s">
        <v>549</v>
      </c>
      <c r="C309" s="30" t="s">
        <v>144</v>
      </c>
      <c r="D309" s="30" t="s">
        <v>176</v>
      </c>
      <c r="E309" s="30" t="s">
        <v>1732</v>
      </c>
      <c r="F309" s="30"/>
      <c r="G309" s="30" t="s">
        <v>1724</v>
      </c>
      <c r="H309" s="30"/>
      <c r="I309" s="30"/>
      <c r="J309" s="30"/>
      <c r="K309" s="30"/>
      <c r="L309" s="30"/>
      <c r="M309" s="30"/>
      <c r="N309" s="30"/>
      <c r="O309" s="30"/>
      <c r="P309" s="30"/>
      <c r="Q309" s="30"/>
    </row>
    <row r="310" spans="1:17" ht="16.05" customHeight="1" x14ac:dyDescent="0.3">
      <c r="A310" s="28">
        <v>307</v>
      </c>
      <c r="B310" s="28" t="s">
        <v>549</v>
      </c>
      <c r="C310" s="28" t="s">
        <v>148</v>
      </c>
      <c r="D310" s="28" t="s">
        <v>168</v>
      </c>
      <c r="E310" s="28" t="s">
        <v>1733</v>
      </c>
      <c r="F310" s="28"/>
      <c r="G310" s="28" t="s">
        <v>1724</v>
      </c>
      <c r="H310" s="28"/>
      <c r="I310" s="28"/>
      <c r="J310" s="28"/>
      <c r="K310" s="28"/>
      <c r="L310" s="28"/>
      <c r="M310" s="28"/>
      <c r="N310" s="28"/>
      <c r="O310" s="28"/>
      <c r="P310" s="28"/>
      <c r="Q310" s="28"/>
    </row>
    <row r="311" spans="1:17" ht="16.05" customHeight="1" x14ac:dyDescent="0.3">
      <c r="A311" s="30">
        <v>308</v>
      </c>
      <c r="B311" s="30" t="s">
        <v>549</v>
      </c>
      <c r="C311" s="30" t="s">
        <v>148</v>
      </c>
      <c r="D311" s="30" t="s">
        <v>176</v>
      </c>
      <c r="E311" s="30" t="s">
        <v>1734</v>
      </c>
      <c r="F311" s="30"/>
      <c r="G311" s="30" t="s">
        <v>1724</v>
      </c>
      <c r="H311" s="30"/>
      <c r="I311" s="30"/>
      <c r="J311" s="30"/>
      <c r="K311" s="30"/>
      <c r="L311" s="30"/>
      <c r="M311" s="30"/>
      <c r="N311" s="30"/>
      <c r="O311" s="30"/>
      <c r="P311" s="30"/>
      <c r="Q311" s="30"/>
    </row>
    <row r="312" spans="1:17" ht="16.05" customHeight="1" x14ac:dyDescent="0.3">
      <c r="A312" s="28">
        <v>309</v>
      </c>
      <c r="B312" s="28" t="s">
        <v>549</v>
      </c>
      <c r="C312" s="28" t="s">
        <v>152</v>
      </c>
      <c r="D312" s="28" t="s">
        <v>168</v>
      </c>
      <c r="E312" s="28" t="s">
        <v>1735</v>
      </c>
      <c r="F312" s="28"/>
      <c r="G312" s="28" t="s">
        <v>1724</v>
      </c>
      <c r="H312" s="28"/>
      <c r="I312" s="28"/>
      <c r="J312" s="28"/>
      <c r="K312" s="28"/>
      <c r="L312" s="28"/>
      <c r="M312" s="28"/>
      <c r="N312" s="28"/>
      <c r="O312" s="28"/>
      <c r="P312" s="28"/>
      <c r="Q312" s="28"/>
    </row>
    <row r="313" spans="1:17" ht="16.05" customHeight="1" x14ac:dyDescent="0.3">
      <c r="A313" s="30">
        <v>310</v>
      </c>
      <c r="B313" s="30" t="s">
        <v>549</v>
      </c>
      <c r="C313" s="30" t="s">
        <v>143</v>
      </c>
      <c r="D313" s="30" t="s">
        <v>176</v>
      </c>
      <c r="E313" s="30" t="s">
        <v>1736</v>
      </c>
      <c r="F313" s="30"/>
      <c r="G313" s="30" t="s">
        <v>1724</v>
      </c>
      <c r="H313" s="30"/>
      <c r="I313" s="30"/>
      <c r="J313" s="30"/>
      <c r="K313" s="30"/>
      <c r="L313" s="30"/>
      <c r="M313" s="30"/>
      <c r="N313" s="30"/>
      <c r="O313" s="30"/>
      <c r="P313" s="30"/>
      <c r="Q313" s="30"/>
    </row>
    <row r="314" spans="1:17" ht="16.05" customHeight="1" x14ac:dyDescent="0.3">
      <c r="A314" s="28">
        <v>311</v>
      </c>
      <c r="B314" s="28" t="s">
        <v>550</v>
      </c>
      <c r="C314" s="28" t="s">
        <v>142</v>
      </c>
      <c r="D314" s="28" t="s">
        <v>164</v>
      </c>
      <c r="E314" s="28" t="s">
        <v>1727</v>
      </c>
      <c r="F314" s="28"/>
      <c r="G314" s="28" t="s">
        <v>1724</v>
      </c>
      <c r="H314" s="28"/>
      <c r="I314" s="28"/>
      <c r="J314" s="28"/>
      <c r="K314" s="28"/>
      <c r="L314" s="28"/>
      <c r="M314" s="28"/>
      <c r="N314" s="28"/>
      <c r="O314" s="28"/>
      <c r="P314" s="28"/>
      <c r="Q314" s="28"/>
    </row>
    <row r="315" spans="1:17" ht="16.05" customHeight="1" x14ac:dyDescent="0.3">
      <c r="A315" s="30">
        <v>312</v>
      </c>
      <c r="B315" s="30" t="s">
        <v>550</v>
      </c>
      <c r="C315" s="30" t="s">
        <v>146</v>
      </c>
      <c r="D315" s="30" t="s">
        <v>168</v>
      </c>
      <c r="E315" s="30" t="s">
        <v>1728</v>
      </c>
      <c r="F315" s="30"/>
      <c r="G315" s="30" t="s">
        <v>1724</v>
      </c>
      <c r="H315" s="30"/>
      <c r="I315" s="30"/>
      <c r="J315" s="30"/>
      <c r="K315" s="30"/>
      <c r="L315" s="30"/>
      <c r="M315" s="30"/>
      <c r="N315" s="30"/>
      <c r="O315" s="30"/>
      <c r="P315" s="30"/>
      <c r="Q315" s="30"/>
    </row>
    <row r="316" spans="1:17" ht="16.05" customHeight="1" x14ac:dyDescent="0.3">
      <c r="A316" s="28">
        <v>313</v>
      </c>
      <c r="B316" s="28" t="s">
        <v>550</v>
      </c>
      <c r="C316" s="28" t="s">
        <v>147</v>
      </c>
      <c r="D316" s="28" t="s">
        <v>168</v>
      </c>
      <c r="E316" s="28" t="s">
        <v>1729</v>
      </c>
      <c r="F316" s="28"/>
      <c r="G316" s="28" t="s">
        <v>1724</v>
      </c>
      <c r="H316" s="28"/>
      <c r="I316" s="28"/>
      <c r="J316" s="28"/>
      <c r="K316" s="28"/>
      <c r="L316" s="28"/>
      <c r="M316" s="28"/>
      <c r="N316" s="28"/>
      <c r="O316" s="28"/>
      <c r="P316" s="28"/>
      <c r="Q316" s="28"/>
    </row>
    <row r="317" spans="1:17" ht="16.05" customHeight="1" x14ac:dyDescent="0.3">
      <c r="A317" s="30">
        <v>314</v>
      </c>
      <c r="B317" s="30" t="s">
        <v>550</v>
      </c>
      <c r="C317" s="30" t="s">
        <v>143</v>
      </c>
      <c r="D317" s="30" t="s">
        <v>172</v>
      </c>
      <c r="E317" s="30" t="s">
        <v>1730</v>
      </c>
      <c r="F317" s="30"/>
      <c r="G317" s="30" t="s">
        <v>1724</v>
      </c>
      <c r="H317" s="30"/>
      <c r="I317" s="30"/>
      <c r="J317" s="30"/>
      <c r="K317" s="30"/>
      <c r="L317" s="30"/>
      <c r="M317" s="30"/>
      <c r="N317" s="30"/>
      <c r="O317" s="30"/>
      <c r="P317" s="30"/>
      <c r="Q317" s="30"/>
    </row>
    <row r="318" spans="1:17" ht="16.05" customHeight="1" x14ac:dyDescent="0.3">
      <c r="A318" s="28">
        <v>315</v>
      </c>
      <c r="B318" s="28" t="s">
        <v>550</v>
      </c>
      <c r="C318" s="28" t="s">
        <v>143</v>
      </c>
      <c r="D318" s="28" t="s">
        <v>176</v>
      </c>
      <c r="E318" s="28" t="s">
        <v>1731</v>
      </c>
      <c r="F318" s="28"/>
      <c r="G318" s="28" t="s">
        <v>1724</v>
      </c>
      <c r="H318" s="28"/>
      <c r="I318" s="28"/>
      <c r="J318" s="28"/>
      <c r="K318" s="28"/>
      <c r="L318" s="28"/>
      <c r="M318" s="28"/>
      <c r="N318" s="28"/>
      <c r="O318" s="28"/>
      <c r="P318" s="28"/>
      <c r="Q318" s="28"/>
    </row>
    <row r="319" spans="1:17" ht="16.05" customHeight="1" x14ac:dyDescent="0.3">
      <c r="A319" s="30">
        <v>316</v>
      </c>
      <c r="B319" s="30" t="s">
        <v>550</v>
      </c>
      <c r="C319" s="30" t="s">
        <v>144</v>
      </c>
      <c r="D319" s="30" t="s">
        <v>176</v>
      </c>
      <c r="E319" s="30" t="s">
        <v>1732</v>
      </c>
      <c r="F319" s="30"/>
      <c r="G319" s="30" t="s">
        <v>1724</v>
      </c>
      <c r="H319" s="30"/>
      <c r="I319" s="30"/>
      <c r="J319" s="30"/>
      <c r="K319" s="30"/>
      <c r="L319" s="30"/>
      <c r="M319" s="30"/>
      <c r="N319" s="30"/>
      <c r="O319" s="30"/>
      <c r="P319" s="30"/>
      <c r="Q319" s="30"/>
    </row>
    <row r="320" spans="1:17" ht="16.05" customHeight="1" x14ac:dyDescent="0.3">
      <c r="A320" s="28">
        <v>317</v>
      </c>
      <c r="B320" s="28" t="s">
        <v>550</v>
      </c>
      <c r="C320" s="28" t="s">
        <v>148</v>
      </c>
      <c r="D320" s="28" t="s">
        <v>168</v>
      </c>
      <c r="E320" s="28" t="s">
        <v>1733</v>
      </c>
      <c r="F320" s="28"/>
      <c r="G320" s="28" t="s">
        <v>1724</v>
      </c>
      <c r="H320" s="28"/>
      <c r="I320" s="28"/>
      <c r="J320" s="28"/>
      <c r="K320" s="28"/>
      <c r="L320" s="28"/>
      <c r="M320" s="28"/>
      <c r="N320" s="28"/>
      <c r="O320" s="28"/>
      <c r="P320" s="28"/>
      <c r="Q320" s="28"/>
    </row>
    <row r="321" spans="1:17" ht="16.05" customHeight="1" x14ac:dyDescent="0.3">
      <c r="A321" s="30">
        <v>318</v>
      </c>
      <c r="B321" s="30" t="s">
        <v>550</v>
      </c>
      <c r="C321" s="30" t="s">
        <v>148</v>
      </c>
      <c r="D321" s="30" t="s">
        <v>176</v>
      </c>
      <c r="E321" s="30" t="s">
        <v>1734</v>
      </c>
      <c r="F321" s="30"/>
      <c r="G321" s="30" t="s">
        <v>1724</v>
      </c>
      <c r="H321" s="30"/>
      <c r="I321" s="30"/>
      <c r="J321" s="30"/>
      <c r="K321" s="30"/>
      <c r="L321" s="30"/>
      <c r="M321" s="30"/>
      <c r="N321" s="30"/>
      <c r="O321" s="30"/>
      <c r="P321" s="30"/>
      <c r="Q321" s="30"/>
    </row>
    <row r="322" spans="1:17" ht="16.05" customHeight="1" x14ac:dyDescent="0.3">
      <c r="A322" s="28">
        <v>319</v>
      </c>
      <c r="B322" s="28" t="s">
        <v>550</v>
      </c>
      <c r="C322" s="28" t="s">
        <v>152</v>
      </c>
      <c r="D322" s="28" t="s">
        <v>168</v>
      </c>
      <c r="E322" s="28" t="s">
        <v>1735</v>
      </c>
      <c r="F322" s="28"/>
      <c r="G322" s="28" t="s">
        <v>1724</v>
      </c>
      <c r="H322" s="28"/>
      <c r="I322" s="28"/>
      <c r="J322" s="28"/>
      <c r="K322" s="28"/>
      <c r="L322" s="28"/>
      <c r="M322" s="28"/>
      <c r="N322" s="28"/>
      <c r="O322" s="28"/>
      <c r="P322" s="28"/>
      <c r="Q322" s="28"/>
    </row>
    <row r="323" spans="1:17" ht="16.05" customHeight="1" x14ac:dyDescent="0.3">
      <c r="A323" s="30">
        <v>320</v>
      </c>
      <c r="B323" s="30" t="s">
        <v>550</v>
      </c>
      <c r="C323" s="30" t="s">
        <v>143</v>
      </c>
      <c r="D323" s="30" t="s">
        <v>176</v>
      </c>
      <c r="E323" s="30" t="s">
        <v>1736</v>
      </c>
      <c r="F323" s="30"/>
      <c r="G323" s="30" t="s">
        <v>1724</v>
      </c>
      <c r="H323" s="30"/>
      <c r="I323" s="30"/>
      <c r="J323" s="30"/>
      <c r="K323" s="30"/>
      <c r="L323" s="30"/>
      <c r="M323" s="30"/>
      <c r="N323" s="30"/>
      <c r="O323" s="30"/>
      <c r="P323" s="30"/>
      <c r="Q323" s="30"/>
    </row>
    <row r="324" spans="1:17" ht="16.05" customHeight="1" x14ac:dyDescent="0.3">
      <c r="A324" s="28">
        <v>321</v>
      </c>
      <c r="B324" s="28" t="s">
        <v>551</v>
      </c>
      <c r="C324" s="28" t="s">
        <v>142</v>
      </c>
      <c r="D324" s="28" t="s">
        <v>164</v>
      </c>
      <c r="E324" s="28" t="s">
        <v>1727</v>
      </c>
      <c r="F324" s="28"/>
      <c r="G324" s="28" t="s">
        <v>1724</v>
      </c>
      <c r="H324" s="28"/>
      <c r="I324" s="28"/>
      <c r="J324" s="28"/>
      <c r="K324" s="28"/>
      <c r="L324" s="28"/>
      <c r="M324" s="28"/>
      <c r="N324" s="28"/>
      <c r="O324" s="28"/>
      <c r="P324" s="28"/>
      <c r="Q324" s="28"/>
    </row>
    <row r="325" spans="1:17" ht="16.05" customHeight="1" x14ac:dyDescent="0.3">
      <c r="A325" s="30">
        <v>322</v>
      </c>
      <c r="B325" s="30" t="s">
        <v>551</v>
      </c>
      <c r="C325" s="30" t="s">
        <v>146</v>
      </c>
      <c r="D325" s="30" t="s">
        <v>168</v>
      </c>
      <c r="E325" s="30" t="s">
        <v>1728</v>
      </c>
      <c r="F325" s="30"/>
      <c r="G325" s="30" t="s">
        <v>1724</v>
      </c>
      <c r="H325" s="30"/>
      <c r="I325" s="30"/>
      <c r="J325" s="30"/>
      <c r="K325" s="30"/>
      <c r="L325" s="30"/>
      <c r="M325" s="30"/>
      <c r="N325" s="30"/>
      <c r="O325" s="30"/>
      <c r="P325" s="30"/>
      <c r="Q325" s="30"/>
    </row>
    <row r="326" spans="1:17" ht="16.05" customHeight="1" x14ac:dyDescent="0.3">
      <c r="A326" s="28">
        <v>323</v>
      </c>
      <c r="B326" s="28" t="s">
        <v>551</v>
      </c>
      <c r="C326" s="28" t="s">
        <v>147</v>
      </c>
      <c r="D326" s="28" t="s">
        <v>168</v>
      </c>
      <c r="E326" s="28" t="s">
        <v>1729</v>
      </c>
      <c r="F326" s="28"/>
      <c r="G326" s="28" t="s">
        <v>1724</v>
      </c>
      <c r="H326" s="28"/>
      <c r="I326" s="28"/>
      <c r="J326" s="28"/>
      <c r="K326" s="28"/>
      <c r="L326" s="28"/>
      <c r="M326" s="28"/>
      <c r="N326" s="28"/>
      <c r="O326" s="28"/>
      <c r="P326" s="28"/>
      <c r="Q326" s="28"/>
    </row>
    <row r="327" spans="1:17" ht="16.05" customHeight="1" x14ac:dyDescent="0.3">
      <c r="A327" s="30">
        <v>324</v>
      </c>
      <c r="B327" s="30" t="s">
        <v>551</v>
      </c>
      <c r="C327" s="30" t="s">
        <v>143</v>
      </c>
      <c r="D327" s="30" t="s">
        <v>172</v>
      </c>
      <c r="E327" s="30" t="s">
        <v>1730</v>
      </c>
      <c r="F327" s="30"/>
      <c r="G327" s="30" t="s">
        <v>1724</v>
      </c>
      <c r="H327" s="30"/>
      <c r="I327" s="30"/>
      <c r="J327" s="30"/>
      <c r="K327" s="30"/>
      <c r="L327" s="30"/>
      <c r="M327" s="30"/>
      <c r="N327" s="30"/>
      <c r="O327" s="30"/>
      <c r="P327" s="30"/>
      <c r="Q327" s="30"/>
    </row>
    <row r="328" spans="1:17" ht="16.05" customHeight="1" x14ac:dyDescent="0.3">
      <c r="A328" s="28">
        <v>325</v>
      </c>
      <c r="B328" s="28" t="s">
        <v>551</v>
      </c>
      <c r="C328" s="28" t="s">
        <v>143</v>
      </c>
      <c r="D328" s="28" t="s">
        <v>176</v>
      </c>
      <c r="E328" s="28" t="s">
        <v>1731</v>
      </c>
      <c r="F328" s="28"/>
      <c r="G328" s="28" t="s">
        <v>1724</v>
      </c>
      <c r="H328" s="28"/>
      <c r="I328" s="28"/>
      <c r="J328" s="28"/>
      <c r="K328" s="28"/>
      <c r="L328" s="28"/>
      <c r="M328" s="28"/>
      <c r="N328" s="28"/>
      <c r="O328" s="28"/>
      <c r="P328" s="28"/>
      <c r="Q328" s="28"/>
    </row>
    <row r="329" spans="1:17" ht="16.05" customHeight="1" x14ac:dyDescent="0.3">
      <c r="A329" s="30">
        <v>326</v>
      </c>
      <c r="B329" s="30" t="s">
        <v>551</v>
      </c>
      <c r="C329" s="30" t="s">
        <v>144</v>
      </c>
      <c r="D329" s="30" t="s">
        <v>176</v>
      </c>
      <c r="E329" s="30" t="s">
        <v>1732</v>
      </c>
      <c r="F329" s="30"/>
      <c r="G329" s="30" t="s">
        <v>1724</v>
      </c>
      <c r="H329" s="30"/>
      <c r="I329" s="30"/>
      <c r="J329" s="30"/>
      <c r="K329" s="30"/>
      <c r="L329" s="30"/>
      <c r="M329" s="30"/>
      <c r="N329" s="30"/>
      <c r="O329" s="30"/>
      <c r="P329" s="30"/>
      <c r="Q329" s="30"/>
    </row>
    <row r="330" spans="1:17" ht="16.05" customHeight="1" x14ac:dyDescent="0.3">
      <c r="A330" s="28">
        <v>327</v>
      </c>
      <c r="B330" s="28" t="s">
        <v>551</v>
      </c>
      <c r="C330" s="28" t="s">
        <v>148</v>
      </c>
      <c r="D330" s="28" t="s">
        <v>168</v>
      </c>
      <c r="E330" s="28" t="s">
        <v>1733</v>
      </c>
      <c r="F330" s="28"/>
      <c r="G330" s="28" t="s">
        <v>1724</v>
      </c>
      <c r="H330" s="28"/>
      <c r="I330" s="28"/>
      <c r="J330" s="28"/>
      <c r="K330" s="28"/>
      <c r="L330" s="28"/>
      <c r="M330" s="28"/>
      <c r="N330" s="28"/>
      <c r="O330" s="28"/>
      <c r="P330" s="28"/>
      <c r="Q330" s="28"/>
    </row>
    <row r="331" spans="1:17" ht="16.05" customHeight="1" x14ac:dyDescent="0.3">
      <c r="A331" s="30">
        <v>328</v>
      </c>
      <c r="B331" s="30" t="s">
        <v>551</v>
      </c>
      <c r="C331" s="30" t="s">
        <v>148</v>
      </c>
      <c r="D331" s="30" t="s">
        <v>176</v>
      </c>
      <c r="E331" s="30" t="s">
        <v>1734</v>
      </c>
      <c r="F331" s="30"/>
      <c r="G331" s="30" t="s">
        <v>1724</v>
      </c>
      <c r="H331" s="30"/>
      <c r="I331" s="30"/>
      <c r="J331" s="30"/>
      <c r="K331" s="30"/>
      <c r="L331" s="30"/>
      <c r="M331" s="30"/>
      <c r="N331" s="30"/>
      <c r="O331" s="30"/>
      <c r="P331" s="30"/>
      <c r="Q331" s="30"/>
    </row>
    <row r="332" spans="1:17" ht="16.05" customHeight="1" x14ac:dyDescent="0.3">
      <c r="A332" s="28">
        <v>329</v>
      </c>
      <c r="B332" s="28" t="s">
        <v>551</v>
      </c>
      <c r="C332" s="28" t="s">
        <v>152</v>
      </c>
      <c r="D332" s="28" t="s">
        <v>168</v>
      </c>
      <c r="E332" s="28" t="s">
        <v>1735</v>
      </c>
      <c r="F332" s="28"/>
      <c r="G332" s="28" t="s">
        <v>1724</v>
      </c>
      <c r="H332" s="28"/>
      <c r="I332" s="28"/>
      <c r="J332" s="28"/>
      <c r="K332" s="28"/>
      <c r="L332" s="28"/>
      <c r="M332" s="28"/>
      <c r="N332" s="28"/>
      <c r="O332" s="28"/>
      <c r="P332" s="28"/>
      <c r="Q332" s="28"/>
    </row>
    <row r="333" spans="1:17" ht="16.05" customHeight="1" x14ac:dyDescent="0.3">
      <c r="A333" s="30">
        <v>330</v>
      </c>
      <c r="B333" s="30" t="s">
        <v>551</v>
      </c>
      <c r="C333" s="30" t="s">
        <v>143</v>
      </c>
      <c r="D333" s="30" t="s">
        <v>176</v>
      </c>
      <c r="E333" s="30" t="s">
        <v>1736</v>
      </c>
      <c r="F333" s="30"/>
      <c r="G333" s="30" t="s">
        <v>1724</v>
      </c>
      <c r="H333" s="30"/>
      <c r="I333" s="30"/>
      <c r="J333" s="30"/>
      <c r="K333" s="30"/>
      <c r="L333" s="30"/>
      <c r="M333" s="30"/>
      <c r="N333" s="30"/>
      <c r="O333" s="30"/>
      <c r="P333" s="30"/>
      <c r="Q333" s="30"/>
    </row>
    <row r="334" spans="1:17" ht="16.05" customHeight="1" x14ac:dyDescent="0.3">
      <c r="A334" s="28">
        <v>331</v>
      </c>
      <c r="B334" s="28" t="s">
        <v>552</v>
      </c>
      <c r="C334" s="28" t="s">
        <v>142</v>
      </c>
      <c r="D334" s="28" t="s">
        <v>164</v>
      </c>
      <c r="E334" s="28" t="s">
        <v>1727</v>
      </c>
      <c r="F334" s="28"/>
      <c r="G334" s="28" t="s">
        <v>1724</v>
      </c>
      <c r="H334" s="28"/>
      <c r="I334" s="28"/>
      <c r="J334" s="28"/>
      <c r="K334" s="28"/>
      <c r="L334" s="28"/>
      <c r="M334" s="28"/>
      <c r="N334" s="28"/>
      <c r="O334" s="28"/>
      <c r="P334" s="28"/>
      <c r="Q334" s="28"/>
    </row>
    <row r="335" spans="1:17" ht="16.05" customHeight="1" x14ac:dyDescent="0.3">
      <c r="A335" s="30">
        <v>332</v>
      </c>
      <c r="B335" s="30" t="s">
        <v>552</v>
      </c>
      <c r="C335" s="30" t="s">
        <v>146</v>
      </c>
      <c r="D335" s="30" t="s">
        <v>168</v>
      </c>
      <c r="E335" s="30" t="s">
        <v>1728</v>
      </c>
      <c r="F335" s="30"/>
      <c r="G335" s="30" t="s">
        <v>1724</v>
      </c>
      <c r="H335" s="30"/>
      <c r="I335" s="30"/>
      <c r="J335" s="30"/>
      <c r="K335" s="30"/>
      <c r="L335" s="30"/>
      <c r="M335" s="30"/>
      <c r="N335" s="30"/>
      <c r="O335" s="30"/>
      <c r="P335" s="30"/>
      <c r="Q335" s="30"/>
    </row>
    <row r="336" spans="1:17" ht="16.05" customHeight="1" x14ac:dyDescent="0.3">
      <c r="A336" s="28">
        <v>333</v>
      </c>
      <c r="B336" s="28" t="s">
        <v>552</v>
      </c>
      <c r="C336" s="28" t="s">
        <v>147</v>
      </c>
      <c r="D336" s="28" t="s">
        <v>168</v>
      </c>
      <c r="E336" s="28" t="s">
        <v>1729</v>
      </c>
      <c r="F336" s="28"/>
      <c r="G336" s="28" t="s">
        <v>1724</v>
      </c>
      <c r="H336" s="28"/>
      <c r="I336" s="28"/>
      <c r="J336" s="28"/>
      <c r="K336" s="28"/>
      <c r="L336" s="28"/>
      <c r="M336" s="28"/>
      <c r="N336" s="28"/>
      <c r="O336" s="28"/>
      <c r="P336" s="28"/>
      <c r="Q336" s="28"/>
    </row>
    <row r="337" spans="1:17" ht="16.05" customHeight="1" x14ac:dyDescent="0.3">
      <c r="A337" s="30">
        <v>334</v>
      </c>
      <c r="B337" s="30" t="s">
        <v>552</v>
      </c>
      <c r="C337" s="30" t="s">
        <v>143</v>
      </c>
      <c r="D337" s="30" t="s">
        <v>172</v>
      </c>
      <c r="E337" s="30" t="s">
        <v>1730</v>
      </c>
      <c r="F337" s="30"/>
      <c r="G337" s="30" t="s">
        <v>1724</v>
      </c>
      <c r="H337" s="30"/>
      <c r="I337" s="30"/>
      <c r="J337" s="30"/>
      <c r="K337" s="30"/>
      <c r="L337" s="30"/>
      <c r="M337" s="30"/>
      <c r="N337" s="30"/>
      <c r="O337" s="30"/>
      <c r="P337" s="30"/>
      <c r="Q337" s="30"/>
    </row>
    <row r="338" spans="1:17" ht="16.05" customHeight="1" x14ac:dyDescent="0.3">
      <c r="A338" s="28">
        <v>335</v>
      </c>
      <c r="B338" s="28" t="s">
        <v>552</v>
      </c>
      <c r="C338" s="28" t="s">
        <v>143</v>
      </c>
      <c r="D338" s="28" t="s">
        <v>176</v>
      </c>
      <c r="E338" s="28" t="s">
        <v>1731</v>
      </c>
      <c r="F338" s="28"/>
      <c r="G338" s="28" t="s">
        <v>1724</v>
      </c>
      <c r="H338" s="28"/>
      <c r="I338" s="28"/>
      <c r="J338" s="28"/>
      <c r="K338" s="28"/>
      <c r="L338" s="28"/>
      <c r="M338" s="28"/>
      <c r="N338" s="28"/>
      <c r="O338" s="28"/>
      <c r="P338" s="28"/>
      <c r="Q338" s="28"/>
    </row>
    <row r="339" spans="1:17" ht="16.05" customHeight="1" x14ac:dyDescent="0.3">
      <c r="A339" s="30">
        <v>336</v>
      </c>
      <c r="B339" s="30" t="s">
        <v>552</v>
      </c>
      <c r="C339" s="30" t="s">
        <v>144</v>
      </c>
      <c r="D339" s="30" t="s">
        <v>176</v>
      </c>
      <c r="E339" s="30" t="s">
        <v>1732</v>
      </c>
      <c r="F339" s="30"/>
      <c r="G339" s="30" t="s">
        <v>1724</v>
      </c>
      <c r="H339" s="30"/>
      <c r="I339" s="30"/>
      <c r="J339" s="30"/>
      <c r="K339" s="30"/>
      <c r="L339" s="30"/>
      <c r="M339" s="30"/>
      <c r="N339" s="30"/>
      <c r="O339" s="30"/>
      <c r="P339" s="30"/>
      <c r="Q339" s="30"/>
    </row>
    <row r="340" spans="1:17" ht="16.05" customHeight="1" x14ac:dyDescent="0.3">
      <c r="A340" s="28">
        <v>337</v>
      </c>
      <c r="B340" s="28" t="s">
        <v>552</v>
      </c>
      <c r="C340" s="28" t="s">
        <v>148</v>
      </c>
      <c r="D340" s="28" t="s">
        <v>168</v>
      </c>
      <c r="E340" s="28" t="s">
        <v>1733</v>
      </c>
      <c r="F340" s="28"/>
      <c r="G340" s="28" t="s">
        <v>1724</v>
      </c>
      <c r="H340" s="28"/>
      <c r="I340" s="28"/>
      <c r="J340" s="28"/>
      <c r="K340" s="28"/>
      <c r="L340" s="28"/>
      <c r="M340" s="28"/>
      <c r="N340" s="28"/>
      <c r="O340" s="28"/>
      <c r="P340" s="28"/>
      <c r="Q340" s="28"/>
    </row>
    <row r="341" spans="1:17" ht="16.05" customHeight="1" x14ac:dyDescent="0.3">
      <c r="A341" s="30">
        <v>338</v>
      </c>
      <c r="B341" s="30" t="s">
        <v>552</v>
      </c>
      <c r="C341" s="30" t="s">
        <v>148</v>
      </c>
      <c r="D341" s="30" t="s">
        <v>176</v>
      </c>
      <c r="E341" s="30" t="s">
        <v>1734</v>
      </c>
      <c r="F341" s="30"/>
      <c r="G341" s="30" t="s">
        <v>1724</v>
      </c>
      <c r="H341" s="30"/>
      <c r="I341" s="30"/>
      <c r="J341" s="30"/>
      <c r="K341" s="30"/>
      <c r="L341" s="30"/>
      <c r="M341" s="30"/>
      <c r="N341" s="30"/>
      <c r="O341" s="30"/>
      <c r="P341" s="30"/>
      <c r="Q341" s="30"/>
    </row>
    <row r="342" spans="1:17" ht="16.05" customHeight="1" x14ac:dyDescent="0.3">
      <c r="A342" s="28">
        <v>339</v>
      </c>
      <c r="B342" s="28" t="s">
        <v>552</v>
      </c>
      <c r="C342" s="28" t="s">
        <v>152</v>
      </c>
      <c r="D342" s="28" t="s">
        <v>168</v>
      </c>
      <c r="E342" s="28" t="s">
        <v>1735</v>
      </c>
      <c r="F342" s="28"/>
      <c r="G342" s="28" t="s">
        <v>1724</v>
      </c>
      <c r="H342" s="28"/>
      <c r="I342" s="28"/>
      <c r="J342" s="28"/>
      <c r="K342" s="28"/>
      <c r="L342" s="28"/>
      <c r="M342" s="28"/>
      <c r="N342" s="28"/>
      <c r="O342" s="28"/>
      <c r="P342" s="28"/>
      <c r="Q342" s="28"/>
    </row>
    <row r="343" spans="1:17" ht="16.05" customHeight="1" x14ac:dyDescent="0.3">
      <c r="A343" s="30">
        <v>340</v>
      </c>
      <c r="B343" s="30" t="s">
        <v>552</v>
      </c>
      <c r="C343" s="30" t="s">
        <v>143</v>
      </c>
      <c r="D343" s="30" t="s">
        <v>176</v>
      </c>
      <c r="E343" s="30" t="s">
        <v>1736</v>
      </c>
      <c r="F343" s="30"/>
      <c r="G343" s="30" t="s">
        <v>1724</v>
      </c>
      <c r="H343" s="30"/>
      <c r="I343" s="30"/>
      <c r="J343" s="30"/>
      <c r="K343" s="30"/>
      <c r="L343" s="30"/>
      <c r="M343" s="30"/>
      <c r="N343" s="30"/>
      <c r="O343" s="30"/>
      <c r="P343" s="30"/>
      <c r="Q343" s="30"/>
    </row>
    <row r="344" spans="1:17" ht="16.05" customHeight="1" x14ac:dyDescent="0.3">
      <c r="A344" s="28">
        <v>341</v>
      </c>
      <c r="B344" s="28" t="s">
        <v>553</v>
      </c>
      <c r="C344" s="28" t="s">
        <v>142</v>
      </c>
      <c r="D344" s="28" t="s">
        <v>164</v>
      </c>
      <c r="E344" s="28" t="s">
        <v>1727</v>
      </c>
      <c r="F344" s="28"/>
      <c r="G344" s="28" t="s">
        <v>1724</v>
      </c>
      <c r="H344" s="28"/>
      <c r="I344" s="28"/>
      <c r="J344" s="28"/>
      <c r="K344" s="28"/>
      <c r="L344" s="28"/>
      <c r="M344" s="28"/>
      <c r="N344" s="28"/>
      <c r="O344" s="28"/>
      <c r="P344" s="28"/>
      <c r="Q344" s="28"/>
    </row>
    <row r="345" spans="1:17" ht="16.05" customHeight="1" x14ac:dyDescent="0.3">
      <c r="A345" s="30">
        <v>342</v>
      </c>
      <c r="B345" s="30" t="s">
        <v>553</v>
      </c>
      <c r="C345" s="30" t="s">
        <v>146</v>
      </c>
      <c r="D345" s="30" t="s">
        <v>168</v>
      </c>
      <c r="E345" s="30" t="s">
        <v>1728</v>
      </c>
      <c r="F345" s="30"/>
      <c r="G345" s="30" t="s">
        <v>1724</v>
      </c>
      <c r="H345" s="30"/>
      <c r="I345" s="30"/>
      <c r="J345" s="30"/>
      <c r="K345" s="30"/>
      <c r="L345" s="30"/>
      <c r="M345" s="30"/>
      <c r="N345" s="30"/>
      <c r="O345" s="30"/>
      <c r="P345" s="30"/>
      <c r="Q345" s="30"/>
    </row>
    <row r="346" spans="1:17" ht="16.05" customHeight="1" x14ac:dyDescent="0.3">
      <c r="A346" s="28">
        <v>343</v>
      </c>
      <c r="B346" s="28" t="s">
        <v>553</v>
      </c>
      <c r="C346" s="28" t="s">
        <v>147</v>
      </c>
      <c r="D346" s="28" t="s">
        <v>168</v>
      </c>
      <c r="E346" s="28" t="s">
        <v>1729</v>
      </c>
      <c r="F346" s="28"/>
      <c r="G346" s="28" t="s">
        <v>1724</v>
      </c>
      <c r="H346" s="28"/>
      <c r="I346" s="28"/>
      <c r="J346" s="28"/>
      <c r="K346" s="28"/>
      <c r="L346" s="28"/>
      <c r="M346" s="28"/>
      <c r="N346" s="28"/>
      <c r="O346" s="28"/>
      <c r="P346" s="28"/>
      <c r="Q346" s="28"/>
    </row>
    <row r="347" spans="1:17" ht="16.05" customHeight="1" x14ac:dyDescent="0.3">
      <c r="A347" s="30">
        <v>344</v>
      </c>
      <c r="B347" s="30" t="s">
        <v>553</v>
      </c>
      <c r="C347" s="30" t="s">
        <v>143</v>
      </c>
      <c r="D347" s="30" t="s">
        <v>172</v>
      </c>
      <c r="E347" s="30" t="s">
        <v>1730</v>
      </c>
      <c r="F347" s="30"/>
      <c r="G347" s="30" t="s">
        <v>1724</v>
      </c>
      <c r="H347" s="30"/>
      <c r="I347" s="30"/>
      <c r="J347" s="30"/>
      <c r="K347" s="30"/>
      <c r="L347" s="30"/>
      <c r="M347" s="30"/>
      <c r="N347" s="30"/>
      <c r="O347" s="30"/>
      <c r="P347" s="30"/>
      <c r="Q347" s="30"/>
    </row>
    <row r="348" spans="1:17" ht="16.05" customHeight="1" x14ac:dyDescent="0.3">
      <c r="A348" s="28">
        <v>345</v>
      </c>
      <c r="B348" s="28" t="s">
        <v>553</v>
      </c>
      <c r="C348" s="28" t="s">
        <v>143</v>
      </c>
      <c r="D348" s="28" t="s">
        <v>176</v>
      </c>
      <c r="E348" s="28" t="s">
        <v>1731</v>
      </c>
      <c r="F348" s="28"/>
      <c r="G348" s="28" t="s">
        <v>1724</v>
      </c>
      <c r="H348" s="28"/>
      <c r="I348" s="28"/>
      <c r="J348" s="28"/>
      <c r="K348" s="28"/>
      <c r="L348" s="28"/>
      <c r="M348" s="28"/>
      <c r="N348" s="28"/>
      <c r="O348" s="28"/>
      <c r="P348" s="28"/>
      <c r="Q348" s="28"/>
    </row>
    <row r="349" spans="1:17" ht="16.05" customHeight="1" x14ac:dyDescent="0.3">
      <c r="A349" s="30">
        <v>346</v>
      </c>
      <c r="B349" s="30" t="s">
        <v>553</v>
      </c>
      <c r="C349" s="30" t="s">
        <v>144</v>
      </c>
      <c r="D349" s="30" t="s">
        <v>176</v>
      </c>
      <c r="E349" s="30" t="s">
        <v>1732</v>
      </c>
      <c r="F349" s="30"/>
      <c r="G349" s="30" t="s">
        <v>1724</v>
      </c>
      <c r="H349" s="30"/>
      <c r="I349" s="30"/>
      <c r="J349" s="30"/>
      <c r="K349" s="30"/>
      <c r="L349" s="30"/>
      <c r="M349" s="30"/>
      <c r="N349" s="30"/>
      <c r="O349" s="30"/>
      <c r="P349" s="30"/>
      <c r="Q349" s="30"/>
    </row>
    <row r="350" spans="1:17" ht="16.05" customHeight="1" x14ac:dyDescent="0.3">
      <c r="A350" s="28">
        <v>347</v>
      </c>
      <c r="B350" s="28" t="s">
        <v>553</v>
      </c>
      <c r="C350" s="28" t="s">
        <v>148</v>
      </c>
      <c r="D350" s="28" t="s">
        <v>168</v>
      </c>
      <c r="E350" s="28" t="s">
        <v>1733</v>
      </c>
      <c r="F350" s="28"/>
      <c r="G350" s="28" t="s">
        <v>1724</v>
      </c>
      <c r="H350" s="28"/>
      <c r="I350" s="28"/>
      <c r="J350" s="28"/>
      <c r="K350" s="28"/>
      <c r="L350" s="28"/>
      <c r="M350" s="28"/>
      <c r="N350" s="28"/>
      <c r="O350" s="28"/>
      <c r="P350" s="28"/>
      <c r="Q350" s="28"/>
    </row>
    <row r="351" spans="1:17" ht="16.05" customHeight="1" x14ac:dyDescent="0.3">
      <c r="A351" s="30">
        <v>348</v>
      </c>
      <c r="B351" s="30" t="s">
        <v>553</v>
      </c>
      <c r="C351" s="30" t="s">
        <v>148</v>
      </c>
      <c r="D351" s="30" t="s">
        <v>176</v>
      </c>
      <c r="E351" s="30" t="s">
        <v>1734</v>
      </c>
      <c r="F351" s="30"/>
      <c r="G351" s="30" t="s">
        <v>1724</v>
      </c>
      <c r="H351" s="30"/>
      <c r="I351" s="30"/>
      <c r="J351" s="30"/>
      <c r="K351" s="30"/>
      <c r="L351" s="30"/>
      <c r="M351" s="30"/>
      <c r="N351" s="30"/>
      <c r="O351" s="30"/>
      <c r="P351" s="30"/>
      <c r="Q351" s="30"/>
    </row>
    <row r="352" spans="1:17" ht="16.05" customHeight="1" x14ac:dyDescent="0.3">
      <c r="A352" s="28">
        <v>349</v>
      </c>
      <c r="B352" s="28" t="s">
        <v>553</v>
      </c>
      <c r="C352" s="28" t="s">
        <v>152</v>
      </c>
      <c r="D352" s="28" t="s">
        <v>168</v>
      </c>
      <c r="E352" s="28" t="s">
        <v>1735</v>
      </c>
      <c r="F352" s="28"/>
      <c r="G352" s="28" t="s">
        <v>1724</v>
      </c>
      <c r="H352" s="28"/>
      <c r="I352" s="28"/>
      <c r="J352" s="28"/>
      <c r="K352" s="28"/>
      <c r="L352" s="28"/>
      <c r="M352" s="28"/>
      <c r="N352" s="28"/>
      <c r="O352" s="28"/>
      <c r="P352" s="28"/>
      <c r="Q352" s="28"/>
    </row>
    <row r="353" spans="1:17" ht="16.05" customHeight="1" x14ac:dyDescent="0.3">
      <c r="A353" s="30">
        <v>350</v>
      </c>
      <c r="B353" s="30" t="s">
        <v>553</v>
      </c>
      <c r="C353" s="30" t="s">
        <v>143</v>
      </c>
      <c r="D353" s="30" t="s">
        <v>176</v>
      </c>
      <c r="E353" s="30" t="s">
        <v>1736</v>
      </c>
      <c r="F353" s="30"/>
      <c r="G353" s="30" t="s">
        <v>1724</v>
      </c>
      <c r="H353" s="30"/>
      <c r="I353" s="30"/>
      <c r="J353" s="30"/>
      <c r="K353" s="30"/>
      <c r="L353" s="30"/>
      <c r="M353" s="30"/>
      <c r="N353" s="30"/>
      <c r="O353" s="30"/>
      <c r="P353" s="30"/>
      <c r="Q353" s="30"/>
    </row>
    <row r="354" spans="1:17" ht="16.05" customHeight="1" x14ac:dyDescent="0.3">
      <c r="A354" s="28">
        <v>351</v>
      </c>
      <c r="B354" s="28" t="s">
        <v>554</v>
      </c>
      <c r="C354" s="28" t="s">
        <v>142</v>
      </c>
      <c r="D354" s="28" t="s">
        <v>164</v>
      </c>
      <c r="E354" s="28" t="s">
        <v>1727</v>
      </c>
      <c r="F354" s="28"/>
      <c r="G354" s="28" t="s">
        <v>1724</v>
      </c>
      <c r="H354" s="28"/>
      <c r="I354" s="28"/>
      <c r="J354" s="28"/>
      <c r="K354" s="28"/>
      <c r="L354" s="28"/>
      <c r="M354" s="28"/>
      <c r="N354" s="28"/>
      <c r="O354" s="28"/>
      <c r="P354" s="28"/>
      <c r="Q354" s="28"/>
    </row>
    <row r="355" spans="1:17" ht="16.05" customHeight="1" x14ac:dyDescent="0.3">
      <c r="A355" s="30">
        <v>352</v>
      </c>
      <c r="B355" s="30" t="s">
        <v>554</v>
      </c>
      <c r="C355" s="30" t="s">
        <v>146</v>
      </c>
      <c r="D355" s="30" t="s">
        <v>168</v>
      </c>
      <c r="E355" s="30" t="s">
        <v>1728</v>
      </c>
      <c r="F355" s="30"/>
      <c r="G355" s="30" t="s">
        <v>1724</v>
      </c>
      <c r="H355" s="30"/>
      <c r="I355" s="30"/>
      <c r="J355" s="30"/>
      <c r="K355" s="30"/>
      <c r="L355" s="30"/>
      <c r="M355" s="30"/>
      <c r="N355" s="30"/>
      <c r="O355" s="30"/>
      <c r="P355" s="30"/>
      <c r="Q355" s="30"/>
    </row>
    <row r="356" spans="1:17" ht="16.05" customHeight="1" x14ac:dyDescent="0.3">
      <c r="A356" s="28">
        <v>353</v>
      </c>
      <c r="B356" s="28" t="s">
        <v>554</v>
      </c>
      <c r="C356" s="28" t="s">
        <v>147</v>
      </c>
      <c r="D356" s="28" t="s">
        <v>168</v>
      </c>
      <c r="E356" s="28" t="s">
        <v>1729</v>
      </c>
      <c r="F356" s="28"/>
      <c r="G356" s="28" t="s">
        <v>1724</v>
      </c>
      <c r="H356" s="28"/>
      <c r="I356" s="28"/>
      <c r="J356" s="28"/>
      <c r="K356" s="28"/>
      <c r="L356" s="28"/>
      <c r="M356" s="28"/>
      <c r="N356" s="28"/>
      <c r="O356" s="28"/>
      <c r="P356" s="28"/>
      <c r="Q356" s="28"/>
    </row>
    <row r="357" spans="1:17" ht="16.05" customHeight="1" x14ac:dyDescent="0.3">
      <c r="A357" s="30">
        <v>354</v>
      </c>
      <c r="B357" s="30" t="s">
        <v>554</v>
      </c>
      <c r="C357" s="30" t="s">
        <v>143</v>
      </c>
      <c r="D357" s="30" t="s">
        <v>172</v>
      </c>
      <c r="E357" s="30" t="s">
        <v>1730</v>
      </c>
      <c r="F357" s="30"/>
      <c r="G357" s="30" t="s">
        <v>1724</v>
      </c>
      <c r="H357" s="30"/>
      <c r="I357" s="30"/>
      <c r="J357" s="30"/>
      <c r="K357" s="30"/>
      <c r="L357" s="30"/>
      <c r="M357" s="30"/>
      <c r="N357" s="30"/>
      <c r="O357" s="30"/>
      <c r="P357" s="30"/>
      <c r="Q357" s="30"/>
    </row>
    <row r="358" spans="1:17" ht="16.05" customHeight="1" x14ac:dyDescent="0.3">
      <c r="A358" s="28">
        <v>355</v>
      </c>
      <c r="B358" s="28" t="s">
        <v>554</v>
      </c>
      <c r="C358" s="28" t="s">
        <v>143</v>
      </c>
      <c r="D358" s="28" t="s">
        <v>176</v>
      </c>
      <c r="E358" s="28" t="s">
        <v>1731</v>
      </c>
      <c r="F358" s="28"/>
      <c r="G358" s="28" t="s">
        <v>1724</v>
      </c>
      <c r="H358" s="28"/>
      <c r="I358" s="28"/>
      <c r="J358" s="28"/>
      <c r="K358" s="28"/>
      <c r="L358" s="28"/>
      <c r="M358" s="28"/>
      <c r="N358" s="28"/>
      <c r="O358" s="28"/>
      <c r="P358" s="28"/>
      <c r="Q358" s="28"/>
    </row>
    <row r="359" spans="1:17" ht="16.05" customHeight="1" x14ac:dyDescent="0.3">
      <c r="A359" s="30">
        <v>356</v>
      </c>
      <c r="B359" s="30" t="s">
        <v>554</v>
      </c>
      <c r="C359" s="30" t="s">
        <v>144</v>
      </c>
      <c r="D359" s="30" t="s">
        <v>176</v>
      </c>
      <c r="E359" s="30" t="s">
        <v>1732</v>
      </c>
      <c r="F359" s="30"/>
      <c r="G359" s="30" t="s">
        <v>1724</v>
      </c>
      <c r="H359" s="30"/>
      <c r="I359" s="30"/>
      <c r="J359" s="30"/>
      <c r="K359" s="30"/>
      <c r="L359" s="30"/>
      <c r="M359" s="30"/>
      <c r="N359" s="30"/>
      <c r="O359" s="30"/>
      <c r="P359" s="30"/>
      <c r="Q359" s="30"/>
    </row>
    <row r="360" spans="1:17" ht="16.05" customHeight="1" x14ac:dyDescent="0.3">
      <c r="A360" s="28">
        <v>357</v>
      </c>
      <c r="B360" s="28" t="s">
        <v>554</v>
      </c>
      <c r="C360" s="28" t="s">
        <v>148</v>
      </c>
      <c r="D360" s="28" t="s">
        <v>168</v>
      </c>
      <c r="E360" s="28" t="s">
        <v>1733</v>
      </c>
      <c r="F360" s="28"/>
      <c r="G360" s="28" t="s">
        <v>1724</v>
      </c>
      <c r="H360" s="28"/>
      <c r="I360" s="28"/>
      <c r="J360" s="28"/>
      <c r="K360" s="28"/>
      <c r="L360" s="28"/>
      <c r="M360" s="28"/>
      <c r="N360" s="28"/>
      <c r="O360" s="28"/>
      <c r="P360" s="28"/>
      <c r="Q360" s="28"/>
    </row>
    <row r="361" spans="1:17" ht="16.05" customHeight="1" x14ac:dyDescent="0.3">
      <c r="A361" s="30">
        <v>358</v>
      </c>
      <c r="B361" s="30" t="s">
        <v>554</v>
      </c>
      <c r="C361" s="30" t="s">
        <v>148</v>
      </c>
      <c r="D361" s="30" t="s">
        <v>176</v>
      </c>
      <c r="E361" s="30" t="s">
        <v>1734</v>
      </c>
      <c r="F361" s="30"/>
      <c r="G361" s="30" t="s">
        <v>1724</v>
      </c>
      <c r="H361" s="30"/>
      <c r="I361" s="30"/>
      <c r="J361" s="30"/>
      <c r="K361" s="30"/>
      <c r="L361" s="30"/>
      <c r="M361" s="30"/>
      <c r="N361" s="30"/>
      <c r="O361" s="30"/>
      <c r="P361" s="30"/>
      <c r="Q361" s="30"/>
    </row>
    <row r="362" spans="1:17" ht="16.05" customHeight="1" x14ac:dyDescent="0.3">
      <c r="A362" s="28">
        <v>359</v>
      </c>
      <c r="B362" s="28" t="s">
        <v>554</v>
      </c>
      <c r="C362" s="28" t="s">
        <v>152</v>
      </c>
      <c r="D362" s="28" t="s">
        <v>168</v>
      </c>
      <c r="E362" s="28" t="s">
        <v>1735</v>
      </c>
      <c r="F362" s="28"/>
      <c r="G362" s="28" t="s">
        <v>1724</v>
      </c>
      <c r="H362" s="28"/>
      <c r="I362" s="28"/>
      <c r="J362" s="28"/>
      <c r="K362" s="28"/>
      <c r="L362" s="28"/>
      <c r="M362" s="28"/>
      <c r="N362" s="28"/>
      <c r="O362" s="28"/>
      <c r="P362" s="28"/>
      <c r="Q362" s="28"/>
    </row>
    <row r="363" spans="1:17" ht="16.05" customHeight="1" x14ac:dyDescent="0.3">
      <c r="A363" s="30">
        <v>360</v>
      </c>
      <c r="B363" s="30" t="s">
        <v>554</v>
      </c>
      <c r="C363" s="30" t="s">
        <v>143</v>
      </c>
      <c r="D363" s="30" t="s">
        <v>176</v>
      </c>
      <c r="E363" s="30" t="s">
        <v>1736</v>
      </c>
      <c r="F363" s="30"/>
      <c r="G363" s="30" t="s">
        <v>1724</v>
      </c>
      <c r="H363" s="30"/>
      <c r="I363" s="30"/>
      <c r="J363" s="30"/>
      <c r="K363" s="30"/>
      <c r="L363" s="30"/>
      <c r="M363" s="30"/>
      <c r="N363" s="30"/>
      <c r="O363" s="30"/>
      <c r="P363" s="30"/>
      <c r="Q363" s="30"/>
    </row>
  </sheetData>
  <mergeCells count="2">
    <mergeCell ref="A2:Q2"/>
    <mergeCell ref="A1:Q1"/>
  </mergeCell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7">
        <x14:dataValidation type="list" allowBlank="1" xr:uid="{00000000-0002-0000-1900-000000000000}">
          <x14:formula1>
            <xm:f>REF!$A$2:$A$37</xm:f>
          </x14:formula1>
          <xm:sqref>B4:B363</xm:sqref>
        </x14:dataValidation>
        <x14:dataValidation type="list" allowBlank="1" xr:uid="{00000000-0002-0000-1900-000001000000}">
          <x14:formula1>
            <xm:f>REF!$D$2:$D$14</xm:f>
          </x14:formula1>
          <xm:sqref>C4:C363</xm:sqref>
        </x14:dataValidation>
        <x14:dataValidation type="list" allowBlank="1" xr:uid="{00000000-0002-0000-1900-000002000000}">
          <x14:formula1>
            <xm:f>REF!$E$2:$E$13</xm:f>
          </x14:formula1>
          <xm:sqref>D4:D363</xm:sqref>
        </x14:dataValidation>
        <x14:dataValidation type="list" allowBlank="1" xr:uid="{00000000-0002-0000-1900-000003000000}">
          <x14:formula1>
            <xm:f>REF!$F$2:$F$7</xm:f>
          </x14:formula1>
          <xm:sqref>F4:F363</xm:sqref>
        </x14:dataValidation>
        <x14:dataValidation type="list" allowBlank="1" xr:uid="{00000000-0002-0000-1900-000004000000}">
          <x14:formula1>
            <xm:f>REF!$J$2:$J$5</xm:f>
          </x14:formula1>
          <xm:sqref>G4:G363</xm:sqref>
        </x14:dataValidation>
        <x14:dataValidation type="list" allowBlank="1" xr:uid="{00000000-0002-0000-1900-000005000000}">
          <x14:formula1>
            <xm:f>REF!$R$2:$R$7</xm:f>
          </x14:formula1>
          <xm:sqref>H4:H363</xm:sqref>
        </x14:dataValidation>
        <x14:dataValidation type="list" allowBlank="1" xr:uid="{00000000-0002-0000-1900-000006000000}">
          <x14:formula1>
            <xm:f>REF!$C$2:$C$24</xm:f>
          </x14:formula1>
          <xm:sqref>I4:I363</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R39"/>
  <sheetViews>
    <sheetView showGridLines="0" workbookViewId="0">
      <pane xSplit="3" ySplit="3" topLeftCell="D4" activePane="bottomRight" state="frozen"/>
      <selection pane="topRight"/>
      <selection pane="bottomLeft"/>
      <selection pane="bottomRight" sqref="A1:R1"/>
    </sheetView>
  </sheetViews>
  <sheetFormatPr defaultRowHeight="14.4" x14ac:dyDescent="0.3"/>
  <cols>
    <col min="1" max="1" width="4" customWidth="1"/>
    <col min="2" max="3" width="22" customWidth="1"/>
    <col min="4" max="4" width="13" customWidth="1"/>
    <col min="5" max="7" width="11" customWidth="1"/>
    <col min="8" max="14" width="12" customWidth="1"/>
    <col min="15" max="17" width="11" customWidth="1"/>
    <col min="18" max="18" width="22" customWidth="1"/>
  </cols>
  <sheetData>
    <row r="1" spans="1:18" ht="28.05" customHeight="1" x14ac:dyDescent="0.3">
      <c r="A1" s="45" t="s">
        <v>1737</v>
      </c>
      <c r="B1" s="33"/>
      <c r="C1" s="33"/>
      <c r="D1" s="33"/>
      <c r="E1" s="33"/>
      <c r="F1" s="33"/>
      <c r="G1" s="33"/>
      <c r="H1" s="33"/>
      <c r="I1" s="33"/>
      <c r="J1" s="33"/>
      <c r="K1" s="33"/>
      <c r="L1" s="33"/>
      <c r="M1" s="33"/>
      <c r="N1" s="33"/>
      <c r="O1" s="33"/>
      <c r="P1" s="33"/>
      <c r="Q1" s="33"/>
      <c r="R1" s="33"/>
    </row>
    <row r="2" spans="1:18" ht="16.05" customHeight="1" x14ac:dyDescent="0.3">
      <c r="A2" s="39" t="s">
        <v>1738</v>
      </c>
      <c r="B2" s="33"/>
      <c r="C2" s="33"/>
      <c r="D2" s="33"/>
      <c r="E2" s="33"/>
      <c r="F2" s="33"/>
      <c r="G2" s="33"/>
      <c r="H2" s="33"/>
      <c r="I2" s="33"/>
      <c r="J2" s="33"/>
      <c r="K2" s="33"/>
      <c r="L2" s="33"/>
      <c r="M2" s="33"/>
      <c r="N2" s="33"/>
      <c r="O2" s="33"/>
      <c r="P2" s="33"/>
      <c r="Q2" s="33"/>
      <c r="R2" s="33"/>
    </row>
    <row r="3" spans="1:18" ht="31.95" customHeight="1" x14ac:dyDescent="0.3">
      <c r="A3" s="27" t="s">
        <v>78</v>
      </c>
      <c r="B3" s="27" t="s">
        <v>192</v>
      </c>
      <c r="C3" s="27" t="s">
        <v>1018</v>
      </c>
      <c r="D3" s="27" t="s">
        <v>93</v>
      </c>
      <c r="E3" s="27" t="s">
        <v>386</v>
      </c>
      <c r="F3" s="27" t="s">
        <v>1739</v>
      </c>
      <c r="G3" s="27" t="s">
        <v>1740</v>
      </c>
      <c r="H3" s="27" t="s">
        <v>1741</v>
      </c>
      <c r="I3" s="27" t="s">
        <v>1742</v>
      </c>
      <c r="J3" s="27" t="s">
        <v>1743</v>
      </c>
      <c r="K3" s="27" t="s">
        <v>1744</v>
      </c>
      <c r="L3" s="27" t="s">
        <v>1745</v>
      </c>
      <c r="M3" s="27" t="s">
        <v>1746</v>
      </c>
      <c r="N3" s="27" t="s">
        <v>1747</v>
      </c>
      <c r="O3" s="27" t="s">
        <v>398</v>
      </c>
      <c r="P3" s="27" t="s">
        <v>1748</v>
      </c>
      <c r="Q3" s="27" t="s">
        <v>1749</v>
      </c>
      <c r="R3" s="27" t="s">
        <v>86</v>
      </c>
    </row>
    <row r="4" spans="1:18" ht="16.05" customHeight="1" x14ac:dyDescent="0.3">
      <c r="A4" s="28">
        <v>1</v>
      </c>
      <c r="B4" s="28" t="s">
        <v>519</v>
      </c>
      <c r="C4" s="28" t="s">
        <v>1027</v>
      </c>
      <c r="D4" s="28"/>
      <c r="E4" s="28"/>
      <c r="F4" s="28"/>
      <c r="G4" s="28"/>
      <c r="H4" s="28"/>
      <c r="I4" s="28"/>
      <c r="J4" s="28"/>
      <c r="K4" s="28"/>
      <c r="L4" s="28"/>
      <c r="M4" s="28"/>
      <c r="N4" s="28"/>
      <c r="O4" s="28"/>
      <c r="P4" s="28"/>
      <c r="Q4" s="28"/>
      <c r="R4" s="28"/>
    </row>
    <row r="5" spans="1:18" ht="16.05" customHeight="1" x14ac:dyDescent="0.3">
      <c r="A5" s="30">
        <v>2</v>
      </c>
      <c r="B5" s="30" t="s">
        <v>520</v>
      </c>
      <c r="C5" s="30" t="s">
        <v>1027</v>
      </c>
      <c r="D5" s="30"/>
      <c r="E5" s="30"/>
      <c r="F5" s="30"/>
      <c r="G5" s="30"/>
      <c r="H5" s="30"/>
      <c r="I5" s="30"/>
      <c r="J5" s="30"/>
      <c r="K5" s="30"/>
      <c r="L5" s="30"/>
      <c r="M5" s="30"/>
      <c r="N5" s="30"/>
      <c r="O5" s="30"/>
      <c r="P5" s="30"/>
      <c r="Q5" s="30"/>
      <c r="R5" s="30"/>
    </row>
    <row r="6" spans="1:18" ht="16.05" customHeight="1" x14ac:dyDescent="0.3">
      <c r="A6" s="28">
        <v>3</v>
      </c>
      <c r="B6" s="28" t="s">
        <v>521</v>
      </c>
      <c r="C6" s="28" t="s">
        <v>1027</v>
      </c>
      <c r="D6" s="28"/>
      <c r="E6" s="28"/>
      <c r="F6" s="28"/>
      <c r="G6" s="28"/>
      <c r="H6" s="28"/>
      <c r="I6" s="28"/>
      <c r="J6" s="28"/>
      <c r="K6" s="28"/>
      <c r="L6" s="28"/>
      <c r="M6" s="28"/>
      <c r="N6" s="28"/>
      <c r="O6" s="28"/>
      <c r="P6" s="28"/>
      <c r="Q6" s="28"/>
      <c r="R6" s="28"/>
    </row>
    <row r="7" spans="1:18" ht="16.05" customHeight="1" x14ac:dyDescent="0.3">
      <c r="A7" s="30">
        <v>4</v>
      </c>
      <c r="B7" s="30" t="s">
        <v>522</v>
      </c>
      <c r="C7" s="30" t="s">
        <v>1027</v>
      </c>
      <c r="D7" s="30"/>
      <c r="E7" s="30"/>
      <c r="F7" s="30"/>
      <c r="G7" s="30"/>
      <c r="H7" s="30"/>
      <c r="I7" s="30"/>
      <c r="J7" s="30"/>
      <c r="K7" s="30"/>
      <c r="L7" s="30"/>
      <c r="M7" s="30"/>
      <c r="N7" s="30"/>
      <c r="O7" s="30"/>
      <c r="P7" s="30"/>
      <c r="Q7" s="30"/>
      <c r="R7" s="30"/>
    </row>
    <row r="8" spans="1:18" ht="16.05" customHeight="1" x14ac:dyDescent="0.3">
      <c r="A8" s="28">
        <v>5</v>
      </c>
      <c r="B8" s="28" t="s">
        <v>523</v>
      </c>
      <c r="C8" s="28" t="s">
        <v>1027</v>
      </c>
      <c r="D8" s="28"/>
      <c r="E8" s="28"/>
      <c r="F8" s="28"/>
      <c r="G8" s="28"/>
      <c r="H8" s="28"/>
      <c r="I8" s="28"/>
      <c r="J8" s="28"/>
      <c r="K8" s="28"/>
      <c r="L8" s="28"/>
      <c r="M8" s="28"/>
      <c r="N8" s="28"/>
      <c r="O8" s="28"/>
      <c r="P8" s="28"/>
      <c r="Q8" s="28"/>
      <c r="R8" s="28"/>
    </row>
    <row r="9" spans="1:18" ht="16.05" customHeight="1" x14ac:dyDescent="0.3">
      <c r="A9" s="30">
        <v>6</v>
      </c>
      <c r="B9" s="30" t="s">
        <v>524</v>
      </c>
      <c r="C9" s="30" t="s">
        <v>1027</v>
      </c>
      <c r="D9" s="30"/>
      <c r="E9" s="30"/>
      <c r="F9" s="30"/>
      <c r="G9" s="30"/>
      <c r="H9" s="30"/>
      <c r="I9" s="30"/>
      <c r="J9" s="30"/>
      <c r="K9" s="30"/>
      <c r="L9" s="30"/>
      <c r="M9" s="30"/>
      <c r="N9" s="30"/>
      <c r="O9" s="30"/>
      <c r="P9" s="30"/>
      <c r="Q9" s="30"/>
      <c r="R9" s="30"/>
    </row>
    <row r="10" spans="1:18" ht="16.05" customHeight="1" x14ac:dyDescent="0.3">
      <c r="A10" s="28">
        <v>7</v>
      </c>
      <c r="B10" s="28" t="s">
        <v>525</v>
      </c>
      <c r="C10" s="28" t="s">
        <v>1027</v>
      </c>
      <c r="D10" s="28"/>
      <c r="E10" s="28"/>
      <c r="F10" s="28"/>
      <c r="G10" s="28"/>
      <c r="H10" s="28"/>
      <c r="I10" s="28"/>
      <c r="J10" s="28"/>
      <c r="K10" s="28"/>
      <c r="L10" s="28"/>
      <c r="M10" s="28"/>
      <c r="N10" s="28"/>
      <c r="O10" s="28"/>
      <c r="P10" s="28"/>
      <c r="Q10" s="28"/>
      <c r="R10" s="28"/>
    </row>
    <row r="11" spans="1:18" ht="16.05" customHeight="1" x14ac:dyDescent="0.3">
      <c r="A11" s="30">
        <v>8</v>
      </c>
      <c r="B11" s="30" t="s">
        <v>526</v>
      </c>
      <c r="C11" s="30" t="s">
        <v>1027</v>
      </c>
      <c r="D11" s="30"/>
      <c r="E11" s="30"/>
      <c r="F11" s="30"/>
      <c r="G11" s="30"/>
      <c r="H11" s="30"/>
      <c r="I11" s="30"/>
      <c r="J11" s="30"/>
      <c r="K11" s="30"/>
      <c r="L11" s="30"/>
      <c r="M11" s="30"/>
      <c r="N11" s="30"/>
      <c r="O11" s="30"/>
      <c r="P11" s="30"/>
      <c r="Q11" s="30"/>
      <c r="R11" s="30"/>
    </row>
    <row r="12" spans="1:18" ht="16.05" customHeight="1" x14ac:dyDescent="0.3">
      <c r="A12" s="28">
        <v>9</v>
      </c>
      <c r="B12" s="28" t="s">
        <v>527</v>
      </c>
      <c r="C12" s="28" t="s">
        <v>1027</v>
      </c>
      <c r="D12" s="28"/>
      <c r="E12" s="28"/>
      <c r="F12" s="28"/>
      <c r="G12" s="28"/>
      <c r="H12" s="28"/>
      <c r="I12" s="28"/>
      <c r="J12" s="28"/>
      <c r="K12" s="28"/>
      <c r="L12" s="28"/>
      <c r="M12" s="28"/>
      <c r="N12" s="28"/>
      <c r="O12" s="28"/>
      <c r="P12" s="28"/>
      <c r="Q12" s="28"/>
      <c r="R12" s="28"/>
    </row>
    <row r="13" spans="1:18" ht="16.05" customHeight="1" x14ac:dyDescent="0.3">
      <c r="A13" s="30">
        <v>10</v>
      </c>
      <c r="B13" s="30" t="s">
        <v>528</v>
      </c>
      <c r="C13" s="30" t="s">
        <v>1027</v>
      </c>
      <c r="D13" s="30"/>
      <c r="E13" s="30"/>
      <c r="F13" s="30"/>
      <c r="G13" s="30"/>
      <c r="H13" s="30"/>
      <c r="I13" s="30"/>
      <c r="J13" s="30"/>
      <c r="K13" s="30"/>
      <c r="L13" s="30"/>
      <c r="M13" s="30"/>
      <c r="N13" s="30"/>
      <c r="O13" s="30"/>
      <c r="P13" s="30"/>
      <c r="Q13" s="30"/>
      <c r="R13" s="30"/>
    </row>
    <row r="14" spans="1:18" ht="16.05" customHeight="1" x14ac:dyDescent="0.3">
      <c r="A14" s="28">
        <v>11</v>
      </c>
      <c r="B14" s="28" t="s">
        <v>529</v>
      </c>
      <c r="C14" s="28" t="s">
        <v>1027</v>
      </c>
      <c r="D14" s="28"/>
      <c r="E14" s="28"/>
      <c r="F14" s="28"/>
      <c r="G14" s="28"/>
      <c r="H14" s="28"/>
      <c r="I14" s="28"/>
      <c r="J14" s="28"/>
      <c r="K14" s="28"/>
      <c r="L14" s="28"/>
      <c r="M14" s="28"/>
      <c r="N14" s="28"/>
      <c r="O14" s="28"/>
      <c r="P14" s="28"/>
      <c r="Q14" s="28"/>
      <c r="R14" s="28"/>
    </row>
    <row r="15" spans="1:18" ht="16.05" customHeight="1" x14ac:dyDescent="0.3">
      <c r="A15" s="30">
        <v>12</v>
      </c>
      <c r="B15" s="30" t="s">
        <v>530</v>
      </c>
      <c r="C15" s="30" t="s">
        <v>1027</v>
      </c>
      <c r="D15" s="30"/>
      <c r="E15" s="30"/>
      <c r="F15" s="30"/>
      <c r="G15" s="30"/>
      <c r="H15" s="30"/>
      <c r="I15" s="30"/>
      <c r="J15" s="30"/>
      <c r="K15" s="30"/>
      <c r="L15" s="30"/>
      <c r="M15" s="30"/>
      <c r="N15" s="30"/>
      <c r="O15" s="30"/>
      <c r="P15" s="30"/>
      <c r="Q15" s="30"/>
      <c r="R15" s="30"/>
    </row>
    <row r="16" spans="1:18" ht="16.05" customHeight="1" x14ac:dyDescent="0.3">
      <c r="A16" s="28">
        <v>13</v>
      </c>
      <c r="B16" s="28" t="s">
        <v>531</v>
      </c>
      <c r="C16" s="28" t="s">
        <v>1027</v>
      </c>
      <c r="D16" s="28"/>
      <c r="E16" s="28"/>
      <c r="F16" s="28"/>
      <c r="G16" s="28"/>
      <c r="H16" s="28"/>
      <c r="I16" s="28"/>
      <c r="J16" s="28"/>
      <c r="K16" s="28"/>
      <c r="L16" s="28"/>
      <c r="M16" s="28"/>
      <c r="N16" s="28"/>
      <c r="O16" s="28"/>
      <c r="P16" s="28"/>
      <c r="Q16" s="28"/>
      <c r="R16" s="28"/>
    </row>
    <row r="17" spans="1:18" ht="16.05" customHeight="1" x14ac:dyDescent="0.3">
      <c r="A17" s="30">
        <v>14</v>
      </c>
      <c r="B17" s="30" t="s">
        <v>532</v>
      </c>
      <c r="C17" s="30" t="s">
        <v>1027</v>
      </c>
      <c r="D17" s="30"/>
      <c r="E17" s="30"/>
      <c r="F17" s="30"/>
      <c r="G17" s="30"/>
      <c r="H17" s="30"/>
      <c r="I17" s="30"/>
      <c r="J17" s="30"/>
      <c r="K17" s="30"/>
      <c r="L17" s="30"/>
      <c r="M17" s="30"/>
      <c r="N17" s="30"/>
      <c r="O17" s="30"/>
      <c r="P17" s="30"/>
      <c r="Q17" s="30"/>
      <c r="R17" s="30"/>
    </row>
    <row r="18" spans="1:18" ht="16.05" customHeight="1" x14ac:dyDescent="0.3">
      <c r="A18" s="28">
        <v>15</v>
      </c>
      <c r="B18" s="28" t="s">
        <v>533</v>
      </c>
      <c r="C18" s="28" t="s">
        <v>1027</v>
      </c>
      <c r="D18" s="28"/>
      <c r="E18" s="28"/>
      <c r="F18" s="28"/>
      <c r="G18" s="28"/>
      <c r="H18" s="28"/>
      <c r="I18" s="28"/>
      <c r="J18" s="28"/>
      <c r="K18" s="28"/>
      <c r="L18" s="28"/>
      <c r="M18" s="28"/>
      <c r="N18" s="28"/>
      <c r="O18" s="28"/>
      <c r="P18" s="28"/>
      <c r="Q18" s="28"/>
      <c r="R18" s="28"/>
    </row>
    <row r="19" spans="1:18" ht="16.05" customHeight="1" x14ac:dyDescent="0.3">
      <c r="A19" s="30">
        <v>16</v>
      </c>
      <c r="B19" s="30" t="s">
        <v>534</v>
      </c>
      <c r="C19" s="30" t="s">
        <v>1027</v>
      </c>
      <c r="D19" s="30"/>
      <c r="E19" s="30"/>
      <c r="F19" s="30"/>
      <c r="G19" s="30"/>
      <c r="H19" s="30"/>
      <c r="I19" s="30"/>
      <c r="J19" s="30"/>
      <c r="K19" s="30"/>
      <c r="L19" s="30"/>
      <c r="M19" s="30"/>
      <c r="N19" s="30"/>
      <c r="O19" s="30"/>
      <c r="P19" s="30"/>
      <c r="Q19" s="30"/>
      <c r="R19" s="30"/>
    </row>
    <row r="20" spans="1:18" ht="16.05" customHeight="1" x14ac:dyDescent="0.3">
      <c r="A20" s="28">
        <v>17</v>
      </c>
      <c r="B20" s="28" t="s">
        <v>535</v>
      </c>
      <c r="C20" s="28" t="s">
        <v>1027</v>
      </c>
      <c r="D20" s="28"/>
      <c r="E20" s="28"/>
      <c r="F20" s="28"/>
      <c r="G20" s="28"/>
      <c r="H20" s="28"/>
      <c r="I20" s="28"/>
      <c r="J20" s="28"/>
      <c r="K20" s="28"/>
      <c r="L20" s="28"/>
      <c r="M20" s="28"/>
      <c r="N20" s="28"/>
      <c r="O20" s="28"/>
      <c r="P20" s="28"/>
      <c r="Q20" s="28"/>
      <c r="R20" s="28"/>
    </row>
    <row r="21" spans="1:18" ht="16.05" customHeight="1" x14ac:dyDescent="0.3">
      <c r="A21" s="30">
        <v>18</v>
      </c>
      <c r="B21" s="30" t="s">
        <v>536</v>
      </c>
      <c r="C21" s="30" t="s">
        <v>1027</v>
      </c>
      <c r="D21" s="30"/>
      <c r="E21" s="30"/>
      <c r="F21" s="30"/>
      <c r="G21" s="30"/>
      <c r="H21" s="30"/>
      <c r="I21" s="30"/>
      <c r="J21" s="30"/>
      <c r="K21" s="30"/>
      <c r="L21" s="30"/>
      <c r="M21" s="30"/>
      <c r="N21" s="30"/>
      <c r="O21" s="30"/>
      <c r="P21" s="30"/>
      <c r="Q21" s="30"/>
      <c r="R21" s="30"/>
    </row>
    <row r="22" spans="1:18" ht="16.05" customHeight="1" x14ac:dyDescent="0.3">
      <c r="A22" s="28">
        <v>19</v>
      </c>
      <c r="B22" s="28" t="s">
        <v>537</v>
      </c>
      <c r="C22" s="28" t="s">
        <v>1027</v>
      </c>
      <c r="D22" s="28"/>
      <c r="E22" s="28"/>
      <c r="F22" s="28"/>
      <c r="G22" s="28"/>
      <c r="H22" s="28"/>
      <c r="I22" s="28"/>
      <c r="J22" s="28"/>
      <c r="K22" s="28"/>
      <c r="L22" s="28"/>
      <c r="M22" s="28"/>
      <c r="N22" s="28"/>
      <c r="O22" s="28"/>
      <c r="P22" s="28"/>
      <c r="Q22" s="28"/>
      <c r="R22" s="28"/>
    </row>
    <row r="23" spans="1:18" ht="16.05" customHeight="1" x14ac:dyDescent="0.3">
      <c r="A23" s="30">
        <v>20</v>
      </c>
      <c r="B23" s="30" t="s">
        <v>538</v>
      </c>
      <c r="C23" s="30" t="s">
        <v>1027</v>
      </c>
      <c r="D23" s="30"/>
      <c r="E23" s="30"/>
      <c r="F23" s="30"/>
      <c r="G23" s="30"/>
      <c r="H23" s="30"/>
      <c r="I23" s="30"/>
      <c r="J23" s="30"/>
      <c r="K23" s="30"/>
      <c r="L23" s="30"/>
      <c r="M23" s="30"/>
      <c r="N23" s="30"/>
      <c r="O23" s="30"/>
      <c r="P23" s="30"/>
      <c r="Q23" s="30"/>
      <c r="R23" s="30"/>
    </row>
    <row r="24" spans="1:18" ht="16.05" customHeight="1" x14ac:dyDescent="0.3">
      <c r="A24" s="28">
        <v>21</v>
      </c>
      <c r="B24" s="28" t="s">
        <v>539</v>
      </c>
      <c r="C24" s="28" t="s">
        <v>1027</v>
      </c>
      <c r="D24" s="28"/>
      <c r="E24" s="28"/>
      <c r="F24" s="28"/>
      <c r="G24" s="28"/>
      <c r="H24" s="28"/>
      <c r="I24" s="28"/>
      <c r="J24" s="28"/>
      <c r="K24" s="28"/>
      <c r="L24" s="28"/>
      <c r="M24" s="28"/>
      <c r="N24" s="28"/>
      <c r="O24" s="28"/>
      <c r="P24" s="28"/>
      <c r="Q24" s="28"/>
      <c r="R24" s="28"/>
    </row>
    <row r="25" spans="1:18" ht="16.05" customHeight="1" x14ac:dyDescent="0.3">
      <c r="A25" s="30">
        <v>22</v>
      </c>
      <c r="B25" s="30" t="s">
        <v>540</v>
      </c>
      <c r="C25" s="30" t="s">
        <v>1027</v>
      </c>
      <c r="D25" s="30"/>
      <c r="E25" s="30"/>
      <c r="F25" s="30"/>
      <c r="G25" s="30"/>
      <c r="H25" s="30"/>
      <c r="I25" s="30"/>
      <c r="J25" s="30"/>
      <c r="K25" s="30"/>
      <c r="L25" s="30"/>
      <c r="M25" s="30"/>
      <c r="N25" s="30"/>
      <c r="O25" s="30"/>
      <c r="P25" s="30"/>
      <c r="Q25" s="30"/>
      <c r="R25" s="30"/>
    </row>
    <row r="26" spans="1:18" ht="16.05" customHeight="1" x14ac:dyDescent="0.3">
      <c r="A26" s="28">
        <v>23</v>
      </c>
      <c r="B26" s="28" t="s">
        <v>541</v>
      </c>
      <c r="C26" s="28" t="s">
        <v>1027</v>
      </c>
      <c r="D26" s="28"/>
      <c r="E26" s="28"/>
      <c r="F26" s="28"/>
      <c r="G26" s="28"/>
      <c r="H26" s="28"/>
      <c r="I26" s="28"/>
      <c r="J26" s="28"/>
      <c r="K26" s="28"/>
      <c r="L26" s="28"/>
      <c r="M26" s="28"/>
      <c r="N26" s="28"/>
      <c r="O26" s="28"/>
      <c r="P26" s="28"/>
      <c r="Q26" s="28"/>
      <c r="R26" s="28"/>
    </row>
    <row r="27" spans="1:18" ht="16.05" customHeight="1" x14ac:dyDescent="0.3">
      <c r="A27" s="30">
        <v>24</v>
      </c>
      <c r="B27" s="30" t="s">
        <v>542</v>
      </c>
      <c r="C27" s="30" t="s">
        <v>1027</v>
      </c>
      <c r="D27" s="30"/>
      <c r="E27" s="30"/>
      <c r="F27" s="30"/>
      <c r="G27" s="30"/>
      <c r="H27" s="30"/>
      <c r="I27" s="30"/>
      <c r="J27" s="30"/>
      <c r="K27" s="30"/>
      <c r="L27" s="30"/>
      <c r="M27" s="30"/>
      <c r="N27" s="30"/>
      <c r="O27" s="30"/>
      <c r="P27" s="30"/>
      <c r="Q27" s="30"/>
      <c r="R27" s="30"/>
    </row>
    <row r="28" spans="1:18" ht="16.05" customHeight="1" x14ac:dyDescent="0.3">
      <c r="A28" s="28">
        <v>25</v>
      </c>
      <c r="B28" s="28" t="s">
        <v>543</v>
      </c>
      <c r="C28" s="28" t="s">
        <v>1027</v>
      </c>
      <c r="D28" s="28"/>
      <c r="E28" s="28"/>
      <c r="F28" s="28"/>
      <c r="G28" s="28"/>
      <c r="H28" s="28"/>
      <c r="I28" s="28"/>
      <c r="J28" s="28"/>
      <c r="K28" s="28"/>
      <c r="L28" s="28"/>
      <c r="M28" s="28"/>
      <c r="N28" s="28"/>
      <c r="O28" s="28"/>
      <c r="P28" s="28"/>
      <c r="Q28" s="28"/>
      <c r="R28" s="28"/>
    </row>
    <row r="29" spans="1:18" ht="16.05" customHeight="1" x14ac:dyDescent="0.3">
      <c r="A29" s="30">
        <v>26</v>
      </c>
      <c r="B29" s="30" t="s">
        <v>544</v>
      </c>
      <c r="C29" s="30" t="s">
        <v>1027</v>
      </c>
      <c r="D29" s="30"/>
      <c r="E29" s="30"/>
      <c r="F29" s="30"/>
      <c r="G29" s="30"/>
      <c r="H29" s="30"/>
      <c r="I29" s="30"/>
      <c r="J29" s="30"/>
      <c r="K29" s="30"/>
      <c r="L29" s="30"/>
      <c r="M29" s="30"/>
      <c r="N29" s="30"/>
      <c r="O29" s="30"/>
      <c r="P29" s="30"/>
      <c r="Q29" s="30"/>
      <c r="R29" s="30"/>
    </row>
    <row r="30" spans="1:18" ht="16.05" customHeight="1" x14ac:dyDescent="0.3">
      <c r="A30" s="28">
        <v>27</v>
      </c>
      <c r="B30" s="28" t="s">
        <v>545</v>
      </c>
      <c r="C30" s="28" t="s">
        <v>1027</v>
      </c>
      <c r="D30" s="28"/>
      <c r="E30" s="28"/>
      <c r="F30" s="28"/>
      <c r="G30" s="28"/>
      <c r="H30" s="28"/>
      <c r="I30" s="28"/>
      <c r="J30" s="28"/>
      <c r="K30" s="28"/>
      <c r="L30" s="28"/>
      <c r="M30" s="28"/>
      <c r="N30" s="28"/>
      <c r="O30" s="28"/>
      <c r="P30" s="28"/>
      <c r="Q30" s="28"/>
      <c r="R30" s="28"/>
    </row>
    <row r="31" spans="1:18" ht="16.05" customHeight="1" x14ac:dyDescent="0.3">
      <c r="A31" s="30">
        <v>28</v>
      </c>
      <c r="B31" s="30" t="s">
        <v>546</v>
      </c>
      <c r="C31" s="30" t="s">
        <v>1027</v>
      </c>
      <c r="D31" s="30"/>
      <c r="E31" s="30"/>
      <c r="F31" s="30"/>
      <c r="G31" s="30"/>
      <c r="H31" s="30"/>
      <c r="I31" s="30"/>
      <c r="J31" s="30"/>
      <c r="K31" s="30"/>
      <c r="L31" s="30"/>
      <c r="M31" s="30"/>
      <c r="N31" s="30"/>
      <c r="O31" s="30"/>
      <c r="P31" s="30"/>
      <c r="Q31" s="30"/>
      <c r="R31" s="30"/>
    </row>
    <row r="32" spans="1:18" ht="16.05" customHeight="1" x14ac:dyDescent="0.3">
      <c r="A32" s="28">
        <v>29</v>
      </c>
      <c r="B32" s="28" t="s">
        <v>547</v>
      </c>
      <c r="C32" s="28" t="s">
        <v>1027</v>
      </c>
      <c r="D32" s="28"/>
      <c r="E32" s="28"/>
      <c r="F32" s="28"/>
      <c r="G32" s="28"/>
      <c r="H32" s="28"/>
      <c r="I32" s="28"/>
      <c r="J32" s="28"/>
      <c r="K32" s="28"/>
      <c r="L32" s="28"/>
      <c r="M32" s="28"/>
      <c r="N32" s="28"/>
      <c r="O32" s="28"/>
      <c r="P32" s="28"/>
      <c r="Q32" s="28"/>
      <c r="R32" s="28"/>
    </row>
    <row r="33" spans="1:18" ht="16.05" customHeight="1" x14ac:dyDescent="0.3">
      <c r="A33" s="30">
        <v>30</v>
      </c>
      <c r="B33" s="30" t="s">
        <v>548</v>
      </c>
      <c r="C33" s="30" t="s">
        <v>1027</v>
      </c>
      <c r="D33" s="30"/>
      <c r="E33" s="30"/>
      <c r="F33" s="30"/>
      <c r="G33" s="30"/>
      <c r="H33" s="30"/>
      <c r="I33" s="30"/>
      <c r="J33" s="30"/>
      <c r="K33" s="30"/>
      <c r="L33" s="30"/>
      <c r="M33" s="30"/>
      <c r="N33" s="30"/>
      <c r="O33" s="30"/>
      <c r="P33" s="30"/>
      <c r="Q33" s="30"/>
      <c r="R33" s="30"/>
    </row>
    <row r="34" spans="1:18" ht="16.05" customHeight="1" x14ac:dyDescent="0.3">
      <c r="A34" s="28">
        <v>31</v>
      </c>
      <c r="B34" s="28" t="s">
        <v>549</v>
      </c>
      <c r="C34" s="28" t="s">
        <v>1027</v>
      </c>
      <c r="D34" s="28"/>
      <c r="E34" s="28"/>
      <c r="F34" s="28"/>
      <c r="G34" s="28"/>
      <c r="H34" s="28"/>
      <c r="I34" s="28"/>
      <c r="J34" s="28"/>
      <c r="K34" s="28"/>
      <c r="L34" s="28"/>
      <c r="M34" s="28"/>
      <c r="N34" s="28"/>
      <c r="O34" s="28"/>
      <c r="P34" s="28"/>
      <c r="Q34" s="28"/>
      <c r="R34" s="28"/>
    </row>
    <row r="35" spans="1:18" ht="16.05" customHeight="1" x14ac:dyDescent="0.3">
      <c r="A35" s="30">
        <v>32</v>
      </c>
      <c r="B35" s="30" t="s">
        <v>550</v>
      </c>
      <c r="C35" s="30" t="s">
        <v>1027</v>
      </c>
      <c r="D35" s="30"/>
      <c r="E35" s="30"/>
      <c r="F35" s="30"/>
      <c r="G35" s="30"/>
      <c r="H35" s="30"/>
      <c r="I35" s="30"/>
      <c r="J35" s="30"/>
      <c r="K35" s="30"/>
      <c r="L35" s="30"/>
      <c r="M35" s="30"/>
      <c r="N35" s="30"/>
      <c r="O35" s="30"/>
      <c r="P35" s="30"/>
      <c r="Q35" s="30"/>
      <c r="R35" s="30"/>
    </row>
    <row r="36" spans="1:18" ht="16.05" customHeight="1" x14ac:dyDescent="0.3">
      <c r="A36" s="28">
        <v>33</v>
      </c>
      <c r="B36" s="28" t="s">
        <v>551</v>
      </c>
      <c r="C36" s="28" t="s">
        <v>1027</v>
      </c>
      <c r="D36" s="28"/>
      <c r="E36" s="28"/>
      <c r="F36" s="28"/>
      <c r="G36" s="28"/>
      <c r="H36" s="28"/>
      <c r="I36" s="28"/>
      <c r="J36" s="28"/>
      <c r="K36" s="28"/>
      <c r="L36" s="28"/>
      <c r="M36" s="28"/>
      <c r="N36" s="28"/>
      <c r="O36" s="28"/>
      <c r="P36" s="28"/>
      <c r="Q36" s="28"/>
      <c r="R36" s="28"/>
    </row>
    <row r="37" spans="1:18" ht="16.05" customHeight="1" x14ac:dyDescent="0.3">
      <c r="A37" s="30">
        <v>34</v>
      </c>
      <c r="B37" s="30" t="s">
        <v>552</v>
      </c>
      <c r="C37" s="30" t="s">
        <v>1027</v>
      </c>
      <c r="D37" s="30"/>
      <c r="E37" s="30"/>
      <c r="F37" s="30"/>
      <c r="G37" s="30"/>
      <c r="H37" s="30"/>
      <c r="I37" s="30"/>
      <c r="J37" s="30"/>
      <c r="K37" s="30"/>
      <c r="L37" s="30"/>
      <c r="M37" s="30"/>
      <c r="N37" s="30"/>
      <c r="O37" s="30"/>
      <c r="P37" s="30"/>
      <c r="Q37" s="30"/>
      <c r="R37" s="30"/>
    </row>
    <row r="38" spans="1:18" ht="16.05" customHeight="1" x14ac:dyDescent="0.3">
      <c r="A38" s="28">
        <v>35</v>
      </c>
      <c r="B38" s="28" t="s">
        <v>553</v>
      </c>
      <c r="C38" s="28" t="s">
        <v>1027</v>
      </c>
      <c r="D38" s="28"/>
      <c r="E38" s="28"/>
      <c r="F38" s="28"/>
      <c r="G38" s="28"/>
      <c r="H38" s="28"/>
      <c r="I38" s="28"/>
      <c r="J38" s="28"/>
      <c r="K38" s="28"/>
      <c r="L38" s="28"/>
      <c r="M38" s="28"/>
      <c r="N38" s="28"/>
      <c r="O38" s="28"/>
      <c r="P38" s="28"/>
      <c r="Q38" s="28"/>
      <c r="R38" s="28"/>
    </row>
    <row r="39" spans="1:18" ht="16.05" customHeight="1" x14ac:dyDescent="0.3">
      <c r="A39" s="30">
        <v>36</v>
      </c>
      <c r="B39" s="30" t="s">
        <v>554</v>
      </c>
      <c r="C39" s="30" t="s">
        <v>1027</v>
      </c>
      <c r="D39" s="30"/>
      <c r="E39" s="30"/>
      <c r="F39" s="30"/>
      <c r="G39" s="30"/>
      <c r="H39" s="30"/>
      <c r="I39" s="30"/>
      <c r="J39" s="30"/>
      <c r="K39" s="30"/>
      <c r="L39" s="30"/>
      <c r="M39" s="30"/>
      <c r="N39" s="30"/>
      <c r="O39" s="30"/>
      <c r="P39" s="30"/>
      <c r="Q39" s="30"/>
      <c r="R39" s="30"/>
    </row>
  </sheetData>
  <autoFilter ref="A3:R39" xr:uid="{00000000-0009-0000-0000-00001A000000}"/>
  <mergeCells count="2">
    <mergeCell ref="A2:R2"/>
    <mergeCell ref="A1:R1"/>
  </mergeCell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0000000-0002-0000-1A00-000000000000}">
          <x14:formula1>
            <xm:f>REF!$A$2:$A$37</xm:f>
          </x14:formula1>
          <xm:sqref>B4:B39</xm:sqref>
        </x14:dataValidation>
        <x14:dataValidation type="list" allowBlank="1" xr:uid="{00000000-0002-0000-1A00-000001000000}">
          <x14:formula1>
            <xm:f>REF!$N$2:$N$13</xm:f>
          </x14:formula1>
          <xm:sqref>C4:C39</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P39"/>
  <sheetViews>
    <sheetView showGridLines="0" workbookViewId="0">
      <selection sqref="A1:P1"/>
    </sheetView>
  </sheetViews>
  <sheetFormatPr defaultRowHeight="14.4" x14ac:dyDescent="0.3"/>
  <cols>
    <col min="1" max="1" width="4" customWidth="1"/>
    <col min="2" max="2" width="22" customWidth="1"/>
    <col min="3" max="4" width="13" customWidth="1"/>
    <col min="5" max="15" width="12" customWidth="1"/>
    <col min="16" max="16" width="22" customWidth="1"/>
  </cols>
  <sheetData>
    <row r="1" spans="1:16" ht="28.05" customHeight="1" x14ac:dyDescent="0.3">
      <c r="A1" s="45" t="s">
        <v>1750</v>
      </c>
      <c r="B1" s="33"/>
      <c r="C1" s="33"/>
      <c r="D1" s="33"/>
      <c r="E1" s="33"/>
      <c r="F1" s="33"/>
      <c r="G1" s="33"/>
      <c r="H1" s="33"/>
      <c r="I1" s="33"/>
      <c r="J1" s="33"/>
      <c r="K1" s="33"/>
      <c r="L1" s="33"/>
      <c r="M1" s="33"/>
      <c r="N1" s="33"/>
      <c r="O1" s="33"/>
      <c r="P1" s="33"/>
    </row>
    <row r="2" spans="1:16" ht="16.05" customHeight="1" x14ac:dyDescent="0.3">
      <c r="A2" s="39" t="s">
        <v>1751</v>
      </c>
      <c r="B2" s="33"/>
      <c r="C2" s="33"/>
      <c r="D2" s="33"/>
      <c r="E2" s="33"/>
      <c r="F2" s="33"/>
      <c r="G2" s="33"/>
      <c r="H2" s="33"/>
      <c r="I2" s="33"/>
      <c r="J2" s="33"/>
      <c r="K2" s="33"/>
      <c r="L2" s="33"/>
      <c r="M2" s="33"/>
      <c r="N2" s="33"/>
      <c r="O2" s="33"/>
      <c r="P2" s="33"/>
    </row>
    <row r="3" spans="1:16" ht="31.95" customHeight="1" x14ac:dyDescent="0.3">
      <c r="A3" s="27" t="s">
        <v>78</v>
      </c>
      <c r="B3" s="27" t="s">
        <v>192</v>
      </c>
      <c r="C3" s="27" t="s">
        <v>654</v>
      </c>
      <c r="D3" s="27" t="s">
        <v>655</v>
      </c>
      <c r="E3" s="27" t="s">
        <v>656</v>
      </c>
      <c r="F3" s="27" t="s">
        <v>657</v>
      </c>
      <c r="G3" s="27" t="s">
        <v>1752</v>
      </c>
      <c r="H3" s="27" t="s">
        <v>659</v>
      </c>
      <c r="I3" s="27" t="s">
        <v>660</v>
      </c>
      <c r="J3" s="27" t="s">
        <v>1753</v>
      </c>
      <c r="K3" s="27" t="s">
        <v>1754</v>
      </c>
      <c r="L3" s="27" t="s">
        <v>1755</v>
      </c>
      <c r="M3" s="27" t="s">
        <v>1756</v>
      </c>
      <c r="N3" s="27" t="s">
        <v>1757</v>
      </c>
      <c r="O3" s="27" t="s">
        <v>1758</v>
      </c>
      <c r="P3" s="27" t="s">
        <v>86</v>
      </c>
    </row>
    <row r="4" spans="1:16" ht="16.05" customHeight="1" x14ac:dyDescent="0.3">
      <c r="A4" s="28">
        <v>1</v>
      </c>
      <c r="B4" s="28" t="s">
        <v>519</v>
      </c>
      <c r="C4" s="28"/>
      <c r="D4" s="28"/>
      <c r="E4" s="28"/>
      <c r="F4" s="28"/>
      <c r="G4" s="28"/>
      <c r="H4" s="28"/>
      <c r="I4" s="28"/>
      <c r="J4" s="28"/>
      <c r="K4" s="28"/>
      <c r="L4" s="28"/>
      <c r="M4" s="28"/>
      <c r="N4" s="28"/>
      <c r="O4" s="28"/>
      <c r="P4" s="28"/>
    </row>
    <row r="5" spans="1:16" ht="16.05" customHeight="1" x14ac:dyDescent="0.3">
      <c r="A5" s="30">
        <v>2</v>
      </c>
      <c r="B5" s="30" t="s">
        <v>520</v>
      </c>
      <c r="C5" s="30"/>
      <c r="D5" s="30"/>
      <c r="E5" s="30"/>
      <c r="F5" s="30"/>
      <c r="G5" s="30"/>
      <c r="H5" s="30"/>
      <c r="I5" s="30"/>
      <c r="J5" s="30"/>
      <c r="K5" s="30"/>
      <c r="L5" s="30"/>
      <c r="M5" s="30"/>
      <c r="N5" s="30"/>
      <c r="O5" s="30"/>
      <c r="P5" s="30"/>
    </row>
    <row r="6" spans="1:16" ht="16.05" customHeight="1" x14ac:dyDescent="0.3">
      <c r="A6" s="28">
        <v>3</v>
      </c>
      <c r="B6" s="28" t="s">
        <v>521</v>
      </c>
      <c r="C6" s="28"/>
      <c r="D6" s="28"/>
      <c r="E6" s="28"/>
      <c r="F6" s="28"/>
      <c r="G6" s="28"/>
      <c r="H6" s="28"/>
      <c r="I6" s="28"/>
      <c r="J6" s="28"/>
      <c r="K6" s="28"/>
      <c r="L6" s="28"/>
      <c r="M6" s="28"/>
      <c r="N6" s="28"/>
      <c r="O6" s="28"/>
      <c r="P6" s="28"/>
    </row>
    <row r="7" spans="1:16" ht="16.05" customHeight="1" x14ac:dyDescent="0.3">
      <c r="A7" s="30">
        <v>4</v>
      </c>
      <c r="B7" s="30" t="s">
        <v>522</v>
      </c>
      <c r="C7" s="30"/>
      <c r="D7" s="30"/>
      <c r="E7" s="30"/>
      <c r="F7" s="30"/>
      <c r="G7" s="30"/>
      <c r="H7" s="30"/>
      <c r="I7" s="30"/>
      <c r="J7" s="30"/>
      <c r="K7" s="30"/>
      <c r="L7" s="30"/>
      <c r="M7" s="30"/>
      <c r="N7" s="30"/>
      <c r="O7" s="30"/>
      <c r="P7" s="30"/>
    </row>
    <row r="8" spans="1:16" ht="16.05" customHeight="1" x14ac:dyDescent="0.3">
      <c r="A8" s="28">
        <v>5</v>
      </c>
      <c r="B8" s="28" t="s">
        <v>523</v>
      </c>
      <c r="C8" s="28"/>
      <c r="D8" s="28"/>
      <c r="E8" s="28"/>
      <c r="F8" s="28"/>
      <c r="G8" s="28"/>
      <c r="H8" s="28"/>
      <c r="I8" s="28"/>
      <c r="J8" s="28"/>
      <c r="K8" s="28"/>
      <c r="L8" s="28"/>
      <c r="M8" s="28"/>
      <c r="N8" s="28"/>
      <c r="O8" s="28"/>
      <c r="P8" s="28"/>
    </row>
    <row r="9" spans="1:16" ht="16.05" customHeight="1" x14ac:dyDescent="0.3">
      <c r="A9" s="30">
        <v>6</v>
      </c>
      <c r="B9" s="30" t="s">
        <v>524</v>
      </c>
      <c r="C9" s="30"/>
      <c r="D9" s="30"/>
      <c r="E9" s="30"/>
      <c r="F9" s="30"/>
      <c r="G9" s="30"/>
      <c r="H9" s="30"/>
      <c r="I9" s="30"/>
      <c r="J9" s="30"/>
      <c r="K9" s="30"/>
      <c r="L9" s="30"/>
      <c r="M9" s="30"/>
      <c r="N9" s="30"/>
      <c r="O9" s="30"/>
      <c r="P9" s="30"/>
    </row>
    <row r="10" spans="1:16" ht="16.05" customHeight="1" x14ac:dyDescent="0.3">
      <c r="A10" s="28">
        <v>7</v>
      </c>
      <c r="B10" s="28" t="s">
        <v>525</v>
      </c>
      <c r="C10" s="28"/>
      <c r="D10" s="28"/>
      <c r="E10" s="28"/>
      <c r="F10" s="28"/>
      <c r="G10" s="28"/>
      <c r="H10" s="28"/>
      <c r="I10" s="28"/>
      <c r="J10" s="28"/>
      <c r="K10" s="28"/>
      <c r="L10" s="28"/>
      <c r="M10" s="28"/>
      <c r="N10" s="28"/>
      <c r="O10" s="28"/>
      <c r="P10" s="28"/>
    </row>
    <row r="11" spans="1:16" ht="16.05" customHeight="1" x14ac:dyDescent="0.3">
      <c r="A11" s="30">
        <v>8</v>
      </c>
      <c r="B11" s="30" t="s">
        <v>526</v>
      </c>
      <c r="C11" s="30"/>
      <c r="D11" s="30"/>
      <c r="E11" s="30"/>
      <c r="F11" s="30"/>
      <c r="G11" s="30"/>
      <c r="H11" s="30"/>
      <c r="I11" s="30"/>
      <c r="J11" s="30"/>
      <c r="K11" s="30"/>
      <c r="L11" s="30"/>
      <c r="M11" s="30"/>
      <c r="N11" s="30"/>
      <c r="O11" s="30"/>
      <c r="P11" s="30"/>
    </row>
    <row r="12" spans="1:16" ht="16.05" customHeight="1" x14ac:dyDescent="0.3">
      <c r="A12" s="28">
        <v>9</v>
      </c>
      <c r="B12" s="28" t="s">
        <v>527</v>
      </c>
      <c r="C12" s="28"/>
      <c r="D12" s="28"/>
      <c r="E12" s="28"/>
      <c r="F12" s="28"/>
      <c r="G12" s="28"/>
      <c r="H12" s="28"/>
      <c r="I12" s="28"/>
      <c r="J12" s="28"/>
      <c r="K12" s="28"/>
      <c r="L12" s="28"/>
      <c r="M12" s="28"/>
      <c r="N12" s="28"/>
      <c r="O12" s="28"/>
      <c r="P12" s="28"/>
    </row>
    <row r="13" spans="1:16" ht="16.05" customHeight="1" x14ac:dyDescent="0.3">
      <c r="A13" s="30">
        <v>10</v>
      </c>
      <c r="B13" s="30" t="s">
        <v>528</v>
      </c>
      <c r="C13" s="30"/>
      <c r="D13" s="30"/>
      <c r="E13" s="30"/>
      <c r="F13" s="30"/>
      <c r="G13" s="30"/>
      <c r="H13" s="30"/>
      <c r="I13" s="30"/>
      <c r="J13" s="30"/>
      <c r="K13" s="30"/>
      <c r="L13" s="30"/>
      <c r="M13" s="30"/>
      <c r="N13" s="30"/>
      <c r="O13" s="30"/>
      <c r="P13" s="30"/>
    </row>
    <row r="14" spans="1:16" ht="16.05" customHeight="1" x14ac:dyDescent="0.3">
      <c r="A14" s="28">
        <v>11</v>
      </c>
      <c r="B14" s="28" t="s">
        <v>529</v>
      </c>
      <c r="C14" s="28"/>
      <c r="D14" s="28"/>
      <c r="E14" s="28"/>
      <c r="F14" s="28"/>
      <c r="G14" s="28"/>
      <c r="H14" s="28"/>
      <c r="I14" s="28"/>
      <c r="J14" s="28"/>
      <c r="K14" s="28"/>
      <c r="L14" s="28"/>
      <c r="M14" s="28"/>
      <c r="N14" s="28"/>
      <c r="O14" s="28"/>
      <c r="P14" s="28"/>
    </row>
    <row r="15" spans="1:16" ht="16.05" customHeight="1" x14ac:dyDescent="0.3">
      <c r="A15" s="30">
        <v>12</v>
      </c>
      <c r="B15" s="30" t="s">
        <v>530</v>
      </c>
      <c r="C15" s="30"/>
      <c r="D15" s="30"/>
      <c r="E15" s="30"/>
      <c r="F15" s="30"/>
      <c r="G15" s="30"/>
      <c r="H15" s="30"/>
      <c r="I15" s="30"/>
      <c r="J15" s="30"/>
      <c r="K15" s="30"/>
      <c r="L15" s="30"/>
      <c r="M15" s="30"/>
      <c r="N15" s="30"/>
      <c r="O15" s="30"/>
      <c r="P15" s="30"/>
    </row>
    <row r="16" spans="1:16" ht="16.05" customHeight="1" x14ac:dyDescent="0.3">
      <c r="A16" s="28">
        <v>13</v>
      </c>
      <c r="B16" s="28" t="s">
        <v>531</v>
      </c>
      <c r="C16" s="28"/>
      <c r="D16" s="28"/>
      <c r="E16" s="28"/>
      <c r="F16" s="28"/>
      <c r="G16" s="28"/>
      <c r="H16" s="28"/>
      <c r="I16" s="28"/>
      <c r="J16" s="28"/>
      <c r="K16" s="28"/>
      <c r="L16" s="28"/>
      <c r="M16" s="28"/>
      <c r="N16" s="28"/>
      <c r="O16" s="28"/>
      <c r="P16" s="28"/>
    </row>
    <row r="17" spans="1:16" ht="16.05" customHeight="1" x14ac:dyDescent="0.3">
      <c r="A17" s="30">
        <v>14</v>
      </c>
      <c r="B17" s="30" t="s">
        <v>532</v>
      </c>
      <c r="C17" s="30"/>
      <c r="D17" s="30"/>
      <c r="E17" s="30"/>
      <c r="F17" s="30"/>
      <c r="G17" s="30"/>
      <c r="H17" s="30"/>
      <c r="I17" s="30"/>
      <c r="J17" s="30"/>
      <c r="K17" s="30"/>
      <c r="L17" s="30"/>
      <c r="M17" s="30"/>
      <c r="N17" s="30"/>
      <c r="O17" s="30"/>
      <c r="P17" s="30"/>
    </row>
    <row r="18" spans="1:16" ht="16.05" customHeight="1" x14ac:dyDescent="0.3">
      <c r="A18" s="28">
        <v>15</v>
      </c>
      <c r="B18" s="28" t="s">
        <v>533</v>
      </c>
      <c r="C18" s="28"/>
      <c r="D18" s="28"/>
      <c r="E18" s="28"/>
      <c r="F18" s="28"/>
      <c r="G18" s="28"/>
      <c r="H18" s="28"/>
      <c r="I18" s="28"/>
      <c r="J18" s="28"/>
      <c r="K18" s="28"/>
      <c r="L18" s="28"/>
      <c r="M18" s="28"/>
      <c r="N18" s="28"/>
      <c r="O18" s="28"/>
      <c r="P18" s="28"/>
    </row>
    <row r="19" spans="1:16" ht="16.05" customHeight="1" x14ac:dyDescent="0.3">
      <c r="A19" s="30">
        <v>16</v>
      </c>
      <c r="B19" s="30" t="s">
        <v>534</v>
      </c>
      <c r="C19" s="30"/>
      <c r="D19" s="30"/>
      <c r="E19" s="30"/>
      <c r="F19" s="30"/>
      <c r="G19" s="30"/>
      <c r="H19" s="30"/>
      <c r="I19" s="30"/>
      <c r="J19" s="30"/>
      <c r="K19" s="30"/>
      <c r="L19" s="30"/>
      <c r="M19" s="30"/>
      <c r="N19" s="30"/>
      <c r="O19" s="30"/>
      <c r="P19" s="30"/>
    </row>
    <row r="20" spans="1:16" ht="16.05" customHeight="1" x14ac:dyDescent="0.3">
      <c r="A20" s="28">
        <v>17</v>
      </c>
      <c r="B20" s="28" t="s">
        <v>535</v>
      </c>
      <c r="C20" s="28"/>
      <c r="D20" s="28"/>
      <c r="E20" s="28"/>
      <c r="F20" s="28"/>
      <c r="G20" s="28"/>
      <c r="H20" s="28"/>
      <c r="I20" s="28"/>
      <c r="J20" s="28"/>
      <c r="K20" s="28"/>
      <c r="L20" s="28"/>
      <c r="M20" s="28"/>
      <c r="N20" s="28"/>
      <c r="O20" s="28"/>
      <c r="P20" s="28"/>
    </row>
    <row r="21" spans="1:16" ht="16.05" customHeight="1" x14ac:dyDescent="0.3">
      <c r="A21" s="30">
        <v>18</v>
      </c>
      <c r="B21" s="30" t="s">
        <v>536</v>
      </c>
      <c r="C21" s="30"/>
      <c r="D21" s="30"/>
      <c r="E21" s="30"/>
      <c r="F21" s="30"/>
      <c r="G21" s="30"/>
      <c r="H21" s="30"/>
      <c r="I21" s="30"/>
      <c r="J21" s="30"/>
      <c r="K21" s="30"/>
      <c r="L21" s="30"/>
      <c r="M21" s="30"/>
      <c r="N21" s="30"/>
      <c r="O21" s="30"/>
      <c r="P21" s="30"/>
    </row>
    <row r="22" spans="1:16" ht="16.05" customHeight="1" x14ac:dyDescent="0.3">
      <c r="A22" s="28">
        <v>19</v>
      </c>
      <c r="B22" s="28" t="s">
        <v>537</v>
      </c>
      <c r="C22" s="28"/>
      <c r="D22" s="28"/>
      <c r="E22" s="28"/>
      <c r="F22" s="28"/>
      <c r="G22" s="28"/>
      <c r="H22" s="28"/>
      <c r="I22" s="28"/>
      <c r="J22" s="28"/>
      <c r="K22" s="28"/>
      <c r="L22" s="28"/>
      <c r="M22" s="28"/>
      <c r="N22" s="28"/>
      <c r="O22" s="28"/>
      <c r="P22" s="28"/>
    </row>
    <row r="23" spans="1:16" ht="16.05" customHeight="1" x14ac:dyDescent="0.3">
      <c r="A23" s="30">
        <v>20</v>
      </c>
      <c r="B23" s="30" t="s">
        <v>538</v>
      </c>
      <c r="C23" s="30"/>
      <c r="D23" s="30"/>
      <c r="E23" s="30"/>
      <c r="F23" s="30"/>
      <c r="G23" s="30"/>
      <c r="H23" s="30"/>
      <c r="I23" s="30"/>
      <c r="J23" s="30"/>
      <c r="K23" s="30"/>
      <c r="L23" s="30"/>
      <c r="M23" s="30"/>
      <c r="N23" s="30"/>
      <c r="O23" s="30"/>
      <c r="P23" s="30"/>
    </row>
    <row r="24" spans="1:16" ht="16.05" customHeight="1" x14ac:dyDescent="0.3">
      <c r="A24" s="28">
        <v>21</v>
      </c>
      <c r="B24" s="28" t="s">
        <v>539</v>
      </c>
      <c r="C24" s="28"/>
      <c r="D24" s="28"/>
      <c r="E24" s="28"/>
      <c r="F24" s="28"/>
      <c r="G24" s="28"/>
      <c r="H24" s="28"/>
      <c r="I24" s="28"/>
      <c r="J24" s="28"/>
      <c r="K24" s="28"/>
      <c r="L24" s="28"/>
      <c r="M24" s="28"/>
      <c r="N24" s="28"/>
      <c r="O24" s="28"/>
      <c r="P24" s="28"/>
    </row>
    <row r="25" spans="1:16" ht="16.05" customHeight="1" x14ac:dyDescent="0.3">
      <c r="A25" s="30">
        <v>22</v>
      </c>
      <c r="B25" s="30" t="s">
        <v>540</v>
      </c>
      <c r="C25" s="30"/>
      <c r="D25" s="30"/>
      <c r="E25" s="30"/>
      <c r="F25" s="30"/>
      <c r="G25" s="30"/>
      <c r="H25" s="30"/>
      <c r="I25" s="30"/>
      <c r="J25" s="30"/>
      <c r="K25" s="30"/>
      <c r="L25" s="30"/>
      <c r="M25" s="30"/>
      <c r="N25" s="30"/>
      <c r="O25" s="30"/>
      <c r="P25" s="30"/>
    </row>
    <row r="26" spans="1:16" ht="16.05" customHeight="1" x14ac:dyDescent="0.3">
      <c r="A26" s="28">
        <v>23</v>
      </c>
      <c r="B26" s="28" t="s">
        <v>541</v>
      </c>
      <c r="C26" s="28"/>
      <c r="D26" s="28"/>
      <c r="E26" s="28"/>
      <c r="F26" s="28"/>
      <c r="G26" s="28"/>
      <c r="H26" s="28"/>
      <c r="I26" s="28"/>
      <c r="J26" s="28"/>
      <c r="K26" s="28"/>
      <c r="L26" s="28"/>
      <c r="M26" s="28"/>
      <c r="N26" s="28"/>
      <c r="O26" s="28"/>
      <c r="P26" s="28"/>
    </row>
    <row r="27" spans="1:16" ht="16.05" customHeight="1" x14ac:dyDescent="0.3">
      <c r="A27" s="30">
        <v>24</v>
      </c>
      <c r="B27" s="30" t="s">
        <v>542</v>
      </c>
      <c r="C27" s="30"/>
      <c r="D27" s="30"/>
      <c r="E27" s="30"/>
      <c r="F27" s="30"/>
      <c r="G27" s="30"/>
      <c r="H27" s="30"/>
      <c r="I27" s="30"/>
      <c r="J27" s="30"/>
      <c r="K27" s="30"/>
      <c r="L27" s="30"/>
      <c r="M27" s="30"/>
      <c r="N27" s="30"/>
      <c r="O27" s="30"/>
      <c r="P27" s="30"/>
    </row>
    <row r="28" spans="1:16" ht="16.05" customHeight="1" x14ac:dyDescent="0.3">
      <c r="A28" s="28">
        <v>25</v>
      </c>
      <c r="B28" s="28" t="s">
        <v>543</v>
      </c>
      <c r="C28" s="28"/>
      <c r="D28" s="28"/>
      <c r="E28" s="28"/>
      <c r="F28" s="28"/>
      <c r="G28" s="28"/>
      <c r="H28" s="28"/>
      <c r="I28" s="28"/>
      <c r="J28" s="28"/>
      <c r="K28" s="28"/>
      <c r="L28" s="28"/>
      <c r="M28" s="28"/>
      <c r="N28" s="28"/>
      <c r="O28" s="28"/>
      <c r="P28" s="28"/>
    </row>
    <row r="29" spans="1:16" ht="16.05" customHeight="1" x14ac:dyDescent="0.3">
      <c r="A29" s="30">
        <v>26</v>
      </c>
      <c r="B29" s="30" t="s">
        <v>544</v>
      </c>
      <c r="C29" s="30"/>
      <c r="D29" s="30"/>
      <c r="E29" s="30"/>
      <c r="F29" s="30"/>
      <c r="G29" s="30"/>
      <c r="H29" s="30"/>
      <c r="I29" s="30"/>
      <c r="J29" s="30"/>
      <c r="K29" s="30"/>
      <c r="L29" s="30"/>
      <c r="M29" s="30"/>
      <c r="N29" s="30"/>
      <c r="O29" s="30"/>
      <c r="P29" s="30"/>
    </row>
    <row r="30" spans="1:16" ht="16.05" customHeight="1" x14ac:dyDescent="0.3">
      <c r="A30" s="28">
        <v>27</v>
      </c>
      <c r="B30" s="28" t="s">
        <v>545</v>
      </c>
      <c r="C30" s="28"/>
      <c r="D30" s="28"/>
      <c r="E30" s="28"/>
      <c r="F30" s="28"/>
      <c r="G30" s="28"/>
      <c r="H30" s="28"/>
      <c r="I30" s="28"/>
      <c r="J30" s="28"/>
      <c r="K30" s="28"/>
      <c r="L30" s="28"/>
      <c r="M30" s="28"/>
      <c r="N30" s="28"/>
      <c r="O30" s="28"/>
      <c r="P30" s="28"/>
    </row>
    <row r="31" spans="1:16" ht="16.05" customHeight="1" x14ac:dyDescent="0.3">
      <c r="A31" s="30">
        <v>28</v>
      </c>
      <c r="B31" s="30" t="s">
        <v>546</v>
      </c>
      <c r="C31" s="30"/>
      <c r="D31" s="30"/>
      <c r="E31" s="30"/>
      <c r="F31" s="30"/>
      <c r="G31" s="30"/>
      <c r="H31" s="30"/>
      <c r="I31" s="30"/>
      <c r="J31" s="30"/>
      <c r="K31" s="30"/>
      <c r="L31" s="30"/>
      <c r="M31" s="30"/>
      <c r="N31" s="30"/>
      <c r="O31" s="30"/>
      <c r="P31" s="30"/>
    </row>
    <row r="32" spans="1:16" ht="16.05" customHeight="1" x14ac:dyDescent="0.3">
      <c r="A32" s="28">
        <v>29</v>
      </c>
      <c r="B32" s="28" t="s">
        <v>547</v>
      </c>
      <c r="C32" s="28"/>
      <c r="D32" s="28"/>
      <c r="E32" s="28"/>
      <c r="F32" s="28"/>
      <c r="G32" s="28"/>
      <c r="H32" s="28"/>
      <c r="I32" s="28"/>
      <c r="J32" s="28"/>
      <c r="K32" s="28"/>
      <c r="L32" s="28"/>
      <c r="M32" s="28"/>
      <c r="N32" s="28"/>
      <c r="O32" s="28"/>
      <c r="P32" s="28"/>
    </row>
    <row r="33" spans="1:16" ht="16.05" customHeight="1" x14ac:dyDescent="0.3">
      <c r="A33" s="30">
        <v>30</v>
      </c>
      <c r="B33" s="30" t="s">
        <v>548</v>
      </c>
      <c r="C33" s="30"/>
      <c r="D33" s="30"/>
      <c r="E33" s="30"/>
      <c r="F33" s="30"/>
      <c r="G33" s="30"/>
      <c r="H33" s="30"/>
      <c r="I33" s="30"/>
      <c r="J33" s="30"/>
      <c r="K33" s="30"/>
      <c r="L33" s="30"/>
      <c r="M33" s="30"/>
      <c r="N33" s="30"/>
      <c r="O33" s="30"/>
      <c r="P33" s="30"/>
    </row>
    <row r="34" spans="1:16" ht="16.05" customHeight="1" x14ac:dyDescent="0.3">
      <c r="A34" s="28">
        <v>31</v>
      </c>
      <c r="B34" s="28" t="s">
        <v>549</v>
      </c>
      <c r="C34" s="28"/>
      <c r="D34" s="28"/>
      <c r="E34" s="28"/>
      <c r="F34" s="28"/>
      <c r="G34" s="28"/>
      <c r="H34" s="28"/>
      <c r="I34" s="28"/>
      <c r="J34" s="28"/>
      <c r="K34" s="28"/>
      <c r="L34" s="28"/>
      <c r="M34" s="28"/>
      <c r="N34" s="28"/>
      <c r="O34" s="28"/>
      <c r="P34" s="28"/>
    </row>
    <row r="35" spans="1:16" ht="16.05" customHeight="1" x14ac:dyDescent="0.3">
      <c r="A35" s="30">
        <v>32</v>
      </c>
      <c r="B35" s="30" t="s">
        <v>550</v>
      </c>
      <c r="C35" s="30"/>
      <c r="D35" s="30"/>
      <c r="E35" s="30"/>
      <c r="F35" s="30"/>
      <c r="G35" s="30"/>
      <c r="H35" s="30"/>
      <c r="I35" s="30"/>
      <c r="J35" s="30"/>
      <c r="K35" s="30"/>
      <c r="L35" s="30"/>
      <c r="M35" s="30"/>
      <c r="N35" s="30"/>
      <c r="O35" s="30"/>
      <c r="P35" s="30"/>
    </row>
    <row r="36" spans="1:16" ht="16.05" customHeight="1" x14ac:dyDescent="0.3">
      <c r="A36" s="28">
        <v>33</v>
      </c>
      <c r="B36" s="28" t="s">
        <v>551</v>
      </c>
      <c r="C36" s="28"/>
      <c r="D36" s="28"/>
      <c r="E36" s="28"/>
      <c r="F36" s="28"/>
      <c r="G36" s="28"/>
      <c r="H36" s="28"/>
      <c r="I36" s="28"/>
      <c r="J36" s="28"/>
      <c r="K36" s="28"/>
      <c r="L36" s="28"/>
      <c r="M36" s="28"/>
      <c r="N36" s="28"/>
      <c r="O36" s="28"/>
      <c r="P36" s="28"/>
    </row>
    <row r="37" spans="1:16" ht="16.05" customHeight="1" x14ac:dyDescent="0.3">
      <c r="A37" s="30">
        <v>34</v>
      </c>
      <c r="B37" s="30" t="s">
        <v>552</v>
      </c>
      <c r="C37" s="30"/>
      <c r="D37" s="30"/>
      <c r="E37" s="30"/>
      <c r="F37" s="30"/>
      <c r="G37" s="30"/>
      <c r="H37" s="30"/>
      <c r="I37" s="30"/>
      <c r="J37" s="30"/>
      <c r="K37" s="30"/>
      <c r="L37" s="30"/>
      <c r="M37" s="30"/>
      <c r="N37" s="30"/>
      <c r="O37" s="30"/>
      <c r="P37" s="30"/>
    </row>
    <row r="38" spans="1:16" ht="16.05" customHeight="1" x14ac:dyDescent="0.3">
      <c r="A38" s="28">
        <v>35</v>
      </c>
      <c r="B38" s="28" t="s">
        <v>553</v>
      </c>
      <c r="C38" s="28"/>
      <c r="D38" s="28"/>
      <c r="E38" s="28"/>
      <c r="F38" s="28"/>
      <c r="G38" s="28"/>
      <c r="H38" s="28"/>
      <c r="I38" s="28"/>
      <c r="J38" s="28"/>
      <c r="K38" s="28"/>
      <c r="L38" s="28"/>
      <c r="M38" s="28"/>
      <c r="N38" s="28"/>
      <c r="O38" s="28"/>
      <c r="P38" s="28"/>
    </row>
    <row r="39" spans="1:16" ht="16.05" customHeight="1" x14ac:dyDescent="0.3">
      <c r="A39" s="30">
        <v>36</v>
      </c>
      <c r="B39" s="30" t="s">
        <v>554</v>
      </c>
      <c r="C39" s="30"/>
      <c r="D39" s="30"/>
      <c r="E39" s="30"/>
      <c r="F39" s="30"/>
      <c r="G39" s="30"/>
      <c r="H39" s="30"/>
      <c r="I39" s="30"/>
      <c r="J39" s="30"/>
      <c r="K39" s="30"/>
      <c r="L39" s="30"/>
      <c r="M39" s="30"/>
      <c r="N39" s="30"/>
      <c r="O39" s="30"/>
      <c r="P39" s="30"/>
    </row>
  </sheetData>
  <autoFilter ref="A3:P39" xr:uid="{00000000-0009-0000-0000-00001B000000}"/>
  <mergeCells count="2">
    <mergeCell ref="A1:P1"/>
    <mergeCell ref="A2:P2"/>
  </mergeCell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0000000-0002-0000-1B00-000000000000}">
          <x14:formula1>
            <xm:f>REF!$A$2:$A$37</xm:f>
          </x14:formula1>
          <xm:sqref>B4:B39</xm:sqref>
        </x14:dataValidation>
        <x14:dataValidation type="list" allowBlank="1" xr:uid="{00000000-0002-0000-1B00-000001000000}">
          <x14:formula1>
            <xm:f>REF!$C$2:$C$24</xm:f>
          </x14:formula1>
          <xm:sqref>C4:C39</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N363"/>
  <sheetViews>
    <sheetView showGridLines="0" workbookViewId="0">
      <pane xSplit="3" ySplit="3" topLeftCell="D4" activePane="bottomRight" state="frozen"/>
      <selection pane="topRight"/>
      <selection pane="bottomLeft"/>
      <selection pane="bottomRight" sqref="A1:N1"/>
    </sheetView>
  </sheetViews>
  <sheetFormatPr defaultRowHeight="14.4" x14ac:dyDescent="0.3"/>
  <cols>
    <col min="1" max="1" width="4" customWidth="1"/>
    <col min="2" max="2" width="22" customWidth="1"/>
    <col min="3" max="3" width="20" customWidth="1"/>
    <col min="4" max="5" width="13" customWidth="1"/>
    <col min="6" max="13" width="12" customWidth="1"/>
    <col min="14" max="14" width="22" customWidth="1"/>
  </cols>
  <sheetData>
    <row r="1" spans="1:14" ht="28.05" customHeight="1" x14ac:dyDescent="0.3">
      <c r="A1" s="45" t="s">
        <v>1759</v>
      </c>
      <c r="B1" s="33"/>
      <c r="C1" s="33"/>
      <c r="D1" s="33"/>
      <c r="E1" s="33"/>
      <c r="F1" s="33"/>
      <c r="G1" s="33"/>
      <c r="H1" s="33"/>
      <c r="I1" s="33"/>
      <c r="J1" s="33"/>
      <c r="K1" s="33"/>
      <c r="L1" s="33"/>
      <c r="M1" s="33"/>
      <c r="N1" s="33"/>
    </row>
    <row r="2" spans="1:14" ht="16.05" customHeight="1" x14ac:dyDescent="0.3">
      <c r="A2" s="39" t="s">
        <v>1760</v>
      </c>
      <c r="B2" s="33"/>
      <c r="C2" s="33"/>
      <c r="D2" s="33"/>
      <c r="E2" s="33"/>
      <c r="F2" s="33"/>
      <c r="G2" s="33"/>
      <c r="H2" s="33"/>
      <c r="I2" s="33"/>
      <c r="J2" s="33"/>
      <c r="K2" s="33"/>
      <c r="L2" s="33"/>
      <c r="M2" s="33"/>
      <c r="N2" s="33"/>
    </row>
    <row r="3" spans="1:14" ht="31.95" customHeight="1" x14ac:dyDescent="0.3">
      <c r="A3" s="27" t="s">
        <v>78</v>
      </c>
      <c r="B3" s="27" t="s">
        <v>192</v>
      </c>
      <c r="C3" s="27" t="s">
        <v>693</v>
      </c>
      <c r="D3" s="27" t="s">
        <v>1761</v>
      </c>
      <c r="E3" s="27" t="s">
        <v>695</v>
      </c>
      <c r="F3" s="27" t="s">
        <v>696</v>
      </c>
      <c r="G3" s="27" t="s">
        <v>697</v>
      </c>
      <c r="H3" s="27" t="s">
        <v>698</v>
      </c>
      <c r="I3" s="27" t="s">
        <v>699</v>
      </c>
      <c r="J3" s="27" t="s">
        <v>1762</v>
      </c>
      <c r="K3" s="27" t="s">
        <v>700</v>
      </c>
      <c r="L3" s="27" t="s">
        <v>701</v>
      </c>
      <c r="M3" s="27" t="s">
        <v>1763</v>
      </c>
      <c r="N3" s="27" t="s">
        <v>86</v>
      </c>
    </row>
    <row r="4" spans="1:14" ht="16.05" customHeight="1" x14ac:dyDescent="0.3">
      <c r="A4" s="28">
        <v>1</v>
      </c>
      <c r="B4" s="28" t="s">
        <v>519</v>
      </c>
      <c r="C4" s="28" t="s">
        <v>702</v>
      </c>
      <c r="D4" s="28"/>
      <c r="E4" s="28"/>
      <c r="F4" s="28"/>
      <c r="G4" s="28"/>
      <c r="H4" s="28"/>
      <c r="I4" s="28"/>
      <c r="J4" s="28"/>
      <c r="K4" s="28"/>
      <c r="L4" s="28"/>
      <c r="M4" s="28"/>
      <c r="N4" s="28"/>
    </row>
    <row r="5" spans="1:14" ht="16.05" customHeight="1" x14ac:dyDescent="0.3">
      <c r="A5" s="30">
        <v>2</v>
      </c>
      <c r="B5" s="30" t="s">
        <v>519</v>
      </c>
      <c r="C5" s="30" t="s">
        <v>703</v>
      </c>
      <c r="D5" s="30"/>
      <c r="E5" s="30"/>
      <c r="F5" s="30"/>
      <c r="G5" s="30"/>
      <c r="H5" s="30"/>
      <c r="I5" s="30"/>
      <c r="J5" s="30"/>
      <c r="K5" s="30"/>
      <c r="L5" s="30"/>
      <c r="M5" s="30"/>
      <c r="N5" s="30"/>
    </row>
    <row r="6" spans="1:14" ht="16.05" customHeight="1" x14ac:dyDescent="0.3">
      <c r="A6" s="28">
        <v>3</v>
      </c>
      <c r="B6" s="28" t="s">
        <v>519</v>
      </c>
      <c r="C6" s="28" t="s">
        <v>704</v>
      </c>
      <c r="D6" s="28"/>
      <c r="E6" s="28"/>
      <c r="F6" s="28"/>
      <c r="G6" s="28"/>
      <c r="H6" s="28"/>
      <c r="I6" s="28"/>
      <c r="J6" s="28"/>
      <c r="K6" s="28"/>
      <c r="L6" s="28"/>
      <c r="M6" s="28"/>
      <c r="N6" s="28"/>
    </row>
    <row r="7" spans="1:14" ht="16.05" customHeight="1" x14ac:dyDescent="0.3">
      <c r="A7" s="30">
        <v>4</v>
      </c>
      <c r="B7" s="30" t="s">
        <v>519</v>
      </c>
      <c r="C7" s="30" t="s">
        <v>705</v>
      </c>
      <c r="D7" s="30"/>
      <c r="E7" s="30"/>
      <c r="F7" s="30"/>
      <c r="G7" s="30"/>
      <c r="H7" s="30"/>
      <c r="I7" s="30"/>
      <c r="J7" s="30"/>
      <c r="K7" s="30"/>
      <c r="L7" s="30"/>
      <c r="M7" s="30"/>
      <c r="N7" s="30"/>
    </row>
    <row r="8" spans="1:14" ht="16.05" customHeight="1" x14ac:dyDescent="0.3">
      <c r="A8" s="28">
        <v>5</v>
      </c>
      <c r="B8" s="28" t="s">
        <v>519</v>
      </c>
      <c r="C8" s="28" t="s">
        <v>706</v>
      </c>
      <c r="D8" s="28"/>
      <c r="E8" s="28"/>
      <c r="F8" s="28"/>
      <c r="G8" s="28"/>
      <c r="H8" s="28"/>
      <c r="I8" s="28"/>
      <c r="J8" s="28"/>
      <c r="K8" s="28"/>
      <c r="L8" s="28"/>
      <c r="M8" s="28"/>
      <c r="N8" s="28"/>
    </row>
    <row r="9" spans="1:14" ht="16.05" customHeight="1" x14ac:dyDescent="0.3">
      <c r="A9" s="30">
        <v>6</v>
      </c>
      <c r="B9" s="30" t="s">
        <v>519</v>
      </c>
      <c r="C9" s="30" t="s">
        <v>707</v>
      </c>
      <c r="D9" s="30"/>
      <c r="E9" s="30"/>
      <c r="F9" s="30"/>
      <c r="G9" s="30"/>
      <c r="H9" s="30"/>
      <c r="I9" s="30"/>
      <c r="J9" s="30"/>
      <c r="K9" s="30"/>
      <c r="L9" s="30"/>
      <c r="M9" s="30"/>
      <c r="N9" s="30"/>
    </row>
    <row r="10" spans="1:14" ht="16.05" customHeight="1" x14ac:dyDescent="0.3">
      <c r="A10" s="28">
        <v>7</v>
      </c>
      <c r="B10" s="28" t="s">
        <v>519</v>
      </c>
      <c r="C10" s="28" t="s">
        <v>708</v>
      </c>
      <c r="D10" s="28"/>
      <c r="E10" s="28"/>
      <c r="F10" s="28"/>
      <c r="G10" s="28"/>
      <c r="H10" s="28"/>
      <c r="I10" s="28"/>
      <c r="J10" s="28"/>
      <c r="K10" s="28"/>
      <c r="L10" s="28"/>
      <c r="M10" s="28"/>
      <c r="N10" s="28"/>
    </row>
    <row r="11" spans="1:14" ht="16.05" customHeight="1" x14ac:dyDescent="0.3">
      <c r="A11" s="30">
        <v>8</v>
      </c>
      <c r="B11" s="30" t="s">
        <v>519</v>
      </c>
      <c r="C11" s="30" t="s">
        <v>709</v>
      </c>
      <c r="D11" s="30"/>
      <c r="E11" s="30"/>
      <c r="F11" s="30"/>
      <c r="G11" s="30"/>
      <c r="H11" s="30"/>
      <c r="I11" s="30"/>
      <c r="J11" s="30"/>
      <c r="K11" s="30"/>
      <c r="L11" s="30"/>
      <c r="M11" s="30"/>
      <c r="N11" s="30"/>
    </row>
    <row r="12" spans="1:14" ht="16.05" customHeight="1" x14ac:dyDescent="0.3">
      <c r="A12" s="28">
        <v>9</v>
      </c>
      <c r="B12" s="28" t="s">
        <v>519</v>
      </c>
      <c r="C12" s="28" t="s">
        <v>710</v>
      </c>
      <c r="D12" s="28"/>
      <c r="E12" s="28"/>
      <c r="F12" s="28"/>
      <c r="G12" s="28"/>
      <c r="H12" s="28"/>
      <c r="I12" s="28"/>
      <c r="J12" s="28"/>
      <c r="K12" s="28"/>
      <c r="L12" s="28"/>
      <c r="M12" s="28"/>
      <c r="N12" s="28"/>
    </row>
    <row r="13" spans="1:14" ht="16.05" customHeight="1" x14ac:dyDescent="0.3">
      <c r="A13" s="30">
        <v>10</v>
      </c>
      <c r="B13" s="30" t="s">
        <v>519</v>
      </c>
      <c r="C13" s="30" t="s">
        <v>711</v>
      </c>
      <c r="D13" s="30"/>
      <c r="E13" s="30"/>
      <c r="F13" s="30"/>
      <c r="G13" s="30"/>
      <c r="H13" s="30"/>
      <c r="I13" s="30"/>
      <c r="J13" s="30"/>
      <c r="K13" s="30"/>
      <c r="L13" s="30"/>
      <c r="M13" s="30"/>
      <c r="N13" s="30"/>
    </row>
    <row r="14" spans="1:14" ht="16.05" customHeight="1" x14ac:dyDescent="0.3">
      <c r="A14" s="28">
        <v>11</v>
      </c>
      <c r="B14" s="28" t="s">
        <v>520</v>
      </c>
      <c r="C14" s="28" t="s">
        <v>702</v>
      </c>
      <c r="D14" s="28"/>
      <c r="E14" s="28"/>
      <c r="F14" s="28"/>
      <c r="G14" s="28"/>
      <c r="H14" s="28"/>
      <c r="I14" s="28"/>
      <c r="J14" s="28"/>
      <c r="K14" s="28"/>
      <c r="L14" s="28"/>
      <c r="M14" s="28"/>
      <c r="N14" s="28"/>
    </row>
    <row r="15" spans="1:14" ht="16.05" customHeight="1" x14ac:dyDescent="0.3">
      <c r="A15" s="30">
        <v>12</v>
      </c>
      <c r="B15" s="30" t="s">
        <v>520</v>
      </c>
      <c r="C15" s="30" t="s">
        <v>703</v>
      </c>
      <c r="D15" s="30"/>
      <c r="E15" s="30"/>
      <c r="F15" s="30"/>
      <c r="G15" s="30"/>
      <c r="H15" s="30"/>
      <c r="I15" s="30"/>
      <c r="J15" s="30"/>
      <c r="K15" s="30"/>
      <c r="L15" s="30"/>
      <c r="M15" s="30"/>
      <c r="N15" s="30"/>
    </row>
    <row r="16" spans="1:14" ht="16.05" customHeight="1" x14ac:dyDescent="0.3">
      <c r="A16" s="28">
        <v>13</v>
      </c>
      <c r="B16" s="28" t="s">
        <v>520</v>
      </c>
      <c r="C16" s="28" t="s">
        <v>704</v>
      </c>
      <c r="D16" s="28"/>
      <c r="E16" s="28"/>
      <c r="F16" s="28"/>
      <c r="G16" s="28"/>
      <c r="H16" s="28"/>
      <c r="I16" s="28"/>
      <c r="J16" s="28"/>
      <c r="K16" s="28"/>
      <c r="L16" s="28"/>
      <c r="M16" s="28"/>
      <c r="N16" s="28"/>
    </row>
    <row r="17" spans="1:14" ht="16.05" customHeight="1" x14ac:dyDescent="0.3">
      <c r="A17" s="30">
        <v>14</v>
      </c>
      <c r="B17" s="30" t="s">
        <v>520</v>
      </c>
      <c r="C17" s="30" t="s">
        <v>705</v>
      </c>
      <c r="D17" s="30"/>
      <c r="E17" s="30"/>
      <c r="F17" s="30"/>
      <c r="G17" s="30"/>
      <c r="H17" s="30"/>
      <c r="I17" s="30"/>
      <c r="J17" s="30"/>
      <c r="K17" s="30"/>
      <c r="L17" s="30"/>
      <c r="M17" s="30"/>
      <c r="N17" s="30"/>
    </row>
    <row r="18" spans="1:14" ht="16.05" customHeight="1" x14ac:dyDescent="0.3">
      <c r="A18" s="28">
        <v>15</v>
      </c>
      <c r="B18" s="28" t="s">
        <v>520</v>
      </c>
      <c r="C18" s="28" t="s">
        <v>706</v>
      </c>
      <c r="D18" s="28"/>
      <c r="E18" s="28"/>
      <c r="F18" s="28"/>
      <c r="G18" s="28"/>
      <c r="H18" s="28"/>
      <c r="I18" s="28"/>
      <c r="J18" s="28"/>
      <c r="K18" s="28"/>
      <c r="L18" s="28"/>
      <c r="M18" s="28"/>
      <c r="N18" s="28"/>
    </row>
    <row r="19" spans="1:14" ht="16.05" customHeight="1" x14ac:dyDescent="0.3">
      <c r="A19" s="30">
        <v>16</v>
      </c>
      <c r="B19" s="30" t="s">
        <v>520</v>
      </c>
      <c r="C19" s="30" t="s">
        <v>707</v>
      </c>
      <c r="D19" s="30"/>
      <c r="E19" s="30"/>
      <c r="F19" s="30"/>
      <c r="G19" s="30"/>
      <c r="H19" s="30"/>
      <c r="I19" s="30"/>
      <c r="J19" s="30"/>
      <c r="K19" s="30"/>
      <c r="L19" s="30"/>
      <c r="M19" s="30"/>
      <c r="N19" s="30"/>
    </row>
    <row r="20" spans="1:14" ht="16.05" customHeight="1" x14ac:dyDescent="0.3">
      <c r="A20" s="28">
        <v>17</v>
      </c>
      <c r="B20" s="28" t="s">
        <v>520</v>
      </c>
      <c r="C20" s="28" t="s">
        <v>708</v>
      </c>
      <c r="D20" s="28"/>
      <c r="E20" s="28"/>
      <c r="F20" s="28"/>
      <c r="G20" s="28"/>
      <c r="H20" s="28"/>
      <c r="I20" s="28"/>
      <c r="J20" s="28"/>
      <c r="K20" s="28"/>
      <c r="L20" s="28"/>
      <c r="M20" s="28"/>
      <c r="N20" s="28"/>
    </row>
    <row r="21" spans="1:14" ht="16.05" customHeight="1" x14ac:dyDescent="0.3">
      <c r="A21" s="30">
        <v>18</v>
      </c>
      <c r="B21" s="30" t="s">
        <v>520</v>
      </c>
      <c r="C21" s="30" t="s">
        <v>709</v>
      </c>
      <c r="D21" s="30"/>
      <c r="E21" s="30"/>
      <c r="F21" s="30"/>
      <c r="G21" s="30"/>
      <c r="H21" s="30"/>
      <c r="I21" s="30"/>
      <c r="J21" s="30"/>
      <c r="K21" s="30"/>
      <c r="L21" s="30"/>
      <c r="M21" s="30"/>
      <c r="N21" s="30"/>
    </row>
    <row r="22" spans="1:14" ht="16.05" customHeight="1" x14ac:dyDescent="0.3">
      <c r="A22" s="28">
        <v>19</v>
      </c>
      <c r="B22" s="28" t="s">
        <v>520</v>
      </c>
      <c r="C22" s="28" t="s">
        <v>710</v>
      </c>
      <c r="D22" s="28"/>
      <c r="E22" s="28"/>
      <c r="F22" s="28"/>
      <c r="G22" s="28"/>
      <c r="H22" s="28"/>
      <c r="I22" s="28"/>
      <c r="J22" s="28"/>
      <c r="K22" s="28"/>
      <c r="L22" s="28"/>
      <c r="M22" s="28"/>
      <c r="N22" s="28"/>
    </row>
    <row r="23" spans="1:14" ht="16.05" customHeight="1" x14ac:dyDescent="0.3">
      <c r="A23" s="30">
        <v>20</v>
      </c>
      <c r="B23" s="30" t="s">
        <v>520</v>
      </c>
      <c r="C23" s="30" t="s">
        <v>711</v>
      </c>
      <c r="D23" s="30"/>
      <c r="E23" s="30"/>
      <c r="F23" s="30"/>
      <c r="G23" s="30"/>
      <c r="H23" s="30"/>
      <c r="I23" s="30"/>
      <c r="J23" s="30"/>
      <c r="K23" s="30"/>
      <c r="L23" s="30"/>
      <c r="M23" s="30"/>
      <c r="N23" s="30"/>
    </row>
    <row r="24" spans="1:14" ht="16.05" customHeight="1" x14ac:dyDescent="0.3">
      <c r="A24" s="28">
        <v>21</v>
      </c>
      <c r="B24" s="28" t="s">
        <v>521</v>
      </c>
      <c r="C24" s="28" t="s">
        <v>702</v>
      </c>
      <c r="D24" s="28"/>
      <c r="E24" s="28"/>
      <c r="F24" s="28"/>
      <c r="G24" s="28"/>
      <c r="H24" s="28"/>
      <c r="I24" s="28"/>
      <c r="J24" s="28"/>
      <c r="K24" s="28"/>
      <c r="L24" s="28"/>
      <c r="M24" s="28"/>
      <c r="N24" s="28"/>
    </row>
    <row r="25" spans="1:14" ht="16.05" customHeight="1" x14ac:dyDescent="0.3">
      <c r="A25" s="30">
        <v>22</v>
      </c>
      <c r="B25" s="30" t="s">
        <v>521</v>
      </c>
      <c r="C25" s="30" t="s">
        <v>703</v>
      </c>
      <c r="D25" s="30"/>
      <c r="E25" s="30"/>
      <c r="F25" s="30"/>
      <c r="G25" s="30"/>
      <c r="H25" s="30"/>
      <c r="I25" s="30"/>
      <c r="J25" s="30"/>
      <c r="K25" s="30"/>
      <c r="L25" s="30"/>
      <c r="M25" s="30"/>
      <c r="N25" s="30"/>
    </row>
    <row r="26" spans="1:14" ht="16.05" customHeight="1" x14ac:dyDescent="0.3">
      <c r="A26" s="28">
        <v>23</v>
      </c>
      <c r="B26" s="28" t="s">
        <v>521</v>
      </c>
      <c r="C26" s="28" t="s">
        <v>704</v>
      </c>
      <c r="D26" s="28"/>
      <c r="E26" s="28"/>
      <c r="F26" s="28"/>
      <c r="G26" s="28"/>
      <c r="H26" s="28"/>
      <c r="I26" s="28"/>
      <c r="J26" s="28"/>
      <c r="K26" s="28"/>
      <c r="L26" s="28"/>
      <c r="M26" s="28"/>
      <c r="N26" s="28"/>
    </row>
    <row r="27" spans="1:14" ht="16.05" customHeight="1" x14ac:dyDescent="0.3">
      <c r="A27" s="30">
        <v>24</v>
      </c>
      <c r="B27" s="30" t="s">
        <v>521</v>
      </c>
      <c r="C27" s="30" t="s">
        <v>705</v>
      </c>
      <c r="D27" s="30"/>
      <c r="E27" s="30"/>
      <c r="F27" s="30"/>
      <c r="G27" s="30"/>
      <c r="H27" s="30"/>
      <c r="I27" s="30"/>
      <c r="J27" s="30"/>
      <c r="K27" s="30"/>
      <c r="L27" s="30"/>
      <c r="M27" s="30"/>
      <c r="N27" s="30"/>
    </row>
    <row r="28" spans="1:14" ht="16.05" customHeight="1" x14ac:dyDescent="0.3">
      <c r="A28" s="28">
        <v>25</v>
      </c>
      <c r="B28" s="28" t="s">
        <v>521</v>
      </c>
      <c r="C28" s="28" t="s">
        <v>706</v>
      </c>
      <c r="D28" s="28"/>
      <c r="E28" s="28"/>
      <c r="F28" s="28"/>
      <c r="G28" s="28"/>
      <c r="H28" s="28"/>
      <c r="I28" s="28"/>
      <c r="J28" s="28"/>
      <c r="K28" s="28"/>
      <c r="L28" s="28"/>
      <c r="M28" s="28"/>
      <c r="N28" s="28"/>
    </row>
    <row r="29" spans="1:14" ht="16.05" customHeight="1" x14ac:dyDescent="0.3">
      <c r="A29" s="30">
        <v>26</v>
      </c>
      <c r="B29" s="30" t="s">
        <v>521</v>
      </c>
      <c r="C29" s="30" t="s">
        <v>707</v>
      </c>
      <c r="D29" s="30"/>
      <c r="E29" s="30"/>
      <c r="F29" s="30"/>
      <c r="G29" s="30"/>
      <c r="H29" s="30"/>
      <c r="I29" s="30"/>
      <c r="J29" s="30"/>
      <c r="K29" s="30"/>
      <c r="L29" s="30"/>
      <c r="M29" s="30"/>
      <c r="N29" s="30"/>
    </row>
    <row r="30" spans="1:14" ht="16.05" customHeight="1" x14ac:dyDescent="0.3">
      <c r="A30" s="28">
        <v>27</v>
      </c>
      <c r="B30" s="28" t="s">
        <v>521</v>
      </c>
      <c r="C30" s="28" t="s">
        <v>708</v>
      </c>
      <c r="D30" s="28"/>
      <c r="E30" s="28"/>
      <c r="F30" s="28"/>
      <c r="G30" s="28"/>
      <c r="H30" s="28"/>
      <c r="I30" s="28"/>
      <c r="J30" s="28"/>
      <c r="K30" s="28"/>
      <c r="L30" s="28"/>
      <c r="M30" s="28"/>
      <c r="N30" s="28"/>
    </row>
    <row r="31" spans="1:14" ht="16.05" customHeight="1" x14ac:dyDescent="0.3">
      <c r="A31" s="30">
        <v>28</v>
      </c>
      <c r="B31" s="30" t="s">
        <v>521</v>
      </c>
      <c r="C31" s="30" t="s">
        <v>709</v>
      </c>
      <c r="D31" s="30"/>
      <c r="E31" s="30"/>
      <c r="F31" s="30"/>
      <c r="G31" s="30"/>
      <c r="H31" s="30"/>
      <c r="I31" s="30"/>
      <c r="J31" s="30"/>
      <c r="K31" s="30"/>
      <c r="L31" s="30"/>
      <c r="M31" s="30"/>
      <c r="N31" s="30"/>
    </row>
    <row r="32" spans="1:14" ht="16.05" customHeight="1" x14ac:dyDescent="0.3">
      <c r="A32" s="28">
        <v>29</v>
      </c>
      <c r="B32" s="28" t="s">
        <v>521</v>
      </c>
      <c r="C32" s="28" t="s">
        <v>710</v>
      </c>
      <c r="D32" s="28"/>
      <c r="E32" s="28"/>
      <c r="F32" s="28"/>
      <c r="G32" s="28"/>
      <c r="H32" s="28"/>
      <c r="I32" s="28"/>
      <c r="J32" s="28"/>
      <c r="K32" s="28"/>
      <c r="L32" s="28"/>
      <c r="M32" s="28"/>
      <c r="N32" s="28"/>
    </row>
    <row r="33" spans="1:14" ht="16.05" customHeight="1" x14ac:dyDescent="0.3">
      <c r="A33" s="30">
        <v>30</v>
      </c>
      <c r="B33" s="30" t="s">
        <v>521</v>
      </c>
      <c r="C33" s="30" t="s">
        <v>711</v>
      </c>
      <c r="D33" s="30"/>
      <c r="E33" s="30"/>
      <c r="F33" s="30"/>
      <c r="G33" s="30"/>
      <c r="H33" s="30"/>
      <c r="I33" s="30"/>
      <c r="J33" s="30"/>
      <c r="K33" s="30"/>
      <c r="L33" s="30"/>
      <c r="M33" s="30"/>
      <c r="N33" s="30"/>
    </row>
    <row r="34" spans="1:14" ht="16.05" customHeight="1" x14ac:dyDescent="0.3">
      <c r="A34" s="28">
        <v>31</v>
      </c>
      <c r="B34" s="28" t="s">
        <v>522</v>
      </c>
      <c r="C34" s="28" t="s">
        <v>702</v>
      </c>
      <c r="D34" s="28"/>
      <c r="E34" s="28"/>
      <c r="F34" s="28"/>
      <c r="G34" s="28"/>
      <c r="H34" s="28"/>
      <c r="I34" s="28"/>
      <c r="J34" s="28"/>
      <c r="K34" s="28"/>
      <c r="L34" s="28"/>
      <c r="M34" s="28"/>
      <c r="N34" s="28"/>
    </row>
    <row r="35" spans="1:14" ht="16.05" customHeight="1" x14ac:dyDescent="0.3">
      <c r="A35" s="30">
        <v>32</v>
      </c>
      <c r="B35" s="30" t="s">
        <v>522</v>
      </c>
      <c r="C35" s="30" t="s">
        <v>703</v>
      </c>
      <c r="D35" s="30"/>
      <c r="E35" s="30"/>
      <c r="F35" s="30"/>
      <c r="G35" s="30"/>
      <c r="H35" s="30"/>
      <c r="I35" s="30"/>
      <c r="J35" s="30"/>
      <c r="K35" s="30"/>
      <c r="L35" s="30"/>
      <c r="M35" s="30"/>
      <c r="N35" s="30"/>
    </row>
    <row r="36" spans="1:14" ht="16.05" customHeight="1" x14ac:dyDescent="0.3">
      <c r="A36" s="28">
        <v>33</v>
      </c>
      <c r="B36" s="28" t="s">
        <v>522</v>
      </c>
      <c r="C36" s="28" t="s">
        <v>704</v>
      </c>
      <c r="D36" s="28"/>
      <c r="E36" s="28"/>
      <c r="F36" s="28"/>
      <c r="G36" s="28"/>
      <c r="H36" s="28"/>
      <c r="I36" s="28"/>
      <c r="J36" s="28"/>
      <c r="K36" s="28"/>
      <c r="L36" s="28"/>
      <c r="M36" s="28"/>
      <c r="N36" s="28"/>
    </row>
    <row r="37" spans="1:14" ht="16.05" customHeight="1" x14ac:dyDescent="0.3">
      <c r="A37" s="30">
        <v>34</v>
      </c>
      <c r="B37" s="30" t="s">
        <v>522</v>
      </c>
      <c r="C37" s="30" t="s">
        <v>705</v>
      </c>
      <c r="D37" s="30"/>
      <c r="E37" s="30"/>
      <c r="F37" s="30"/>
      <c r="G37" s="30"/>
      <c r="H37" s="30"/>
      <c r="I37" s="30"/>
      <c r="J37" s="30"/>
      <c r="K37" s="30"/>
      <c r="L37" s="30"/>
      <c r="M37" s="30"/>
      <c r="N37" s="30"/>
    </row>
    <row r="38" spans="1:14" ht="16.05" customHeight="1" x14ac:dyDescent="0.3">
      <c r="A38" s="28">
        <v>35</v>
      </c>
      <c r="B38" s="28" t="s">
        <v>522</v>
      </c>
      <c r="C38" s="28" t="s">
        <v>706</v>
      </c>
      <c r="D38" s="28"/>
      <c r="E38" s="28"/>
      <c r="F38" s="28"/>
      <c r="G38" s="28"/>
      <c r="H38" s="28"/>
      <c r="I38" s="28"/>
      <c r="J38" s="28"/>
      <c r="K38" s="28"/>
      <c r="L38" s="28"/>
      <c r="M38" s="28"/>
      <c r="N38" s="28"/>
    </row>
    <row r="39" spans="1:14" ht="16.05" customHeight="1" x14ac:dyDescent="0.3">
      <c r="A39" s="30">
        <v>36</v>
      </c>
      <c r="B39" s="30" t="s">
        <v>522</v>
      </c>
      <c r="C39" s="30" t="s">
        <v>707</v>
      </c>
      <c r="D39" s="30"/>
      <c r="E39" s="30"/>
      <c r="F39" s="30"/>
      <c r="G39" s="30"/>
      <c r="H39" s="30"/>
      <c r="I39" s="30"/>
      <c r="J39" s="30"/>
      <c r="K39" s="30"/>
      <c r="L39" s="30"/>
      <c r="M39" s="30"/>
      <c r="N39" s="30"/>
    </row>
    <row r="40" spans="1:14" ht="16.05" customHeight="1" x14ac:dyDescent="0.3">
      <c r="A40" s="28">
        <v>37</v>
      </c>
      <c r="B40" s="28" t="s">
        <v>522</v>
      </c>
      <c r="C40" s="28" t="s">
        <v>708</v>
      </c>
      <c r="D40" s="28"/>
      <c r="E40" s="28"/>
      <c r="F40" s="28"/>
      <c r="G40" s="28"/>
      <c r="H40" s="28"/>
      <c r="I40" s="28"/>
      <c r="J40" s="28"/>
      <c r="K40" s="28"/>
      <c r="L40" s="28"/>
      <c r="M40" s="28"/>
      <c r="N40" s="28"/>
    </row>
    <row r="41" spans="1:14" ht="16.05" customHeight="1" x14ac:dyDescent="0.3">
      <c r="A41" s="30">
        <v>38</v>
      </c>
      <c r="B41" s="30" t="s">
        <v>522</v>
      </c>
      <c r="C41" s="30" t="s">
        <v>709</v>
      </c>
      <c r="D41" s="30"/>
      <c r="E41" s="30"/>
      <c r="F41" s="30"/>
      <c r="G41" s="30"/>
      <c r="H41" s="30"/>
      <c r="I41" s="30"/>
      <c r="J41" s="30"/>
      <c r="K41" s="30"/>
      <c r="L41" s="30"/>
      <c r="M41" s="30"/>
      <c r="N41" s="30"/>
    </row>
    <row r="42" spans="1:14" ht="16.05" customHeight="1" x14ac:dyDescent="0.3">
      <c r="A42" s="28">
        <v>39</v>
      </c>
      <c r="B42" s="28" t="s">
        <v>522</v>
      </c>
      <c r="C42" s="28" t="s">
        <v>710</v>
      </c>
      <c r="D42" s="28"/>
      <c r="E42" s="28"/>
      <c r="F42" s="28"/>
      <c r="G42" s="28"/>
      <c r="H42" s="28"/>
      <c r="I42" s="28"/>
      <c r="J42" s="28"/>
      <c r="K42" s="28"/>
      <c r="L42" s="28"/>
      <c r="M42" s="28"/>
      <c r="N42" s="28"/>
    </row>
    <row r="43" spans="1:14" ht="16.05" customHeight="1" x14ac:dyDescent="0.3">
      <c r="A43" s="30">
        <v>40</v>
      </c>
      <c r="B43" s="30" t="s">
        <v>522</v>
      </c>
      <c r="C43" s="30" t="s">
        <v>711</v>
      </c>
      <c r="D43" s="30"/>
      <c r="E43" s="30"/>
      <c r="F43" s="30"/>
      <c r="G43" s="30"/>
      <c r="H43" s="30"/>
      <c r="I43" s="30"/>
      <c r="J43" s="30"/>
      <c r="K43" s="30"/>
      <c r="L43" s="30"/>
      <c r="M43" s="30"/>
      <c r="N43" s="30"/>
    </row>
    <row r="44" spans="1:14" ht="16.05" customHeight="1" x14ac:dyDescent="0.3">
      <c r="A44" s="28">
        <v>41</v>
      </c>
      <c r="B44" s="28" t="s">
        <v>523</v>
      </c>
      <c r="C44" s="28" t="s">
        <v>702</v>
      </c>
      <c r="D44" s="28"/>
      <c r="E44" s="28"/>
      <c r="F44" s="28"/>
      <c r="G44" s="28"/>
      <c r="H44" s="28"/>
      <c r="I44" s="28"/>
      <c r="J44" s="28"/>
      <c r="K44" s="28"/>
      <c r="L44" s="28"/>
      <c r="M44" s="28"/>
      <c r="N44" s="28"/>
    </row>
    <row r="45" spans="1:14" ht="16.05" customHeight="1" x14ac:dyDescent="0.3">
      <c r="A45" s="30">
        <v>42</v>
      </c>
      <c r="B45" s="30" t="s">
        <v>523</v>
      </c>
      <c r="C45" s="30" t="s">
        <v>703</v>
      </c>
      <c r="D45" s="30"/>
      <c r="E45" s="30"/>
      <c r="F45" s="30"/>
      <c r="G45" s="30"/>
      <c r="H45" s="30"/>
      <c r="I45" s="30"/>
      <c r="J45" s="30"/>
      <c r="K45" s="30"/>
      <c r="L45" s="30"/>
      <c r="M45" s="30"/>
      <c r="N45" s="30"/>
    </row>
    <row r="46" spans="1:14" ht="16.05" customHeight="1" x14ac:dyDescent="0.3">
      <c r="A46" s="28">
        <v>43</v>
      </c>
      <c r="B46" s="28" t="s">
        <v>523</v>
      </c>
      <c r="C46" s="28" t="s">
        <v>704</v>
      </c>
      <c r="D46" s="28"/>
      <c r="E46" s="28"/>
      <c r="F46" s="28"/>
      <c r="G46" s="28"/>
      <c r="H46" s="28"/>
      <c r="I46" s="28"/>
      <c r="J46" s="28"/>
      <c r="K46" s="28"/>
      <c r="L46" s="28"/>
      <c r="M46" s="28"/>
      <c r="N46" s="28"/>
    </row>
    <row r="47" spans="1:14" ht="16.05" customHeight="1" x14ac:dyDescent="0.3">
      <c r="A47" s="30">
        <v>44</v>
      </c>
      <c r="B47" s="30" t="s">
        <v>523</v>
      </c>
      <c r="C47" s="30" t="s">
        <v>705</v>
      </c>
      <c r="D47" s="30"/>
      <c r="E47" s="30"/>
      <c r="F47" s="30"/>
      <c r="G47" s="30"/>
      <c r="H47" s="30"/>
      <c r="I47" s="30"/>
      <c r="J47" s="30"/>
      <c r="K47" s="30"/>
      <c r="L47" s="30"/>
      <c r="M47" s="30"/>
      <c r="N47" s="30"/>
    </row>
    <row r="48" spans="1:14" ht="16.05" customHeight="1" x14ac:dyDescent="0.3">
      <c r="A48" s="28">
        <v>45</v>
      </c>
      <c r="B48" s="28" t="s">
        <v>523</v>
      </c>
      <c r="C48" s="28" t="s">
        <v>706</v>
      </c>
      <c r="D48" s="28"/>
      <c r="E48" s="28"/>
      <c r="F48" s="28"/>
      <c r="G48" s="28"/>
      <c r="H48" s="28"/>
      <c r="I48" s="28"/>
      <c r="J48" s="28"/>
      <c r="K48" s="28"/>
      <c r="L48" s="28"/>
      <c r="M48" s="28"/>
      <c r="N48" s="28"/>
    </row>
    <row r="49" spans="1:14" ht="16.05" customHeight="1" x14ac:dyDescent="0.3">
      <c r="A49" s="30">
        <v>46</v>
      </c>
      <c r="B49" s="30" t="s">
        <v>523</v>
      </c>
      <c r="C49" s="30" t="s">
        <v>707</v>
      </c>
      <c r="D49" s="30"/>
      <c r="E49" s="30"/>
      <c r="F49" s="30"/>
      <c r="G49" s="30"/>
      <c r="H49" s="30"/>
      <c r="I49" s="30"/>
      <c r="J49" s="30"/>
      <c r="K49" s="30"/>
      <c r="L49" s="30"/>
      <c r="M49" s="30"/>
      <c r="N49" s="30"/>
    </row>
    <row r="50" spans="1:14" ht="16.05" customHeight="1" x14ac:dyDescent="0.3">
      <c r="A50" s="28">
        <v>47</v>
      </c>
      <c r="B50" s="28" t="s">
        <v>523</v>
      </c>
      <c r="C50" s="28" t="s">
        <v>708</v>
      </c>
      <c r="D50" s="28"/>
      <c r="E50" s="28"/>
      <c r="F50" s="28"/>
      <c r="G50" s="28"/>
      <c r="H50" s="28"/>
      <c r="I50" s="28"/>
      <c r="J50" s="28"/>
      <c r="K50" s="28"/>
      <c r="L50" s="28"/>
      <c r="M50" s="28"/>
      <c r="N50" s="28"/>
    </row>
    <row r="51" spans="1:14" ht="16.05" customHeight="1" x14ac:dyDescent="0.3">
      <c r="A51" s="30">
        <v>48</v>
      </c>
      <c r="B51" s="30" t="s">
        <v>523</v>
      </c>
      <c r="C51" s="30" t="s">
        <v>709</v>
      </c>
      <c r="D51" s="30"/>
      <c r="E51" s="30"/>
      <c r="F51" s="30"/>
      <c r="G51" s="30"/>
      <c r="H51" s="30"/>
      <c r="I51" s="30"/>
      <c r="J51" s="30"/>
      <c r="K51" s="30"/>
      <c r="L51" s="30"/>
      <c r="M51" s="30"/>
      <c r="N51" s="30"/>
    </row>
    <row r="52" spans="1:14" ht="16.05" customHeight="1" x14ac:dyDescent="0.3">
      <c r="A52" s="28">
        <v>49</v>
      </c>
      <c r="B52" s="28" t="s">
        <v>523</v>
      </c>
      <c r="C52" s="28" t="s">
        <v>710</v>
      </c>
      <c r="D52" s="28"/>
      <c r="E52" s="28"/>
      <c r="F52" s="28"/>
      <c r="G52" s="28"/>
      <c r="H52" s="28"/>
      <c r="I52" s="28"/>
      <c r="J52" s="28"/>
      <c r="K52" s="28"/>
      <c r="L52" s="28"/>
      <c r="M52" s="28"/>
      <c r="N52" s="28"/>
    </row>
    <row r="53" spans="1:14" ht="16.05" customHeight="1" x14ac:dyDescent="0.3">
      <c r="A53" s="30">
        <v>50</v>
      </c>
      <c r="B53" s="30" t="s">
        <v>523</v>
      </c>
      <c r="C53" s="30" t="s">
        <v>711</v>
      </c>
      <c r="D53" s="30"/>
      <c r="E53" s="30"/>
      <c r="F53" s="30"/>
      <c r="G53" s="30"/>
      <c r="H53" s="30"/>
      <c r="I53" s="30"/>
      <c r="J53" s="30"/>
      <c r="K53" s="30"/>
      <c r="L53" s="30"/>
      <c r="M53" s="30"/>
      <c r="N53" s="30"/>
    </row>
    <row r="54" spans="1:14" ht="16.05" customHeight="1" x14ac:dyDescent="0.3">
      <c r="A54" s="28">
        <v>51</v>
      </c>
      <c r="B54" s="28" t="s">
        <v>524</v>
      </c>
      <c r="C54" s="28" t="s">
        <v>702</v>
      </c>
      <c r="D54" s="28"/>
      <c r="E54" s="28"/>
      <c r="F54" s="28"/>
      <c r="G54" s="28"/>
      <c r="H54" s="28"/>
      <c r="I54" s="28"/>
      <c r="J54" s="28"/>
      <c r="K54" s="28"/>
      <c r="L54" s="28"/>
      <c r="M54" s="28"/>
      <c r="N54" s="28"/>
    </row>
    <row r="55" spans="1:14" ht="16.05" customHeight="1" x14ac:dyDescent="0.3">
      <c r="A55" s="30">
        <v>52</v>
      </c>
      <c r="B55" s="30" t="s">
        <v>524</v>
      </c>
      <c r="C55" s="30" t="s">
        <v>703</v>
      </c>
      <c r="D55" s="30"/>
      <c r="E55" s="30"/>
      <c r="F55" s="30"/>
      <c r="G55" s="30"/>
      <c r="H55" s="30"/>
      <c r="I55" s="30"/>
      <c r="J55" s="30"/>
      <c r="K55" s="30"/>
      <c r="L55" s="30"/>
      <c r="M55" s="30"/>
      <c r="N55" s="30"/>
    </row>
    <row r="56" spans="1:14" ht="16.05" customHeight="1" x14ac:dyDescent="0.3">
      <c r="A56" s="28">
        <v>53</v>
      </c>
      <c r="B56" s="28" t="s">
        <v>524</v>
      </c>
      <c r="C56" s="28" t="s">
        <v>704</v>
      </c>
      <c r="D56" s="28"/>
      <c r="E56" s="28"/>
      <c r="F56" s="28"/>
      <c r="G56" s="28"/>
      <c r="H56" s="28"/>
      <c r="I56" s="28"/>
      <c r="J56" s="28"/>
      <c r="K56" s="28"/>
      <c r="L56" s="28"/>
      <c r="M56" s="28"/>
      <c r="N56" s="28"/>
    </row>
    <row r="57" spans="1:14" ht="16.05" customHeight="1" x14ac:dyDescent="0.3">
      <c r="A57" s="30">
        <v>54</v>
      </c>
      <c r="B57" s="30" t="s">
        <v>524</v>
      </c>
      <c r="C57" s="30" t="s">
        <v>705</v>
      </c>
      <c r="D57" s="30"/>
      <c r="E57" s="30"/>
      <c r="F57" s="30"/>
      <c r="G57" s="30"/>
      <c r="H57" s="30"/>
      <c r="I57" s="30"/>
      <c r="J57" s="30"/>
      <c r="K57" s="30"/>
      <c r="L57" s="30"/>
      <c r="M57" s="30"/>
      <c r="N57" s="30"/>
    </row>
    <row r="58" spans="1:14" ht="16.05" customHeight="1" x14ac:dyDescent="0.3">
      <c r="A58" s="28">
        <v>55</v>
      </c>
      <c r="B58" s="28" t="s">
        <v>524</v>
      </c>
      <c r="C58" s="28" t="s">
        <v>706</v>
      </c>
      <c r="D58" s="28"/>
      <c r="E58" s="28"/>
      <c r="F58" s="28"/>
      <c r="G58" s="28"/>
      <c r="H58" s="28"/>
      <c r="I58" s="28"/>
      <c r="J58" s="28"/>
      <c r="K58" s="28"/>
      <c r="L58" s="28"/>
      <c r="M58" s="28"/>
      <c r="N58" s="28"/>
    </row>
    <row r="59" spans="1:14" ht="16.05" customHeight="1" x14ac:dyDescent="0.3">
      <c r="A59" s="30">
        <v>56</v>
      </c>
      <c r="B59" s="30" t="s">
        <v>524</v>
      </c>
      <c r="C59" s="30" t="s">
        <v>707</v>
      </c>
      <c r="D59" s="30"/>
      <c r="E59" s="30"/>
      <c r="F59" s="30"/>
      <c r="G59" s="30"/>
      <c r="H59" s="30"/>
      <c r="I59" s="30"/>
      <c r="J59" s="30"/>
      <c r="K59" s="30"/>
      <c r="L59" s="30"/>
      <c r="M59" s="30"/>
      <c r="N59" s="30"/>
    </row>
    <row r="60" spans="1:14" ht="16.05" customHeight="1" x14ac:dyDescent="0.3">
      <c r="A60" s="28">
        <v>57</v>
      </c>
      <c r="B60" s="28" t="s">
        <v>524</v>
      </c>
      <c r="C60" s="28" t="s">
        <v>708</v>
      </c>
      <c r="D60" s="28"/>
      <c r="E60" s="28"/>
      <c r="F60" s="28"/>
      <c r="G60" s="28"/>
      <c r="H60" s="28"/>
      <c r="I60" s="28"/>
      <c r="J60" s="28"/>
      <c r="K60" s="28"/>
      <c r="L60" s="28"/>
      <c r="M60" s="28"/>
      <c r="N60" s="28"/>
    </row>
    <row r="61" spans="1:14" ht="16.05" customHeight="1" x14ac:dyDescent="0.3">
      <c r="A61" s="30">
        <v>58</v>
      </c>
      <c r="B61" s="30" t="s">
        <v>524</v>
      </c>
      <c r="C61" s="30" t="s">
        <v>709</v>
      </c>
      <c r="D61" s="30"/>
      <c r="E61" s="30"/>
      <c r="F61" s="30"/>
      <c r="G61" s="30"/>
      <c r="H61" s="30"/>
      <c r="I61" s="30"/>
      <c r="J61" s="30"/>
      <c r="K61" s="30"/>
      <c r="L61" s="30"/>
      <c r="M61" s="30"/>
      <c r="N61" s="30"/>
    </row>
    <row r="62" spans="1:14" ht="16.05" customHeight="1" x14ac:dyDescent="0.3">
      <c r="A62" s="28">
        <v>59</v>
      </c>
      <c r="B62" s="28" t="s">
        <v>524</v>
      </c>
      <c r="C62" s="28" t="s">
        <v>710</v>
      </c>
      <c r="D62" s="28"/>
      <c r="E62" s="28"/>
      <c r="F62" s="28"/>
      <c r="G62" s="28"/>
      <c r="H62" s="28"/>
      <c r="I62" s="28"/>
      <c r="J62" s="28"/>
      <c r="K62" s="28"/>
      <c r="L62" s="28"/>
      <c r="M62" s="28"/>
      <c r="N62" s="28"/>
    </row>
    <row r="63" spans="1:14" ht="16.05" customHeight="1" x14ac:dyDescent="0.3">
      <c r="A63" s="30">
        <v>60</v>
      </c>
      <c r="B63" s="30" t="s">
        <v>524</v>
      </c>
      <c r="C63" s="30" t="s">
        <v>711</v>
      </c>
      <c r="D63" s="30"/>
      <c r="E63" s="30"/>
      <c r="F63" s="30"/>
      <c r="G63" s="30"/>
      <c r="H63" s="30"/>
      <c r="I63" s="30"/>
      <c r="J63" s="30"/>
      <c r="K63" s="30"/>
      <c r="L63" s="30"/>
      <c r="M63" s="30"/>
      <c r="N63" s="30"/>
    </row>
    <row r="64" spans="1:14" ht="16.05" customHeight="1" x14ac:dyDescent="0.3">
      <c r="A64" s="28">
        <v>61</v>
      </c>
      <c r="B64" s="28" t="s">
        <v>525</v>
      </c>
      <c r="C64" s="28" t="s">
        <v>702</v>
      </c>
      <c r="D64" s="28"/>
      <c r="E64" s="28"/>
      <c r="F64" s="28"/>
      <c r="G64" s="28"/>
      <c r="H64" s="28"/>
      <c r="I64" s="28"/>
      <c r="J64" s="28"/>
      <c r="K64" s="28"/>
      <c r="L64" s="28"/>
      <c r="M64" s="28"/>
      <c r="N64" s="28"/>
    </row>
    <row r="65" spans="1:14" ht="16.05" customHeight="1" x14ac:dyDescent="0.3">
      <c r="A65" s="30">
        <v>62</v>
      </c>
      <c r="B65" s="30" t="s">
        <v>525</v>
      </c>
      <c r="C65" s="30" t="s">
        <v>703</v>
      </c>
      <c r="D65" s="30"/>
      <c r="E65" s="30"/>
      <c r="F65" s="30"/>
      <c r="G65" s="30"/>
      <c r="H65" s="30"/>
      <c r="I65" s="30"/>
      <c r="J65" s="30"/>
      <c r="K65" s="30"/>
      <c r="L65" s="30"/>
      <c r="M65" s="30"/>
      <c r="N65" s="30"/>
    </row>
    <row r="66" spans="1:14" ht="16.05" customHeight="1" x14ac:dyDescent="0.3">
      <c r="A66" s="28">
        <v>63</v>
      </c>
      <c r="B66" s="28" t="s">
        <v>525</v>
      </c>
      <c r="C66" s="28" t="s">
        <v>704</v>
      </c>
      <c r="D66" s="28"/>
      <c r="E66" s="28"/>
      <c r="F66" s="28"/>
      <c r="G66" s="28"/>
      <c r="H66" s="28"/>
      <c r="I66" s="28"/>
      <c r="J66" s="28"/>
      <c r="K66" s="28"/>
      <c r="L66" s="28"/>
      <c r="M66" s="28"/>
      <c r="N66" s="28"/>
    </row>
    <row r="67" spans="1:14" ht="16.05" customHeight="1" x14ac:dyDescent="0.3">
      <c r="A67" s="30">
        <v>64</v>
      </c>
      <c r="B67" s="30" t="s">
        <v>525</v>
      </c>
      <c r="C67" s="30" t="s">
        <v>705</v>
      </c>
      <c r="D67" s="30"/>
      <c r="E67" s="30"/>
      <c r="F67" s="30"/>
      <c r="G67" s="30"/>
      <c r="H67" s="30"/>
      <c r="I67" s="30"/>
      <c r="J67" s="30"/>
      <c r="K67" s="30"/>
      <c r="L67" s="30"/>
      <c r="M67" s="30"/>
      <c r="N67" s="30"/>
    </row>
    <row r="68" spans="1:14" ht="16.05" customHeight="1" x14ac:dyDescent="0.3">
      <c r="A68" s="28">
        <v>65</v>
      </c>
      <c r="B68" s="28" t="s">
        <v>525</v>
      </c>
      <c r="C68" s="28" t="s">
        <v>706</v>
      </c>
      <c r="D68" s="28"/>
      <c r="E68" s="28"/>
      <c r="F68" s="28"/>
      <c r="G68" s="28"/>
      <c r="H68" s="28"/>
      <c r="I68" s="28"/>
      <c r="J68" s="28"/>
      <c r="K68" s="28"/>
      <c r="L68" s="28"/>
      <c r="M68" s="28"/>
      <c r="N68" s="28"/>
    </row>
    <row r="69" spans="1:14" ht="16.05" customHeight="1" x14ac:dyDescent="0.3">
      <c r="A69" s="30">
        <v>66</v>
      </c>
      <c r="B69" s="30" t="s">
        <v>525</v>
      </c>
      <c r="C69" s="30" t="s">
        <v>707</v>
      </c>
      <c r="D69" s="30"/>
      <c r="E69" s="30"/>
      <c r="F69" s="30"/>
      <c r="G69" s="30"/>
      <c r="H69" s="30"/>
      <c r="I69" s="30"/>
      <c r="J69" s="30"/>
      <c r="K69" s="30"/>
      <c r="L69" s="30"/>
      <c r="M69" s="30"/>
      <c r="N69" s="30"/>
    </row>
    <row r="70" spans="1:14" ht="16.05" customHeight="1" x14ac:dyDescent="0.3">
      <c r="A70" s="28">
        <v>67</v>
      </c>
      <c r="B70" s="28" t="s">
        <v>525</v>
      </c>
      <c r="C70" s="28" t="s">
        <v>708</v>
      </c>
      <c r="D70" s="28"/>
      <c r="E70" s="28"/>
      <c r="F70" s="28"/>
      <c r="G70" s="28"/>
      <c r="H70" s="28"/>
      <c r="I70" s="28"/>
      <c r="J70" s="28"/>
      <c r="K70" s="28"/>
      <c r="L70" s="28"/>
      <c r="M70" s="28"/>
      <c r="N70" s="28"/>
    </row>
    <row r="71" spans="1:14" ht="16.05" customHeight="1" x14ac:dyDescent="0.3">
      <c r="A71" s="30">
        <v>68</v>
      </c>
      <c r="B71" s="30" t="s">
        <v>525</v>
      </c>
      <c r="C71" s="30" t="s">
        <v>709</v>
      </c>
      <c r="D71" s="30"/>
      <c r="E71" s="30"/>
      <c r="F71" s="30"/>
      <c r="G71" s="30"/>
      <c r="H71" s="30"/>
      <c r="I71" s="30"/>
      <c r="J71" s="30"/>
      <c r="K71" s="30"/>
      <c r="L71" s="30"/>
      <c r="M71" s="30"/>
      <c r="N71" s="30"/>
    </row>
    <row r="72" spans="1:14" ht="16.05" customHeight="1" x14ac:dyDescent="0.3">
      <c r="A72" s="28">
        <v>69</v>
      </c>
      <c r="B72" s="28" t="s">
        <v>525</v>
      </c>
      <c r="C72" s="28" t="s">
        <v>710</v>
      </c>
      <c r="D72" s="28"/>
      <c r="E72" s="28"/>
      <c r="F72" s="28"/>
      <c r="G72" s="28"/>
      <c r="H72" s="28"/>
      <c r="I72" s="28"/>
      <c r="J72" s="28"/>
      <c r="K72" s="28"/>
      <c r="L72" s="28"/>
      <c r="M72" s="28"/>
      <c r="N72" s="28"/>
    </row>
    <row r="73" spans="1:14" ht="16.05" customHeight="1" x14ac:dyDescent="0.3">
      <c r="A73" s="30">
        <v>70</v>
      </c>
      <c r="B73" s="30" t="s">
        <v>525</v>
      </c>
      <c r="C73" s="30" t="s">
        <v>711</v>
      </c>
      <c r="D73" s="30"/>
      <c r="E73" s="30"/>
      <c r="F73" s="30"/>
      <c r="G73" s="30"/>
      <c r="H73" s="30"/>
      <c r="I73" s="30"/>
      <c r="J73" s="30"/>
      <c r="K73" s="30"/>
      <c r="L73" s="30"/>
      <c r="M73" s="30"/>
      <c r="N73" s="30"/>
    </row>
    <row r="74" spans="1:14" ht="16.05" customHeight="1" x14ac:dyDescent="0.3">
      <c r="A74" s="28">
        <v>71</v>
      </c>
      <c r="B74" s="28" t="s">
        <v>526</v>
      </c>
      <c r="C74" s="28" t="s">
        <v>702</v>
      </c>
      <c r="D74" s="28"/>
      <c r="E74" s="28"/>
      <c r="F74" s="28"/>
      <c r="G74" s="28"/>
      <c r="H74" s="28"/>
      <c r="I74" s="28"/>
      <c r="J74" s="28"/>
      <c r="K74" s="28"/>
      <c r="L74" s="28"/>
      <c r="M74" s="28"/>
      <c r="N74" s="28"/>
    </row>
    <row r="75" spans="1:14" ht="16.05" customHeight="1" x14ac:dyDescent="0.3">
      <c r="A75" s="30">
        <v>72</v>
      </c>
      <c r="B75" s="30" t="s">
        <v>526</v>
      </c>
      <c r="C75" s="30" t="s">
        <v>703</v>
      </c>
      <c r="D75" s="30"/>
      <c r="E75" s="30"/>
      <c r="F75" s="30"/>
      <c r="G75" s="30"/>
      <c r="H75" s="30"/>
      <c r="I75" s="30"/>
      <c r="J75" s="30"/>
      <c r="K75" s="30"/>
      <c r="L75" s="30"/>
      <c r="M75" s="30"/>
      <c r="N75" s="30"/>
    </row>
    <row r="76" spans="1:14" ht="16.05" customHeight="1" x14ac:dyDescent="0.3">
      <c r="A76" s="28">
        <v>73</v>
      </c>
      <c r="B76" s="28" t="s">
        <v>526</v>
      </c>
      <c r="C76" s="28" t="s">
        <v>704</v>
      </c>
      <c r="D76" s="28"/>
      <c r="E76" s="28"/>
      <c r="F76" s="28"/>
      <c r="G76" s="28"/>
      <c r="H76" s="28"/>
      <c r="I76" s="28"/>
      <c r="J76" s="28"/>
      <c r="K76" s="28"/>
      <c r="L76" s="28"/>
      <c r="M76" s="28"/>
      <c r="N76" s="28"/>
    </row>
    <row r="77" spans="1:14" ht="16.05" customHeight="1" x14ac:dyDescent="0.3">
      <c r="A77" s="30">
        <v>74</v>
      </c>
      <c r="B77" s="30" t="s">
        <v>526</v>
      </c>
      <c r="C77" s="30" t="s">
        <v>705</v>
      </c>
      <c r="D77" s="30"/>
      <c r="E77" s="30"/>
      <c r="F77" s="30"/>
      <c r="G77" s="30"/>
      <c r="H77" s="30"/>
      <c r="I77" s="30"/>
      <c r="J77" s="30"/>
      <c r="K77" s="30"/>
      <c r="L77" s="30"/>
      <c r="M77" s="30"/>
      <c r="N77" s="30"/>
    </row>
    <row r="78" spans="1:14" ht="16.05" customHeight="1" x14ac:dyDescent="0.3">
      <c r="A78" s="28">
        <v>75</v>
      </c>
      <c r="B78" s="28" t="s">
        <v>526</v>
      </c>
      <c r="C78" s="28" t="s">
        <v>706</v>
      </c>
      <c r="D78" s="28"/>
      <c r="E78" s="28"/>
      <c r="F78" s="28"/>
      <c r="G78" s="28"/>
      <c r="H78" s="28"/>
      <c r="I78" s="28"/>
      <c r="J78" s="28"/>
      <c r="K78" s="28"/>
      <c r="L78" s="28"/>
      <c r="M78" s="28"/>
      <c r="N78" s="28"/>
    </row>
    <row r="79" spans="1:14" ht="16.05" customHeight="1" x14ac:dyDescent="0.3">
      <c r="A79" s="30">
        <v>76</v>
      </c>
      <c r="B79" s="30" t="s">
        <v>526</v>
      </c>
      <c r="C79" s="30" t="s">
        <v>707</v>
      </c>
      <c r="D79" s="30"/>
      <c r="E79" s="30"/>
      <c r="F79" s="30"/>
      <c r="G79" s="30"/>
      <c r="H79" s="30"/>
      <c r="I79" s="30"/>
      <c r="J79" s="30"/>
      <c r="K79" s="30"/>
      <c r="L79" s="30"/>
      <c r="M79" s="30"/>
      <c r="N79" s="30"/>
    </row>
    <row r="80" spans="1:14" ht="16.05" customHeight="1" x14ac:dyDescent="0.3">
      <c r="A80" s="28">
        <v>77</v>
      </c>
      <c r="B80" s="28" t="s">
        <v>526</v>
      </c>
      <c r="C80" s="28" t="s">
        <v>708</v>
      </c>
      <c r="D80" s="28"/>
      <c r="E80" s="28"/>
      <c r="F80" s="28"/>
      <c r="G80" s="28"/>
      <c r="H80" s="28"/>
      <c r="I80" s="28"/>
      <c r="J80" s="28"/>
      <c r="K80" s="28"/>
      <c r="L80" s="28"/>
      <c r="M80" s="28"/>
      <c r="N80" s="28"/>
    </row>
    <row r="81" spans="1:14" ht="16.05" customHeight="1" x14ac:dyDescent="0.3">
      <c r="A81" s="30">
        <v>78</v>
      </c>
      <c r="B81" s="30" t="s">
        <v>526</v>
      </c>
      <c r="C81" s="30" t="s">
        <v>709</v>
      </c>
      <c r="D81" s="30"/>
      <c r="E81" s="30"/>
      <c r="F81" s="30"/>
      <c r="G81" s="30"/>
      <c r="H81" s="30"/>
      <c r="I81" s="30"/>
      <c r="J81" s="30"/>
      <c r="K81" s="30"/>
      <c r="L81" s="30"/>
      <c r="M81" s="30"/>
      <c r="N81" s="30"/>
    </row>
    <row r="82" spans="1:14" ht="16.05" customHeight="1" x14ac:dyDescent="0.3">
      <c r="A82" s="28">
        <v>79</v>
      </c>
      <c r="B82" s="28" t="s">
        <v>526</v>
      </c>
      <c r="C82" s="28" t="s">
        <v>710</v>
      </c>
      <c r="D82" s="28"/>
      <c r="E82" s="28"/>
      <c r="F82" s="28"/>
      <c r="G82" s="28"/>
      <c r="H82" s="28"/>
      <c r="I82" s="28"/>
      <c r="J82" s="28"/>
      <c r="K82" s="28"/>
      <c r="L82" s="28"/>
      <c r="M82" s="28"/>
      <c r="N82" s="28"/>
    </row>
    <row r="83" spans="1:14" ht="16.05" customHeight="1" x14ac:dyDescent="0.3">
      <c r="A83" s="30">
        <v>80</v>
      </c>
      <c r="B83" s="30" t="s">
        <v>526</v>
      </c>
      <c r="C83" s="30" t="s">
        <v>711</v>
      </c>
      <c r="D83" s="30"/>
      <c r="E83" s="30"/>
      <c r="F83" s="30"/>
      <c r="G83" s="30"/>
      <c r="H83" s="30"/>
      <c r="I83" s="30"/>
      <c r="J83" s="30"/>
      <c r="K83" s="30"/>
      <c r="L83" s="30"/>
      <c r="M83" s="30"/>
      <c r="N83" s="30"/>
    </row>
    <row r="84" spans="1:14" ht="16.05" customHeight="1" x14ac:dyDescent="0.3">
      <c r="A84" s="28">
        <v>81</v>
      </c>
      <c r="B84" s="28" t="s">
        <v>527</v>
      </c>
      <c r="C84" s="28" t="s">
        <v>702</v>
      </c>
      <c r="D84" s="28"/>
      <c r="E84" s="28"/>
      <c r="F84" s="28"/>
      <c r="G84" s="28"/>
      <c r="H84" s="28"/>
      <c r="I84" s="28"/>
      <c r="J84" s="28"/>
      <c r="K84" s="28"/>
      <c r="L84" s="28"/>
      <c r="M84" s="28"/>
      <c r="N84" s="28"/>
    </row>
    <row r="85" spans="1:14" ht="16.05" customHeight="1" x14ac:dyDescent="0.3">
      <c r="A85" s="30">
        <v>82</v>
      </c>
      <c r="B85" s="30" t="s">
        <v>527</v>
      </c>
      <c r="C85" s="30" t="s">
        <v>703</v>
      </c>
      <c r="D85" s="30"/>
      <c r="E85" s="30"/>
      <c r="F85" s="30"/>
      <c r="G85" s="30"/>
      <c r="H85" s="30"/>
      <c r="I85" s="30"/>
      <c r="J85" s="30"/>
      <c r="K85" s="30"/>
      <c r="L85" s="30"/>
      <c r="M85" s="30"/>
      <c r="N85" s="30"/>
    </row>
    <row r="86" spans="1:14" ht="16.05" customHeight="1" x14ac:dyDescent="0.3">
      <c r="A86" s="28">
        <v>83</v>
      </c>
      <c r="B86" s="28" t="s">
        <v>527</v>
      </c>
      <c r="C86" s="28" t="s">
        <v>704</v>
      </c>
      <c r="D86" s="28"/>
      <c r="E86" s="28"/>
      <c r="F86" s="28"/>
      <c r="G86" s="28"/>
      <c r="H86" s="28"/>
      <c r="I86" s="28"/>
      <c r="J86" s="28"/>
      <c r="K86" s="28"/>
      <c r="L86" s="28"/>
      <c r="M86" s="28"/>
      <c r="N86" s="28"/>
    </row>
    <row r="87" spans="1:14" ht="16.05" customHeight="1" x14ac:dyDescent="0.3">
      <c r="A87" s="30">
        <v>84</v>
      </c>
      <c r="B87" s="30" t="s">
        <v>527</v>
      </c>
      <c r="C87" s="30" t="s">
        <v>705</v>
      </c>
      <c r="D87" s="30"/>
      <c r="E87" s="30"/>
      <c r="F87" s="30"/>
      <c r="G87" s="30"/>
      <c r="H87" s="30"/>
      <c r="I87" s="30"/>
      <c r="J87" s="30"/>
      <c r="K87" s="30"/>
      <c r="L87" s="30"/>
      <c r="M87" s="30"/>
      <c r="N87" s="30"/>
    </row>
    <row r="88" spans="1:14" ht="16.05" customHeight="1" x14ac:dyDescent="0.3">
      <c r="A88" s="28">
        <v>85</v>
      </c>
      <c r="B88" s="28" t="s">
        <v>527</v>
      </c>
      <c r="C88" s="28" t="s">
        <v>706</v>
      </c>
      <c r="D88" s="28"/>
      <c r="E88" s="28"/>
      <c r="F88" s="28"/>
      <c r="G88" s="28"/>
      <c r="H88" s="28"/>
      <c r="I88" s="28"/>
      <c r="J88" s="28"/>
      <c r="K88" s="28"/>
      <c r="L88" s="28"/>
      <c r="M88" s="28"/>
      <c r="N88" s="28"/>
    </row>
    <row r="89" spans="1:14" ht="16.05" customHeight="1" x14ac:dyDescent="0.3">
      <c r="A89" s="30">
        <v>86</v>
      </c>
      <c r="B89" s="30" t="s">
        <v>527</v>
      </c>
      <c r="C89" s="30" t="s">
        <v>707</v>
      </c>
      <c r="D89" s="30"/>
      <c r="E89" s="30"/>
      <c r="F89" s="30"/>
      <c r="G89" s="30"/>
      <c r="H89" s="30"/>
      <c r="I89" s="30"/>
      <c r="J89" s="30"/>
      <c r="K89" s="30"/>
      <c r="L89" s="30"/>
      <c r="M89" s="30"/>
      <c r="N89" s="30"/>
    </row>
    <row r="90" spans="1:14" ht="16.05" customHeight="1" x14ac:dyDescent="0.3">
      <c r="A90" s="28">
        <v>87</v>
      </c>
      <c r="B90" s="28" t="s">
        <v>527</v>
      </c>
      <c r="C90" s="28" t="s">
        <v>708</v>
      </c>
      <c r="D90" s="28"/>
      <c r="E90" s="28"/>
      <c r="F90" s="28"/>
      <c r="G90" s="28"/>
      <c r="H90" s="28"/>
      <c r="I90" s="28"/>
      <c r="J90" s="28"/>
      <c r="K90" s="28"/>
      <c r="L90" s="28"/>
      <c r="M90" s="28"/>
      <c r="N90" s="28"/>
    </row>
    <row r="91" spans="1:14" ht="16.05" customHeight="1" x14ac:dyDescent="0.3">
      <c r="A91" s="30">
        <v>88</v>
      </c>
      <c r="B91" s="30" t="s">
        <v>527</v>
      </c>
      <c r="C91" s="30" t="s">
        <v>709</v>
      </c>
      <c r="D91" s="30"/>
      <c r="E91" s="30"/>
      <c r="F91" s="30"/>
      <c r="G91" s="30"/>
      <c r="H91" s="30"/>
      <c r="I91" s="30"/>
      <c r="J91" s="30"/>
      <c r="K91" s="30"/>
      <c r="L91" s="30"/>
      <c r="M91" s="30"/>
      <c r="N91" s="30"/>
    </row>
    <row r="92" spans="1:14" ht="16.05" customHeight="1" x14ac:dyDescent="0.3">
      <c r="A92" s="28">
        <v>89</v>
      </c>
      <c r="B92" s="28" t="s">
        <v>527</v>
      </c>
      <c r="C92" s="28" t="s">
        <v>710</v>
      </c>
      <c r="D92" s="28"/>
      <c r="E92" s="28"/>
      <c r="F92" s="28"/>
      <c r="G92" s="28"/>
      <c r="H92" s="28"/>
      <c r="I92" s="28"/>
      <c r="J92" s="28"/>
      <c r="K92" s="28"/>
      <c r="L92" s="28"/>
      <c r="M92" s="28"/>
      <c r="N92" s="28"/>
    </row>
    <row r="93" spans="1:14" ht="16.05" customHeight="1" x14ac:dyDescent="0.3">
      <c r="A93" s="30">
        <v>90</v>
      </c>
      <c r="B93" s="30" t="s">
        <v>527</v>
      </c>
      <c r="C93" s="30" t="s">
        <v>711</v>
      </c>
      <c r="D93" s="30"/>
      <c r="E93" s="30"/>
      <c r="F93" s="30"/>
      <c r="G93" s="30"/>
      <c r="H93" s="30"/>
      <c r="I93" s="30"/>
      <c r="J93" s="30"/>
      <c r="K93" s="30"/>
      <c r="L93" s="30"/>
      <c r="M93" s="30"/>
      <c r="N93" s="30"/>
    </row>
    <row r="94" spans="1:14" ht="16.05" customHeight="1" x14ac:dyDescent="0.3">
      <c r="A94" s="28">
        <v>91</v>
      </c>
      <c r="B94" s="28" t="s">
        <v>528</v>
      </c>
      <c r="C94" s="28" t="s">
        <v>702</v>
      </c>
      <c r="D94" s="28"/>
      <c r="E94" s="28"/>
      <c r="F94" s="28"/>
      <c r="G94" s="28"/>
      <c r="H94" s="28"/>
      <c r="I94" s="28"/>
      <c r="J94" s="28"/>
      <c r="K94" s="28"/>
      <c r="L94" s="28"/>
      <c r="M94" s="28"/>
      <c r="N94" s="28"/>
    </row>
    <row r="95" spans="1:14" ht="16.05" customHeight="1" x14ac:dyDescent="0.3">
      <c r="A95" s="30">
        <v>92</v>
      </c>
      <c r="B95" s="30" t="s">
        <v>528</v>
      </c>
      <c r="C95" s="30" t="s">
        <v>703</v>
      </c>
      <c r="D95" s="30"/>
      <c r="E95" s="30"/>
      <c r="F95" s="30"/>
      <c r="G95" s="30"/>
      <c r="H95" s="30"/>
      <c r="I95" s="30"/>
      <c r="J95" s="30"/>
      <c r="K95" s="30"/>
      <c r="L95" s="30"/>
      <c r="M95" s="30"/>
      <c r="N95" s="30"/>
    </row>
    <row r="96" spans="1:14" ht="16.05" customHeight="1" x14ac:dyDescent="0.3">
      <c r="A96" s="28">
        <v>93</v>
      </c>
      <c r="B96" s="28" t="s">
        <v>528</v>
      </c>
      <c r="C96" s="28" t="s">
        <v>704</v>
      </c>
      <c r="D96" s="28"/>
      <c r="E96" s="28"/>
      <c r="F96" s="28"/>
      <c r="G96" s="28"/>
      <c r="H96" s="28"/>
      <c r="I96" s="28"/>
      <c r="J96" s="28"/>
      <c r="K96" s="28"/>
      <c r="L96" s="28"/>
      <c r="M96" s="28"/>
      <c r="N96" s="28"/>
    </row>
    <row r="97" spans="1:14" ht="16.05" customHeight="1" x14ac:dyDescent="0.3">
      <c r="A97" s="30">
        <v>94</v>
      </c>
      <c r="B97" s="30" t="s">
        <v>528</v>
      </c>
      <c r="C97" s="30" t="s">
        <v>705</v>
      </c>
      <c r="D97" s="30"/>
      <c r="E97" s="30"/>
      <c r="F97" s="30"/>
      <c r="G97" s="30"/>
      <c r="H97" s="30"/>
      <c r="I97" s="30"/>
      <c r="J97" s="30"/>
      <c r="K97" s="30"/>
      <c r="L97" s="30"/>
      <c r="M97" s="30"/>
      <c r="N97" s="30"/>
    </row>
    <row r="98" spans="1:14" ht="16.05" customHeight="1" x14ac:dyDescent="0.3">
      <c r="A98" s="28">
        <v>95</v>
      </c>
      <c r="B98" s="28" t="s">
        <v>528</v>
      </c>
      <c r="C98" s="28" t="s">
        <v>706</v>
      </c>
      <c r="D98" s="28"/>
      <c r="E98" s="28"/>
      <c r="F98" s="28"/>
      <c r="G98" s="28"/>
      <c r="H98" s="28"/>
      <c r="I98" s="28"/>
      <c r="J98" s="28"/>
      <c r="K98" s="28"/>
      <c r="L98" s="28"/>
      <c r="M98" s="28"/>
      <c r="N98" s="28"/>
    </row>
    <row r="99" spans="1:14" ht="16.05" customHeight="1" x14ac:dyDescent="0.3">
      <c r="A99" s="30">
        <v>96</v>
      </c>
      <c r="B99" s="30" t="s">
        <v>528</v>
      </c>
      <c r="C99" s="30" t="s">
        <v>707</v>
      </c>
      <c r="D99" s="30"/>
      <c r="E99" s="30"/>
      <c r="F99" s="30"/>
      <c r="G99" s="30"/>
      <c r="H99" s="30"/>
      <c r="I99" s="30"/>
      <c r="J99" s="30"/>
      <c r="K99" s="30"/>
      <c r="L99" s="30"/>
      <c r="M99" s="30"/>
      <c r="N99" s="30"/>
    </row>
    <row r="100" spans="1:14" ht="16.05" customHeight="1" x14ac:dyDescent="0.3">
      <c r="A100" s="28">
        <v>97</v>
      </c>
      <c r="B100" s="28" t="s">
        <v>528</v>
      </c>
      <c r="C100" s="28" t="s">
        <v>708</v>
      </c>
      <c r="D100" s="28"/>
      <c r="E100" s="28"/>
      <c r="F100" s="28"/>
      <c r="G100" s="28"/>
      <c r="H100" s="28"/>
      <c r="I100" s="28"/>
      <c r="J100" s="28"/>
      <c r="K100" s="28"/>
      <c r="L100" s="28"/>
      <c r="M100" s="28"/>
      <c r="N100" s="28"/>
    </row>
    <row r="101" spans="1:14" ht="16.05" customHeight="1" x14ac:dyDescent="0.3">
      <c r="A101" s="30">
        <v>98</v>
      </c>
      <c r="B101" s="30" t="s">
        <v>528</v>
      </c>
      <c r="C101" s="30" t="s">
        <v>709</v>
      </c>
      <c r="D101" s="30"/>
      <c r="E101" s="30"/>
      <c r="F101" s="30"/>
      <c r="G101" s="30"/>
      <c r="H101" s="30"/>
      <c r="I101" s="30"/>
      <c r="J101" s="30"/>
      <c r="K101" s="30"/>
      <c r="L101" s="30"/>
      <c r="M101" s="30"/>
      <c r="N101" s="30"/>
    </row>
    <row r="102" spans="1:14" ht="16.05" customHeight="1" x14ac:dyDescent="0.3">
      <c r="A102" s="28">
        <v>99</v>
      </c>
      <c r="B102" s="28" t="s">
        <v>528</v>
      </c>
      <c r="C102" s="28" t="s">
        <v>710</v>
      </c>
      <c r="D102" s="28"/>
      <c r="E102" s="28"/>
      <c r="F102" s="28"/>
      <c r="G102" s="28"/>
      <c r="H102" s="28"/>
      <c r="I102" s="28"/>
      <c r="J102" s="28"/>
      <c r="K102" s="28"/>
      <c r="L102" s="28"/>
      <c r="M102" s="28"/>
      <c r="N102" s="28"/>
    </row>
    <row r="103" spans="1:14" ht="16.05" customHeight="1" x14ac:dyDescent="0.3">
      <c r="A103" s="30">
        <v>100</v>
      </c>
      <c r="B103" s="30" t="s">
        <v>528</v>
      </c>
      <c r="C103" s="30" t="s">
        <v>711</v>
      </c>
      <c r="D103" s="30"/>
      <c r="E103" s="30"/>
      <c r="F103" s="30"/>
      <c r="G103" s="30"/>
      <c r="H103" s="30"/>
      <c r="I103" s="30"/>
      <c r="J103" s="30"/>
      <c r="K103" s="30"/>
      <c r="L103" s="30"/>
      <c r="M103" s="30"/>
      <c r="N103" s="30"/>
    </row>
    <row r="104" spans="1:14" ht="16.05" customHeight="1" x14ac:dyDescent="0.3">
      <c r="A104" s="28">
        <v>101</v>
      </c>
      <c r="B104" s="28" t="s">
        <v>529</v>
      </c>
      <c r="C104" s="28" t="s">
        <v>702</v>
      </c>
      <c r="D104" s="28"/>
      <c r="E104" s="28"/>
      <c r="F104" s="28"/>
      <c r="G104" s="28"/>
      <c r="H104" s="28"/>
      <c r="I104" s="28"/>
      <c r="J104" s="28"/>
      <c r="K104" s="28"/>
      <c r="L104" s="28"/>
      <c r="M104" s="28"/>
      <c r="N104" s="28"/>
    </row>
    <row r="105" spans="1:14" ht="16.05" customHeight="1" x14ac:dyDescent="0.3">
      <c r="A105" s="30">
        <v>102</v>
      </c>
      <c r="B105" s="30" t="s">
        <v>529</v>
      </c>
      <c r="C105" s="30" t="s">
        <v>703</v>
      </c>
      <c r="D105" s="30"/>
      <c r="E105" s="30"/>
      <c r="F105" s="30"/>
      <c r="G105" s="30"/>
      <c r="H105" s="30"/>
      <c r="I105" s="30"/>
      <c r="J105" s="30"/>
      <c r="K105" s="30"/>
      <c r="L105" s="30"/>
      <c r="M105" s="30"/>
      <c r="N105" s="30"/>
    </row>
    <row r="106" spans="1:14" ht="16.05" customHeight="1" x14ac:dyDescent="0.3">
      <c r="A106" s="28">
        <v>103</v>
      </c>
      <c r="B106" s="28" t="s">
        <v>529</v>
      </c>
      <c r="C106" s="28" t="s">
        <v>704</v>
      </c>
      <c r="D106" s="28"/>
      <c r="E106" s="28"/>
      <c r="F106" s="28"/>
      <c r="G106" s="28"/>
      <c r="H106" s="28"/>
      <c r="I106" s="28"/>
      <c r="J106" s="28"/>
      <c r="K106" s="28"/>
      <c r="L106" s="28"/>
      <c r="M106" s="28"/>
      <c r="N106" s="28"/>
    </row>
    <row r="107" spans="1:14" ht="16.05" customHeight="1" x14ac:dyDescent="0.3">
      <c r="A107" s="30">
        <v>104</v>
      </c>
      <c r="B107" s="30" t="s">
        <v>529</v>
      </c>
      <c r="C107" s="30" t="s">
        <v>705</v>
      </c>
      <c r="D107" s="30"/>
      <c r="E107" s="30"/>
      <c r="F107" s="30"/>
      <c r="G107" s="30"/>
      <c r="H107" s="30"/>
      <c r="I107" s="30"/>
      <c r="J107" s="30"/>
      <c r="K107" s="30"/>
      <c r="L107" s="30"/>
      <c r="M107" s="30"/>
      <c r="N107" s="30"/>
    </row>
    <row r="108" spans="1:14" ht="16.05" customHeight="1" x14ac:dyDescent="0.3">
      <c r="A108" s="28">
        <v>105</v>
      </c>
      <c r="B108" s="28" t="s">
        <v>529</v>
      </c>
      <c r="C108" s="28" t="s">
        <v>706</v>
      </c>
      <c r="D108" s="28"/>
      <c r="E108" s="28"/>
      <c r="F108" s="28"/>
      <c r="G108" s="28"/>
      <c r="H108" s="28"/>
      <c r="I108" s="28"/>
      <c r="J108" s="28"/>
      <c r="K108" s="28"/>
      <c r="L108" s="28"/>
      <c r="M108" s="28"/>
      <c r="N108" s="28"/>
    </row>
    <row r="109" spans="1:14" ht="16.05" customHeight="1" x14ac:dyDescent="0.3">
      <c r="A109" s="30">
        <v>106</v>
      </c>
      <c r="B109" s="30" t="s">
        <v>529</v>
      </c>
      <c r="C109" s="30" t="s">
        <v>707</v>
      </c>
      <c r="D109" s="30"/>
      <c r="E109" s="30"/>
      <c r="F109" s="30"/>
      <c r="G109" s="30"/>
      <c r="H109" s="30"/>
      <c r="I109" s="30"/>
      <c r="J109" s="30"/>
      <c r="K109" s="30"/>
      <c r="L109" s="30"/>
      <c r="M109" s="30"/>
      <c r="N109" s="30"/>
    </row>
    <row r="110" spans="1:14" ht="16.05" customHeight="1" x14ac:dyDescent="0.3">
      <c r="A110" s="28">
        <v>107</v>
      </c>
      <c r="B110" s="28" t="s">
        <v>529</v>
      </c>
      <c r="C110" s="28" t="s">
        <v>708</v>
      </c>
      <c r="D110" s="28"/>
      <c r="E110" s="28"/>
      <c r="F110" s="28"/>
      <c r="G110" s="28"/>
      <c r="H110" s="28"/>
      <c r="I110" s="28"/>
      <c r="J110" s="28"/>
      <c r="K110" s="28"/>
      <c r="L110" s="28"/>
      <c r="M110" s="28"/>
      <c r="N110" s="28"/>
    </row>
    <row r="111" spans="1:14" ht="16.05" customHeight="1" x14ac:dyDescent="0.3">
      <c r="A111" s="30">
        <v>108</v>
      </c>
      <c r="B111" s="30" t="s">
        <v>529</v>
      </c>
      <c r="C111" s="30" t="s">
        <v>709</v>
      </c>
      <c r="D111" s="30"/>
      <c r="E111" s="30"/>
      <c r="F111" s="30"/>
      <c r="G111" s="30"/>
      <c r="H111" s="30"/>
      <c r="I111" s="30"/>
      <c r="J111" s="30"/>
      <c r="K111" s="30"/>
      <c r="L111" s="30"/>
      <c r="M111" s="30"/>
      <c r="N111" s="30"/>
    </row>
    <row r="112" spans="1:14" ht="16.05" customHeight="1" x14ac:dyDescent="0.3">
      <c r="A112" s="28">
        <v>109</v>
      </c>
      <c r="B112" s="28" t="s">
        <v>529</v>
      </c>
      <c r="C112" s="28" t="s">
        <v>710</v>
      </c>
      <c r="D112" s="28"/>
      <c r="E112" s="28"/>
      <c r="F112" s="28"/>
      <c r="G112" s="28"/>
      <c r="H112" s="28"/>
      <c r="I112" s="28"/>
      <c r="J112" s="28"/>
      <c r="K112" s="28"/>
      <c r="L112" s="28"/>
      <c r="M112" s="28"/>
      <c r="N112" s="28"/>
    </row>
    <row r="113" spans="1:14" ht="16.05" customHeight="1" x14ac:dyDescent="0.3">
      <c r="A113" s="30">
        <v>110</v>
      </c>
      <c r="B113" s="30" t="s">
        <v>529</v>
      </c>
      <c r="C113" s="30" t="s">
        <v>711</v>
      </c>
      <c r="D113" s="30"/>
      <c r="E113" s="30"/>
      <c r="F113" s="30"/>
      <c r="G113" s="30"/>
      <c r="H113" s="30"/>
      <c r="I113" s="30"/>
      <c r="J113" s="30"/>
      <c r="K113" s="30"/>
      <c r="L113" s="30"/>
      <c r="M113" s="30"/>
      <c r="N113" s="30"/>
    </row>
    <row r="114" spans="1:14" ht="16.05" customHeight="1" x14ac:dyDescent="0.3">
      <c r="A114" s="28">
        <v>111</v>
      </c>
      <c r="B114" s="28" t="s">
        <v>530</v>
      </c>
      <c r="C114" s="28" t="s">
        <v>702</v>
      </c>
      <c r="D114" s="28"/>
      <c r="E114" s="28"/>
      <c r="F114" s="28"/>
      <c r="G114" s="28"/>
      <c r="H114" s="28"/>
      <c r="I114" s="28"/>
      <c r="J114" s="28"/>
      <c r="K114" s="28"/>
      <c r="L114" s="28"/>
      <c r="M114" s="28"/>
      <c r="N114" s="28"/>
    </row>
    <row r="115" spans="1:14" ht="16.05" customHeight="1" x14ac:dyDescent="0.3">
      <c r="A115" s="30">
        <v>112</v>
      </c>
      <c r="B115" s="30" t="s">
        <v>530</v>
      </c>
      <c r="C115" s="30" t="s">
        <v>703</v>
      </c>
      <c r="D115" s="30"/>
      <c r="E115" s="30"/>
      <c r="F115" s="30"/>
      <c r="G115" s="30"/>
      <c r="H115" s="30"/>
      <c r="I115" s="30"/>
      <c r="J115" s="30"/>
      <c r="K115" s="30"/>
      <c r="L115" s="30"/>
      <c r="M115" s="30"/>
      <c r="N115" s="30"/>
    </row>
    <row r="116" spans="1:14" ht="16.05" customHeight="1" x14ac:dyDescent="0.3">
      <c r="A116" s="28">
        <v>113</v>
      </c>
      <c r="B116" s="28" t="s">
        <v>530</v>
      </c>
      <c r="C116" s="28" t="s">
        <v>704</v>
      </c>
      <c r="D116" s="28"/>
      <c r="E116" s="28"/>
      <c r="F116" s="28"/>
      <c r="G116" s="28"/>
      <c r="H116" s="28"/>
      <c r="I116" s="28"/>
      <c r="J116" s="28"/>
      <c r="K116" s="28"/>
      <c r="L116" s="28"/>
      <c r="M116" s="28"/>
      <c r="N116" s="28"/>
    </row>
    <row r="117" spans="1:14" ht="16.05" customHeight="1" x14ac:dyDescent="0.3">
      <c r="A117" s="30">
        <v>114</v>
      </c>
      <c r="B117" s="30" t="s">
        <v>530</v>
      </c>
      <c r="C117" s="30" t="s">
        <v>705</v>
      </c>
      <c r="D117" s="30"/>
      <c r="E117" s="30"/>
      <c r="F117" s="30"/>
      <c r="G117" s="30"/>
      <c r="H117" s="30"/>
      <c r="I117" s="30"/>
      <c r="J117" s="30"/>
      <c r="K117" s="30"/>
      <c r="L117" s="30"/>
      <c r="M117" s="30"/>
      <c r="N117" s="30"/>
    </row>
    <row r="118" spans="1:14" ht="16.05" customHeight="1" x14ac:dyDescent="0.3">
      <c r="A118" s="28">
        <v>115</v>
      </c>
      <c r="B118" s="28" t="s">
        <v>530</v>
      </c>
      <c r="C118" s="28" t="s">
        <v>706</v>
      </c>
      <c r="D118" s="28"/>
      <c r="E118" s="28"/>
      <c r="F118" s="28"/>
      <c r="G118" s="28"/>
      <c r="H118" s="28"/>
      <c r="I118" s="28"/>
      <c r="J118" s="28"/>
      <c r="K118" s="28"/>
      <c r="L118" s="28"/>
      <c r="M118" s="28"/>
      <c r="N118" s="28"/>
    </row>
    <row r="119" spans="1:14" ht="16.05" customHeight="1" x14ac:dyDescent="0.3">
      <c r="A119" s="30">
        <v>116</v>
      </c>
      <c r="B119" s="30" t="s">
        <v>530</v>
      </c>
      <c r="C119" s="30" t="s">
        <v>707</v>
      </c>
      <c r="D119" s="30"/>
      <c r="E119" s="30"/>
      <c r="F119" s="30"/>
      <c r="G119" s="30"/>
      <c r="H119" s="30"/>
      <c r="I119" s="30"/>
      <c r="J119" s="30"/>
      <c r="K119" s="30"/>
      <c r="L119" s="30"/>
      <c r="M119" s="30"/>
      <c r="N119" s="30"/>
    </row>
    <row r="120" spans="1:14" ht="16.05" customHeight="1" x14ac:dyDescent="0.3">
      <c r="A120" s="28">
        <v>117</v>
      </c>
      <c r="B120" s="28" t="s">
        <v>530</v>
      </c>
      <c r="C120" s="28" t="s">
        <v>708</v>
      </c>
      <c r="D120" s="28"/>
      <c r="E120" s="28"/>
      <c r="F120" s="28"/>
      <c r="G120" s="28"/>
      <c r="H120" s="28"/>
      <c r="I120" s="28"/>
      <c r="J120" s="28"/>
      <c r="K120" s="28"/>
      <c r="L120" s="28"/>
      <c r="M120" s="28"/>
      <c r="N120" s="28"/>
    </row>
    <row r="121" spans="1:14" ht="16.05" customHeight="1" x14ac:dyDescent="0.3">
      <c r="A121" s="30">
        <v>118</v>
      </c>
      <c r="B121" s="30" t="s">
        <v>530</v>
      </c>
      <c r="C121" s="30" t="s">
        <v>709</v>
      </c>
      <c r="D121" s="30"/>
      <c r="E121" s="30"/>
      <c r="F121" s="30"/>
      <c r="G121" s="30"/>
      <c r="H121" s="30"/>
      <c r="I121" s="30"/>
      <c r="J121" s="30"/>
      <c r="K121" s="30"/>
      <c r="L121" s="30"/>
      <c r="M121" s="30"/>
      <c r="N121" s="30"/>
    </row>
    <row r="122" spans="1:14" ht="16.05" customHeight="1" x14ac:dyDescent="0.3">
      <c r="A122" s="28">
        <v>119</v>
      </c>
      <c r="B122" s="28" t="s">
        <v>530</v>
      </c>
      <c r="C122" s="28" t="s">
        <v>710</v>
      </c>
      <c r="D122" s="28"/>
      <c r="E122" s="28"/>
      <c r="F122" s="28"/>
      <c r="G122" s="28"/>
      <c r="H122" s="28"/>
      <c r="I122" s="28"/>
      <c r="J122" s="28"/>
      <c r="K122" s="28"/>
      <c r="L122" s="28"/>
      <c r="M122" s="28"/>
      <c r="N122" s="28"/>
    </row>
    <row r="123" spans="1:14" ht="16.05" customHeight="1" x14ac:dyDescent="0.3">
      <c r="A123" s="30">
        <v>120</v>
      </c>
      <c r="B123" s="30" t="s">
        <v>530</v>
      </c>
      <c r="C123" s="30" t="s">
        <v>711</v>
      </c>
      <c r="D123" s="30"/>
      <c r="E123" s="30"/>
      <c r="F123" s="30"/>
      <c r="G123" s="30"/>
      <c r="H123" s="30"/>
      <c r="I123" s="30"/>
      <c r="J123" s="30"/>
      <c r="K123" s="30"/>
      <c r="L123" s="30"/>
      <c r="M123" s="30"/>
      <c r="N123" s="30"/>
    </row>
    <row r="124" spans="1:14" ht="16.05" customHeight="1" x14ac:dyDescent="0.3">
      <c r="A124" s="28">
        <v>121</v>
      </c>
      <c r="B124" s="28" t="s">
        <v>531</v>
      </c>
      <c r="C124" s="28" t="s">
        <v>702</v>
      </c>
      <c r="D124" s="28"/>
      <c r="E124" s="28"/>
      <c r="F124" s="28"/>
      <c r="G124" s="28"/>
      <c r="H124" s="28"/>
      <c r="I124" s="28"/>
      <c r="J124" s="28"/>
      <c r="K124" s="28"/>
      <c r="L124" s="28"/>
      <c r="M124" s="28"/>
      <c r="N124" s="28"/>
    </row>
    <row r="125" spans="1:14" ht="16.05" customHeight="1" x14ac:dyDescent="0.3">
      <c r="A125" s="30">
        <v>122</v>
      </c>
      <c r="B125" s="30" t="s">
        <v>531</v>
      </c>
      <c r="C125" s="30" t="s">
        <v>703</v>
      </c>
      <c r="D125" s="30"/>
      <c r="E125" s="30"/>
      <c r="F125" s="30"/>
      <c r="G125" s="30"/>
      <c r="H125" s="30"/>
      <c r="I125" s="30"/>
      <c r="J125" s="30"/>
      <c r="K125" s="30"/>
      <c r="L125" s="30"/>
      <c r="M125" s="30"/>
      <c r="N125" s="30"/>
    </row>
    <row r="126" spans="1:14" ht="16.05" customHeight="1" x14ac:dyDescent="0.3">
      <c r="A126" s="28">
        <v>123</v>
      </c>
      <c r="B126" s="28" t="s">
        <v>531</v>
      </c>
      <c r="C126" s="28" t="s">
        <v>704</v>
      </c>
      <c r="D126" s="28"/>
      <c r="E126" s="28"/>
      <c r="F126" s="28"/>
      <c r="G126" s="28"/>
      <c r="H126" s="28"/>
      <c r="I126" s="28"/>
      <c r="J126" s="28"/>
      <c r="K126" s="28"/>
      <c r="L126" s="28"/>
      <c r="M126" s="28"/>
      <c r="N126" s="28"/>
    </row>
    <row r="127" spans="1:14" ht="16.05" customHeight="1" x14ac:dyDescent="0.3">
      <c r="A127" s="30">
        <v>124</v>
      </c>
      <c r="B127" s="30" t="s">
        <v>531</v>
      </c>
      <c r="C127" s="30" t="s">
        <v>705</v>
      </c>
      <c r="D127" s="30"/>
      <c r="E127" s="30"/>
      <c r="F127" s="30"/>
      <c r="G127" s="30"/>
      <c r="H127" s="30"/>
      <c r="I127" s="30"/>
      <c r="J127" s="30"/>
      <c r="K127" s="30"/>
      <c r="L127" s="30"/>
      <c r="M127" s="30"/>
      <c r="N127" s="30"/>
    </row>
    <row r="128" spans="1:14" ht="16.05" customHeight="1" x14ac:dyDescent="0.3">
      <c r="A128" s="28">
        <v>125</v>
      </c>
      <c r="B128" s="28" t="s">
        <v>531</v>
      </c>
      <c r="C128" s="28" t="s">
        <v>706</v>
      </c>
      <c r="D128" s="28"/>
      <c r="E128" s="28"/>
      <c r="F128" s="28"/>
      <c r="G128" s="28"/>
      <c r="H128" s="28"/>
      <c r="I128" s="28"/>
      <c r="J128" s="28"/>
      <c r="K128" s="28"/>
      <c r="L128" s="28"/>
      <c r="M128" s="28"/>
      <c r="N128" s="28"/>
    </row>
    <row r="129" spans="1:14" ht="16.05" customHeight="1" x14ac:dyDescent="0.3">
      <c r="A129" s="30">
        <v>126</v>
      </c>
      <c r="B129" s="30" t="s">
        <v>531</v>
      </c>
      <c r="C129" s="30" t="s">
        <v>707</v>
      </c>
      <c r="D129" s="30"/>
      <c r="E129" s="30"/>
      <c r="F129" s="30"/>
      <c r="G129" s="30"/>
      <c r="H129" s="30"/>
      <c r="I129" s="30"/>
      <c r="J129" s="30"/>
      <c r="K129" s="30"/>
      <c r="L129" s="30"/>
      <c r="M129" s="30"/>
      <c r="N129" s="30"/>
    </row>
    <row r="130" spans="1:14" ht="16.05" customHeight="1" x14ac:dyDescent="0.3">
      <c r="A130" s="28">
        <v>127</v>
      </c>
      <c r="B130" s="28" t="s">
        <v>531</v>
      </c>
      <c r="C130" s="28" t="s">
        <v>708</v>
      </c>
      <c r="D130" s="28"/>
      <c r="E130" s="28"/>
      <c r="F130" s="28"/>
      <c r="G130" s="28"/>
      <c r="H130" s="28"/>
      <c r="I130" s="28"/>
      <c r="J130" s="28"/>
      <c r="K130" s="28"/>
      <c r="L130" s="28"/>
      <c r="M130" s="28"/>
      <c r="N130" s="28"/>
    </row>
    <row r="131" spans="1:14" ht="16.05" customHeight="1" x14ac:dyDescent="0.3">
      <c r="A131" s="30">
        <v>128</v>
      </c>
      <c r="B131" s="30" t="s">
        <v>531</v>
      </c>
      <c r="C131" s="30" t="s">
        <v>709</v>
      </c>
      <c r="D131" s="30"/>
      <c r="E131" s="30"/>
      <c r="F131" s="30"/>
      <c r="G131" s="30"/>
      <c r="H131" s="30"/>
      <c r="I131" s="30"/>
      <c r="J131" s="30"/>
      <c r="K131" s="30"/>
      <c r="L131" s="30"/>
      <c r="M131" s="30"/>
      <c r="N131" s="30"/>
    </row>
    <row r="132" spans="1:14" ht="16.05" customHeight="1" x14ac:dyDescent="0.3">
      <c r="A132" s="28">
        <v>129</v>
      </c>
      <c r="B132" s="28" t="s">
        <v>531</v>
      </c>
      <c r="C132" s="28" t="s">
        <v>710</v>
      </c>
      <c r="D132" s="28"/>
      <c r="E132" s="28"/>
      <c r="F132" s="28"/>
      <c r="G132" s="28"/>
      <c r="H132" s="28"/>
      <c r="I132" s="28"/>
      <c r="J132" s="28"/>
      <c r="K132" s="28"/>
      <c r="L132" s="28"/>
      <c r="M132" s="28"/>
      <c r="N132" s="28"/>
    </row>
    <row r="133" spans="1:14" ht="16.05" customHeight="1" x14ac:dyDescent="0.3">
      <c r="A133" s="30">
        <v>130</v>
      </c>
      <c r="B133" s="30" t="s">
        <v>531</v>
      </c>
      <c r="C133" s="30" t="s">
        <v>711</v>
      </c>
      <c r="D133" s="30"/>
      <c r="E133" s="30"/>
      <c r="F133" s="30"/>
      <c r="G133" s="30"/>
      <c r="H133" s="30"/>
      <c r="I133" s="30"/>
      <c r="J133" s="30"/>
      <c r="K133" s="30"/>
      <c r="L133" s="30"/>
      <c r="M133" s="30"/>
      <c r="N133" s="30"/>
    </row>
    <row r="134" spans="1:14" ht="16.05" customHeight="1" x14ac:dyDescent="0.3">
      <c r="A134" s="28">
        <v>131</v>
      </c>
      <c r="B134" s="28" t="s">
        <v>532</v>
      </c>
      <c r="C134" s="28" t="s">
        <v>702</v>
      </c>
      <c r="D134" s="28"/>
      <c r="E134" s="28"/>
      <c r="F134" s="28"/>
      <c r="G134" s="28"/>
      <c r="H134" s="28"/>
      <c r="I134" s="28"/>
      <c r="J134" s="28"/>
      <c r="K134" s="28"/>
      <c r="L134" s="28"/>
      <c r="M134" s="28"/>
      <c r="N134" s="28"/>
    </row>
    <row r="135" spans="1:14" ht="16.05" customHeight="1" x14ac:dyDescent="0.3">
      <c r="A135" s="30">
        <v>132</v>
      </c>
      <c r="B135" s="30" t="s">
        <v>532</v>
      </c>
      <c r="C135" s="30" t="s">
        <v>703</v>
      </c>
      <c r="D135" s="30"/>
      <c r="E135" s="30"/>
      <c r="F135" s="30"/>
      <c r="G135" s="30"/>
      <c r="H135" s="30"/>
      <c r="I135" s="30"/>
      <c r="J135" s="30"/>
      <c r="K135" s="30"/>
      <c r="L135" s="30"/>
      <c r="M135" s="30"/>
      <c r="N135" s="30"/>
    </row>
    <row r="136" spans="1:14" ht="16.05" customHeight="1" x14ac:dyDescent="0.3">
      <c r="A136" s="28">
        <v>133</v>
      </c>
      <c r="B136" s="28" t="s">
        <v>532</v>
      </c>
      <c r="C136" s="28" t="s">
        <v>704</v>
      </c>
      <c r="D136" s="28"/>
      <c r="E136" s="28"/>
      <c r="F136" s="28"/>
      <c r="G136" s="28"/>
      <c r="H136" s="28"/>
      <c r="I136" s="28"/>
      <c r="J136" s="28"/>
      <c r="K136" s="28"/>
      <c r="L136" s="28"/>
      <c r="M136" s="28"/>
      <c r="N136" s="28"/>
    </row>
    <row r="137" spans="1:14" ht="16.05" customHeight="1" x14ac:dyDescent="0.3">
      <c r="A137" s="30">
        <v>134</v>
      </c>
      <c r="B137" s="30" t="s">
        <v>532</v>
      </c>
      <c r="C137" s="30" t="s">
        <v>705</v>
      </c>
      <c r="D137" s="30"/>
      <c r="E137" s="30"/>
      <c r="F137" s="30"/>
      <c r="G137" s="30"/>
      <c r="H137" s="30"/>
      <c r="I137" s="30"/>
      <c r="J137" s="30"/>
      <c r="K137" s="30"/>
      <c r="L137" s="30"/>
      <c r="M137" s="30"/>
      <c r="N137" s="30"/>
    </row>
    <row r="138" spans="1:14" ht="16.05" customHeight="1" x14ac:dyDescent="0.3">
      <c r="A138" s="28">
        <v>135</v>
      </c>
      <c r="B138" s="28" t="s">
        <v>532</v>
      </c>
      <c r="C138" s="28" t="s">
        <v>706</v>
      </c>
      <c r="D138" s="28"/>
      <c r="E138" s="28"/>
      <c r="F138" s="28"/>
      <c r="G138" s="28"/>
      <c r="H138" s="28"/>
      <c r="I138" s="28"/>
      <c r="J138" s="28"/>
      <c r="K138" s="28"/>
      <c r="L138" s="28"/>
      <c r="M138" s="28"/>
      <c r="N138" s="28"/>
    </row>
    <row r="139" spans="1:14" ht="16.05" customHeight="1" x14ac:dyDescent="0.3">
      <c r="A139" s="30">
        <v>136</v>
      </c>
      <c r="B139" s="30" t="s">
        <v>532</v>
      </c>
      <c r="C139" s="30" t="s">
        <v>707</v>
      </c>
      <c r="D139" s="30"/>
      <c r="E139" s="30"/>
      <c r="F139" s="30"/>
      <c r="G139" s="30"/>
      <c r="H139" s="30"/>
      <c r="I139" s="30"/>
      <c r="J139" s="30"/>
      <c r="K139" s="30"/>
      <c r="L139" s="30"/>
      <c r="M139" s="30"/>
      <c r="N139" s="30"/>
    </row>
    <row r="140" spans="1:14" ht="16.05" customHeight="1" x14ac:dyDescent="0.3">
      <c r="A140" s="28">
        <v>137</v>
      </c>
      <c r="B140" s="28" t="s">
        <v>532</v>
      </c>
      <c r="C140" s="28" t="s">
        <v>708</v>
      </c>
      <c r="D140" s="28"/>
      <c r="E140" s="28"/>
      <c r="F140" s="28"/>
      <c r="G140" s="28"/>
      <c r="H140" s="28"/>
      <c r="I140" s="28"/>
      <c r="J140" s="28"/>
      <c r="K140" s="28"/>
      <c r="L140" s="28"/>
      <c r="M140" s="28"/>
      <c r="N140" s="28"/>
    </row>
    <row r="141" spans="1:14" ht="16.05" customHeight="1" x14ac:dyDescent="0.3">
      <c r="A141" s="30">
        <v>138</v>
      </c>
      <c r="B141" s="30" t="s">
        <v>532</v>
      </c>
      <c r="C141" s="30" t="s">
        <v>709</v>
      </c>
      <c r="D141" s="30"/>
      <c r="E141" s="30"/>
      <c r="F141" s="30"/>
      <c r="G141" s="30"/>
      <c r="H141" s="30"/>
      <c r="I141" s="30"/>
      <c r="J141" s="30"/>
      <c r="K141" s="30"/>
      <c r="L141" s="30"/>
      <c r="M141" s="30"/>
      <c r="N141" s="30"/>
    </row>
    <row r="142" spans="1:14" ht="16.05" customHeight="1" x14ac:dyDescent="0.3">
      <c r="A142" s="28">
        <v>139</v>
      </c>
      <c r="B142" s="28" t="s">
        <v>532</v>
      </c>
      <c r="C142" s="28" t="s">
        <v>710</v>
      </c>
      <c r="D142" s="28"/>
      <c r="E142" s="28"/>
      <c r="F142" s="28"/>
      <c r="G142" s="28"/>
      <c r="H142" s="28"/>
      <c r="I142" s="28"/>
      <c r="J142" s="28"/>
      <c r="K142" s="28"/>
      <c r="L142" s="28"/>
      <c r="M142" s="28"/>
      <c r="N142" s="28"/>
    </row>
    <row r="143" spans="1:14" ht="16.05" customHeight="1" x14ac:dyDescent="0.3">
      <c r="A143" s="30">
        <v>140</v>
      </c>
      <c r="B143" s="30" t="s">
        <v>532</v>
      </c>
      <c r="C143" s="30" t="s">
        <v>711</v>
      </c>
      <c r="D143" s="30"/>
      <c r="E143" s="30"/>
      <c r="F143" s="30"/>
      <c r="G143" s="30"/>
      <c r="H143" s="30"/>
      <c r="I143" s="30"/>
      <c r="J143" s="30"/>
      <c r="K143" s="30"/>
      <c r="L143" s="30"/>
      <c r="M143" s="30"/>
      <c r="N143" s="30"/>
    </row>
    <row r="144" spans="1:14" ht="16.05" customHeight="1" x14ac:dyDescent="0.3">
      <c r="A144" s="28">
        <v>141</v>
      </c>
      <c r="B144" s="28" t="s">
        <v>533</v>
      </c>
      <c r="C144" s="28" t="s">
        <v>702</v>
      </c>
      <c r="D144" s="28"/>
      <c r="E144" s="28"/>
      <c r="F144" s="28"/>
      <c r="G144" s="28"/>
      <c r="H144" s="28"/>
      <c r="I144" s="28"/>
      <c r="J144" s="28"/>
      <c r="K144" s="28"/>
      <c r="L144" s="28"/>
      <c r="M144" s="28"/>
      <c r="N144" s="28"/>
    </row>
    <row r="145" spans="1:14" ht="16.05" customHeight="1" x14ac:dyDescent="0.3">
      <c r="A145" s="30">
        <v>142</v>
      </c>
      <c r="B145" s="30" t="s">
        <v>533</v>
      </c>
      <c r="C145" s="30" t="s">
        <v>703</v>
      </c>
      <c r="D145" s="30"/>
      <c r="E145" s="30"/>
      <c r="F145" s="30"/>
      <c r="G145" s="30"/>
      <c r="H145" s="30"/>
      <c r="I145" s="30"/>
      <c r="J145" s="30"/>
      <c r="K145" s="30"/>
      <c r="L145" s="30"/>
      <c r="M145" s="30"/>
      <c r="N145" s="30"/>
    </row>
    <row r="146" spans="1:14" ht="16.05" customHeight="1" x14ac:dyDescent="0.3">
      <c r="A146" s="28">
        <v>143</v>
      </c>
      <c r="B146" s="28" t="s">
        <v>533</v>
      </c>
      <c r="C146" s="28" t="s">
        <v>704</v>
      </c>
      <c r="D146" s="28"/>
      <c r="E146" s="28"/>
      <c r="F146" s="28"/>
      <c r="G146" s="28"/>
      <c r="H146" s="28"/>
      <c r="I146" s="28"/>
      <c r="J146" s="28"/>
      <c r="K146" s="28"/>
      <c r="L146" s="28"/>
      <c r="M146" s="28"/>
      <c r="N146" s="28"/>
    </row>
    <row r="147" spans="1:14" ht="16.05" customHeight="1" x14ac:dyDescent="0.3">
      <c r="A147" s="30">
        <v>144</v>
      </c>
      <c r="B147" s="30" t="s">
        <v>533</v>
      </c>
      <c r="C147" s="30" t="s">
        <v>705</v>
      </c>
      <c r="D147" s="30"/>
      <c r="E147" s="30"/>
      <c r="F147" s="30"/>
      <c r="G147" s="30"/>
      <c r="H147" s="30"/>
      <c r="I147" s="30"/>
      <c r="J147" s="30"/>
      <c r="K147" s="30"/>
      <c r="L147" s="30"/>
      <c r="M147" s="30"/>
      <c r="N147" s="30"/>
    </row>
    <row r="148" spans="1:14" ht="16.05" customHeight="1" x14ac:dyDescent="0.3">
      <c r="A148" s="28">
        <v>145</v>
      </c>
      <c r="B148" s="28" t="s">
        <v>533</v>
      </c>
      <c r="C148" s="28" t="s">
        <v>706</v>
      </c>
      <c r="D148" s="28"/>
      <c r="E148" s="28"/>
      <c r="F148" s="28"/>
      <c r="G148" s="28"/>
      <c r="H148" s="28"/>
      <c r="I148" s="28"/>
      <c r="J148" s="28"/>
      <c r="K148" s="28"/>
      <c r="L148" s="28"/>
      <c r="M148" s="28"/>
      <c r="N148" s="28"/>
    </row>
    <row r="149" spans="1:14" ht="16.05" customHeight="1" x14ac:dyDescent="0.3">
      <c r="A149" s="30">
        <v>146</v>
      </c>
      <c r="B149" s="30" t="s">
        <v>533</v>
      </c>
      <c r="C149" s="30" t="s">
        <v>707</v>
      </c>
      <c r="D149" s="30"/>
      <c r="E149" s="30"/>
      <c r="F149" s="30"/>
      <c r="G149" s="30"/>
      <c r="H149" s="30"/>
      <c r="I149" s="30"/>
      <c r="J149" s="30"/>
      <c r="K149" s="30"/>
      <c r="L149" s="30"/>
      <c r="M149" s="30"/>
      <c r="N149" s="30"/>
    </row>
    <row r="150" spans="1:14" ht="16.05" customHeight="1" x14ac:dyDescent="0.3">
      <c r="A150" s="28">
        <v>147</v>
      </c>
      <c r="B150" s="28" t="s">
        <v>533</v>
      </c>
      <c r="C150" s="28" t="s">
        <v>708</v>
      </c>
      <c r="D150" s="28"/>
      <c r="E150" s="28"/>
      <c r="F150" s="28"/>
      <c r="G150" s="28"/>
      <c r="H150" s="28"/>
      <c r="I150" s="28"/>
      <c r="J150" s="28"/>
      <c r="K150" s="28"/>
      <c r="L150" s="28"/>
      <c r="M150" s="28"/>
      <c r="N150" s="28"/>
    </row>
    <row r="151" spans="1:14" ht="16.05" customHeight="1" x14ac:dyDescent="0.3">
      <c r="A151" s="30">
        <v>148</v>
      </c>
      <c r="B151" s="30" t="s">
        <v>533</v>
      </c>
      <c r="C151" s="30" t="s">
        <v>709</v>
      </c>
      <c r="D151" s="30"/>
      <c r="E151" s="30"/>
      <c r="F151" s="30"/>
      <c r="G151" s="30"/>
      <c r="H151" s="30"/>
      <c r="I151" s="30"/>
      <c r="J151" s="30"/>
      <c r="K151" s="30"/>
      <c r="L151" s="30"/>
      <c r="M151" s="30"/>
      <c r="N151" s="30"/>
    </row>
    <row r="152" spans="1:14" ht="16.05" customHeight="1" x14ac:dyDescent="0.3">
      <c r="A152" s="28">
        <v>149</v>
      </c>
      <c r="B152" s="28" t="s">
        <v>533</v>
      </c>
      <c r="C152" s="28" t="s">
        <v>710</v>
      </c>
      <c r="D152" s="28"/>
      <c r="E152" s="28"/>
      <c r="F152" s="28"/>
      <c r="G152" s="28"/>
      <c r="H152" s="28"/>
      <c r="I152" s="28"/>
      <c r="J152" s="28"/>
      <c r="K152" s="28"/>
      <c r="L152" s="28"/>
      <c r="M152" s="28"/>
      <c r="N152" s="28"/>
    </row>
    <row r="153" spans="1:14" ht="16.05" customHeight="1" x14ac:dyDescent="0.3">
      <c r="A153" s="30">
        <v>150</v>
      </c>
      <c r="B153" s="30" t="s">
        <v>533</v>
      </c>
      <c r="C153" s="30" t="s">
        <v>711</v>
      </c>
      <c r="D153" s="30"/>
      <c r="E153" s="30"/>
      <c r="F153" s="30"/>
      <c r="G153" s="30"/>
      <c r="H153" s="30"/>
      <c r="I153" s="30"/>
      <c r="J153" s="30"/>
      <c r="K153" s="30"/>
      <c r="L153" s="30"/>
      <c r="M153" s="30"/>
      <c r="N153" s="30"/>
    </row>
    <row r="154" spans="1:14" ht="16.05" customHeight="1" x14ac:dyDescent="0.3">
      <c r="A154" s="28">
        <v>151</v>
      </c>
      <c r="B154" s="28" t="s">
        <v>534</v>
      </c>
      <c r="C154" s="28" t="s">
        <v>702</v>
      </c>
      <c r="D154" s="28"/>
      <c r="E154" s="28"/>
      <c r="F154" s="28"/>
      <c r="G154" s="28"/>
      <c r="H154" s="28"/>
      <c r="I154" s="28"/>
      <c r="J154" s="28"/>
      <c r="K154" s="28"/>
      <c r="L154" s="28"/>
      <c r="M154" s="28"/>
      <c r="N154" s="28"/>
    </row>
    <row r="155" spans="1:14" ht="16.05" customHeight="1" x14ac:dyDescent="0.3">
      <c r="A155" s="30">
        <v>152</v>
      </c>
      <c r="B155" s="30" t="s">
        <v>534</v>
      </c>
      <c r="C155" s="30" t="s">
        <v>703</v>
      </c>
      <c r="D155" s="30"/>
      <c r="E155" s="30"/>
      <c r="F155" s="30"/>
      <c r="G155" s="30"/>
      <c r="H155" s="30"/>
      <c r="I155" s="30"/>
      <c r="J155" s="30"/>
      <c r="K155" s="30"/>
      <c r="L155" s="30"/>
      <c r="M155" s="30"/>
      <c r="N155" s="30"/>
    </row>
    <row r="156" spans="1:14" ht="16.05" customHeight="1" x14ac:dyDescent="0.3">
      <c r="A156" s="28">
        <v>153</v>
      </c>
      <c r="B156" s="28" t="s">
        <v>534</v>
      </c>
      <c r="C156" s="28" t="s">
        <v>704</v>
      </c>
      <c r="D156" s="28"/>
      <c r="E156" s="28"/>
      <c r="F156" s="28"/>
      <c r="G156" s="28"/>
      <c r="H156" s="28"/>
      <c r="I156" s="28"/>
      <c r="J156" s="28"/>
      <c r="K156" s="28"/>
      <c r="L156" s="28"/>
      <c r="M156" s="28"/>
      <c r="N156" s="28"/>
    </row>
    <row r="157" spans="1:14" ht="16.05" customHeight="1" x14ac:dyDescent="0.3">
      <c r="A157" s="30">
        <v>154</v>
      </c>
      <c r="B157" s="30" t="s">
        <v>534</v>
      </c>
      <c r="C157" s="30" t="s">
        <v>705</v>
      </c>
      <c r="D157" s="30"/>
      <c r="E157" s="30"/>
      <c r="F157" s="30"/>
      <c r="G157" s="30"/>
      <c r="H157" s="30"/>
      <c r="I157" s="30"/>
      <c r="J157" s="30"/>
      <c r="K157" s="30"/>
      <c r="L157" s="30"/>
      <c r="M157" s="30"/>
      <c r="N157" s="30"/>
    </row>
    <row r="158" spans="1:14" ht="16.05" customHeight="1" x14ac:dyDescent="0.3">
      <c r="A158" s="28">
        <v>155</v>
      </c>
      <c r="B158" s="28" t="s">
        <v>534</v>
      </c>
      <c r="C158" s="28" t="s">
        <v>706</v>
      </c>
      <c r="D158" s="28"/>
      <c r="E158" s="28"/>
      <c r="F158" s="28"/>
      <c r="G158" s="28"/>
      <c r="H158" s="28"/>
      <c r="I158" s="28"/>
      <c r="J158" s="28"/>
      <c r="K158" s="28"/>
      <c r="L158" s="28"/>
      <c r="M158" s="28"/>
      <c r="N158" s="28"/>
    </row>
    <row r="159" spans="1:14" ht="16.05" customHeight="1" x14ac:dyDescent="0.3">
      <c r="A159" s="30">
        <v>156</v>
      </c>
      <c r="B159" s="30" t="s">
        <v>534</v>
      </c>
      <c r="C159" s="30" t="s">
        <v>707</v>
      </c>
      <c r="D159" s="30"/>
      <c r="E159" s="30"/>
      <c r="F159" s="30"/>
      <c r="G159" s="30"/>
      <c r="H159" s="30"/>
      <c r="I159" s="30"/>
      <c r="J159" s="30"/>
      <c r="K159" s="30"/>
      <c r="L159" s="30"/>
      <c r="M159" s="30"/>
      <c r="N159" s="30"/>
    </row>
    <row r="160" spans="1:14" ht="16.05" customHeight="1" x14ac:dyDescent="0.3">
      <c r="A160" s="28">
        <v>157</v>
      </c>
      <c r="B160" s="28" t="s">
        <v>534</v>
      </c>
      <c r="C160" s="28" t="s">
        <v>708</v>
      </c>
      <c r="D160" s="28"/>
      <c r="E160" s="28"/>
      <c r="F160" s="28"/>
      <c r="G160" s="28"/>
      <c r="H160" s="28"/>
      <c r="I160" s="28"/>
      <c r="J160" s="28"/>
      <c r="K160" s="28"/>
      <c r="L160" s="28"/>
      <c r="M160" s="28"/>
      <c r="N160" s="28"/>
    </row>
    <row r="161" spans="1:14" ht="16.05" customHeight="1" x14ac:dyDescent="0.3">
      <c r="A161" s="30">
        <v>158</v>
      </c>
      <c r="B161" s="30" t="s">
        <v>534</v>
      </c>
      <c r="C161" s="30" t="s">
        <v>709</v>
      </c>
      <c r="D161" s="30"/>
      <c r="E161" s="30"/>
      <c r="F161" s="30"/>
      <c r="G161" s="30"/>
      <c r="H161" s="30"/>
      <c r="I161" s="30"/>
      <c r="J161" s="30"/>
      <c r="K161" s="30"/>
      <c r="L161" s="30"/>
      <c r="M161" s="30"/>
      <c r="N161" s="30"/>
    </row>
    <row r="162" spans="1:14" ht="16.05" customHeight="1" x14ac:dyDescent="0.3">
      <c r="A162" s="28">
        <v>159</v>
      </c>
      <c r="B162" s="28" t="s">
        <v>534</v>
      </c>
      <c r="C162" s="28" t="s">
        <v>710</v>
      </c>
      <c r="D162" s="28"/>
      <c r="E162" s="28"/>
      <c r="F162" s="28"/>
      <c r="G162" s="28"/>
      <c r="H162" s="28"/>
      <c r="I162" s="28"/>
      <c r="J162" s="28"/>
      <c r="K162" s="28"/>
      <c r="L162" s="28"/>
      <c r="M162" s="28"/>
      <c r="N162" s="28"/>
    </row>
    <row r="163" spans="1:14" ht="16.05" customHeight="1" x14ac:dyDescent="0.3">
      <c r="A163" s="30">
        <v>160</v>
      </c>
      <c r="B163" s="30" t="s">
        <v>534</v>
      </c>
      <c r="C163" s="30" t="s">
        <v>711</v>
      </c>
      <c r="D163" s="30"/>
      <c r="E163" s="30"/>
      <c r="F163" s="30"/>
      <c r="G163" s="30"/>
      <c r="H163" s="30"/>
      <c r="I163" s="30"/>
      <c r="J163" s="30"/>
      <c r="K163" s="30"/>
      <c r="L163" s="30"/>
      <c r="M163" s="30"/>
      <c r="N163" s="30"/>
    </row>
    <row r="164" spans="1:14" ht="16.05" customHeight="1" x14ac:dyDescent="0.3">
      <c r="A164" s="28">
        <v>161</v>
      </c>
      <c r="B164" s="28" t="s">
        <v>535</v>
      </c>
      <c r="C164" s="28" t="s">
        <v>702</v>
      </c>
      <c r="D164" s="28"/>
      <c r="E164" s="28"/>
      <c r="F164" s="28"/>
      <c r="G164" s="28"/>
      <c r="H164" s="28"/>
      <c r="I164" s="28"/>
      <c r="J164" s="28"/>
      <c r="K164" s="28"/>
      <c r="L164" s="28"/>
      <c r="M164" s="28"/>
      <c r="N164" s="28"/>
    </row>
    <row r="165" spans="1:14" ht="16.05" customHeight="1" x14ac:dyDescent="0.3">
      <c r="A165" s="30">
        <v>162</v>
      </c>
      <c r="B165" s="30" t="s">
        <v>535</v>
      </c>
      <c r="C165" s="30" t="s">
        <v>703</v>
      </c>
      <c r="D165" s="30"/>
      <c r="E165" s="30"/>
      <c r="F165" s="30"/>
      <c r="G165" s="30"/>
      <c r="H165" s="30"/>
      <c r="I165" s="30"/>
      <c r="J165" s="30"/>
      <c r="K165" s="30"/>
      <c r="L165" s="30"/>
      <c r="M165" s="30"/>
      <c r="N165" s="30"/>
    </row>
    <row r="166" spans="1:14" ht="16.05" customHeight="1" x14ac:dyDescent="0.3">
      <c r="A166" s="28">
        <v>163</v>
      </c>
      <c r="B166" s="28" t="s">
        <v>535</v>
      </c>
      <c r="C166" s="28" t="s">
        <v>704</v>
      </c>
      <c r="D166" s="28"/>
      <c r="E166" s="28"/>
      <c r="F166" s="28"/>
      <c r="G166" s="28"/>
      <c r="H166" s="28"/>
      <c r="I166" s="28"/>
      <c r="J166" s="28"/>
      <c r="K166" s="28"/>
      <c r="L166" s="28"/>
      <c r="M166" s="28"/>
      <c r="N166" s="28"/>
    </row>
    <row r="167" spans="1:14" ht="16.05" customHeight="1" x14ac:dyDescent="0.3">
      <c r="A167" s="30">
        <v>164</v>
      </c>
      <c r="B167" s="30" t="s">
        <v>535</v>
      </c>
      <c r="C167" s="30" t="s">
        <v>705</v>
      </c>
      <c r="D167" s="30"/>
      <c r="E167" s="30"/>
      <c r="F167" s="30"/>
      <c r="G167" s="30"/>
      <c r="H167" s="30"/>
      <c r="I167" s="30"/>
      <c r="J167" s="30"/>
      <c r="K167" s="30"/>
      <c r="L167" s="30"/>
      <c r="M167" s="30"/>
      <c r="N167" s="30"/>
    </row>
    <row r="168" spans="1:14" ht="16.05" customHeight="1" x14ac:dyDescent="0.3">
      <c r="A168" s="28">
        <v>165</v>
      </c>
      <c r="B168" s="28" t="s">
        <v>535</v>
      </c>
      <c r="C168" s="28" t="s">
        <v>706</v>
      </c>
      <c r="D168" s="28"/>
      <c r="E168" s="28"/>
      <c r="F168" s="28"/>
      <c r="G168" s="28"/>
      <c r="H168" s="28"/>
      <c r="I168" s="28"/>
      <c r="J168" s="28"/>
      <c r="K168" s="28"/>
      <c r="L168" s="28"/>
      <c r="M168" s="28"/>
      <c r="N168" s="28"/>
    </row>
    <row r="169" spans="1:14" ht="16.05" customHeight="1" x14ac:dyDescent="0.3">
      <c r="A169" s="30">
        <v>166</v>
      </c>
      <c r="B169" s="30" t="s">
        <v>535</v>
      </c>
      <c r="C169" s="30" t="s">
        <v>707</v>
      </c>
      <c r="D169" s="30"/>
      <c r="E169" s="30"/>
      <c r="F169" s="30"/>
      <c r="G169" s="30"/>
      <c r="H169" s="30"/>
      <c r="I169" s="30"/>
      <c r="J169" s="30"/>
      <c r="K169" s="30"/>
      <c r="L169" s="30"/>
      <c r="M169" s="30"/>
      <c r="N169" s="30"/>
    </row>
    <row r="170" spans="1:14" ht="16.05" customHeight="1" x14ac:dyDescent="0.3">
      <c r="A170" s="28">
        <v>167</v>
      </c>
      <c r="B170" s="28" t="s">
        <v>535</v>
      </c>
      <c r="C170" s="28" t="s">
        <v>708</v>
      </c>
      <c r="D170" s="28"/>
      <c r="E170" s="28"/>
      <c r="F170" s="28"/>
      <c r="G170" s="28"/>
      <c r="H170" s="28"/>
      <c r="I170" s="28"/>
      <c r="J170" s="28"/>
      <c r="K170" s="28"/>
      <c r="L170" s="28"/>
      <c r="M170" s="28"/>
      <c r="N170" s="28"/>
    </row>
    <row r="171" spans="1:14" ht="16.05" customHeight="1" x14ac:dyDescent="0.3">
      <c r="A171" s="30">
        <v>168</v>
      </c>
      <c r="B171" s="30" t="s">
        <v>535</v>
      </c>
      <c r="C171" s="30" t="s">
        <v>709</v>
      </c>
      <c r="D171" s="30"/>
      <c r="E171" s="30"/>
      <c r="F171" s="30"/>
      <c r="G171" s="30"/>
      <c r="H171" s="30"/>
      <c r="I171" s="30"/>
      <c r="J171" s="30"/>
      <c r="K171" s="30"/>
      <c r="L171" s="30"/>
      <c r="M171" s="30"/>
      <c r="N171" s="30"/>
    </row>
    <row r="172" spans="1:14" ht="16.05" customHeight="1" x14ac:dyDescent="0.3">
      <c r="A172" s="28">
        <v>169</v>
      </c>
      <c r="B172" s="28" t="s">
        <v>535</v>
      </c>
      <c r="C172" s="28" t="s">
        <v>710</v>
      </c>
      <c r="D172" s="28"/>
      <c r="E172" s="28"/>
      <c r="F172" s="28"/>
      <c r="G172" s="28"/>
      <c r="H172" s="28"/>
      <c r="I172" s="28"/>
      <c r="J172" s="28"/>
      <c r="K172" s="28"/>
      <c r="L172" s="28"/>
      <c r="M172" s="28"/>
      <c r="N172" s="28"/>
    </row>
    <row r="173" spans="1:14" ht="16.05" customHeight="1" x14ac:dyDescent="0.3">
      <c r="A173" s="30">
        <v>170</v>
      </c>
      <c r="B173" s="30" t="s">
        <v>535</v>
      </c>
      <c r="C173" s="30" t="s">
        <v>711</v>
      </c>
      <c r="D173" s="30"/>
      <c r="E173" s="30"/>
      <c r="F173" s="30"/>
      <c r="G173" s="30"/>
      <c r="H173" s="30"/>
      <c r="I173" s="30"/>
      <c r="J173" s="30"/>
      <c r="K173" s="30"/>
      <c r="L173" s="30"/>
      <c r="M173" s="30"/>
      <c r="N173" s="30"/>
    </row>
    <row r="174" spans="1:14" ht="16.05" customHeight="1" x14ac:dyDescent="0.3">
      <c r="A174" s="28">
        <v>171</v>
      </c>
      <c r="B174" s="28" t="s">
        <v>536</v>
      </c>
      <c r="C174" s="28" t="s">
        <v>702</v>
      </c>
      <c r="D174" s="28"/>
      <c r="E174" s="28"/>
      <c r="F174" s="28"/>
      <c r="G174" s="28"/>
      <c r="H174" s="28"/>
      <c r="I174" s="28"/>
      <c r="J174" s="28"/>
      <c r="K174" s="28"/>
      <c r="L174" s="28"/>
      <c r="M174" s="28"/>
      <c r="N174" s="28"/>
    </row>
    <row r="175" spans="1:14" ht="16.05" customHeight="1" x14ac:dyDescent="0.3">
      <c r="A175" s="30">
        <v>172</v>
      </c>
      <c r="B175" s="30" t="s">
        <v>536</v>
      </c>
      <c r="C175" s="30" t="s">
        <v>703</v>
      </c>
      <c r="D175" s="30"/>
      <c r="E175" s="30"/>
      <c r="F175" s="30"/>
      <c r="G175" s="30"/>
      <c r="H175" s="30"/>
      <c r="I175" s="30"/>
      <c r="J175" s="30"/>
      <c r="K175" s="30"/>
      <c r="L175" s="30"/>
      <c r="M175" s="30"/>
      <c r="N175" s="30"/>
    </row>
    <row r="176" spans="1:14" ht="16.05" customHeight="1" x14ac:dyDescent="0.3">
      <c r="A176" s="28">
        <v>173</v>
      </c>
      <c r="B176" s="28" t="s">
        <v>536</v>
      </c>
      <c r="C176" s="28" t="s">
        <v>704</v>
      </c>
      <c r="D176" s="28"/>
      <c r="E176" s="28"/>
      <c r="F176" s="28"/>
      <c r="G176" s="28"/>
      <c r="H176" s="28"/>
      <c r="I176" s="28"/>
      <c r="J176" s="28"/>
      <c r="K176" s="28"/>
      <c r="L176" s="28"/>
      <c r="M176" s="28"/>
      <c r="N176" s="28"/>
    </row>
    <row r="177" spans="1:14" ht="16.05" customHeight="1" x14ac:dyDescent="0.3">
      <c r="A177" s="30">
        <v>174</v>
      </c>
      <c r="B177" s="30" t="s">
        <v>536</v>
      </c>
      <c r="C177" s="30" t="s">
        <v>705</v>
      </c>
      <c r="D177" s="30"/>
      <c r="E177" s="30"/>
      <c r="F177" s="30"/>
      <c r="G177" s="30"/>
      <c r="H177" s="30"/>
      <c r="I177" s="30"/>
      <c r="J177" s="30"/>
      <c r="K177" s="30"/>
      <c r="L177" s="30"/>
      <c r="M177" s="30"/>
      <c r="N177" s="30"/>
    </row>
    <row r="178" spans="1:14" ht="16.05" customHeight="1" x14ac:dyDescent="0.3">
      <c r="A178" s="28">
        <v>175</v>
      </c>
      <c r="B178" s="28" t="s">
        <v>536</v>
      </c>
      <c r="C178" s="28" t="s">
        <v>706</v>
      </c>
      <c r="D178" s="28"/>
      <c r="E178" s="28"/>
      <c r="F178" s="28"/>
      <c r="G178" s="28"/>
      <c r="H178" s="28"/>
      <c r="I178" s="28"/>
      <c r="J178" s="28"/>
      <c r="K178" s="28"/>
      <c r="L178" s="28"/>
      <c r="M178" s="28"/>
      <c r="N178" s="28"/>
    </row>
    <row r="179" spans="1:14" ht="16.05" customHeight="1" x14ac:dyDescent="0.3">
      <c r="A179" s="30">
        <v>176</v>
      </c>
      <c r="B179" s="30" t="s">
        <v>536</v>
      </c>
      <c r="C179" s="30" t="s">
        <v>707</v>
      </c>
      <c r="D179" s="30"/>
      <c r="E179" s="30"/>
      <c r="F179" s="30"/>
      <c r="G179" s="30"/>
      <c r="H179" s="30"/>
      <c r="I179" s="30"/>
      <c r="J179" s="30"/>
      <c r="K179" s="30"/>
      <c r="L179" s="30"/>
      <c r="M179" s="30"/>
      <c r="N179" s="30"/>
    </row>
    <row r="180" spans="1:14" ht="16.05" customHeight="1" x14ac:dyDescent="0.3">
      <c r="A180" s="28">
        <v>177</v>
      </c>
      <c r="B180" s="28" t="s">
        <v>536</v>
      </c>
      <c r="C180" s="28" t="s">
        <v>708</v>
      </c>
      <c r="D180" s="28"/>
      <c r="E180" s="28"/>
      <c r="F180" s="28"/>
      <c r="G180" s="28"/>
      <c r="H180" s="28"/>
      <c r="I180" s="28"/>
      <c r="J180" s="28"/>
      <c r="K180" s="28"/>
      <c r="L180" s="28"/>
      <c r="M180" s="28"/>
      <c r="N180" s="28"/>
    </row>
    <row r="181" spans="1:14" ht="16.05" customHeight="1" x14ac:dyDescent="0.3">
      <c r="A181" s="30">
        <v>178</v>
      </c>
      <c r="B181" s="30" t="s">
        <v>536</v>
      </c>
      <c r="C181" s="30" t="s">
        <v>709</v>
      </c>
      <c r="D181" s="30"/>
      <c r="E181" s="30"/>
      <c r="F181" s="30"/>
      <c r="G181" s="30"/>
      <c r="H181" s="30"/>
      <c r="I181" s="30"/>
      <c r="J181" s="30"/>
      <c r="K181" s="30"/>
      <c r="L181" s="30"/>
      <c r="M181" s="30"/>
      <c r="N181" s="30"/>
    </row>
    <row r="182" spans="1:14" ht="16.05" customHeight="1" x14ac:dyDescent="0.3">
      <c r="A182" s="28">
        <v>179</v>
      </c>
      <c r="B182" s="28" t="s">
        <v>536</v>
      </c>
      <c r="C182" s="28" t="s">
        <v>710</v>
      </c>
      <c r="D182" s="28"/>
      <c r="E182" s="28"/>
      <c r="F182" s="28"/>
      <c r="G182" s="28"/>
      <c r="H182" s="28"/>
      <c r="I182" s="28"/>
      <c r="J182" s="28"/>
      <c r="K182" s="28"/>
      <c r="L182" s="28"/>
      <c r="M182" s="28"/>
      <c r="N182" s="28"/>
    </row>
    <row r="183" spans="1:14" ht="16.05" customHeight="1" x14ac:dyDescent="0.3">
      <c r="A183" s="30">
        <v>180</v>
      </c>
      <c r="B183" s="30" t="s">
        <v>536</v>
      </c>
      <c r="C183" s="30" t="s">
        <v>711</v>
      </c>
      <c r="D183" s="30"/>
      <c r="E183" s="30"/>
      <c r="F183" s="30"/>
      <c r="G183" s="30"/>
      <c r="H183" s="30"/>
      <c r="I183" s="30"/>
      <c r="J183" s="30"/>
      <c r="K183" s="30"/>
      <c r="L183" s="30"/>
      <c r="M183" s="30"/>
      <c r="N183" s="30"/>
    </row>
    <row r="184" spans="1:14" ht="16.05" customHeight="1" x14ac:dyDescent="0.3">
      <c r="A184" s="28">
        <v>181</v>
      </c>
      <c r="B184" s="28" t="s">
        <v>537</v>
      </c>
      <c r="C184" s="28" t="s">
        <v>702</v>
      </c>
      <c r="D184" s="28"/>
      <c r="E184" s="28"/>
      <c r="F184" s="28"/>
      <c r="G184" s="28"/>
      <c r="H184" s="28"/>
      <c r="I184" s="28"/>
      <c r="J184" s="28"/>
      <c r="K184" s="28"/>
      <c r="L184" s="28"/>
      <c r="M184" s="28"/>
      <c r="N184" s="28"/>
    </row>
    <row r="185" spans="1:14" ht="16.05" customHeight="1" x14ac:dyDescent="0.3">
      <c r="A185" s="30">
        <v>182</v>
      </c>
      <c r="B185" s="30" t="s">
        <v>537</v>
      </c>
      <c r="C185" s="30" t="s">
        <v>703</v>
      </c>
      <c r="D185" s="30"/>
      <c r="E185" s="30"/>
      <c r="F185" s="30"/>
      <c r="G185" s="30"/>
      <c r="H185" s="30"/>
      <c r="I185" s="30"/>
      <c r="J185" s="30"/>
      <c r="K185" s="30"/>
      <c r="L185" s="30"/>
      <c r="M185" s="30"/>
      <c r="N185" s="30"/>
    </row>
    <row r="186" spans="1:14" ht="16.05" customHeight="1" x14ac:dyDescent="0.3">
      <c r="A186" s="28">
        <v>183</v>
      </c>
      <c r="B186" s="28" t="s">
        <v>537</v>
      </c>
      <c r="C186" s="28" t="s">
        <v>704</v>
      </c>
      <c r="D186" s="28"/>
      <c r="E186" s="28"/>
      <c r="F186" s="28"/>
      <c r="G186" s="28"/>
      <c r="H186" s="28"/>
      <c r="I186" s="28"/>
      <c r="J186" s="28"/>
      <c r="K186" s="28"/>
      <c r="L186" s="28"/>
      <c r="M186" s="28"/>
      <c r="N186" s="28"/>
    </row>
    <row r="187" spans="1:14" ht="16.05" customHeight="1" x14ac:dyDescent="0.3">
      <c r="A187" s="30">
        <v>184</v>
      </c>
      <c r="B187" s="30" t="s">
        <v>537</v>
      </c>
      <c r="C187" s="30" t="s">
        <v>705</v>
      </c>
      <c r="D187" s="30"/>
      <c r="E187" s="30"/>
      <c r="F187" s="30"/>
      <c r="G187" s="30"/>
      <c r="H187" s="30"/>
      <c r="I187" s="30"/>
      <c r="J187" s="30"/>
      <c r="K187" s="30"/>
      <c r="L187" s="30"/>
      <c r="M187" s="30"/>
      <c r="N187" s="30"/>
    </row>
    <row r="188" spans="1:14" ht="16.05" customHeight="1" x14ac:dyDescent="0.3">
      <c r="A188" s="28">
        <v>185</v>
      </c>
      <c r="B188" s="28" t="s">
        <v>537</v>
      </c>
      <c r="C188" s="28" t="s">
        <v>706</v>
      </c>
      <c r="D188" s="28"/>
      <c r="E188" s="28"/>
      <c r="F188" s="28"/>
      <c r="G188" s="28"/>
      <c r="H188" s="28"/>
      <c r="I188" s="28"/>
      <c r="J188" s="28"/>
      <c r="K188" s="28"/>
      <c r="L188" s="28"/>
      <c r="M188" s="28"/>
      <c r="N188" s="28"/>
    </row>
    <row r="189" spans="1:14" ht="16.05" customHeight="1" x14ac:dyDescent="0.3">
      <c r="A189" s="30">
        <v>186</v>
      </c>
      <c r="B189" s="30" t="s">
        <v>537</v>
      </c>
      <c r="C189" s="30" t="s">
        <v>707</v>
      </c>
      <c r="D189" s="30"/>
      <c r="E189" s="30"/>
      <c r="F189" s="30"/>
      <c r="G189" s="30"/>
      <c r="H189" s="30"/>
      <c r="I189" s="30"/>
      <c r="J189" s="30"/>
      <c r="K189" s="30"/>
      <c r="L189" s="30"/>
      <c r="M189" s="30"/>
      <c r="N189" s="30"/>
    </row>
    <row r="190" spans="1:14" ht="16.05" customHeight="1" x14ac:dyDescent="0.3">
      <c r="A190" s="28">
        <v>187</v>
      </c>
      <c r="B190" s="28" t="s">
        <v>537</v>
      </c>
      <c r="C190" s="28" t="s">
        <v>708</v>
      </c>
      <c r="D190" s="28"/>
      <c r="E190" s="28"/>
      <c r="F190" s="28"/>
      <c r="G190" s="28"/>
      <c r="H190" s="28"/>
      <c r="I190" s="28"/>
      <c r="J190" s="28"/>
      <c r="K190" s="28"/>
      <c r="L190" s="28"/>
      <c r="M190" s="28"/>
      <c r="N190" s="28"/>
    </row>
    <row r="191" spans="1:14" ht="16.05" customHeight="1" x14ac:dyDescent="0.3">
      <c r="A191" s="30">
        <v>188</v>
      </c>
      <c r="B191" s="30" t="s">
        <v>537</v>
      </c>
      <c r="C191" s="30" t="s">
        <v>709</v>
      </c>
      <c r="D191" s="30"/>
      <c r="E191" s="30"/>
      <c r="F191" s="30"/>
      <c r="G191" s="30"/>
      <c r="H191" s="30"/>
      <c r="I191" s="30"/>
      <c r="J191" s="30"/>
      <c r="K191" s="30"/>
      <c r="L191" s="30"/>
      <c r="M191" s="30"/>
      <c r="N191" s="30"/>
    </row>
    <row r="192" spans="1:14" ht="16.05" customHeight="1" x14ac:dyDescent="0.3">
      <c r="A192" s="28">
        <v>189</v>
      </c>
      <c r="B192" s="28" t="s">
        <v>537</v>
      </c>
      <c r="C192" s="28" t="s">
        <v>710</v>
      </c>
      <c r="D192" s="28"/>
      <c r="E192" s="28"/>
      <c r="F192" s="28"/>
      <c r="G192" s="28"/>
      <c r="H192" s="28"/>
      <c r="I192" s="28"/>
      <c r="J192" s="28"/>
      <c r="K192" s="28"/>
      <c r="L192" s="28"/>
      <c r="M192" s="28"/>
      <c r="N192" s="28"/>
    </row>
    <row r="193" spans="1:14" ht="16.05" customHeight="1" x14ac:dyDescent="0.3">
      <c r="A193" s="30">
        <v>190</v>
      </c>
      <c r="B193" s="30" t="s">
        <v>537</v>
      </c>
      <c r="C193" s="30" t="s">
        <v>711</v>
      </c>
      <c r="D193" s="30"/>
      <c r="E193" s="30"/>
      <c r="F193" s="30"/>
      <c r="G193" s="30"/>
      <c r="H193" s="30"/>
      <c r="I193" s="30"/>
      <c r="J193" s="30"/>
      <c r="K193" s="30"/>
      <c r="L193" s="30"/>
      <c r="M193" s="30"/>
      <c r="N193" s="30"/>
    </row>
    <row r="194" spans="1:14" ht="16.05" customHeight="1" x14ac:dyDescent="0.3">
      <c r="A194" s="28">
        <v>191</v>
      </c>
      <c r="B194" s="28" t="s">
        <v>538</v>
      </c>
      <c r="C194" s="28" t="s">
        <v>702</v>
      </c>
      <c r="D194" s="28"/>
      <c r="E194" s="28"/>
      <c r="F194" s="28"/>
      <c r="G194" s="28"/>
      <c r="H194" s="28"/>
      <c r="I194" s="28"/>
      <c r="J194" s="28"/>
      <c r="K194" s="28"/>
      <c r="L194" s="28"/>
      <c r="M194" s="28"/>
      <c r="N194" s="28"/>
    </row>
    <row r="195" spans="1:14" ht="16.05" customHeight="1" x14ac:dyDescent="0.3">
      <c r="A195" s="30">
        <v>192</v>
      </c>
      <c r="B195" s="30" t="s">
        <v>538</v>
      </c>
      <c r="C195" s="30" t="s">
        <v>703</v>
      </c>
      <c r="D195" s="30"/>
      <c r="E195" s="30"/>
      <c r="F195" s="30"/>
      <c r="G195" s="30"/>
      <c r="H195" s="30"/>
      <c r="I195" s="30"/>
      <c r="J195" s="30"/>
      <c r="K195" s="30"/>
      <c r="L195" s="30"/>
      <c r="M195" s="30"/>
      <c r="N195" s="30"/>
    </row>
    <row r="196" spans="1:14" ht="16.05" customHeight="1" x14ac:dyDescent="0.3">
      <c r="A196" s="28">
        <v>193</v>
      </c>
      <c r="B196" s="28" t="s">
        <v>538</v>
      </c>
      <c r="C196" s="28" t="s">
        <v>704</v>
      </c>
      <c r="D196" s="28"/>
      <c r="E196" s="28"/>
      <c r="F196" s="28"/>
      <c r="G196" s="28"/>
      <c r="H196" s="28"/>
      <c r="I196" s="28"/>
      <c r="J196" s="28"/>
      <c r="K196" s="28"/>
      <c r="L196" s="28"/>
      <c r="M196" s="28"/>
      <c r="N196" s="28"/>
    </row>
    <row r="197" spans="1:14" ht="16.05" customHeight="1" x14ac:dyDescent="0.3">
      <c r="A197" s="30">
        <v>194</v>
      </c>
      <c r="B197" s="30" t="s">
        <v>538</v>
      </c>
      <c r="C197" s="30" t="s">
        <v>705</v>
      </c>
      <c r="D197" s="30"/>
      <c r="E197" s="30"/>
      <c r="F197" s="30"/>
      <c r="G197" s="30"/>
      <c r="H197" s="30"/>
      <c r="I197" s="30"/>
      <c r="J197" s="30"/>
      <c r="K197" s="30"/>
      <c r="L197" s="30"/>
      <c r="M197" s="30"/>
      <c r="N197" s="30"/>
    </row>
    <row r="198" spans="1:14" ht="16.05" customHeight="1" x14ac:dyDescent="0.3">
      <c r="A198" s="28">
        <v>195</v>
      </c>
      <c r="B198" s="28" t="s">
        <v>538</v>
      </c>
      <c r="C198" s="28" t="s">
        <v>706</v>
      </c>
      <c r="D198" s="28"/>
      <c r="E198" s="28"/>
      <c r="F198" s="28"/>
      <c r="G198" s="28"/>
      <c r="H198" s="28"/>
      <c r="I198" s="28"/>
      <c r="J198" s="28"/>
      <c r="K198" s="28"/>
      <c r="L198" s="28"/>
      <c r="M198" s="28"/>
      <c r="N198" s="28"/>
    </row>
    <row r="199" spans="1:14" ht="16.05" customHeight="1" x14ac:dyDescent="0.3">
      <c r="A199" s="30">
        <v>196</v>
      </c>
      <c r="B199" s="30" t="s">
        <v>538</v>
      </c>
      <c r="C199" s="30" t="s">
        <v>707</v>
      </c>
      <c r="D199" s="30"/>
      <c r="E199" s="30"/>
      <c r="F199" s="30"/>
      <c r="G199" s="30"/>
      <c r="H199" s="30"/>
      <c r="I199" s="30"/>
      <c r="J199" s="30"/>
      <c r="K199" s="30"/>
      <c r="L199" s="30"/>
      <c r="M199" s="30"/>
      <c r="N199" s="30"/>
    </row>
    <row r="200" spans="1:14" ht="16.05" customHeight="1" x14ac:dyDescent="0.3">
      <c r="A200" s="28">
        <v>197</v>
      </c>
      <c r="B200" s="28" t="s">
        <v>538</v>
      </c>
      <c r="C200" s="28" t="s">
        <v>708</v>
      </c>
      <c r="D200" s="28"/>
      <c r="E200" s="28"/>
      <c r="F200" s="28"/>
      <c r="G200" s="28"/>
      <c r="H200" s="28"/>
      <c r="I200" s="28"/>
      <c r="J200" s="28"/>
      <c r="K200" s="28"/>
      <c r="L200" s="28"/>
      <c r="M200" s="28"/>
      <c r="N200" s="28"/>
    </row>
    <row r="201" spans="1:14" ht="16.05" customHeight="1" x14ac:dyDescent="0.3">
      <c r="A201" s="30">
        <v>198</v>
      </c>
      <c r="B201" s="30" t="s">
        <v>538</v>
      </c>
      <c r="C201" s="30" t="s">
        <v>709</v>
      </c>
      <c r="D201" s="30"/>
      <c r="E201" s="30"/>
      <c r="F201" s="30"/>
      <c r="G201" s="30"/>
      <c r="H201" s="30"/>
      <c r="I201" s="30"/>
      <c r="J201" s="30"/>
      <c r="K201" s="30"/>
      <c r="L201" s="30"/>
      <c r="M201" s="30"/>
      <c r="N201" s="30"/>
    </row>
    <row r="202" spans="1:14" ht="16.05" customHeight="1" x14ac:dyDescent="0.3">
      <c r="A202" s="28">
        <v>199</v>
      </c>
      <c r="B202" s="28" t="s">
        <v>538</v>
      </c>
      <c r="C202" s="28" t="s">
        <v>710</v>
      </c>
      <c r="D202" s="28"/>
      <c r="E202" s="28"/>
      <c r="F202" s="28"/>
      <c r="G202" s="28"/>
      <c r="H202" s="28"/>
      <c r="I202" s="28"/>
      <c r="J202" s="28"/>
      <c r="K202" s="28"/>
      <c r="L202" s="28"/>
      <c r="M202" s="28"/>
      <c r="N202" s="28"/>
    </row>
    <row r="203" spans="1:14" ht="16.05" customHeight="1" x14ac:dyDescent="0.3">
      <c r="A203" s="30">
        <v>200</v>
      </c>
      <c r="B203" s="30" t="s">
        <v>538</v>
      </c>
      <c r="C203" s="30" t="s">
        <v>711</v>
      </c>
      <c r="D203" s="30"/>
      <c r="E203" s="30"/>
      <c r="F203" s="30"/>
      <c r="G203" s="30"/>
      <c r="H203" s="30"/>
      <c r="I203" s="30"/>
      <c r="J203" s="30"/>
      <c r="K203" s="30"/>
      <c r="L203" s="30"/>
      <c r="M203" s="30"/>
      <c r="N203" s="30"/>
    </row>
    <row r="204" spans="1:14" ht="16.05" customHeight="1" x14ac:dyDescent="0.3">
      <c r="A204" s="28">
        <v>201</v>
      </c>
      <c r="B204" s="28" t="s">
        <v>539</v>
      </c>
      <c r="C204" s="28" t="s">
        <v>702</v>
      </c>
      <c r="D204" s="28"/>
      <c r="E204" s="28"/>
      <c r="F204" s="28"/>
      <c r="G204" s="28"/>
      <c r="H204" s="28"/>
      <c r="I204" s="28"/>
      <c r="J204" s="28"/>
      <c r="K204" s="28"/>
      <c r="L204" s="28"/>
      <c r="M204" s="28"/>
      <c r="N204" s="28"/>
    </row>
    <row r="205" spans="1:14" ht="16.05" customHeight="1" x14ac:dyDescent="0.3">
      <c r="A205" s="30">
        <v>202</v>
      </c>
      <c r="B205" s="30" t="s">
        <v>539</v>
      </c>
      <c r="C205" s="30" t="s">
        <v>703</v>
      </c>
      <c r="D205" s="30"/>
      <c r="E205" s="30"/>
      <c r="F205" s="30"/>
      <c r="G205" s="30"/>
      <c r="H205" s="30"/>
      <c r="I205" s="30"/>
      <c r="J205" s="30"/>
      <c r="K205" s="30"/>
      <c r="L205" s="30"/>
      <c r="M205" s="30"/>
      <c r="N205" s="30"/>
    </row>
    <row r="206" spans="1:14" ht="16.05" customHeight="1" x14ac:dyDescent="0.3">
      <c r="A206" s="28">
        <v>203</v>
      </c>
      <c r="B206" s="28" t="s">
        <v>539</v>
      </c>
      <c r="C206" s="28" t="s">
        <v>704</v>
      </c>
      <c r="D206" s="28"/>
      <c r="E206" s="28"/>
      <c r="F206" s="28"/>
      <c r="G206" s="28"/>
      <c r="H206" s="28"/>
      <c r="I206" s="28"/>
      <c r="J206" s="28"/>
      <c r="K206" s="28"/>
      <c r="L206" s="28"/>
      <c r="M206" s="28"/>
      <c r="N206" s="28"/>
    </row>
    <row r="207" spans="1:14" ht="16.05" customHeight="1" x14ac:dyDescent="0.3">
      <c r="A207" s="30">
        <v>204</v>
      </c>
      <c r="B207" s="30" t="s">
        <v>539</v>
      </c>
      <c r="C207" s="30" t="s">
        <v>705</v>
      </c>
      <c r="D207" s="30"/>
      <c r="E207" s="30"/>
      <c r="F207" s="30"/>
      <c r="G207" s="30"/>
      <c r="H207" s="30"/>
      <c r="I207" s="30"/>
      <c r="J207" s="30"/>
      <c r="K207" s="30"/>
      <c r="L207" s="30"/>
      <c r="M207" s="30"/>
      <c r="N207" s="30"/>
    </row>
    <row r="208" spans="1:14" ht="16.05" customHeight="1" x14ac:dyDescent="0.3">
      <c r="A208" s="28">
        <v>205</v>
      </c>
      <c r="B208" s="28" t="s">
        <v>539</v>
      </c>
      <c r="C208" s="28" t="s">
        <v>706</v>
      </c>
      <c r="D208" s="28"/>
      <c r="E208" s="28"/>
      <c r="F208" s="28"/>
      <c r="G208" s="28"/>
      <c r="H208" s="28"/>
      <c r="I208" s="28"/>
      <c r="J208" s="28"/>
      <c r="K208" s="28"/>
      <c r="L208" s="28"/>
      <c r="M208" s="28"/>
      <c r="N208" s="28"/>
    </row>
    <row r="209" spans="1:14" ht="16.05" customHeight="1" x14ac:dyDescent="0.3">
      <c r="A209" s="30">
        <v>206</v>
      </c>
      <c r="B209" s="30" t="s">
        <v>539</v>
      </c>
      <c r="C209" s="30" t="s">
        <v>707</v>
      </c>
      <c r="D209" s="30"/>
      <c r="E209" s="30"/>
      <c r="F209" s="30"/>
      <c r="G209" s="30"/>
      <c r="H209" s="30"/>
      <c r="I209" s="30"/>
      <c r="J209" s="30"/>
      <c r="K209" s="30"/>
      <c r="L209" s="30"/>
      <c r="M209" s="30"/>
      <c r="N209" s="30"/>
    </row>
    <row r="210" spans="1:14" ht="16.05" customHeight="1" x14ac:dyDescent="0.3">
      <c r="A210" s="28">
        <v>207</v>
      </c>
      <c r="B210" s="28" t="s">
        <v>539</v>
      </c>
      <c r="C210" s="28" t="s">
        <v>708</v>
      </c>
      <c r="D210" s="28"/>
      <c r="E210" s="28"/>
      <c r="F210" s="28"/>
      <c r="G210" s="28"/>
      <c r="H210" s="28"/>
      <c r="I210" s="28"/>
      <c r="J210" s="28"/>
      <c r="K210" s="28"/>
      <c r="L210" s="28"/>
      <c r="M210" s="28"/>
      <c r="N210" s="28"/>
    </row>
    <row r="211" spans="1:14" ht="16.05" customHeight="1" x14ac:dyDescent="0.3">
      <c r="A211" s="30">
        <v>208</v>
      </c>
      <c r="B211" s="30" t="s">
        <v>539</v>
      </c>
      <c r="C211" s="30" t="s">
        <v>709</v>
      </c>
      <c r="D211" s="30"/>
      <c r="E211" s="30"/>
      <c r="F211" s="30"/>
      <c r="G211" s="30"/>
      <c r="H211" s="30"/>
      <c r="I211" s="30"/>
      <c r="J211" s="30"/>
      <c r="K211" s="30"/>
      <c r="L211" s="30"/>
      <c r="M211" s="30"/>
      <c r="N211" s="30"/>
    </row>
    <row r="212" spans="1:14" ht="16.05" customHeight="1" x14ac:dyDescent="0.3">
      <c r="A212" s="28">
        <v>209</v>
      </c>
      <c r="B212" s="28" t="s">
        <v>539</v>
      </c>
      <c r="C212" s="28" t="s">
        <v>710</v>
      </c>
      <c r="D212" s="28"/>
      <c r="E212" s="28"/>
      <c r="F212" s="28"/>
      <c r="G212" s="28"/>
      <c r="H212" s="28"/>
      <c r="I212" s="28"/>
      <c r="J212" s="28"/>
      <c r="K212" s="28"/>
      <c r="L212" s="28"/>
      <c r="M212" s="28"/>
      <c r="N212" s="28"/>
    </row>
    <row r="213" spans="1:14" ht="16.05" customHeight="1" x14ac:dyDescent="0.3">
      <c r="A213" s="30">
        <v>210</v>
      </c>
      <c r="B213" s="30" t="s">
        <v>539</v>
      </c>
      <c r="C213" s="30" t="s">
        <v>711</v>
      </c>
      <c r="D213" s="30"/>
      <c r="E213" s="30"/>
      <c r="F213" s="30"/>
      <c r="G213" s="30"/>
      <c r="H213" s="30"/>
      <c r="I213" s="30"/>
      <c r="J213" s="30"/>
      <c r="K213" s="30"/>
      <c r="L213" s="30"/>
      <c r="M213" s="30"/>
      <c r="N213" s="30"/>
    </row>
    <row r="214" spans="1:14" ht="16.05" customHeight="1" x14ac:dyDescent="0.3">
      <c r="A214" s="28">
        <v>211</v>
      </c>
      <c r="B214" s="28" t="s">
        <v>540</v>
      </c>
      <c r="C214" s="28" t="s">
        <v>702</v>
      </c>
      <c r="D214" s="28"/>
      <c r="E214" s="28"/>
      <c r="F214" s="28"/>
      <c r="G214" s="28"/>
      <c r="H214" s="28"/>
      <c r="I214" s="28"/>
      <c r="J214" s="28"/>
      <c r="K214" s="28"/>
      <c r="L214" s="28"/>
      <c r="M214" s="28"/>
      <c r="N214" s="28"/>
    </row>
    <row r="215" spans="1:14" ht="16.05" customHeight="1" x14ac:dyDescent="0.3">
      <c r="A215" s="30">
        <v>212</v>
      </c>
      <c r="B215" s="30" t="s">
        <v>540</v>
      </c>
      <c r="C215" s="30" t="s">
        <v>703</v>
      </c>
      <c r="D215" s="30"/>
      <c r="E215" s="30"/>
      <c r="F215" s="30"/>
      <c r="G215" s="30"/>
      <c r="H215" s="30"/>
      <c r="I215" s="30"/>
      <c r="J215" s="30"/>
      <c r="K215" s="30"/>
      <c r="L215" s="30"/>
      <c r="M215" s="30"/>
      <c r="N215" s="30"/>
    </row>
    <row r="216" spans="1:14" ht="16.05" customHeight="1" x14ac:dyDescent="0.3">
      <c r="A216" s="28">
        <v>213</v>
      </c>
      <c r="B216" s="28" t="s">
        <v>540</v>
      </c>
      <c r="C216" s="28" t="s">
        <v>704</v>
      </c>
      <c r="D216" s="28"/>
      <c r="E216" s="28"/>
      <c r="F216" s="28"/>
      <c r="G216" s="28"/>
      <c r="H216" s="28"/>
      <c r="I216" s="28"/>
      <c r="J216" s="28"/>
      <c r="K216" s="28"/>
      <c r="L216" s="28"/>
      <c r="M216" s="28"/>
      <c r="N216" s="28"/>
    </row>
    <row r="217" spans="1:14" ht="16.05" customHeight="1" x14ac:dyDescent="0.3">
      <c r="A217" s="30">
        <v>214</v>
      </c>
      <c r="B217" s="30" t="s">
        <v>540</v>
      </c>
      <c r="C217" s="30" t="s">
        <v>705</v>
      </c>
      <c r="D217" s="30"/>
      <c r="E217" s="30"/>
      <c r="F217" s="30"/>
      <c r="G217" s="30"/>
      <c r="H217" s="30"/>
      <c r="I217" s="30"/>
      <c r="J217" s="30"/>
      <c r="K217" s="30"/>
      <c r="L217" s="30"/>
      <c r="M217" s="30"/>
      <c r="N217" s="30"/>
    </row>
    <row r="218" spans="1:14" ht="16.05" customHeight="1" x14ac:dyDescent="0.3">
      <c r="A218" s="28">
        <v>215</v>
      </c>
      <c r="B218" s="28" t="s">
        <v>540</v>
      </c>
      <c r="C218" s="28" t="s">
        <v>706</v>
      </c>
      <c r="D218" s="28"/>
      <c r="E218" s="28"/>
      <c r="F218" s="28"/>
      <c r="G218" s="28"/>
      <c r="H218" s="28"/>
      <c r="I218" s="28"/>
      <c r="J218" s="28"/>
      <c r="K218" s="28"/>
      <c r="L218" s="28"/>
      <c r="M218" s="28"/>
      <c r="N218" s="28"/>
    </row>
    <row r="219" spans="1:14" ht="16.05" customHeight="1" x14ac:dyDescent="0.3">
      <c r="A219" s="30">
        <v>216</v>
      </c>
      <c r="B219" s="30" t="s">
        <v>540</v>
      </c>
      <c r="C219" s="30" t="s">
        <v>707</v>
      </c>
      <c r="D219" s="30"/>
      <c r="E219" s="30"/>
      <c r="F219" s="30"/>
      <c r="G219" s="30"/>
      <c r="H219" s="30"/>
      <c r="I219" s="30"/>
      <c r="J219" s="30"/>
      <c r="K219" s="30"/>
      <c r="L219" s="30"/>
      <c r="M219" s="30"/>
      <c r="N219" s="30"/>
    </row>
    <row r="220" spans="1:14" ht="16.05" customHeight="1" x14ac:dyDescent="0.3">
      <c r="A220" s="28">
        <v>217</v>
      </c>
      <c r="B220" s="28" t="s">
        <v>540</v>
      </c>
      <c r="C220" s="28" t="s">
        <v>708</v>
      </c>
      <c r="D220" s="28"/>
      <c r="E220" s="28"/>
      <c r="F220" s="28"/>
      <c r="G220" s="28"/>
      <c r="H220" s="28"/>
      <c r="I220" s="28"/>
      <c r="J220" s="28"/>
      <c r="K220" s="28"/>
      <c r="L220" s="28"/>
      <c r="M220" s="28"/>
      <c r="N220" s="28"/>
    </row>
    <row r="221" spans="1:14" ht="16.05" customHeight="1" x14ac:dyDescent="0.3">
      <c r="A221" s="30">
        <v>218</v>
      </c>
      <c r="B221" s="30" t="s">
        <v>540</v>
      </c>
      <c r="C221" s="30" t="s">
        <v>709</v>
      </c>
      <c r="D221" s="30"/>
      <c r="E221" s="30"/>
      <c r="F221" s="30"/>
      <c r="G221" s="30"/>
      <c r="H221" s="30"/>
      <c r="I221" s="30"/>
      <c r="J221" s="30"/>
      <c r="K221" s="30"/>
      <c r="L221" s="30"/>
      <c r="M221" s="30"/>
      <c r="N221" s="30"/>
    </row>
    <row r="222" spans="1:14" ht="16.05" customHeight="1" x14ac:dyDescent="0.3">
      <c r="A222" s="28">
        <v>219</v>
      </c>
      <c r="B222" s="28" t="s">
        <v>540</v>
      </c>
      <c r="C222" s="28" t="s">
        <v>710</v>
      </c>
      <c r="D222" s="28"/>
      <c r="E222" s="28"/>
      <c r="F222" s="28"/>
      <c r="G222" s="28"/>
      <c r="H222" s="28"/>
      <c r="I222" s="28"/>
      <c r="J222" s="28"/>
      <c r="K222" s="28"/>
      <c r="L222" s="28"/>
      <c r="M222" s="28"/>
      <c r="N222" s="28"/>
    </row>
    <row r="223" spans="1:14" ht="16.05" customHeight="1" x14ac:dyDescent="0.3">
      <c r="A223" s="30">
        <v>220</v>
      </c>
      <c r="B223" s="30" t="s">
        <v>540</v>
      </c>
      <c r="C223" s="30" t="s">
        <v>711</v>
      </c>
      <c r="D223" s="30"/>
      <c r="E223" s="30"/>
      <c r="F223" s="30"/>
      <c r="G223" s="30"/>
      <c r="H223" s="30"/>
      <c r="I223" s="30"/>
      <c r="J223" s="30"/>
      <c r="K223" s="30"/>
      <c r="L223" s="30"/>
      <c r="M223" s="30"/>
      <c r="N223" s="30"/>
    </row>
    <row r="224" spans="1:14" ht="16.05" customHeight="1" x14ac:dyDescent="0.3">
      <c r="A224" s="28">
        <v>221</v>
      </c>
      <c r="B224" s="28" t="s">
        <v>541</v>
      </c>
      <c r="C224" s="28" t="s">
        <v>702</v>
      </c>
      <c r="D224" s="28"/>
      <c r="E224" s="28"/>
      <c r="F224" s="28"/>
      <c r="G224" s="28"/>
      <c r="H224" s="28"/>
      <c r="I224" s="28"/>
      <c r="J224" s="28"/>
      <c r="K224" s="28"/>
      <c r="L224" s="28"/>
      <c r="M224" s="28"/>
      <c r="N224" s="28"/>
    </row>
    <row r="225" spans="1:14" ht="16.05" customHeight="1" x14ac:dyDescent="0.3">
      <c r="A225" s="30">
        <v>222</v>
      </c>
      <c r="B225" s="30" t="s">
        <v>541</v>
      </c>
      <c r="C225" s="30" t="s">
        <v>703</v>
      </c>
      <c r="D225" s="30"/>
      <c r="E225" s="30"/>
      <c r="F225" s="30"/>
      <c r="G225" s="30"/>
      <c r="H225" s="30"/>
      <c r="I225" s="30"/>
      <c r="J225" s="30"/>
      <c r="K225" s="30"/>
      <c r="L225" s="30"/>
      <c r="M225" s="30"/>
      <c r="N225" s="30"/>
    </row>
    <row r="226" spans="1:14" ht="16.05" customHeight="1" x14ac:dyDescent="0.3">
      <c r="A226" s="28">
        <v>223</v>
      </c>
      <c r="B226" s="28" t="s">
        <v>541</v>
      </c>
      <c r="C226" s="28" t="s">
        <v>704</v>
      </c>
      <c r="D226" s="28"/>
      <c r="E226" s="28"/>
      <c r="F226" s="28"/>
      <c r="G226" s="28"/>
      <c r="H226" s="28"/>
      <c r="I226" s="28"/>
      <c r="J226" s="28"/>
      <c r="K226" s="28"/>
      <c r="L226" s="28"/>
      <c r="M226" s="28"/>
      <c r="N226" s="28"/>
    </row>
    <row r="227" spans="1:14" ht="16.05" customHeight="1" x14ac:dyDescent="0.3">
      <c r="A227" s="30">
        <v>224</v>
      </c>
      <c r="B227" s="30" t="s">
        <v>541</v>
      </c>
      <c r="C227" s="30" t="s">
        <v>705</v>
      </c>
      <c r="D227" s="30"/>
      <c r="E227" s="30"/>
      <c r="F227" s="30"/>
      <c r="G227" s="30"/>
      <c r="H227" s="30"/>
      <c r="I227" s="30"/>
      <c r="J227" s="30"/>
      <c r="K227" s="30"/>
      <c r="L227" s="30"/>
      <c r="M227" s="30"/>
      <c r="N227" s="30"/>
    </row>
    <row r="228" spans="1:14" ht="16.05" customHeight="1" x14ac:dyDescent="0.3">
      <c r="A228" s="28">
        <v>225</v>
      </c>
      <c r="B228" s="28" t="s">
        <v>541</v>
      </c>
      <c r="C228" s="28" t="s">
        <v>706</v>
      </c>
      <c r="D228" s="28"/>
      <c r="E228" s="28"/>
      <c r="F228" s="28"/>
      <c r="G228" s="28"/>
      <c r="H228" s="28"/>
      <c r="I228" s="28"/>
      <c r="J228" s="28"/>
      <c r="K228" s="28"/>
      <c r="L228" s="28"/>
      <c r="M228" s="28"/>
      <c r="N228" s="28"/>
    </row>
    <row r="229" spans="1:14" ht="16.05" customHeight="1" x14ac:dyDescent="0.3">
      <c r="A229" s="30">
        <v>226</v>
      </c>
      <c r="B229" s="30" t="s">
        <v>541</v>
      </c>
      <c r="C229" s="30" t="s">
        <v>707</v>
      </c>
      <c r="D229" s="30"/>
      <c r="E229" s="30"/>
      <c r="F229" s="30"/>
      <c r="G229" s="30"/>
      <c r="H229" s="30"/>
      <c r="I229" s="30"/>
      <c r="J229" s="30"/>
      <c r="K229" s="30"/>
      <c r="L229" s="30"/>
      <c r="M229" s="30"/>
      <c r="N229" s="30"/>
    </row>
    <row r="230" spans="1:14" ht="16.05" customHeight="1" x14ac:dyDescent="0.3">
      <c r="A230" s="28">
        <v>227</v>
      </c>
      <c r="B230" s="28" t="s">
        <v>541</v>
      </c>
      <c r="C230" s="28" t="s">
        <v>708</v>
      </c>
      <c r="D230" s="28"/>
      <c r="E230" s="28"/>
      <c r="F230" s="28"/>
      <c r="G230" s="28"/>
      <c r="H230" s="28"/>
      <c r="I230" s="28"/>
      <c r="J230" s="28"/>
      <c r="K230" s="28"/>
      <c r="L230" s="28"/>
      <c r="M230" s="28"/>
      <c r="N230" s="28"/>
    </row>
    <row r="231" spans="1:14" ht="16.05" customHeight="1" x14ac:dyDescent="0.3">
      <c r="A231" s="30">
        <v>228</v>
      </c>
      <c r="B231" s="30" t="s">
        <v>541</v>
      </c>
      <c r="C231" s="30" t="s">
        <v>709</v>
      </c>
      <c r="D231" s="30"/>
      <c r="E231" s="30"/>
      <c r="F231" s="30"/>
      <c r="G231" s="30"/>
      <c r="H231" s="30"/>
      <c r="I231" s="30"/>
      <c r="J231" s="30"/>
      <c r="K231" s="30"/>
      <c r="L231" s="30"/>
      <c r="M231" s="30"/>
      <c r="N231" s="30"/>
    </row>
    <row r="232" spans="1:14" ht="16.05" customHeight="1" x14ac:dyDescent="0.3">
      <c r="A232" s="28">
        <v>229</v>
      </c>
      <c r="B232" s="28" t="s">
        <v>541</v>
      </c>
      <c r="C232" s="28" t="s">
        <v>710</v>
      </c>
      <c r="D232" s="28"/>
      <c r="E232" s="28"/>
      <c r="F232" s="28"/>
      <c r="G232" s="28"/>
      <c r="H232" s="28"/>
      <c r="I232" s="28"/>
      <c r="J232" s="28"/>
      <c r="K232" s="28"/>
      <c r="L232" s="28"/>
      <c r="M232" s="28"/>
      <c r="N232" s="28"/>
    </row>
    <row r="233" spans="1:14" ht="16.05" customHeight="1" x14ac:dyDescent="0.3">
      <c r="A233" s="30">
        <v>230</v>
      </c>
      <c r="B233" s="30" t="s">
        <v>541</v>
      </c>
      <c r="C233" s="30" t="s">
        <v>711</v>
      </c>
      <c r="D233" s="30"/>
      <c r="E233" s="30"/>
      <c r="F233" s="30"/>
      <c r="G233" s="30"/>
      <c r="H233" s="30"/>
      <c r="I233" s="30"/>
      <c r="J233" s="30"/>
      <c r="K233" s="30"/>
      <c r="L233" s="30"/>
      <c r="M233" s="30"/>
      <c r="N233" s="30"/>
    </row>
    <row r="234" spans="1:14" ht="16.05" customHeight="1" x14ac:dyDescent="0.3">
      <c r="A234" s="28">
        <v>231</v>
      </c>
      <c r="B234" s="28" t="s">
        <v>542</v>
      </c>
      <c r="C234" s="28" t="s">
        <v>702</v>
      </c>
      <c r="D234" s="28"/>
      <c r="E234" s="28"/>
      <c r="F234" s="28"/>
      <c r="G234" s="28"/>
      <c r="H234" s="28"/>
      <c r="I234" s="28"/>
      <c r="J234" s="28"/>
      <c r="K234" s="28"/>
      <c r="L234" s="28"/>
      <c r="M234" s="28"/>
      <c r="N234" s="28"/>
    </row>
    <row r="235" spans="1:14" ht="16.05" customHeight="1" x14ac:dyDescent="0.3">
      <c r="A235" s="30">
        <v>232</v>
      </c>
      <c r="B235" s="30" t="s">
        <v>542</v>
      </c>
      <c r="C235" s="30" t="s">
        <v>703</v>
      </c>
      <c r="D235" s="30"/>
      <c r="E235" s="30"/>
      <c r="F235" s="30"/>
      <c r="G235" s="30"/>
      <c r="H235" s="30"/>
      <c r="I235" s="30"/>
      <c r="J235" s="30"/>
      <c r="K235" s="30"/>
      <c r="L235" s="30"/>
      <c r="M235" s="30"/>
      <c r="N235" s="30"/>
    </row>
    <row r="236" spans="1:14" ht="16.05" customHeight="1" x14ac:dyDescent="0.3">
      <c r="A236" s="28">
        <v>233</v>
      </c>
      <c r="B236" s="28" t="s">
        <v>542</v>
      </c>
      <c r="C236" s="28" t="s">
        <v>704</v>
      </c>
      <c r="D236" s="28"/>
      <c r="E236" s="28"/>
      <c r="F236" s="28"/>
      <c r="G236" s="28"/>
      <c r="H236" s="28"/>
      <c r="I236" s="28"/>
      <c r="J236" s="28"/>
      <c r="K236" s="28"/>
      <c r="L236" s="28"/>
      <c r="M236" s="28"/>
      <c r="N236" s="28"/>
    </row>
    <row r="237" spans="1:14" ht="16.05" customHeight="1" x14ac:dyDescent="0.3">
      <c r="A237" s="30">
        <v>234</v>
      </c>
      <c r="B237" s="30" t="s">
        <v>542</v>
      </c>
      <c r="C237" s="30" t="s">
        <v>705</v>
      </c>
      <c r="D237" s="30"/>
      <c r="E237" s="30"/>
      <c r="F237" s="30"/>
      <c r="G237" s="30"/>
      <c r="H237" s="30"/>
      <c r="I237" s="30"/>
      <c r="J237" s="30"/>
      <c r="K237" s="30"/>
      <c r="L237" s="30"/>
      <c r="M237" s="30"/>
      <c r="N237" s="30"/>
    </row>
    <row r="238" spans="1:14" ht="16.05" customHeight="1" x14ac:dyDescent="0.3">
      <c r="A238" s="28">
        <v>235</v>
      </c>
      <c r="B238" s="28" t="s">
        <v>542</v>
      </c>
      <c r="C238" s="28" t="s">
        <v>706</v>
      </c>
      <c r="D238" s="28"/>
      <c r="E238" s="28"/>
      <c r="F238" s="28"/>
      <c r="G238" s="28"/>
      <c r="H238" s="28"/>
      <c r="I238" s="28"/>
      <c r="J238" s="28"/>
      <c r="K238" s="28"/>
      <c r="L238" s="28"/>
      <c r="M238" s="28"/>
      <c r="N238" s="28"/>
    </row>
    <row r="239" spans="1:14" ht="16.05" customHeight="1" x14ac:dyDescent="0.3">
      <c r="A239" s="30">
        <v>236</v>
      </c>
      <c r="B239" s="30" t="s">
        <v>542</v>
      </c>
      <c r="C239" s="30" t="s">
        <v>707</v>
      </c>
      <c r="D239" s="30"/>
      <c r="E239" s="30"/>
      <c r="F239" s="30"/>
      <c r="G239" s="30"/>
      <c r="H239" s="30"/>
      <c r="I239" s="30"/>
      <c r="J239" s="30"/>
      <c r="K239" s="30"/>
      <c r="L239" s="30"/>
      <c r="M239" s="30"/>
      <c r="N239" s="30"/>
    </row>
    <row r="240" spans="1:14" ht="16.05" customHeight="1" x14ac:dyDescent="0.3">
      <c r="A240" s="28">
        <v>237</v>
      </c>
      <c r="B240" s="28" t="s">
        <v>542</v>
      </c>
      <c r="C240" s="28" t="s">
        <v>708</v>
      </c>
      <c r="D240" s="28"/>
      <c r="E240" s="28"/>
      <c r="F240" s="28"/>
      <c r="G240" s="28"/>
      <c r="H240" s="28"/>
      <c r="I240" s="28"/>
      <c r="J240" s="28"/>
      <c r="K240" s="28"/>
      <c r="L240" s="28"/>
      <c r="M240" s="28"/>
      <c r="N240" s="28"/>
    </row>
    <row r="241" spans="1:14" ht="16.05" customHeight="1" x14ac:dyDescent="0.3">
      <c r="A241" s="30">
        <v>238</v>
      </c>
      <c r="B241" s="30" t="s">
        <v>542</v>
      </c>
      <c r="C241" s="30" t="s">
        <v>709</v>
      </c>
      <c r="D241" s="30"/>
      <c r="E241" s="30"/>
      <c r="F241" s="30"/>
      <c r="G241" s="30"/>
      <c r="H241" s="30"/>
      <c r="I241" s="30"/>
      <c r="J241" s="30"/>
      <c r="K241" s="30"/>
      <c r="L241" s="30"/>
      <c r="M241" s="30"/>
      <c r="N241" s="30"/>
    </row>
    <row r="242" spans="1:14" ht="16.05" customHeight="1" x14ac:dyDescent="0.3">
      <c r="A242" s="28">
        <v>239</v>
      </c>
      <c r="B242" s="28" t="s">
        <v>542</v>
      </c>
      <c r="C242" s="28" t="s">
        <v>710</v>
      </c>
      <c r="D242" s="28"/>
      <c r="E242" s="28"/>
      <c r="F242" s="28"/>
      <c r="G242" s="28"/>
      <c r="H242" s="28"/>
      <c r="I242" s="28"/>
      <c r="J242" s="28"/>
      <c r="K242" s="28"/>
      <c r="L242" s="28"/>
      <c r="M242" s="28"/>
      <c r="N242" s="28"/>
    </row>
    <row r="243" spans="1:14" ht="16.05" customHeight="1" x14ac:dyDescent="0.3">
      <c r="A243" s="30">
        <v>240</v>
      </c>
      <c r="B243" s="30" t="s">
        <v>542</v>
      </c>
      <c r="C243" s="30" t="s">
        <v>711</v>
      </c>
      <c r="D243" s="30"/>
      <c r="E243" s="30"/>
      <c r="F243" s="30"/>
      <c r="G243" s="30"/>
      <c r="H243" s="30"/>
      <c r="I243" s="30"/>
      <c r="J243" s="30"/>
      <c r="K243" s="30"/>
      <c r="L243" s="30"/>
      <c r="M243" s="30"/>
      <c r="N243" s="30"/>
    </row>
    <row r="244" spans="1:14" ht="16.05" customHeight="1" x14ac:dyDescent="0.3">
      <c r="A244" s="28">
        <v>241</v>
      </c>
      <c r="B244" s="28" t="s">
        <v>543</v>
      </c>
      <c r="C244" s="28" t="s">
        <v>702</v>
      </c>
      <c r="D244" s="28"/>
      <c r="E244" s="28"/>
      <c r="F244" s="28"/>
      <c r="G244" s="28"/>
      <c r="H244" s="28"/>
      <c r="I244" s="28"/>
      <c r="J244" s="28"/>
      <c r="K244" s="28"/>
      <c r="L244" s="28"/>
      <c r="M244" s="28"/>
      <c r="N244" s="28"/>
    </row>
    <row r="245" spans="1:14" ht="16.05" customHeight="1" x14ac:dyDescent="0.3">
      <c r="A245" s="30">
        <v>242</v>
      </c>
      <c r="B245" s="30" t="s">
        <v>543</v>
      </c>
      <c r="C245" s="30" t="s">
        <v>703</v>
      </c>
      <c r="D245" s="30"/>
      <c r="E245" s="30"/>
      <c r="F245" s="30"/>
      <c r="G245" s="30"/>
      <c r="H245" s="30"/>
      <c r="I245" s="30"/>
      <c r="J245" s="30"/>
      <c r="K245" s="30"/>
      <c r="L245" s="30"/>
      <c r="M245" s="30"/>
      <c r="N245" s="30"/>
    </row>
    <row r="246" spans="1:14" ht="16.05" customHeight="1" x14ac:dyDescent="0.3">
      <c r="A246" s="28">
        <v>243</v>
      </c>
      <c r="B246" s="28" t="s">
        <v>543</v>
      </c>
      <c r="C246" s="28" t="s">
        <v>704</v>
      </c>
      <c r="D246" s="28"/>
      <c r="E246" s="28"/>
      <c r="F246" s="28"/>
      <c r="G246" s="28"/>
      <c r="H246" s="28"/>
      <c r="I246" s="28"/>
      <c r="J246" s="28"/>
      <c r="K246" s="28"/>
      <c r="L246" s="28"/>
      <c r="M246" s="28"/>
      <c r="N246" s="28"/>
    </row>
    <row r="247" spans="1:14" ht="16.05" customHeight="1" x14ac:dyDescent="0.3">
      <c r="A247" s="30">
        <v>244</v>
      </c>
      <c r="B247" s="30" t="s">
        <v>543</v>
      </c>
      <c r="C247" s="30" t="s">
        <v>705</v>
      </c>
      <c r="D247" s="30"/>
      <c r="E247" s="30"/>
      <c r="F247" s="30"/>
      <c r="G247" s="30"/>
      <c r="H247" s="30"/>
      <c r="I247" s="30"/>
      <c r="J247" s="30"/>
      <c r="K247" s="30"/>
      <c r="L247" s="30"/>
      <c r="M247" s="30"/>
      <c r="N247" s="30"/>
    </row>
    <row r="248" spans="1:14" ht="16.05" customHeight="1" x14ac:dyDescent="0.3">
      <c r="A248" s="28">
        <v>245</v>
      </c>
      <c r="B248" s="28" t="s">
        <v>543</v>
      </c>
      <c r="C248" s="28" t="s">
        <v>706</v>
      </c>
      <c r="D248" s="28"/>
      <c r="E248" s="28"/>
      <c r="F248" s="28"/>
      <c r="G248" s="28"/>
      <c r="H248" s="28"/>
      <c r="I248" s="28"/>
      <c r="J248" s="28"/>
      <c r="K248" s="28"/>
      <c r="L248" s="28"/>
      <c r="M248" s="28"/>
      <c r="N248" s="28"/>
    </row>
    <row r="249" spans="1:14" ht="16.05" customHeight="1" x14ac:dyDescent="0.3">
      <c r="A249" s="30">
        <v>246</v>
      </c>
      <c r="B249" s="30" t="s">
        <v>543</v>
      </c>
      <c r="C249" s="30" t="s">
        <v>707</v>
      </c>
      <c r="D249" s="30"/>
      <c r="E249" s="30"/>
      <c r="F249" s="30"/>
      <c r="G249" s="30"/>
      <c r="H249" s="30"/>
      <c r="I249" s="30"/>
      <c r="J249" s="30"/>
      <c r="K249" s="30"/>
      <c r="L249" s="30"/>
      <c r="M249" s="30"/>
      <c r="N249" s="30"/>
    </row>
    <row r="250" spans="1:14" ht="16.05" customHeight="1" x14ac:dyDescent="0.3">
      <c r="A250" s="28">
        <v>247</v>
      </c>
      <c r="B250" s="28" t="s">
        <v>543</v>
      </c>
      <c r="C250" s="28" t="s">
        <v>708</v>
      </c>
      <c r="D250" s="28"/>
      <c r="E250" s="28"/>
      <c r="F250" s="28"/>
      <c r="G250" s="28"/>
      <c r="H250" s="28"/>
      <c r="I250" s="28"/>
      <c r="J250" s="28"/>
      <c r="K250" s="28"/>
      <c r="L250" s="28"/>
      <c r="M250" s="28"/>
      <c r="N250" s="28"/>
    </row>
    <row r="251" spans="1:14" ht="16.05" customHeight="1" x14ac:dyDescent="0.3">
      <c r="A251" s="30">
        <v>248</v>
      </c>
      <c r="B251" s="30" t="s">
        <v>543</v>
      </c>
      <c r="C251" s="30" t="s">
        <v>709</v>
      </c>
      <c r="D251" s="30"/>
      <c r="E251" s="30"/>
      <c r="F251" s="30"/>
      <c r="G251" s="30"/>
      <c r="H251" s="30"/>
      <c r="I251" s="30"/>
      <c r="J251" s="30"/>
      <c r="K251" s="30"/>
      <c r="L251" s="30"/>
      <c r="M251" s="30"/>
      <c r="N251" s="30"/>
    </row>
    <row r="252" spans="1:14" ht="16.05" customHeight="1" x14ac:dyDescent="0.3">
      <c r="A252" s="28">
        <v>249</v>
      </c>
      <c r="B252" s="28" t="s">
        <v>543</v>
      </c>
      <c r="C252" s="28" t="s">
        <v>710</v>
      </c>
      <c r="D252" s="28"/>
      <c r="E252" s="28"/>
      <c r="F252" s="28"/>
      <c r="G252" s="28"/>
      <c r="H252" s="28"/>
      <c r="I252" s="28"/>
      <c r="J252" s="28"/>
      <c r="K252" s="28"/>
      <c r="L252" s="28"/>
      <c r="M252" s="28"/>
      <c r="N252" s="28"/>
    </row>
    <row r="253" spans="1:14" ht="16.05" customHeight="1" x14ac:dyDescent="0.3">
      <c r="A253" s="30">
        <v>250</v>
      </c>
      <c r="B253" s="30" t="s">
        <v>543</v>
      </c>
      <c r="C253" s="30" t="s">
        <v>711</v>
      </c>
      <c r="D253" s="30"/>
      <c r="E253" s="30"/>
      <c r="F253" s="30"/>
      <c r="G253" s="30"/>
      <c r="H253" s="30"/>
      <c r="I253" s="30"/>
      <c r="J253" s="30"/>
      <c r="K253" s="30"/>
      <c r="L253" s="30"/>
      <c r="M253" s="30"/>
      <c r="N253" s="30"/>
    </row>
    <row r="254" spans="1:14" ht="16.05" customHeight="1" x14ac:dyDescent="0.3">
      <c r="A254" s="28">
        <v>251</v>
      </c>
      <c r="B254" s="28" t="s">
        <v>544</v>
      </c>
      <c r="C254" s="28" t="s">
        <v>702</v>
      </c>
      <c r="D254" s="28"/>
      <c r="E254" s="28"/>
      <c r="F254" s="28"/>
      <c r="G254" s="28"/>
      <c r="H254" s="28"/>
      <c r="I254" s="28"/>
      <c r="J254" s="28"/>
      <c r="K254" s="28"/>
      <c r="L254" s="28"/>
      <c r="M254" s="28"/>
      <c r="N254" s="28"/>
    </row>
    <row r="255" spans="1:14" ht="16.05" customHeight="1" x14ac:dyDescent="0.3">
      <c r="A255" s="30">
        <v>252</v>
      </c>
      <c r="B255" s="30" t="s">
        <v>544</v>
      </c>
      <c r="C255" s="30" t="s">
        <v>703</v>
      </c>
      <c r="D255" s="30"/>
      <c r="E255" s="30"/>
      <c r="F255" s="30"/>
      <c r="G255" s="30"/>
      <c r="H255" s="30"/>
      <c r="I255" s="30"/>
      <c r="J255" s="30"/>
      <c r="K255" s="30"/>
      <c r="L255" s="30"/>
      <c r="M255" s="30"/>
      <c r="N255" s="30"/>
    </row>
    <row r="256" spans="1:14" ht="16.05" customHeight="1" x14ac:dyDescent="0.3">
      <c r="A256" s="28">
        <v>253</v>
      </c>
      <c r="B256" s="28" t="s">
        <v>544</v>
      </c>
      <c r="C256" s="28" t="s">
        <v>704</v>
      </c>
      <c r="D256" s="28"/>
      <c r="E256" s="28"/>
      <c r="F256" s="28"/>
      <c r="G256" s="28"/>
      <c r="H256" s="28"/>
      <c r="I256" s="28"/>
      <c r="J256" s="28"/>
      <c r="K256" s="28"/>
      <c r="L256" s="28"/>
      <c r="M256" s="28"/>
      <c r="N256" s="28"/>
    </row>
    <row r="257" spans="1:14" ht="16.05" customHeight="1" x14ac:dyDescent="0.3">
      <c r="A257" s="30">
        <v>254</v>
      </c>
      <c r="B257" s="30" t="s">
        <v>544</v>
      </c>
      <c r="C257" s="30" t="s">
        <v>705</v>
      </c>
      <c r="D257" s="30"/>
      <c r="E257" s="30"/>
      <c r="F257" s="30"/>
      <c r="G257" s="30"/>
      <c r="H257" s="30"/>
      <c r="I257" s="30"/>
      <c r="J257" s="30"/>
      <c r="K257" s="30"/>
      <c r="L257" s="30"/>
      <c r="M257" s="30"/>
      <c r="N257" s="30"/>
    </row>
    <row r="258" spans="1:14" ht="16.05" customHeight="1" x14ac:dyDescent="0.3">
      <c r="A258" s="28">
        <v>255</v>
      </c>
      <c r="B258" s="28" t="s">
        <v>544</v>
      </c>
      <c r="C258" s="28" t="s">
        <v>706</v>
      </c>
      <c r="D258" s="28"/>
      <c r="E258" s="28"/>
      <c r="F258" s="28"/>
      <c r="G258" s="28"/>
      <c r="H258" s="28"/>
      <c r="I258" s="28"/>
      <c r="J258" s="28"/>
      <c r="K258" s="28"/>
      <c r="L258" s="28"/>
      <c r="M258" s="28"/>
      <c r="N258" s="28"/>
    </row>
    <row r="259" spans="1:14" ht="16.05" customHeight="1" x14ac:dyDescent="0.3">
      <c r="A259" s="30">
        <v>256</v>
      </c>
      <c r="B259" s="30" t="s">
        <v>544</v>
      </c>
      <c r="C259" s="30" t="s">
        <v>707</v>
      </c>
      <c r="D259" s="30"/>
      <c r="E259" s="30"/>
      <c r="F259" s="30"/>
      <c r="G259" s="30"/>
      <c r="H259" s="30"/>
      <c r="I259" s="30"/>
      <c r="J259" s="30"/>
      <c r="K259" s="30"/>
      <c r="L259" s="30"/>
      <c r="M259" s="30"/>
      <c r="N259" s="30"/>
    </row>
    <row r="260" spans="1:14" ht="16.05" customHeight="1" x14ac:dyDescent="0.3">
      <c r="A260" s="28">
        <v>257</v>
      </c>
      <c r="B260" s="28" t="s">
        <v>544</v>
      </c>
      <c r="C260" s="28" t="s">
        <v>708</v>
      </c>
      <c r="D260" s="28"/>
      <c r="E260" s="28"/>
      <c r="F260" s="28"/>
      <c r="G260" s="28"/>
      <c r="H260" s="28"/>
      <c r="I260" s="28"/>
      <c r="J260" s="28"/>
      <c r="K260" s="28"/>
      <c r="L260" s="28"/>
      <c r="M260" s="28"/>
      <c r="N260" s="28"/>
    </row>
    <row r="261" spans="1:14" ht="16.05" customHeight="1" x14ac:dyDescent="0.3">
      <c r="A261" s="30">
        <v>258</v>
      </c>
      <c r="B261" s="30" t="s">
        <v>544</v>
      </c>
      <c r="C261" s="30" t="s">
        <v>709</v>
      </c>
      <c r="D261" s="30"/>
      <c r="E261" s="30"/>
      <c r="F261" s="30"/>
      <c r="G261" s="30"/>
      <c r="H261" s="30"/>
      <c r="I261" s="30"/>
      <c r="J261" s="30"/>
      <c r="K261" s="30"/>
      <c r="L261" s="30"/>
      <c r="M261" s="30"/>
      <c r="N261" s="30"/>
    </row>
    <row r="262" spans="1:14" ht="16.05" customHeight="1" x14ac:dyDescent="0.3">
      <c r="A262" s="28">
        <v>259</v>
      </c>
      <c r="B262" s="28" t="s">
        <v>544</v>
      </c>
      <c r="C262" s="28" t="s">
        <v>710</v>
      </c>
      <c r="D262" s="28"/>
      <c r="E262" s="28"/>
      <c r="F262" s="28"/>
      <c r="G262" s="28"/>
      <c r="H262" s="28"/>
      <c r="I262" s="28"/>
      <c r="J262" s="28"/>
      <c r="K262" s="28"/>
      <c r="L262" s="28"/>
      <c r="M262" s="28"/>
      <c r="N262" s="28"/>
    </row>
    <row r="263" spans="1:14" ht="16.05" customHeight="1" x14ac:dyDescent="0.3">
      <c r="A263" s="30">
        <v>260</v>
      </c>
      <c r="B263" s="30" t="s">
        <v>544</v>
      </c>
      <c r="C263" s="30" t="s">
        <v>711</v>
      </c>
      <c r="D263" s="30"/>
      <c r="E263" s="30"/>
      <c r="F263" s="30"/>
      <c r="G263" s="30"/>
      <c r="H263" s="30"/>
      <c r="I263" s="30"/>
      <c r="J263" s="30"/>
      <c r="K263" s="30"/>
      <c r="L263" s="30"/>
      <c r="M263" s="30"/>
      <c r="N263" s="30"/>
    </row>
    <row r="264" spans="1:14" ht="16.05" customHeight="1" x14ac:dyDescent="0.3">
      <c r="A264" s="28">
        <v>261</v>
      </c>
      <c r="B264" s="28" t="s">
        <v>545</v>
      </c>
      <c r="C264" s="28" t="s">
        <v>702</v>
      </c>
      <c r="D264" s="28"/>
      <c r="E264" s="28"/>
      <c r="F264" s="28"/>
      <c r="G264" s="28"/>
      <c r="H264" s="28"/>
      <c r="I264" s="28"/>
      <c r="J264" s="28"/>
      <c r="K264" s="28"/>
      <c r="L264" s="28"/>
      <c r="M264" s="28"/>
      <c r="N264" s="28"/>
    </row>
    <row r="265" spans="1:14" ht="16.05" customHeight="1" x14ac:dyDescent="0.3">
      <c r="A265" s="30">
        <v>262</v>
      </c>
      <c r="B265" s="30" t="s">
        <v>545</v>
      </c>
      <c r="C265" s="30" t="s">
        <v>703</v>
      </c>
      <c r="D265" s="30"/>
      <c r="E265" s="30"/>
      <c r="F265" s="30"/>
      <c r="G265" s="30"/>
      <c r="H265" s="30"/>
      <c r="I265" s="30"/>
      <c r="J265" s="30"/>
      <c r="K265" s="30"/>
      <c r="L265" s="30"/>
      <c r="M265" s="30"/>
      <c r="N265" s="30"/>
    </row>
    <row r="266" spans="1:14" ht="16.05" customHeight="1" x14ac:dyDescent="0.3">
      <c r="A266" s="28">
        <v>263</v>
      </c>
      <c r="B266" s="28" t="s">
        <v>545</v>
      </c>
      <c r="C266" s="28" t="s">
        <v>704</v>
      </c>
      <c r="D266" s="28"/>
      <c r="E266" s="28"/>
      <c r="F266" s="28"/>
      <c r="G266" s="28"/>
      <c r="H266" s="28"/>
      <c r="I266" s="28"/>
      <c r="J266" s="28"/>
      <c r="K266" s="28"/>
      <c r="L266" s="28"/>
      <c r="M266" s="28"/>
      <c r="N266" s="28"/>
    </row>
    <row r="267" spans="1:14" ht="16.05" customHeight="1" x14ac:dyDescent="0.3">
      <c r="A267" s="30">
        <v>264</v>
      </c>
      <c r="B267" s="30" t="s">
        <v>545</v>
      </c>
      <c r="C267" s="30" t="s">
        <v>705</v>
      </c>
      <c r="D267" s="30"/>
      <c r="E267" s="30"/>
      <c r="F267" s="30"/>
      <c r="G267" s="30"/>
      <c r="H267" s="30"/>
      <c r="I267" s="30"/>
      <c r="J267" s="30"/>
      <c r="K267" s="30"/>
      <c r="L267" s="30"/>
      <c r="M267" s="30"/>
      <c r="N267" s="30"/>
    </row>
    <row r="268" spans="1:14" ht="16.05" customHeight="1" x14ac:dyDescent="0.3">
      <c r="A268" s="28">
        <v>265</v>
      </c>
      <c r="B268" s="28" t="s">
        <v>545</v>
      </c>
      <c r="C268" s="28" t="s">
        <v>706</v>
      </c>
      <c r="D268" s="28"/>
      <c r="E268" s="28"/>
      <c r="F268" s="28"/>
      <c r="G268" s="28"/>
      <c r="H268" s="28"/>
      <c r="I268" s="28"/>
      <c r="J268" s="28"/>
      <c r="K268" s="28"/>
      <c r="L268" s="28"/>
      <c r="M268" s="28"/>
      <c r="N268" s="28"/>
    </row>
    <row r="269" spans="1:14" ht="16.05" customHeight="1" x14ac:dyDescent="0.3">
      <c r="A269" s="30">
        <v>266</v>
      </c>
      <c r="B269" s="30" t="s">
        <v>545</v>
      </c>
      <c r="C269" s="30" t="s">
        <v>707</v>
      </c>
      <c r="D269" s="30"/>
      <c r="E269" s="30"/>
      <c r="F269" s="30"/>
      <c r="G269" s="30"/>
      <c r="H269" s="30"/>
      <c r="I269" s="30"/>
      <c r="J269" s="30"/>
      <c r="K269" s="30"/>
      <c r="L269" s="30"/>
      <c r="M269" s="30"/>
      <c r="N269" s="30"/>
    </row>
    <row r="270" spans="1:14" ht="16.05" customHeight="1" x14ac:dyDescent="0.3">
      <c r="A270" s="28">
        <v>267</v>
      </c>
      <c r="B270" s="28" t="s">
        <v>545</v>
      </c>
      <c r="C270" s="28" t="s">
        <v>708</v>
      </c>
      <c r="D270" s="28"/>
      <c r="E270" s="28"/>
      <c r="F270" s="28"/>
      <c r="G270" s="28"/>
      <c r="H270" s="28"/>
      <c r="I270" s="28"/>
      <c r="J270" s="28"/>
      <c r="K270" s="28"/>
      <c r="L270" s="28"/>
      <c r="M270" s="28"/>
      <c r="N270" s="28"/>
    </row>
    <row r="271" spans="1:14" ht="16.05" customHeight="1" x14ac:dyDescent="0.3">
      <c r="A271" s="30">
        <v>268</v>
      </c>
      <c r="B271" s="30" t="s">
        <v>545</v>
      </c>
      <c r="C271" s="30" t="s">
        <v>709</v>
      </c>
      <c r="D271" s="30"/>
      <c r="E271" s="30"/>
      <c r="F271" s="30"/>
      <c r="G271" s="30"/>
      <c r="H271" s="30"/>
      <c r="I271" s="30"/>
      <c r="J271" s="30"/>
      <c r="K271" s="30"/>
      <c r="L271" s="30"/>
      <c r="M271" s="30"/>
      <c r="N271" s="30"/>
    </row>
    <row r="272" spans="1:14" ht="16.05" customHeight="1" x14ac:dyDescent="0.3">
      <c r="A272" s="28">
        <v>269</v>
      </c>
      <c r="B272" s="28" t="s">
        <v>545</v>
      </c>
      <c r="C272" s="28" t="s">
        <v>710</v>
      </c>
      <c r="D272" s="28"/>
      <c r="E272" s="28"/>
      <c r="F272" s="28"/>
      <c r="G272" s="28"/>
      <c r="H272" s="28"/>
      <c r="I272" s="28"/>
      <c r="J272" s="28"/>
      <c r="K272" s="28"/>
      <c r="L272" s="28"/>
      <c r="M272" s="28"/>
      <c r="N272" s="28"/>
    </row>
    <row r="273" spans="1:14" ht="16.05" customHeight="1" x14ac:dyDescent="0.3">
      <c r="A273" s="30">
        <v>270</v>
      </c>
      <c r="B273" s="30" t="s">
        <v>545</v>
      </c>
      <c r="C273" s="30" t="s">
        <v>711</v>
      </c>
      <c r="D273" s="30"/>
      <c r="E273" s="30"/>
      <c r="F273" s="30"/>
      <c r="G273" s="30"/>
      <c r="H273" s="30"/>
      <c r="I273" s="30"/>
      <c r="J273" s="30"/>
      <c r="K273" s="30"/>
      <c r="L273" s="30"/>
      <c r="M273" s="30"/>
      <c r="N273" s="30"/>
    </row>
    <row r="274" spans="1:14" ht="16.05" customHeight="1" x14ac:dyDescent="0.3">
      <c r="A274" s="28">
        <v>271</v>
      </c>
      <c r="B274" s="28" t="s">
        <v>546</v>
      </c>
      <c r="C274" s="28" t="s">
        <v>702</v>
      </c>
      <c r="D274" s="28"/>
      <c r="E274" s="28"/>
      <c r="F274" s="28"/>
      <c r="G274" s="28"/>
      <c r="H274" s="28"/>
      <c r="I274" s="28"/>
      <c r="J274" s="28"/>
      <c r="K274" s="28"/>
      <c r="L274" s="28"/>
      <c r="M274" s="28"/>
      <c r="N274" s="28"/>
    </row>
    <row r="275" spans="1:14" ht="16.05" customHeight="1" x14ac:dyDescent="0.3">
      <c r="A275" s="30">
        <v>272</v>
      </c>
      <c r="B275" s="30" t="s">
        <v>546</v>
      </c>
      <c r="C275" s="30" t="s">
        <v>703</v>
      </c>
      <c r="D275" s="30"/>
      <c r="E275" s="30"/>
      <c r="F275" s="30"/>
      <c r="G275" s="30"/>
      <c r="H275" s="30"/>
      <c r="I275" s="30"/>
      <c r="J275" s="30"/>
      <c r="K275" s="30"/>
      <c r="L275" s="30"/>
      <c r="M275" s="30"/>
      <c r="N275" s="30"/>
    </row>
    <row r="276" spans="1:14" ht="16.05" customHeight="1" x14ac:dyDescent="0.3">
      <c r="A276" s="28">
        <v>273</v>
      </c>
      <c r="B276" s="28" t="s">
        <v>546</v>
      </c>
      <c r="C276" s="28" t="s">
        <v>704</v>
      </c>
      <c r="D276" s="28"/>
      <c r="E276" s="28"/>
      <c r="F276" s="28"/>
      <c r="G276" s="28"/>
      <c r="H276" s="28"/>
      <c r="I276" s="28"/>
      <c r="J276" s="28"/>
      <c r="K276" s="28"/>
      <c r="L276" s="28"/>
      <c r="M276" s="28"/>
      <c r="N276" s="28"/>
    </row>
    <row r="277" spans="1:14" ht="16.05" customHeight="1" x14ac:dyDescent="0.3">
      <c r="A277" s="30">
        <v>274</v>
      </c>
      <c r="B277" s="30" t="s">
        <v>546</v>
      </c>
      <c r="C277" s="30" t="s">
        <v>705</v>
      </c>
      <c r="D277" s="30"/>
      <c r="E277" s="30"/>
      <c r="F277" s="30"/>
      <c r="G277" s="30"/>
      <c r="H277" s="30"/>
      <c r="I277" s="30"/>
      <c r="J277" s="30"/>
      <c r="K277" s="30"/>
      <c r="L277" s="30"/>
      <c r="M277" s="30"/>
      <c r="N277" s="30"/>
    </row>
    <row r="278" spans="1:14" ht="16.05" customHeight="1" x14ac:dyDescent="0.3">
      <c r="A278" s="28">
        <v>275</v>
      </c>
      <c r="B278" s="28" t="s">
        <v>546</v>
      </c>
      <c r="C278" s="28" t="s">
        <v>706</v>
      </c>
      <c r="D278" s="28"/>
      <c r="E278" s="28"/>
      <c r="F278" s="28"/>
      <c r="G278" s="28"/>
      <c r="H278" s="28"/>
      <c r="I278" s="28"/>
      <c r="J278" s="28"/>
      <c r="K278" s="28"/>
      <c r="L278" s="28"/>
      <c r="M278" s="28"/>
      <c r="N278" s="28"/>
    </row>
    <row r="279" spans="1:14" ht="16.05" customHeight="1" x14ac:dyDescent="0.3">
      <c r="A279" s="30">
        <v>276</v>
      </c>
      <c r="B279" s="30" t="s">
        <v>546</v>
      </c>
      <c r="C279" s="30" t="s">
        <v>707</v>
      </c>
      <c r="D279" s="30"/>
      <c r="E279" s="30"/>
      <c r="F279" s="30"/>
      <c r="G279" s="30"/>
      <c r="H279" s="30"/>
      <c r="I279" s="30"/>
      <c r="J279" s="30"/>
      <c r="K279" s="30"/>
      <c r="L279" s="30"/>
      <c r="M279" s="30"/>
      <c r="N279" s="30"/>
    </row>
    <row r="280" spans="1:14" ht="16.05" customHeight="1" x14ac:dyDescent="0.3">
      <c r="A280" s="28">
        <v>277</v>
      </c>
      <c r="B280" s="28" t="s">
        <v>546</v>
      </c>
      <c r="C280" s="28" t="s">
        <v>708</v>
      </c>
      <c r="D280" s="28"/>
      <c r="E280" s="28"/>
      <c r="F280" s="28"/>
      <c r="G280" s="28"/>
      <c r="H280" s="28"/>
      <c r="I280" s="28"/>
      <c r="J280" s="28"/>
      <c r="K280" s="28"/>
      <c r="L280" s="28"/>
      <c r="M280" s="28"/>
      <c r="N280" s="28"/>
    </row>
    <row r="281" spans="1:14" ht="16.05" customHeight="1" x14ac:dyDescent="0.3">
      <c r="A281" s="30">
        <v>278</v>
      </c>
      <c r="B281" s="30" t="s">
        <v>546</v>
      </c>
      <c r="C281" s="30" t="s">
        <v>709</v>
      </c>
      <c r="D281" s="30"/>
      <c r="E281" s="30"/>
      <c r="F281" s="30"/>
      <c r="G281" s="30"/>
      <c r="H281" s="30"/>
      <c r="I281" s="30"/>
      <c r="J281" s="30"/>
      <c r="K281" s="30"/>
      <c r="L281" s="30"/>
      <c r="M281" s="30"/>
      <c r="N281" s="30"/>
    </row>
    <row r="282" spans="1:14" ht="16.05" customHeight="1" x14ac:dyDescent="0.3">
      <c r="A282" s="28">
        <v>279</v>
      </c>
      <c r="B282" s="28" t="s">
        <v>546</v>
      </c>
      <c r="C282" s="28" t="s">
        <v>710</v>
      </c>
      <c r="D282" s="28"/>
      <c r="E282" s="28"/>
      <c r="F282" s="28"/>
      <c r="G282" s="28"/>
      <c r="H282" s="28"/>
      <c r="I282" s="28"/>
      <c r="J282" s="28"/>
      <c r="K282" s="28"/>
      <c r="L282" s="28"/>
      <c r="M282" s="28"/>
      <c r="N282" s="28"/>
    </row>
    <row r="283" spans="1:14" ht="16.05" customHeight="1" x14ac:dyDescent="0.3">
      <c r="A283" s="30">
        <v>280</v>
      </c>
      <c r="B283" s="30" t="s">
        <v>546</v>
      </c>
      <c r="C283" s="30" t="s">
        <v>711</v>
      </c>
      <c r="D283" s="30"/>
      <c r="E283" s="30"/>
      <c r="F283" s="30"/>
      <c r="G283" s="30"/>
      <c r="H283" s="30"/>
      <c r="I283" s="30"/>
      <c r="J283" s="30"/>
      <c r="K283" s="30"/>
      <c r="L283" s="30"/>
      <c r="M283" s="30"/>
      <c r="N283" s="30"/>
    </row>
    <row r="284" spans="1:14" ht="16.05" customHeight="1" x14ac:dyDescent="0.3">
      <c r="A284" s="28">
        <v>281</v>
      </c>
      <c r="B284" s="28" t="s">
        <v>547</v>
      </c>
      <c r="C284" s="28" t="s">
        <v>702</v>
      </c>
      <c r="D284" s="28"/>
      <c r="E284" s="28"/>
      <c r="F284" s="28"/>
      <c r="G284" s="28"/>
      <c r="H284" s="28"/>
      <c r="I284" s="28"/>
      <c r="J284" s="28"/>
      <c r="K284" s="28"/>
      <c r="L284" s="28"/>
      <c r="M284" s="28"/>
      <c r="N284" s="28"/>
    </row>
    <row r="285" spans="1:14" ht="16.05" customHeight="1" x14ac:dyDescent="0.3">
      <c r="A285" s="30">
        <v>282</v>
      </c>
      <c r="B285" s="30" t="s">
        <v>547</v>
      </c>
      <c r="C285" s="30" t="s">
        <v>703</v>
      </c>
      <c r="D285" s="30"/>
      <c r="E285" s="30"/>
      <c r="F285" s="30"/>
      <c r="G285" s="30"/>
      <c r="H285" s="30"/>
      <c r="I285" s="30"/>
      <c r="J285" s="30"/>
      <c r="K285" s="30"/>
      <c r="L285" s="30"/>
      <c r="M285" s="30"/>
      <c r="N285" s="30"/>
    </row>
    <row r="286" spans="1:14" ht="16.05" customHeight="1" x14ac:dyDescent="0.3">
      <c r="A286" s="28">
        <v>283</v>
      </c>
      <c r="B286" s="28" t="s">
        <v>547</v>
      </c>
      <c r="C286" s="28" t="s">
        <v>704</v>
      </c>
      <c r="D286" s="28"/>
      <c r="E286" s="28"/>
      <c r="F286" s="28"/>
      <c r="G286" s="28"/>
      <c r="H286" s="28"/>
      <c r="I286" s="28"/>
      <c r="J286" s="28"/>
      <c r="K286" s="28"/>
      <c r="L286" s="28"/>
      <c r="M286" s="28"/>
      <c r="N286" s="28"/>
    </row>
    <row r="287" spans="1:14" ht="16.05" customHeight="1" x14ac:dyDescent="0.3">
      <c r="A287" s="30">
        <v>284</v>
      </c>
      <c r="B287" s="30" t="s">
        <v>547</v>
      </c>
      <c r="C287" s="30" t="s">
        <v>705</v>
      </c>
      <c r="D287" s="30"/>
      <c r="E287" s="30"/>
      <c r="F287" s="30"/>
      <c r="G287" s="30"/>
      <c r="H287" s="30"/>
      <c r="I287" s="30"/>
      <c r="J287" s="30"/>
      <c r="K287" s="30"/>
      <c r="L287" s="30"/>
      <c r="M287" s="30"/>
      <c r="N287" s="30"/>
    </row>
    <row r="288" spans="1:14" ht="16.05" customHeight="1" x14ac:dyDescent="0.3">
      <c r="A288" s="28">
        <v>285</v>
      </c>
      <c r="B288" s="28" t="s">
        <v>547</v>
      </c>
      <c r="C288" s="28" t="s">
        <v>706</v>
      </c>
      <c r="D288" s="28"/>
      <c r="E288" s="28"/>
      <c r="F288" s="28"/>
      <c r="G288" s="28"/>
      <c r="H288" s="28"/>
      <c r="I288" s="28"/>
      <c r="J288" s="28"/>
      <c r="K288" s="28"/>
      <c r="L288" s="28"/>
      <c r="M288" s="28"/>
      <c r="N288" s="28"/>
    </row>
    <row r="289" spans="1:14" ht="16.05" customHeight="1" x14ac:dyDescent="0.3">
      <c r="A289" s="30">
        <v>286</v>
      </c>
      <c r="B289" s="30" t="s">
        <v>547</v>
      </c>
      <c r="C289" s="30" t="s">
        <v>707</v>
      </c>
      <c r="D289" s="30"/>
      <c r="E289" s="30"/>
      <c r="F289" s="30"/>
      <c r="G289" s="30"/>
      <c r="H289" s="30"/>
      <c r="I289" s="30"/>
      <c r="J289" s="30"/>
      <c r="K289" s="30"/>
      <c r="L289" s="30"/>
      <c r="M289" s="30"/>
      <c r="N289" s="30"/>
    </row>
    <row r="290" spans="1:14" ht="16.05" customHeight="1" x14ac:dyDescent="0.3">
      <c r="A290" s="28">
        <v>287</v>
      </c>
      <c r="B290" s="28" t="s">
        <v>547</v>
      </c>
      <c r="C290" s="28" t="s">
        <v>708</v>
      </c>
      <c r="D290" s="28"/>
      <c r="E290" s="28"/>
      <c r="F290" s="28"/>
      <c r="G290" s="28"/>
      <c r="H290" s="28"/>
      <c r="I290" s="28"/>
      <c r="J290" s="28"/>
      <c r="K290" s="28"/>
      <c r="L290" s="28"/>
      <c r="M290" s="28"/>
      <c r="N290" s="28"/>
    </row>
    <row r="291" spans="1:14" ht="16.05" customHeight="1" x14ac:dyDescent="0.3">
      <c r="A291" s="30">
        <v>288</v>
      </c>
      <c r="B291" s="30" t="s">
        <v>547</v>
      </c>
      <c r="C291" s="30" t="s">
        <v>709</v>
      </c>
      <c r="D291" s="30"/>
      <c r="E291" s="30"/>
      <c r="F291" s="30"/>
      <c r="G291" s="30"/>
      <c r="H291" s="30"/>
      <c r="I291" s="30"/>
      <c r="J291" s="30"/>
      <c r="K291" s="30"/>
      <c r="L291" s="30"/>
      <c r="M291" s="30"/>
      <c r="N291" s="30"/>
    </row>
    <row r="292" spans="1:14" ht="16.05" customHeight="1" x14ac:dyDescent="0.3">
      <c r="A292" s="28">
        <v>289</v>
      </c>
      <c r="B292" s="28" t="s">
        <v>547</v>
      </c>
      <c r="C292" s="28" t="s">
        <v>710</v>
      </c>
      <c r="D292" s="28"/>
      <c r="E292" s="28"/>
      <c r="F292" s="28"/>
      <c r="G292" s="28"/>
      <c r="H292" s="28"/>
      <c r="I292" s="28"/>
      <c r="J292" s="28"/>
      <c r="K292" s="28"/>
      <c r="L292" s="28"/>
      <c r="M292" s="28"/>
      <c r="N292" s="28"/>
    </row>
    <row r="293" spans="1:14" ht="16.05" customHeight="1" x14ac:dyDescent="0.3">
      <c r="A293" s="30">
        <v>290</v>
      </c>
      <c r="B293" s="30" t="s">
        <v>547</v>
      </c>
      <c r="C293" s="30" t="s">
        <v>711</v>
      </c>
      <c r="D293" s="30"/>
      <c r="E293" s="30"/>
      <c r="F293" s="30"/>
      <c r="G293" s="30"/>
      <c r="H293" s="30"/>
      <c r="I293" s="30"/>
      <c r="J293" s="30"/>
      <c r="K293" s="30"/>
      <c r="L293" s="30"/>
      <c r="M293" s="30"/>
      <c r="N293" s="30"/>
    </row>
    <row r="294" spans="1:14" ht="16.05" customHeight="1" x14ac:dyDescent="0.3">
      <c r="A294" s="28">
        <v>291</v>
      </c>
      <c r="B294" s="28" t="s">
        <v>548</v>
      </c>
      <c r="C294" s="28" t="s">
        <v>702</v>
      </c>
      <c r="D294" s="28"/>
      <c r="E294" s="28"/>
      <c r="F294" s="28"/>
      <c r="G294" s="28"/>
      <c r="H294" s="28"/>
      <c r="I294" s="28"/>
      <c r="J294" s="28"/>
      <c r="K294" s="28"/>
      <c r="L294" s="28"/>
      <c r="M294" s="28"/>
      <c r="N294" s="28"/>
    </row>
    <row r="295" spans="1:14" ht="16.05" customHeight="1" x14ac:dyDescent="0.3">
      <c r="A295" s="30">
        <v>292</v>
      </c>
      <c r="B295" s="30" t="s">
        <v>548</v>
      </c>
      <c r="C295" s="30" t="s">
        <v>703</v>
      </c>
      <c r="D295" s="30"/>
      <c r="E295" s="30"/>
      <c r="F295" s="30"/>
      <c r="G295" s="30"/>
      <c r="H295" s="30"/>
      <c r="I295" s="30"/>
      <c r="J295" s="30"/>
      <c r="K295" s="30"/>
      <c r="L295" s="30"/>
      <c r="M295" s="30"/>
      <c r="N295" s="30"/>
    </row>
    <row r="296" spans="1:14" ht="16.05" customHeight="1" x14ac:dyDescent="0.3">
      <c r="A296" s="28">
        <v>293</v>
      </c>
      <c r="B296" s="28" t="s">
        <v>548</v>
      </c>
      <c r="C296" s="28" t="s">
        <v>704</v>
      </c>
      <c r="D296" s="28"/>
      <c r="E296" s="28"/>
      <c r="F296" s="28"/>
      <c r="G296" s="28"/>
      <c r="H296" s="28"/>
      <c r="I296" s="28"/>
      <c r="J296" s="28"/>
      <c r="K296" s="28"/>
      <c r="L296" s="28"/>
      <c r="M296" s="28"/>
      <c r="N296" s="28"/>
    </row>
    <row r="297" spans="1:14" ht="16.05" customHeight="1" x14ac:dyDescent="0.3">
      <c r="A297" s="30">
        <v>294</v>
      </c>
      <c r="B297" s="30" t="s">
        <v>548</v>
      </c>
      <c r="C297" s="30" t="s">
        <v>705</v>
      </c>
      <c r="D297" s="30"/>
      <c r="E297" s="30"/>
      <c r="F297" s="30"/>
      <c r="G297" s="30"/>
      <c r="H297" s="30"/>
      <c r="I297" s="30"/>
      <c r="J297" s="30"/>
      <c r="K297" s="30"/>
      <c r="L297" s="30"/>
      <c r="M297" s="30"/>
      <c r="N297" s="30"/>
    </row>
    <row r="298" spans="1:14" ht="16.05" customHeight="1" x14ac:dyDescent="0.3">
      <c r="A298" s="28">
        <v>295</v>
      </c>
      <c r="B298" s="28" t="s">
        <v>548</v>
      </c>
      <c r="C298" s="28" t="s">
        <v>706</v>
      </c>
      <c r="D298" s="28"/>
      <c r="E298" s="28"/>
      <c r="F298" s="28"/>
      <c r="G298" s="28"/>
      <c r="H298" s="28"/>
      <c r="I298" s="28"/>
      <c r="J298" s="28"/>
      <c r="K298" s="28"/>
      <c r="L298" s="28"/>
      <c r="M298" s="28"/>
      <c r="N298" s="28"/>
    </row>
    <row r="299" spans="1:14" ht="16.05" customHeight="1" x14ac:dyDescent="0.3">
      <c r="A299" s="30">
        <v>296</v>
      </c>
      <c r="B299" s="30" t="s">
        <v>548</v>
      </c>
      <c r="C299" s="30" t="s">
        <v>707</v>
      </c>
      <c r="D299" s="30"/>
      <c r="E299" s="30"/>
      <c r="F299" s="30"/>
      <c r="G299" s="30"/>
      <c r="H299" s="30"/>
      <c r="I299" s="30"/>
      <c r="J299" s="30"/>
      <c r="K299" s="30"/>
      <c r="L299" s="30"/>
      <c r="M299" s="30"/>
      <c r="N299" s="30"/>
    </row>
    <row r="300" spans="1:14" ht="16.05" customHeight="1" x14ac:dyDescent="0.3">
      <c r="A300" s="28">
        <v>297</v>
      </c>
      <c r="B300" s="28" t="s">
        <v>548</v>
      </c>
      <c r="C300" s="28" t="s">
        <v>708</v>
      </c>
      <c r="D300" s="28"/>
      <c r="E300" s="28"/>
      <c r="F300" s="28"/>
      <c r="G300" s="28"/>
      <c r="H300" s="28"/>
      <c r="I300" s="28"/>
      <c r="J300" s="28"/>
      <c r="K300" s="28"/>
      <c r="L300" s="28"/>
      <c r="M300" s="28"/>
      <c r="N300" s="28"/>
    </row>
    <row r="301" spans="1:14" ht="16.05" customHeight="1" x14ac:dyDescent="0.3">
      <c r="A301" s="30">
        <v>298</v>
      </c>
      <c r="B301" s="30" t="s">
        <v>548</v>
      </c>
      <c r="C301" s="30" t="s">
        <v>709</v>
      </c>
      <c r="D301" s="30"/>
      <c r="E301" s="30"/>
      <c r="F301" s="30"/>
      <c r="G301" s="30"/>
      <c r="H301" s="30"/>
      <c r="I301" s="30"/>
      <c r="J301" s="30"/>
      <c r="K301" s="30"/>
      <c r="L301" s="30"/>
      <c r="M301" s="30"/>
      <c r="N301" s="30"/>
    </row>
    <row r="302" spans="1:14" ht="16.05" customHeight="1" x14ac:dyDescent="0.3">
      <c r="A302" s="28">
        <v>299</v>
      </c>
      <c r="B302" s="28" t="s">
        <v>548</v>
      </c>
      <c r="C302" s="28" t="s">
        <v>710</v>
      </c>
      <c r="D302" s="28"/>
      <c r="E302" s="28"/>
      <c r="F302" s="28"/>
      <c r="G302" s="28"/>
      <c r="H302" s="28"/>
      <c r="I302" s="28"/>
      <c r="J302" s="28"/>
      <c r="K302" s="28"/>
      <c r="L302" s="28"/>
      <c r="M302" s="28"/>
      <c r="N302" s="28"/>
    </row>
    <row r="303" spans="1:14" ht="16.05" customHeight="1" x14ac:dyDescent="0.3">
      <c r="A303" s="30">
        <v>300</v>
      </c>
      <c r="B303" s="30" t="s">
        <v>548</v>
      </c>
      <c r="C303" s="30" t="s">
        <v>711</v>
      </c>
      <c r="D303" s="30"/>
      <c r="E303" s="30"/>
      <c r="F303" s="30"/>
      <c r="G303" s="30"/>
      <c r="H303" s="30"/>
      <c r="I303" s="30"/>
      <c r="J303" s="30"/>
      <c r="K303" s="30"/>
      <c r="L303" s="30"/>
      <c r="M303" s="30"/>
      <c r="N303" s="30"/>
    </row>
    <row r="304" spans="1:14" ht="16.05" customHeight="1" x14ac:dyDescent="0.3">
      <c r="A304" s="28">
        <v>301</v>
      </c>
      <c r="B304" s="28" t="s">
        <v>549</v>
      </c>
      <c r="C304" s="28" t="s">
        <v>702</v>
      </c>
      <c r="D304" s="28"/>
      <c r="E304" s="28"/>
      <c r="F304" s="28"/>
      <c r="G304" s="28"/>
      <c r="H304" s="28"/>
      <c r="I304" s="28"/>
      <c r="J304" s="28"/>
      <c r="K304" s="28"/>
      <c r="L304" s="28"/>
      <c r="M304" s="28"/>
      <c r="N304" s="28"/>
    </row>
    <row r="305" spans="1:14" ht="16.05" customHeight="1" x14ac:dyDescent="0.3">
      <c r="A305" s="30">
        <v>302</v>
      </c>
      <c r="B305" s="30" t="s">
        <v>549</v>
      </c>
      <c r="C305" s="30" t="s">
        <v>703</v>
      </c>
      <c r="D305" s="30"/>
      <c r="E305" s="30"/>
      <c r="F305" s="30"/>
      <c r="G305" s="30"/>
      <c r="H305" s="30"/>
      <c r="I305" s="30"/>
      <c r="J305" s="30"/>
      <c r="K305" s="30"/>
      <c r="L305" s="30"/>
      <c r="M305" s="30"/>
      <c r="N305" s="30"/>
    </row>
    <row r="306" spans="1:14" ht="16.05" customHeight="1" x14ac:dyDescent="0.3">
      <c r="A306" s="28">
        <v>303</v>
      </c>
      <c r="B306" s="28" t="s">
        <v>549</v>
      </c>
      <c r="C306" s="28" t="s">
        <v>704</v>
      </c>
      <c r="D306" s="28"/>
      <c r="E306" s="28"/>
      <c r="F306" s="28"/>
      <c r="G306" s="28"/>
      <c r="H306" s="28"/>
      <c r="I306" s="28"/>
      <c r="J306" s="28"/>
      <c r="K306" s="28"/>
      <c r="L306" s="28"/>
      <c r="M306" s="28"/>
      <c r="N306" s="28"/>
    </row>
    <row r="307" spans="1:14" ht="16.05" customHeight="1" x14ac:dyDescent="0.3">
      <c r="A307" s="30">
        <v>304</v>
      </c>
      <c r="B307" s="30" t="s">
        <v>549</v>
      </c>
      <c r="C307" s="30" t="s">
        <v>705</v>
      </c>
      <c r="D307" s="30"/>
      <c r="E307" s="30"/>
      <c r="F307" s="30"/>
      <c r="G307" s="30"/>
      <c r="H307" s="30"/>
      <c r="I307" s="30"/>
      <c r="J307" s="30"/>
      <c r="K307" s="30"/>
      <c r="L307" s="30"/>
      <c r="M307" s="30"/>
      <c r="N307" s="30"/>
    </row>
    <row r="308" spans="1:14" ht="16.05" customHeight="1" x14ac:dyDescent="0.3">
      <c r="A308" s="28">
        <v>305</v>
      </c>
      <c r="B308" s="28" t="s">
        <v>549</v>
      </c>
      <c r="C308" s="28" t="s">
        <v>706</v>
      </c>
      <c r="D308" s="28"/>
      <c r="E308" s="28"/>
      <c r="F308" s="28"/>
      <c r="G308" s="28"/>
      <c r="H308" s="28"/>
      <c r="I308" s="28"/>
      <c r="J308" s="28"/>
      <c r="K308" s="28"/>
      <c r="L308" s="28"/>
      <c r="M308" s="28"/>
      <c r="N308" s="28"/>
    </row>
    <row r="309" spans="1:14" ht="16.05" customHeight="1" x14ac:dyDescent="0.3">
      <c r="A309" s="30">
        <v>306</v>
      </c>
      <c r="B309" s="30" t="s">
        <v>549</v>
      </c>
      <c r="C309" s="30" t="s">
        <v>707</v>
      </c>
      <c r="D309" s="30"/>
      <c r="E309" s="30"/>
      <c r="F309" s="30"/>
      <c r="G309" s="30"/>
      <c r="H309" s="30"/>
      <c r="I309" s="30"/>
      <c r="J309" s="30"/>
      <c r="K309" s="30"/>
      <c r="L309" s="30"/>
      <c r="M309" s="30"/>
      <c r="N309" s="30"/>
    </row>
    <row r="310" spans="1:14" ht="16.05" customHeight="1" x14ac:dyDescent="0.3">
      <c r="A310" s="28">
        <v>307</v>
      </c>
      <c r="B310" s="28" t="s">
        <v>549</v>
      </c>
      <c r="C310" s="28" t="s">
        <v>708</v>
      </c>
      <c r="D310" s="28"/>
      <c r="E310" s="28"/>
      <c r="F310" s="28"/>
      <c r="G310" s="28"/>
      <c r="H310" s="28"/>
      <c r="I310" s="28"/>
      <c r="J310" s="28"/>
      <c r="K310" s="28"/>
      <c r="L310" s="28"/>
      <c r="M310" s="28"/>
      <c r="N310" s="28"/>
    </row>
    <row r="311" spans="1:14" ht="16.05" customHeight="1" x14ac:dyDescent="0.3">
      <c r="A311" s="30">
        <v>308</v>
      </c>
      <c r="B311" s="30" t="s">
        <v>549</v>
      </c>
      <c r="C311" s="30" t="s">
        <v>709</v>
      </c>
      <c r="D311" s="30"/>
      <c r="E311" s="30"/>
      <c r="F311" s="30"/>
      <c r="G311" s="30"/>
      <c r="H311" s="30"/>
      <c r="I311" s="30"/>
      <c r="J311" s="30"/>
      <c r="K311" s="30"/>
      <c r="L311" s="30"/>
      <c r="M311" s="30"/>
      <c r="N311" s="30"/>
    </row>
    <row r="312" spans="1:14" ht="16.05" customHeight="1" x14ac:dyDescent="0.3">
      <c r="A312" s="28">
        <v>309</v>
      </c>
      <c r="B312" s="28" t="s">
        <v>549</v>
      </c>
      <c r="C312" s="28" t="s">
        <v>710</v>
      </c>
      <c r="D312" s="28"/>
      <c r="E312" s="28"/>
      <c r="F312" s="28"/>
      <c r="G312" s="28"/>
      <c r="H312" s="28"/>
      <c r="I312" s="28"/>
      <c r="J312" s="28"/>
      <c r="K312" s="28"/>
      <c r="L312" s="28"/>
      <c r="M312" s="28"/>
      <c r="N312" s="28"/>
    </row>
    <row r="313" spans="1:14" ht="16.05" customHeight="1" x14ac:dyDescent="0.3">
      <c r="A313" s="30">
        <v>310</v>
      </c>
      <c r="B313" s="30" t="s">
        <v>549</v>
      </c>
      <c r="C313" s="30" t="s">
        <v>711</v>
      </c>
      <c r="D313" s="30"/>
      <c r="E313" s="30"/>
      <c r="F313" s="30"/>
      <c r="G313" s="30"/>
      <c r="H313" s="30"/>
      <c r="I313" s="30"/>
      <c r="J313" s="30"/>
      <c r="K313" s="30"/>
      <c r="L313" s="30"/>
      <c r="M313" s="30"/>
      <c r="N313" s="30"/>
    </row>
    <row r="314" spans="1:14" ht="16.05" customHeight="1" x14ac:dyDescent="0.3">
      <c r="A314" s="28">
        <v>311</v>
      </c>
      <c r="B314" s="28" t="s">
        <v>550</v>
      </c>
      <c r="C314" s="28" t="s">
        <v>702</v>
      </c>
      <c r="D314" s="28"/>
      <c r="E314" s="28"/>
      <c r="F314" s="28"/>
      <c r="G314" s="28"/>
      <c r="H314" s="28"/>
      <c r="I314" s="28"/>
      <c r="J314" s="28"/>
      <c r="K314" s="28"/>
      <c r="L314" s="28"/>
      <c r="M314" s="28"/>
      <c r="N314" s="28"/>
    </row>
    <row r="315" spans="1:14" ht="16.05" customHeight="1" x14ac:dyDescent="0.3">
      <c r="A315" s="30">
        <v>312</v>
      </c>
      <c r="B315" s="30" t="s">
        <v>550</v>
      </c>
      <c r="C315" s="30" t="s">
        <v>703</v>
      </c>
      <c r="D315" s="30"/>
      <c r="E315" s="30"/>
      <c r="F315" s="30"/>
      <c r="G315" s="30"/>
      <c r="H315" s="30"/>
      <c r="I315" s="30"/>
      <c r="J315" s="30"/>
      <c r="K315" s="30"/>
      <c r="L315" s="30"/>
      <c r="M315" s="30"/>
      <c r="N315" s="30"/>
    </row>
    <row r="316" spans="1:14" ht="16.05" customHeight="1" x14ac:dyDescent="0.3">
      <c r="A316" s="28">
        <v>313</v>
      </c>
      <c r="B316" s="28" t="s">
        <v>550</v>
      </c>
      <c r="C316" s="28" t="s">
        <v>704</v>
      </c>
      <c r="D316" s="28"/>
      <c r="E316" s="28"/>
      <c r="F316" s="28"/>
      <c r="G316" s="28"/>
      <c r="H316" s="28"/>
      <c r="I316" s="28"/>
      <c r="J316" s="28"/>
      <c r="K316" s="28"/>
      <c r="L316" s="28"/>
      <c r="M316" s="28"/>
      <c r="N316" s="28"/>
    </row>
    <row r="317" spans="1:14" ht="16.05" customHeight="1" x14ac:dyDescent="0.3">
      <c r="A317" s="30">
        <v>314</v>
      </c>
      <c r="B317" s="30" t="s">
        <v>550</v>
      </c>
      <c r="C317" s="30" t="s">
        <v>705</v>
      </c>
      <c r="D317" s="30"/>
      <c r="E317" s="30"/>
      <c r="F317" s="30"/>
      <c r="G317" s="30"/>
      <c r="H317" s="30"/>
      <c r="I317" s="30"/>
      <c r="J317" s="30"/>
      <c r="K317" s="30"/>
      <c r="L317" s="30"/>
      <c r="M317" s="30"/>
      <c r="N317" s="30"/>
    </row>
    <row r="318" spans="1:14" ht="16.05" customHeight="1" x14ac:dyDescent="0.3">
      <c r="A318" s="28">
        <v>315</v>
      </c>
      <c r="B318" s="28" t="s">
        <v>550</v>
      </c>
      <c r="C318" s="28" t="s">
        <v>706</v>
      </c>
      <c r="D318" s="28"/>
      <c r="E318" s="28"/>
      <c r="F318" s="28"/>
      <c r="G318" s="28"/>
      <c r="H318" s="28"/>
      <c r="I318" s="28"/>
      <c r="J318" s="28"/>
      <c r="K318" s="28"/>
      <c r="L318" s="28"/>
      <c r="M318" s="28"/>
      <c r="N318" s="28"/>
    </row>
    <row r="319" spans="1:14" ht="16.05" customHeight="1" x14ac:dyDescent="0.3">
      <c r="A319" s="30">
        <v>316</v>
      </c>
      <c r="B319" s="30" t="s">
        <v>550</v>
      </c>
      <c r="C319" s="30" t="s">
        <v>707</v>
      </c>
      <c r="D319" s="30"/>
      <c r="E319" s="30"/>
      <c r="F319" s="30"/>
      <c r="G319" s="30"/>
      <c r="H319" s="30"/>
      <c r="I319" s="30"/>
      <c r="J319" s="30"/>
      <c r="K319" s="30"/>
      <c r="L319" s="30"/>
      <c r="M319" s="30"/>
      <c r="N319" s="30"/>
    </row>
    <row r="320" spans="1:14" ht="16.05" customHeight="1" x14ac:dyDescent="0.3">
      <c r="A320" s="28">
        <v>317</v>
      </c>
      <c r="B320" s="28" t="s">
        <v>550</v>
      </c>
      <c r="C320" s="28" t="s">
        <v>708</v>
      </c>
      <c r="D320" s="28"/>
      <c r="E320" s="28"/>
      <c r="F320" s="28"/>
      <c r="G320" s="28"/>
      <c r="H320" s="28"/>
      <c r="I320" s="28"/>
      <c r="J320" s="28"/>
      <c r="K320" s="28"/>
      <c r="L320" s="28"/>
      <c r="M320" s="28"/>
      <c r="N320" s="28"/>
    </row>
    <row r="321" spans="1:14" ht="16.05" customHeight="1" x14ac:dyDescent="0.3">
      <c r="A321" s="30">
        <v>318</v>
      </c>
      <c r="B321" s="30" t="s">
        <v>550</v>
      </c>
      <c r="C321" s="30" t="s">
        <v>709</v>
      </c>
      <c r="D321" s="30"/>
      <c r="E321" s="30"/>
      <c r="F321" s="30"/>
      <c r="G321" s="30"/>
      <c r="H321" s="30"/>
      <c r="I321" s="30"/>
      <c r="J321" s="30"/>
      <c r="K321" s="30"/>
      <c r="L321" s="30"/>
      <c r="M321" s="30"/>
      <c r="N321" s="30"/>
    </row>
    <row r="322" spans="1:14" ht="16.05" customHeight="1" x14ac:dyDescent="0.3">
      <c r="A322" s="28">
        <v>319</v>
      </c>
      <c r="B322" s="28" t="s">
        <v>550</v>
      </c>
      <c r="C322" s="28" t="s">
        <v>710</v>
      </c>
      <c r="D322" s="28"/>
      <c r="E322" s="28"/>
      <c r="F322" s="28"/>
      <c r="G322" s="28"/>
      <c r="H322" s="28"/>
      <c r="I322" s="28"/>
      <c r="J322" s="28"/>
      <c r="K322" s="28"/>
      <c r="L322" s="28"/>
      <c r="M322" s="28"/>
      <c r="N322" s="28"/>
    </row>
    <row r="323" spans="1:14" ht="16.05" customHeight="1" x14ac:dyDescent="0.3">
      <c r="A323" s="30">
        <v>320</v>
      </c>
      <c r="B323" s="30" t="s">
        <v>550</v>
      </c>
      <c r="C323" s="30" t="s">
        <v>711</v>
      </c>
      <c r="D323" s="30"/>
      <c r="E323" s="30"/>
      <c r="F323" s="30"/>
      <c r="G323" s="30"/>
      <c r="H323" s="30"/>
      <c r="I323" s="30"/>
      <c r="J323" s="30"/>
      <c r="K323" s="30"/>
      <c r="L323" s="30"/>
      <c r="M323" s="30"/>
      <c r="N323" s="30"/>
    </row>
    <row r="324" spans="1:14" ht="16.05" customHeight="1" x14ac:dyDescent="0.3">
      <c r="A324" s="28">
        <v>321</v>
      </c>
      <c r="B324" s="28" t="s">
        <v>551</v>
      </c>
      <c r="C324" s="28" t="s">
        <v>702</v>
      </c>
      <c r="D324" s="28"/>
      <c r="E324" s="28"/>
      <c r="F324" s="28"/>
      <c r="G324" s="28"/>
      <c r="H324" s="28"/>
      <c r="I324" s="28"/>
      <c r="J324" s="28"/>
      <c r="K324" s="28"/>
      <c r="L324" s="28"/>
      <c r="M324" s="28"/>
      <c r="N324" s="28"/>
    </row>
    <row r="325" spans="1:14" ht="16.05" customHeight="1" x14ac:dyDescent="0.3">
      <c r="A325" s="30">
        <v>322</v>
      </c>
      <c r="B325" s="30" t="s">
        <v>551</v>
      </c>
      <c r="C325" s="30" t="s">
        <v>703</v>
      </c>
      <c r="D325" s="30"/>
      <c r="E325" s="30"/>
      <c r="F325" s="30"/>
      <c r="G325" s="30"/>
      <c r="H325" s="30"/>
      <c r="I325" s="30"/>
      <c r="J325" s="30"/>
      <c r="K325" s="30"/>
      <c r="L325" s="30"/>
      <c r="M325" s="30"/>
      <c r="N325" s="30"/>
    </row>
    <row r="326" spans="1:14" ht="16.05" customHeight="1" x14ac:dyDescent="0.3">
      <c r="A326" s="28">
        <v>323</v>
      </c>
      <c r="B326" s="28" t="s">
        <v>551</v>
      </c>
      <c r="C326" s="28" t="s">
        <v>704</v>
      </c>
      <c r="D326" s="28"/>
      <c r="E326" s="28"/>
      <c r="F326" s="28"/>
      <c r="G326" s="28"/>
      <c r="H326" s="28"/>
      <c r="I326" s="28"/>
      <c r="J326" s="28"/>
      <c r="K326" s="28"/>
      <c r="L326" s="28"/>
      <c r="M326" s="28"/>
      <c r="N326" s="28"/>
    </row>
    <row r="327" spans="1:14" ht="16.05" customHeight="1" x14ac:dyDescent="0.3">
      <c r="A327" s="30">
        <v>324</v>
      </c>
      <c r="B327" s="30" t="s">
        <v>551</v>
      </c>
      <c r="C327" s="30" t="s">
        <v>705</v>
      </c>
      <c r="D327" s="30"/>
      <c r="E327" s="30"/>
      <c r="F327" s="30"/>
      <c r="G327" s="30"/>
      <c r="H327" s="30"/>
      <c r="I327" s="30"/>
      <c r="J327" s="30"/>
      <c r="K327" s="30"/>
      <c r="L327" s="30"/>
      <c r="M327" s="30"/>
      <c r="N327" s="30"/>
    </row>
    <row r="328" spans="1:14" ht="16.05" customHeight="1" x14ac:dyDescent="0.3">
      <c r="A328" s="28">
        <v>325</v>
      </c>
      <c r="B328" s="28" t="s">
        <v>551</v>
      </c>
      <c r="C328" s="28" t="s">
        <v>706</v>
      </c>
      <c r="D328" s="28"/>
      <c r="E328" s="28"/>
      <c r="F328" s="28"/>
      <c r="G328" s="28"/>
      <c r="H328" s="28"/>
      <c r="I328" s="28"/>
      <c r="J328" s="28"/>
      <c r="K328" s="28"/>
      <c r="L328" s="28"/>
      <c r="M328" s="28"/>
      <c r="N328" s="28"/>
    </row>
    <row r="329" spans="1:14" ht="16.05" customHeight="1" x14ac:dyDescent="0.3">
      <c r="A329" s="30">
        <v>326</v>
      </c>
      <c r="B329" s="30" t="s">
        <v>551</v>
      </c>
      <c r="C329" s="30" t="s">
        <v>707</v>
      </c>
      <c r="D329" s="30"/>
      <c r="E329" s="30"/>
      <c r="F329" s="30"/>
      <c r="G329" s="30"/>
      <c r="H329" s="30"/>
      <c r="I329" s="30"/>
      <c r="J329" s="30"/>
      <c r="K329" s="30"/>
      <c r="L329" s="30"/>
      <c r="M329" s="30"/>
      <c r="N329" s="30"/>
    </row>
    <row r="330" spans="1:14" ht="16.05" customHeight="1" x14ac:dyDescent="0.3">
      <c r="A330" s="28">
        <v>327</v>
      </c>
      <c r="B330" s="28" t="s">
        <v>551</v>
      </c>
      <c r="C330" s="28" t="s">
        <v>708</v>
      </c>
      <c r="D330" s="28"/>
      <c r="E330" s="28"/>
      <c r="F330" s="28"/>
      <c r="G330" s="28"/>
      <c r="H330" s="28"/>
      <c r="I330" s="28"/>
      <c r="J330" s="28"/>
      <c r="K330" s="28"/>
      <c r="L330" s="28"/>
      <c r="M330" s="28"/>
      <c r="N330" s="28"/>
    </row>
    <row r="331" spans="1:14" ht="16.05" customHeight="1" x14ac:dyDescent="0.3">
      <c r="A331" s="30">
        <v>328</v>
      </c>
      <c r="B331" s="30" t="s">
        <v>551</v>
      </c>
      <c r="C331" s="30" t="s">
        <v>709</v>
      </c>
      <c r="D331" s="30"/>
      <c r="E331" s="30"/>
      <c r="F331" s="30"/>
      <c r="G331" s="30"/>
      <c r="H331" s="30"/>
      <c r="I331" s="30"/>
      <c r="J331" s="30"/>
      <c r="K331" s="30"/>
      <c r="L331" s="30"/>
      <c r="M331" s="30"/>
      <c r="N331" s="30"/>
    </row>
    <row r="332" spans="1:14" ht="16.05" customHeight="1" x14ac:dyDescent="0.3">
      <c r="A332" s="28">
        <v>329</v>
      </c>
      <c r="B332" s="28" t="s">
        <v>551</v>
      </c>
      <c r="C332" s="28" t="s">
        <v>710</v>
      </c>
      <c r="D332" s="28"/>
      <c r="E332" s="28"/>
      <c r="F332" s="28"/>
      <c r="G332" s="28"/>
      <c r="H332" s="28"/>
      <c r="I332" s="28"/>
      <c r="J332" s="28"/>
      <c r="K332" s="28"/>
      <c r="L332" s="28"/>
      <c r="M332" s="28"/>
      <c r="N332" s="28"/>
    </row>
    <row r="333" spans="1:14" ht="16.05" customHeight="1" x14ac:dyDescent="0.3">
      <c r="A333" s="30">
        <v>330</v>
      </c>
      <c r="B333" s="30" t="s">
        <v>551</v>
      </c>
      <c r="C333" s="30" t="s">
        <v>711</v>
      </c>
      <c r="D333" s="30"/>
      <c r="E333" s="30"/>
      <c r="F333" s="30"/>
      <c r="G333" s="30"/>
      <c r="H333" s="30"/>
      <c r="I333" s="30"/>
      <c r="J333" s="30"/>
      <c r="K333" s="30"/>
      <c r="L333" s="30"/>
      <c r="M333" s="30"/>
      <c r="N333" s="30"/>
    </row>
    <row r="334" spans="1:14" ht="16.05" customHeight="1" x14ac:dyDescent="0.3">
      <c r="A334" s="28">
        <v>331</v>
      </c>
      <c r="B334" s="28" t="s">
        <v>552</v>
      </c>
      <c r="C334" s="28" t="s">
        <v>702</v>
      </c>
      <c r="D334" s="28"/>
      <c r="E334" s="28"/>
      <c r="F334" s="28"/>
      <c r="G334" s="28"/>
      <c r="H334" s="28"/>
      <c r="I334" s="28"/>
      <c r="J334" s="28"/>
      <c r="K334" s="28"/>
      <c r="L334" s="28"/>
      <c r="M334" s="28"/>
      <c r="N334" s="28"/>
    </row>
    <row r="335" spans="1:14" ht="16.05" customHeight="1" x14ac:dyDescent="0.3">
      <c r="A335" s="30">
        <v>332</v>
      </c>
      <c r="B335" s="30" t="s">
        <v>552</v>
      </c>
      <c r="C335" s="30" t="s">
        <v>703</v>
      </c>
      <c r="D335" s="30"/>
      <c r="E335" s="30"/>
      <c r="F335" s="30"/>
      <c r="G335" s="30"/>
      <c r="H335" s="30"/>
      <c r="I335" s="30"/>
      <c r="J335" s="30"/>
      <c r="K335" s="30"/>
      <c r="L335" s="30"/>
      <c r="M335" s="30"/>
      <c r="N335" s="30"/>
    </row>
    <row r="336" spans="1:14" ht="16.05" customHeight="1" x14ac:dyDescent="0.3">
      <c r="A336" s="28">
        <v>333</v>
      </c>
      <c r="B336" s="28" t="s">
        <v>552</v>
      </c>
      <c r="C336" s="28" t="s">
        <v>704</v>
      </c>
      <c r="D336" s="28"/>
      <c r="E336" s="28"/>
      <c r="F336" s="28"/>
      <c r="G336" s="28"/>
      <c r="H336" s="28"/>
      <c r="I336" s="28"/>
      <c r="J336" s="28"/>
      <c r="K336" s="28"/>
      <c r="L336" s="28"/>
      <c r="M336" s="28"/>
      <c r="N336" s="28"/>
    </row>
    <row r="337" spans="1:14" ht="16.05" customHeight="1" x14ac:dyDescent="0.3">
      <c r="A337" s="30">
        <v>334</v>
      </c>
      <c r="B337" s="30" t="s">
        <v>552</v>
      </c>
      <c r="C337" s="30" t="s">
        <v>705</v>
      </c>
      <c r="D337" s="30"/>
      <c r="E337" s="30"/>
      <c r="F337" s="30"/>
      <c r="G337" s="30"/>
      <c r="H337" s="30"/>
      <c r="I337" s="30"/>
      <c r="J337" s="30"/>
      <c r="K337" s="30"/>
      <c r="L337" s="30"/>
      <c r="M337" s="30"/>
      <c r="N337" s="30"/>
    </row>
    <row r="338" spans="1:14" ht="16.05" customHeight="1" x14ac:dyDescent="0.3">
      <c r="A338" s="28">
        <v>335</v>
      </c>
      <c r="B338" s="28" t="s">
        <v>552</v>
      </c>
      <c r="C338" s="28" t="s">
        <v>706</v>
      </c>
      <c r="D338" s="28"/>
      <c r="E338" s="28"/>
      <c r="F338" s="28"/>
      <c r="G338" s="28"/>
      <c r="H338" s="28"/>
      <c r="I338" s="28"/>
      <c r="J338" s="28"/>
      <c r="K338" s="28"/>
      <c r="L338" s="28"/>
      <c r="M338" s="28"/>
      <c r="N338" s="28"/>
    </row>
    <row r="339" spans="1:14" ht="16.05" customHeight="1" x14ac:dyDescent="0.3">
      <c r="A339" s="30">
        <v>336</v>
      </c>
      <c r="B339" s="30" t="s">
        <v>552</v>
      </c>
      <c r="C339" s="30" t="s">
        <v>707</v>
      </c>
      <c r="D339" s="30"/>
      <c r="E339" s="30"/>
      <c r="F339" s="30"/>
      <c r="G339" s="30"/>
      <c r="H339" s="30"/>
      <c r="I339" s="30"/>
      <c r="J339" s="30"/>
      <c r="K339" s="30"/>
      <c r="L339" s="30"/>
      <c r="M339" s="30"/>
      <c r="N339" s="30"/>
    </row>
    <row r="340" spans="1:14" ht="16.05" customHeight="1" x14ac:dyDescent="0.3">
      <c r="A340" s="28">
        <v>337</v>
      </c>
      <c r="B340" s="28" t="s">
        <v>552</v>
      </c>
      <c r="C340" s="28" t="s">
        <v>708</v>
      </c>
      <c r="D340" s="28"/>
      <c r="E340" s="28"/>
      <c r="F340" s="28"/>
      <c r="G340" s="28"/>
      <c r="H340" s="28"/>
      <c r="I340" s="28"/>
      <c r="J340" s="28"/>
      <c r="K340" s="28"/>
      <c r="L340" s="28"/>
      <c r="M340" s="28"/>
      <c r="N340" s="28"/>
    </row>
    <row r="341" spans="1:14" ht="16.05" customHeight="1" x14ac:dyDescent="0.3">
      <c r="A341" s="30">
        <v>338</v>
      </c>
      <c r="B341" s="30" t="s">
        <v>552</v>
      </c>
      <c r="C341" s="30" t="s">
        <v>709</v>
      </c>
      <c r="D341" s="30"/>
      <c r="E341" s="30"/>
      <c r="F341" s="30"/>
      <c r="G341" s="30"/>
      <c r="H341" s="30"/>
      <c r="I341" s="30"/>
      <c r="J341" s="30"/>
      <c r="K341" s="30"/>
      <c r="L341" s="30"/>
      <c r="M341" s="30"/>
      <c r="N341" s="30"/>
    </row>
    <row r="342" spans="1:14" ht="16.05" customHeight="1" x14ac:dyDescent="0.3">
      <c r="A342" s="28">
        <v>339</v>
      </c>
      <c r="B342" s="28" t="s">
        <v>552</v>
      </c>
      <c r="C342" s="28" t="s">
        <v>710</v>
      </c>
      <c r="D342" s="28"/>
      <c r="E342" s="28"/>
      <c r="F342" s="28"/>
      <c r="G342" s="28"/>
      <c r="H342" s="28"/>
      <c r="I342" s="28"/>
      <c r="J342" s="28"/>
      <c r="K342" s="28"/>
      <c r="L342" s="28"/>
      <c r="M342" s="28"/>
      <c r="N342" s="28"/>
    </row>
    <row r="343" spans="1:14" ht="16.05" customHeight="1" x14ac:dyDescent="0.3">
      <c r="A343" s="30">
        <v>340</v>
      </c>
      <c r="B343" s="30" t="s">
        <v>552</v>
      </c>
      <c r="C343" s="30" t="s">
        <v>711</v>
      </c>
      <c r="D343" s="30"/>
      <c r="E343" s="30"/>
      <c r="F343" s="30"/>
      <c r="G343" s="30"/>
      <c r="H343" s="30"/>
      <c r="I343" s="30"/>
      <c r="J343" s="30"/>
      <c r="K343" s="30"/>
      <c r="L343" s="30"/>
      <c r="M343" s="30"/>
      <c r="N343" s="30"/>
    </row>
    <row r="344" spans="1:14" ht="16.05" customHeight="1" x14ac:dyDescent="0.3">
      <c r="A344" s="28">
        <v>341</v>
      </c>
      <c r="B344" s="28" t="s">
        <v>553</v>
      </c>
      <c r="C344" s="28" t="s">
        <v>702</v>
      </c>
      <c r="D344" s="28"/>
      <c r="E344" s="28"/>
      <c r="F344" s="28"/>
      <c r="G344" s="28"/>
      <c r="H344" s="28"/>
      <c r="I344" s="28"/>
      <c r="J344" s="28"/>
      <c r="K344" s="28"/>
      <c r="L344" s="28"/>
      <c r="M344" s="28"/>
      <c r="N344" s="28"/>
    </row>
    <row r="345" spans="1:14" ht="16.05" customHeight="1" x14ac:dyDescent="0.3">
      <c r="A345" s="30">
        <v>342</v>
      </c>
      <c r="B345" s="30" t="s">
        <v>553</v>
      </c>
      <c r="C345" s="30" t="s">
        <v>703</v>
      </c>
      <c r="D345" s="30"/>
      <c r="E345" s="30"/>
      <c r="F345" s="30"/>
      <c r="G345" s="30"/>
      <c r="H345" s="30"/>
      <c r="I345" s="30"/>
      <c r="J345" s="30"/>
      <c r="K345" s="30"/>
      <c r="L345" s="30"/>
      <c r="M345" s="30"/>
      <c r="N345" s="30"/>
    </row>
    <row r="346" spans="1:14" ht="16.05" customHeight="1" x14ac:dyDescent="0.3">
      <c r="A346" s="28">
        <v>343</v>
      </c>
      <c r="B346" s="28" t="s">
        <v>553</v>
      </c>
      <c r="C346" s="28" t="s">
        <v>704</v>
      </c>
      <c r="D346" s="28"/>
      <c r="E346" s="28"/>
      <c r="F346" s="28"/>
      <c r="G346" s="28"/>
      <c r="H346" s="28"/>
      <c r="I346" s="28"/>
      <c r="J346" s="28"/>
      <c r="K346" s="28"/>
      <c r="L346" s="28"/>
      <c r="M346" s="28"/>
      <c r="N346" s="28"/>
    </row>
    <row r="347" spans="1:14" ht="16.05" customHeight="1" x14ac:dyDescent="0.3">
      <c r="A347" s="30">
        <v>344</v>
      </c>
      <c r="B347" s="30" t="s">
        <v>553</v>
      </c>
      <c r="C347" s="30" t="s">
        <v>705</v>
      </c>
      <c r="D347" s="30"/>
      <c r="E347" s="30"/>
      <c r="F347" s="30"/>
      <c r="G347" s="30"/>
      <c r="H347" s="30"/>
      <c r="I347" s="30"/>
      <c r="J347" s="30"/>
      <c r="K347" s="30"/>
      <c r="L347" s="30"/>
      <c r="M347" s="30"/>
      <c r="N347" s="30"/>
    </row>
    <row r="348" spans="1:14" ht="16.05" customHeight="1" x14ac:dyDescent="0.3">
      <c r="A348" s="28">
        <v>345</v>
      </c>
      <c r="B348" s="28" t="s">
        <v>553</v>
      </c>
      <c r="C348" s="28" t="s">
        <v>706</v>
      </c>
      <c r="D348" s="28"/>
      <c r="E348" s="28"/>
      <c r="F348" s="28"/>
      <c r="G348" s="28"/>
      <c r="H348" s="28"/>
      <c r="I348" s="28"/>
      <c r="J348" s="28"/>
      <c r="K348" s="28"/>
      <c r="L348" s="28"/>
      <c r="M348" s="28"/>
      <c r="N348" s="28"/>
    </row>
    <row r="349" spans="1:14" ht="16.05" customHeight="1" x14ac:dyDescent="0.3">
      <c r="A349" s="30">
        <v>346</v>
      </c>
      <c r="B349" s="30" t="s">
        <v>553</v>
      </c>
      <c r="C349" s="30" t="s">
        <v>707</v>
      </c>
      <c r="D349" s="30"/>
      <c r="E349" s="30"/>
      <c r="F349" s="30"/>
      <c r="G349" s="30"/>
      <c r="H349" s="30"/>
      <c r="I349" s="30"/>
      <c r="J349" s="30"/>
      <c r="K349" s="30"/>
      <c r="L349" s="30"/>
      <c r="M349" s="30"/>
      <c r="N349" s="30"/>
    </row>
    <row r="350" spans="1:14" ht="16.05" customHeight="1" x14ac:dyDescent="0.3">
      <c r="A350" s="28">
        <v>347</v>
      </c>
      <c r="B350" s="28" t="s">
        <v>553</v>
      </c>
      <c r="C350" s="28" t="s">
        <v>708</v>
      </c>
      <c r="D350" s="28"/>
      <c r="E350" s="28"/>
      <c r="F350" s="28"/>
      <c r="G350" s="28"/>
      <c r="H350" s="28"/>
      <c r="I350" s="28"/>
      <c r="J350" s="28"/>
      <c r="K350" s="28"/>
      <c r="L350" s="28"/>
      <c r="M350" s="28"/>
      <c r="N350" s="28"/>
    </row>
    <row r="351" spans="1:14" ht="16.05" customHeight="1" x14ac:dyDescent="0.3">
      <c r="A351" s="30">
        <v>348</v>
      </c>
      <c r="B351" s="30" t="s">
        <v>553</v>
      </c>
      <c r="C351" s="30" t="s">
        <v>709</v>
      </c>
      <c r="D351" s="30"/>
      <c r="E351" s="30"/>
      <c r="F351" s="30"/>
      <c r="G351" s="30"/>
      <c r="H351" s="30"/>
      <c r="I351" s="30"/>
      <c r="J351" s="30"/>
      <c r="K351" s="30"/>
      <c r="L351" s="30"/>
      <c r="M351" s="30"/>
      <c r="N351" s="30"/>
    </row>
    <row r="352" spans="1:14" ht="16.05" customHeight="1" x14ac:dyDescent="0.3">
      <c r="A352" s="28">
        <v>349</v>
      </c>
      <c r="B352" s="28" t="s">
        <v>553</v>
      </c>
      <c r="C352" s="28" t="s">
        <v>710</v>
      </c>
      <c r="D352" s="28"/>
      <c r="E352" s="28"/>
      <c r="F352" s="28"/>
      <c r="G352" s="28"/>
      <c r="H352" s="28"/>
      <c r="I352" s="28"/>
      <c r="J352" s="28"/>
      <c r="K352" s="28"/>
      <c r="L352" s="28"/>
      <c r="M352" s="28"/>
      <c r="N352" s="28"/>
    </row>
    <row r="353" spans="1:14" ht="16.05" customHeight="1" x14ac:dyDescent="0.3">
      <c r="A353" s="30">
        <v>350</v>
      </c>
      <c r="B353" s="30" t="s">
        <v>553</v>
      </c>
      <c r="C353" s="30" t="s">
        <v>711</v>
      </c>
      <c r="D353" s="30"/>
      <c r="E353" s="30"/>
      <c r="F353" s="30"/>
      <c r="G353" s="30"/>
      <c r="H353" s="30"/>
      <c r="I353" s="30"/>
      <c r="J353" s="30"/>
      <c r="K353" s="30"/>
      <c r="L353" s="30"/>
      <c r="M353" s="30"/>
      <c r="N353" s="30"/>
    </row>
    <row r="354" spans="1:14" ht="16.05" customHeight="1" x14ac:dyDescent="0.3">
      <c r="A354" s="28">
        <v>351</v>
      </c>
      <c r="B354" s="28" t="s">
        <v>554</v>
      </c>
      <c r="C354" s="28" t="s">
        <v>702</v>
      </c>
      <c r="D354" s="28"/>
      <c r="E354" s="28"/>
      <c r="F354" s="28"/>
      <c r="G354" s="28"/>
      <c r="H354" s="28"/>
      <c r="I354" s="28"/>
      <c r="J354" s="28"/>
      <c r="K354" s="28"/>
      <c r="L354" s="28"/>
      <c r="M354" s="28"/>
      <c r="N354" s="28"/>
    </row>
    <row r="355" spans="1:14" ht="16.05" customHeight="1" x14ac:dyDescent="0.3">
      <c r="A355" s="30">
        <v>352</v>
      </c>
      <c r="B355" s="30" t="s">
        <v>554</v>
      </c>
      <c r="C355" s="30" t="s">
        <v>703</v>
      </c>
      <c r="D355" s="30"/>
      <c r="E355" s="30"/>
      <c r="F355" s="30"/>
      <c r="G355" s="30"/>
      <c r="H355" s="30"/>
      <c r="I355" s="30"/>
      <c r="J355" s="30"/>
      <c r="K355" s="30"/>
      <c r="L355" s="30"/>
      <c r="M355" s="30"/>
      <c r="N355" s="30"/>
    </row>
    <row r="356" spans="1:14" ht="16.05" customHeight="1" x14ac:dyDescent="0.3">
      <c r="A356" s="28">
        <v>353</v>
      </c>
      <c r="B356" s="28" t="s">
        <v>554</v>
      </c>
      <c r="C356" s="28" t="s">
        <v>704</v>
      </c>
      <c r="D356" s="28"/>
      <c r="E356" s="28"/>
      <c r="F356" s="28"/>
      <c r="G356" s="28"/>
      <c r="H356" s="28"/>
      <c r="I356" s="28"/>
      <c r="J356" s="28"/>
      <c r="K356" s="28"/>
      <c r="L356" s="28"/>
      <c r="M356" s="28"/>
      <c r="N356" s="28"/>
    </row>
    <row r="357" spans="1:14" ht="16.05" customHeight="1" x14ac:dyDescent="0.3">
      <c r="A357" s="30">
        <v>354</v>
      </c>
      <c r="B357" s="30" t="s">
        <v>554</v>
      </c>
      <c r="C357" s="30" t="s">
        <v>705</v>
      </c>
      <c r="D357" s="30"/>
      <c r="E357" s="30"/>
      <c r="F357" s="30"/>
      <c r="G357" s="30"/>
      <c r="H357" s="30"/>
      <c r="I357" s="30"/>
      <c r="J357" s="30"/>
      <c r="K357" s="30"/>
      <c r="L357" s="30"/>
      <c r="M357" s="30"/>
      <c r="N357" s="30"/>
    </row>
    <row r="358" spans="1:14" ht="16.05" customHeight="1" x14ac:dyDescent="0.3">
      <c r="A358" s="28">
        <v>355</v>
      </c>
      <c r="B358" s="28" t="s">
        <v>554</v>
      </c>
      <c r="C358" s="28" t="s">
        <v>706</v>
      </c>
      <c r="D358" s="28"/>
      <c r="E358" s="28"/>
      <c r="F358" s="28"/>
      <c r="G358" s="28"/>
      <c r="H358" s="28"/>
      <c r="I358" s="28"/>
      <c r="J358" s="28"/>
      <c r="K358" s="28"/>
      <c r="L358" s="28"/>
      <c r="M358" s="28"/>
      <c r="N358" s="28"/>
    </row>
    <row r="359" spans="1:14" ht="16.05" customHeight="1" x14ac:dyDescent="0.3">
      <c r="A359" s="30">
        <v>356</v>
      </c>
      <c r="B359" s="30" t="s">
        <v>554</v>
      </c>
      <c r="C359" s="30" t="s">
        <v>707</v>
      </c>
      <c r="D359" s="30"/>
      <c r="E359" s="30"/>
      <c r="F359" s="30"/>
      <c r="G359" s="30"/>
      <c r="H359" s="30"/>
      <c r="I359" s="30"/>
      <c r="J359" s="30"/>
      <c r="K359" s="30"/>
      <c r="L359" s="30"/>
      <c r="M359" s="30"/>
      <c r="N359" s="30"/>
    </row>
    <row r="360" spans="1:14" ht="16.05" customHeight="1" x14ac:dyDescent="0.3">
      <c r="A360" s="28">
        <v>357</v>
      </c>
      <c r="B360" s="28" t="s">
        <v>554</v>
      </c>
      <c r="C360" s="28" t="s">
        <v>708</v>
      </c>
      <c r="D360" s="28"/>
      <c r="E360" s="28"/>
      <c r="F360" s="28"/>
      <c r="G360" s="28"/>
      <c r="H360" s="28"/>
      <c r="I360" s="28"/>
      <c r="J360" s="28"/>
      <c r="K360" s="28"/>
      <c r="L360" s="28"/>
      <c r="M360" s="28"/>
      <c r="N360" s="28"/>
    </row>
    <row r="361" spans="1:14" ht="16.05" customHeight="1" x14ac:dyDescent="0.3">
      <c r="A361" s="30">
        <v>358</v>
      </c>
      <c r="B361" s="30" t="s">
        <v>554</v>
      </c>
      <c r="C361" s="30" t="s">
        <v>709</v>
      </c>
      <c r="D361" s="30"/>
      <c r="E361" s="30"/>
      <c r="F361" s="30"/>
      <c r="G361" s="30"/>
      <c r="H361" s="30"/>
      <c r="I361" s="30"/>
      <c r="J361" s="30"/>
      <c r="K361" s="30"/>
      <c r="L361" s="30"/>
      <c r="M361" s="30"/>
      <c r="N361" s="30"/>
    </row>
    <row r="362" spans="1:14" ht="16.05" customHeight="1" x14ac:dyDescent="0.3">
      <c r="A362" s="28">
        <v>359</v>
      </c>
      <c r="B362" s="28" t="s">
        <v>554</v>
      </c>
      <c r="C362" s="28" t="s">
        <v>710</v>
      </c>
      <c r="D362" s="28"/>
      <c r="E362" s="28"/>
      <c r="F362" s="28"/>
      <c r="G362" s="28"/>
      <c r="H362" s="28"/>
      <c r="I362" s="28"/>
      <c r="J362" s="28"/>
      <c r="K362" s="28"/>
      <c r="L362" s="28"/>
      <c r="M362" s="28"/>
      <c r="N362" s="28"/>
    </row>
    <row r="363" spans="1:14" ht="16.05" customHeight="1" x14ac:dyDescent="0.3">
      <c r="A363" s="30">
        <v>360</v>
      </c>
      <c r="B363" s="30" t="s">
        <v>554</v>
      </c>
      <c r="C363" s="30" t="s">
        <v>711</v>
      </c>
      <c r="D363" s="30"/>
      <c r="E363" s="30"/>
      <c r="F363" s="30"/>
      <c r="G363" s="30"/>
      <c r="H363" s="30"/>
      <c r="I363" s="30"/>
      <c r="J363" s="30"/>
      <c r="K363" s="30"/>
      <c r="L363" s="30"/>
      <c r="M363" s="30"/>
      <c r="N363" s="30"/>
    </row>
  </sheetData>
  <autoFilter ref="A3:N363" xr:uid="{00000000-0009-0000-0000-00001C000000}"/>
  <mergeCells count="2">
    <mergeCell ref="A2:N2"/>
    <mergeCell ref="A1:N1"/>
  </mergeCell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1C00-000000000000}">
          <x14:formula1>
            <xm:f>REF!$A$2:$A$37</xm:f>
          </x14:formula1>
          <xm:sqref>B4:B363</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R39"/>
  <sheetViews>
    <sheetView showGridLines="0" workbookViewId="0">
      <selection sqref="A1:R1"/>
    </sheetView>
  </sheetViews>
  <sheetFormatPr defaultRowHeight="14.4" x14ac:dyDescent="0.3"/>
  <cols>
    <col min="1" max="1" width="4" customWidth="1"/>
    <col min="2" max="2" width="22" customWidth="1"/>
    <col min="3" max="3" width="13" customWidth="1"/>
    <col min="4" max="4" width="11" customWidth="1"/>
    <col min="5" max="5" width="12" customWidth="1"/>
    <col min="6" max="17" width="11" customWidth="1"/>
    <col min="18" max="18" width="22" customWidth="1"/>
  </cols>
  <sheetData>
    <row r="1" spans="1:18" ht="28.05" customHeight="1" x14ac:dyDescent="0.3">
      <c r="A1" s="45" t="s">
        <v>1764</v>
      </c>
      <c r="B1" s="33"/>
      <c r="C1" s="33"/>
      <c r="D1" s="33"/>
      <c r="E1" s="33"/>
      <c r="F1" s="33"/>
      <c r="G1" s="33"/>
      <c r="H1" s="33"/>
      <c r="I1" s="33"/>
      <c r="J1" s="33"/>
      <c r="K1" s="33"/>
      <c r="L1" s="33"/>
      <c r="M1" s="33"/>
      <c r="N1" s="33"/>
      <c r="O1" s="33"/>
      <c r="P1" s="33"/>
      <c r="Q1" s="33"/>
      <c r="R1" s="33"/>
    </row>
    <row r="2" spans="1:18" ht="16.05" customHeight="1" x14ac:dyDescent="0.3">
      <c r="A2" s="39" t="s">
        <v>1765</v>
      </c>
      <c r="B2" s="33"/>
      <c r="C2" s="33"/>
      <c r="D2" s="33"/>
      <c r="E2" s="33"/>
      <c r="F2" s="33"/>
      <c r="G2" s="33"/>
      <c r="H2" s="33"/>
      <c r="I2" s="33"/>
      <c r="J2" s="33"/>
      <c r="K2" s="33"/>
      <c r="L2" s="33"/>
      <c r="M2" s="33"/>
      <c r="N2" s="33"/>
      <c r="O2" s="33"/>
      <c r="P2" s="33"/>
      <c r="Q2" s="33"/>
      <c r="R2" s="33"/>
    </row>
    <row r="3" spans="1:18" ht="31.95" customHeight="1" x14ac:dyDescent="0.3">
      <c r="A3" s="27" t="s">
        <v>78</v>
      </c>
      <c r="B3" s="27" t="s">
        <v>192</v>
      </c>
      <c r="C3" s="27" t="s">
        <v>648</v>
      </c>
      <c r="D3" s="27" t="s">
        <v>1022</v>
      </c>
      <c r="E3" s="27" t="s">
        <v>1766</v>
      </c>
      <c r="F3" s="27" t="s">
        <v>1767</v>
      </c>
      <c r="G3" s="27" t="s">
        <v>1768</v>
      </c>
      <c r="H3" s="27" t="s">
        <v>635</v>
      </c>
      <c r="I3" s="27" t="s">
        <v>1769</v>
      </c>
      <c r="J3" s="27" t="s">
        <v>638</v>
      </c>
      <c r="K3" s="27" t="s">
        <v>639</v>
      </c>
      <c r="L3" s="27" t="s">
        <v>640</v>
      </c>
      <c r="M3" s="27" t="s">
        <v>649</v>
      </c>
      <c r="N3" s="27" t="s">
        <v>642</v>
      </c>
      <c r="O3" s="27" t="s">
        <v>643</v>
      </c>
      <c r="P3" s="27" t="s">
        <v>644</v>
      </c>
      <c r="Q3" s="27" t="s">
        <v>645</v>
      </c>
      <c r="R3" s="27" t="s">
        <v>86</v>
      </c>
    </row>
    <row r="4" spans="1:18" ht="16.05" customHeight="1" x14ac:dyDescent="0.3">
      <c r="A4" s="28">
        <v>1</v>
      </c>
      <c r="B4" s="28" t="s">
        <v>519</v>
      </c>
      <c r="C4" s="28"/>
      <c r="D4" s="28"/>
      <c r="E4" s="28"/>
      <c r="F4" s="28"/>
      <c r="G4" s="28"/>
      <c r="H4" s="28"/>
      <c r="I4" s="28"/>
      <c r="J4" s="28"/>
      <c r="K4" s="28"/>
      <c r="L4" s="28"/>
      <c r="M4" s="28"/>
      <c r="N4" s="28"/>
      <c r="O4" s="28"/>
      <c r="P4" s="28"/>
      <c r="Q4" s="28"/>
      <c r="R4" s="28"/>
    </row>
    <row r="5" spans="1:18" ht="16.05" customHeight="1" x14ac:dyDescent="0.3">
      <c r="A5" s="30">
        <v>2</v>
      </c>
      <c r="B5" s="30" t="s">
        <v>520</v>
      </c>
      <c r="C5" s="30"/>
      <c r="D5" s="30"/>
      <c r="E5" s="30"/>
      <c r="F5" s="30"/>
      <c r="G5" s="30"/>
      <c r="H5" s="30"/>
      <c r="I5" s="30"/>
      <c r="J5" s="30"/>
      <c r="K5" s="30"/>
      <c r="L5" s="30"/>
      <c r="M5" s="30"/>
      <c r="N5" s="30"/>
      <c r="O5" s="30"/>
      <c r="P5" s="30"/>
      <c r="Q5" s="30"/>
      <c r="R5" s="30"/>
    </row>
    <row r="6" spans="1:18" ht="16.05" customHeight="1" x14ac:dyDescent="0.3">
      <c r="A6" s="28">
        <v>3</v>
      </c>
      <c r="B6" s="28" t="s">
        <v>521</v>
      </c>
      <c r="C6" s="28"/>
      <c r="D6" s="28"/>
      <c r="E6" s="28"/>
      <c r="F6" s="28"/>
      <c r="G6" s="28"/>
      <c r="H6" s="28"/>
      <c r="I6" s="28"/>
      <c r="J6" s="28"/>
      <c r="K6" s="28"/>
      <c r="L6" s="28"/>
      <c r="M6" s="28"/>
      <c r="N6" s="28"/>
      <c r="O6" s="28"/>
      <c r="P6" s="28"/>
      <c r="Q6" s="28"/>
      <c r="R6" s="28"/>
    </row>
    <row r="7" spans="1:18" ht="16.05" customHeight="1" x14ac:dyDescent="0.3">
      <c r="A7" s="30">
        <v>4</v>
      </c>
      <c r="B7" s="30" t="s">
        <v>522</v>
      </c>
      <c r="C7" s="30"/>
      <c r="D7" s="30"/>
      <c r="E7" s="30"/>
      <c r="F7" s="30"/>
      <c r="G7" s="30"/>
      <c r="H7" s="30"/>
      <c r="I7" s="30"/>
      <c r="J7" s="30"/>
      <c r="K7" s="30"/>
      <c r="L7" s="30"/>
      <c r="M7" s="30"/>
      <c r="N7" s="30"/>
      <c r="O7" s="30"/>
      <c r="P7" s="30"/>
      <c r="Q7" s="30"/>
      <c r="R7" s="30"/>
    </row>
    <row r="8" spans="1:18" ht="16.05" customHeight="1" x14ac:dyDescent="0.3">
      <c r="A8" s="28">
        <v>5</v>
      </c>
      <c r="B8" s="28" t="s">
        <v>523</v>
      </c>
      <c r="C8" s="28"/>
      <c r="D8" s="28"/>
      <c r="E8" s="28"/>
      <c r="F8" s="28"/>
      <c r="G8" s="28"/>
      <c r="H8" s="28"/>
      <c r="I8" s="28"/>
      <c r="J8" s="28"/>
      <c r="K8" s="28"/>
      <c r="L8" s="28"/>
      <c r="M8" s="28"/>
      <c r="N8" s="28"/>
      <c r="O8" s="28"/>
      <c r="P8" s="28"/>
      <c r="Q8" s="28"/>
      <c r="R8" s="28"/>
    </row>
    <row r="9" spans="1:18" ht="16.05" customHeight="1" x14ac:dyDescent="0.3">
      <c r="A9" s="30">
        <v>6</v>
      </c>
      <c r="B9" s="30" t="s">
        <v>524</v>
      </c>
      <c r="C9" s="30"/>
      <c r="D9" s="30"/>
      <c r="E9" s="30"/>
      <c r="F9" s="30"/>
      <c r="G9" s="30"/>
      <c r="H9" s="30"/>
      <c r="I9" s="30"/>
      <c r="J9" s="30"/>
      <c r="K9" s="30"/>
      <c r="L9" s="30"/>
      <c r="M9" s="30"/>
      <c r="N9" s="30"/>
      <c r="O9" s="30"/>
      <c r="P9" s="30"/>
      <c r="Q9" s="30"/>
      <c r="R9" s="30"/>
    </row>
    <row r="10" spans="1:18" ht="16.05" customHeight="1" x14ac:dyDescent="0.3">
      <c r="A10" s="28">
        <v>7</v>
      </c>
      <c r="B10" s="28" t="s">
        <v>525</v>
      </c>
      <c r="C10" s="28"/>
      <c r="D10" s="28"/>
      <c r="E10" s="28"/>
      <c r="F10" s="28"/>
      <c r="G10" s="28"/>
      <c r="H10" s="28"/>
      <c r="I10" s="28"/>
      <c r="J10" s="28"/>
      <c r="K10" s="28"/>
      <c r="L10" s="28"/>
      <c r="M10" s="28"/>
      <c r="N10" s="28"/>
      <c r="O10" s="28"/>
      <c r="P10" s="28"/>
      <c r="Q10" s="28"/>
      <c r="R10" s="28"/>
    </row>
    <row r="11" spans="1:18" ht="16.05" customHeight="1" x14ac:dyDescent="0.3">
      <c r="A11" s="30">
        <v>8</v>
      </c>
      <c r="B11" s="30" t="s">
        <v>526</v>
      </c>
      <c r="C11" s="30"/>
      <c r="D11" s="30"/>
      <c r="E11" s="30"/>
      <c r="F11" s="30"/>
      <c r="G11" s="30"/>
      <c r="H11" s="30"/>
      <c r="I11" s="30"/>
      <c r="J11" s="30"/>
      <c r="K11" s="30"/>
      <c r="L11" s="30"/>
      <c r="M11" s="30"/>
      <c r="N11" s="30"/>
      <c r="O11" s="30"/>
      <c r="P11" s="30"/>
      <c r="Q11" s="30"/>
      <c r="R11" s="30"/>
    </row>
    <row r="12" spans="1:18" ht="16.05" customHeight="1" x14ac:dyDescent="0.3">
      <c r="A12" s="28">
        <v>9</v>
      </c>
      <c r="B12" s="28" t="s">
        <v>527</v>
      </c>
      <c r="C12" s="28"/>
      <c r="D12" s="28"/>
      <c r="E12" s="28"/>
      <c r="F12" s="28"/>
      <c r="G12" s="28"/>
      <c r="H12" s="28"/>
      <c r="I12" s="28"/>
      <c r="J12" s="28"/>
      <c r="K12" s="28"/>
      <c r="L12" s="28"/>
      <c r="M12" s="28"/>
      <c r="N12" s="28"/>
      <c r="O12" s="28"/>
      <c r="P12" s="28"/>
      <c r="Q12" s="28"/>
      <c r="R12" s="28"/>
    </row>
    <row r="13" spans="1:18" ht="16.05" customHeight="1" x14ac:dyDescent="0.3">
      <c r="A13" s="30">
        <v>10</v>
      </c>
      <c r="B13" s="30" t="s">
        <v>528</v>
      </c>
      <c r="C13" s="30"/>
      <c r="D13" s="30"/>
      <c r="E13" s="30"/>
      <c r="F13" s="30"/>
      <c r="G13" s="30"/>
      <c r="H13" s="30"/>
      <c r="I13" s="30"/>
      <c r="J13" s="30"/>
      <c r="K13" s="30"/>
      <c r="L13" s="30"/>
      <c r="M13" s="30"/>
      <c r="N13" s="30"/>
      <c r="O13" s="30"/>
      <c r="P13" s="30"/>
      <c r="Q13" s="30"/>
      <c r="R13" s="30"/>
    </row>
    <row r="14" spans="1:18" ht="16.05" customHeight="1" x14ac:dyDescent="0.3">
      <c r="A14" s="28">
        <v>11</v>
      </c>
      <c r="B14" s="28" t="s">
        <v>529</v>
      </c>
      <c r="C14" s="28"/>
      <c r="D14" s="28"/>
      <c r="E14" s="28"/>
      <c r="F14" s="28"/>
      <c r="G14" s="28"/>
      <c r="H14" s="28"/>
      <c r="I14" s="28"/>
      <c r="J14" s="28"/>
      <c r="K14" s="28"/>
      <c r="L14" s="28"/>
      <c r="M14" s="28"/>
      <c r="N14" s="28"/>
      <c r="O14" s="28"/>
      <c r="P14" s="28"/>
      <c r="Q14" s="28"/>
      <c r="R14" s="28"/>
    </row>
    <row r="15" spans="1:18" ht="16.05" customHeight="1" x14ac:dyDescent="0.3">
      <c r="A15" s="30">
        <v>12</v>
      </c>
      <c r="B15" s="30" t="s">
        <v>530</v>
      </c>
      <c r="C15" s="30"/>
      <c r="D15" s="30"/>
      <c r="E15" s="30"/>
      <c r="F15" s="30"/>
      <c r="G15" s="30"/>
      <c r="H15" s="30"/>
      <c r="I15" s="30"/>
      <c r="J15" s="30"/>
      <c r="K15" s="30"/>
      <c r="L15" s="30"/>
      <c r="M15" s="30"/>
      <c r="N15" s="30"/>
      <c r="O15" s="30"/>
      <c r="P15" s="30"/>
      <c r="Q15" s="30"/>
      <c r="R15" s="30"/>
    </row>
    <row r="16" spans="1:18" ht="16.05" customHeight="1" x14ac:dyDescent="0.3">
      <c r="A16" s="28">
        <v>13</v>
      </c>
      <c r="B16" s="28" t="s">
        <v>531</v>
      </c>
      <c r="C16" s="28"/>
      <c r="D16" s="28"/>
      <c r="E16" s="28"/>
      <c r="F16" s="28"/>
      <c r="G16" s="28"/>
      <c r="H16" s="28"/>
      <c r="I16" s="28"/>
      <c r="J16" s="28"/>
      <c r="K16" s="28"/>
      <c r="L16" s="28"/>
      <c r="M16" s="28"/>
      <c r="N16" s="28"/>
      <c r="O16" s="28"/>
      <c r="P16" s="28"/>
      <c r="Q16" s="28"/>
      <c r="R16" s="28"/>
    </row>
    <row r="17" spans="1:18" ht="16.05" customHeight="1" x14ac:dyDescent="0.3">
      <c r="A17" s="30">
        <v>14</v>
      </c>
      <c r="B17" s="30" t="s">
        <v>532</v>
      </c>
      <c r="C17" s="30"/>
      <c r="D17" s="30"/>
      <c r="E17" s="30"/>
      <c r="F17" s="30"/>
      <c r="G17" s="30"/>
      <c r="H17" s="30"/>
      <c r="I17" s="30"/>
      <c r="J17" s="30"/>
      <c r="K17" s="30"/>
      <c r="L17" s="30"/>
      <c r="M17" s="30"/>
      <c r="N17" s="30"/>
      <c r="O17" s="30"/>
      <c r="P17" s="30"/>
      <c r="Q17" s="30"/>
      <c r="R17" s="30"/>
    </row>
    <row r="18" spans="1:18" ht="16.05" customHeight="1" x14ac:dyDescent="0.3">
      <c r="A18" s="28">
        <v>15</v>
      </c>
      <c r="B18" s="28" t="s">
        <v>533</v>
      </c>
      <c r="C18" s="28"/>
      <c r="D18" s="28"/>
      <c r="E18" s="28"/>
      <c r="F18" s="28"/>
      <c r="G18" s="28"/>
      <c r="H18" s="28"/>
      <c r="I18" s="28"/>
      <c r="J18" s="28"/>
      <c r="K18" s="28"/>
      <c r="L18" s="28"/>
      <c r="M18" s="28"/>
      <c r="N18" s="28"/>
      <c r="O18" s="28"/>
      <c r="P18" s="28"/>
      <c r="Q18" s="28"/>
      <c r="R18" s="28"/>
    </row>
    <row r="19" spans="1:18" ht="16.05" customHeight="1" x14ac:dyDescent="0.3">
      <c r="A19" s="30">
        <v>16</v>
      </c>
      <c r="B19" s="30" t="s">
        <v>534</v>
      </c>
      <c r="C19" s="30"/>
      <c r="D19" s="30"/>
      <c r="E19" s="30"/>
      <c r="F19" s="30"/>
      <c r="G19" s="30"/>
      <c r="H19" s="30"/>
      <c r="I19" s="30"/>
      <c r="J19" s="30"/>
      <c r="K19" s="30"/>
      <c r="L19" s="30"/>
      <c r="M19" s="30"/>
      <c r="N19" s="30"/>
      <c r="O19" s="30"/>
      <c r="P19" s="30"/>
      <c r="Q19" s="30"/>
      <c r="R19" s="30"/>
    </row>
    <row r="20" spans="1:18" ht="16.05" customHeight="1" x14ac:dyDescent="0.3">
      <c r="A20" s="28">
        <v>17</v>
      </c>
      <c r="B20" s="28" t="s">
        <v>535</v>
      </c>
      <c r="C20" s="28"/>
      <c r="D20" s="28"/>
      <c r="E20" s="28"/>
      <c r="F20" s="28"/>
      <c r="G20" s="28"/>
      <c r="H20" s="28"/>
      <c r="I20" s="28"/>
      <c r="J20" s="28"/>
      <c r="K20" s="28"/>
      <c r="L20" s="28"/>
      <c r="M20" s="28"/>
      <c r="N20" s="28"/>
      <c r="O20" s="28"/>
      <c r="P20" s="28"/>
      <c r="Q20" s="28"/>
      <c r="R20" s="28"/>
    </row>
    <row r="21" spans="1:18" ht="16.05" customHeight="1" x14ac:dyDescent="0.3">
      <c r="A21" s="30">
        <v>18</v>
      </c>
      <c r="B21" s="30" t="s">
        <v>536</v>
      </c>
      <c r="C21" s="30"/>
      <c r="D21" s="30"/>
      <c r="E21" s="30"/>
      <c r="F21" s="30"/>
      <c r="G21" s="30"/>
      <c r="H21" s="30"/>
      <c r="I21" s="30"/>
      <c r="J21" s="30"/>
      <c r="K21" s="30"/>
      <c r="L21" s="30"/>
      <c r="M21" s="30"/>
      <c r="N21" s="30"/>
      <c r="O21" s="30"/>
      <c r="P21" s="30"/>
      <c r="Q21" s="30"/>
      <c r="R21" s="30"/>
    </row>
    <row r="22" spans="1:18" ht="16.05" customHeight="1" x14ac:dyDescent="0.3">
      <c r="A22" s="28">
        <v>19</v>
      </c>
      <c r="B22" s="28" t="s">
        <v>537</v>
      </c>
      <c r="C22" s="28"/>
      <c r="D22" s="28"/>
      <c r="E22" s="28"/>
      <c r="F22" s="28"/>
      <c r="G22" s="28"/>
      <c r="H22" s="28"/>
      <c r="I22" s="28"/>
      <c r="J22" s="28"/>
      <c r="K22" s="28"/>
      <c r="L22" s="28"/>
      <c r="M22" s="28"/>
      <c r="N22" s="28"/>
      <c r="O22" s="28"/>
      <c r="P22" s="28"/>
      <c r="Q22" s="28"/>
      <c r="R22" s="28"/>
    </row>
    <row r="23" spans="1:18" ht="16.05" customHeight="1" x14ac:dyDescent="0.3">
      <c r="A23" s="30">
        <v>20</v>
      </c>
      <c r="B23" s="30" t="s">
        <v>538</v>
      </c>
      <c r="C23" s="30"/>
      <c r="D23" s="30"/>
      <c r="E23" s="30"/>
      <c r="F23" s="30"/>
      <c r="G23" s="30"/>
      <c r="H23" s="30"/>
      <c r="I23" s="30"/>
      <c r="J23" s="30"/>
      <c r="K23" s="30"/>
      <c r="L23" s="30"/>
      <c r="M23" s="30"/>
      <c r="N23" s="30"/>
      <c r="O23" s="30"/>
      <c r="P23" s="30"/>
      <c r="Q23" s="30"/>
      <c r="R23" s="30"/>
    </row>
    <row r="24" spans="1:18" ht="16.05" customHeight="1" x14ac:dyDescent="0.3">
      <c r="A24" s="28">
        <v>21</v>
      </c>
      <c r="B24" s="28" t="s">
        <v>539</v>
      </c>
      <c r="C24" s="28"/>
      <c r="D24" s="28"/>
      <c r="E24" s="28"/>
      <c r="F24" s="28"/>
      <c r="G24" s="28"/>
      <c r="H24" s="28"/>
      <c r="I24" s="28"/>
      <c r="J24" s="28"/>
      <c r="K24" s="28"/>
      <c r="L24" s="28"/>
      <c r="M24" s="28"/>
      <c r="N24" s="28"/>
      <c r="O24" s="28"/>
      <c r="P24" s="28"/>
      <c r="Q24" s="28"/>
      <c r="R24" s="28"/>
    </row>
    <row r="25" spans="1:18" ht="16.05" customHeight="1" x14ac:dyDescent="0.3">
      <c r="A25" s="30">
        <v>22</v>
      </c>
      <c r="B25" s="30" t="s">
        <v>540</v>
      </c>
      <c r="C25" s="30"/>
      <c r="D25" s="30"/>
      <c r="E25" s="30"/>
      <c r="F25" s="30"/>
      <c r="G25" s="30"/>
      <c r="H25" s="30"/>
      <c r="I25" s="30"/>
      <c r="J25" s="30"/>
      <c r="K25" s="30"/>
      <c r="L25" s="30"/>
      <c r="M25" s="30"/>
      <c r="N25" s="30"/>
      <c r="O25" s="30"/>
      <c r="P25" s="30"/>
      <c r="Q25" s="30"/>
      <c r="R25" s="30"/>
    </row>
    <row r="26" spans="1:18" ht="16.05" customHeight="1" x14ac:dyDescent="0.3">
      <c r="A26" s="28">
        <v>23</v>
      </c>
      <c r="B26" s="28" t="s">
        <v>541</v>
      </c>
      <c r="C26" s="28"/>
      <c r="D26" s="28"/>
      <c r="E26" s="28"/>
      <c r="F26" s="28"/>
      <c r="G26" s="28"/>
      <c r="H26" s="28"/>
      <c r="I26" s="28"/>
      <c r="J26" s="28"/>
      <c r="K26" s="28"/>
      <c r="L26" s="28"/>
      <c r="M26" s="28"/>
      <c r="N26" s="28"/>
      <c r="O26" s="28"/>
      <c r="P26" s="28"/>
      <c r="Q26" s="28"/>
      <c r="R26" s="28"/>
    </row>
    <row r="27" spans="1:18" ht="16.05" customHeight="1" x14ac:dyDescent="0.3">
      <c r="A27" s="30">
        <v>24</v>
      </c>
      <c r="B27" s="30" t="s">
        <v>542</v>
      </c>
      <c r="C27" s="30"/>
      <c r="D27" s="30"/>
      <c r="E27" s="30"/>
      <c r="F27" s="30"/>
      <c r="G27" s="30"/>
      <c r="H27" s="30"/>
      <c r="I27" s="30"/>
      <c r="J27" s="30"/>
      <c r="K27" s="30"/>
      <c r="L27" s="30"/>
      <c r="M27" s="30"/>
      <c r="N27" s="30"/>
      <c r="O27" s="30"/>
      <c r="P27" s="30"/>
      <c r="Q27" s="30"/>
      <c r="R27" s="30"/>
    </row>
    <row r="28" spans="1:18" ht="16.05" customHeight="1" x14ac:dyDescent="0.3">
      <c r="A28" s="28">
        <v>25</v>
      </c>
      <c r="B28" s="28" t="s">
        <v>543</v>
      </c>
      <c r="C28" s="28"/>
      <c r="D28" s="28"/>
      <c r="E28" s="28"/>
      <c r="F28" s="28"/>
      <c r="G28" s="28"/>
      <c r="H28" s="28"/>
      <c r="I28" s="28"/>
      <c r="J28" s="28"/>
      <c r="K28" s="28"/>
      <c r="L28" s="28"/>
      <c r="M28" s="28"/>
      <c r="N28" s="28"/>
      <c r="O28" s="28"/>
      <c r="P28" s="28"/>
      <c r="Q28" s="28"/>
      <c r="R28" s="28"/>
    </row>
    <row r="29" spans="1:18" ht="16.05" customHeight="1" x14ac:dyDescent="0.3">
      <c r="A29" s="30">
        <v>26</v>
      </c>
      <c r="B29" s="30" t="s">
        <v>544</v>
      </c>
      <c r="C29" s="30"/>
      <c r="D29" s="30"/>
      <c r="E29" s="30"/>
      <c r="F29" s="30"/>
      <c r="G29" s="30"/>
      <c r="H29" s="30"/>
      <c r="I29" s="30"/>
      <c r="J29" s="30"/>
      <c r="K29" s="30"/>
      <c r="L29" s="30"/>
      <c r="M29" s="30"/>
      <c r="N29" s="30"/>
      <c r="O29" s="30"/>
      <c r="P29" s="30"/>
      <c r="Q29" s="30"/>
      <c r="R29" s="30"/>
    </row>
    <row r="30" spans="1:18" ht="16.05" customHeight="1" x14ac:dyDescent="0.3">
      <c r="A30" s="28">
        <v>27</v>
      </c>
      <c r="B30" s="28" t="s">
        <v>545</v>
      </c>
      <c r="C30" s="28"/>
      <c r="D30" s="28"/>
      <c r="E30" s="28"/>
      <c r="F30" s="28"/>
      <c r="G30" s="28"/>
      <c r="H30" s="28"/>
      <c r="I30" s="28"/>
      <c r="J30" s="28"/>
      <c r="K30" s="28"/>
      <c r="L30" s="28"/>
      <c r="M30" s="28"/>
      <c r="N30" s="28"/>
      <c r="O30" s="28"/>
      <c r="P30" s="28"/>
      <c r="Q30" s="28"/>
      <c r="R30" s="28"/>
    </row>
    <row r="31" spans="1:18" ht="16.05" customHeight="1" x14ac:dyDescent="0.3">
      <c r="A31" s="30">
        <v>28</v>
      </c>
      <c r="B31" s="30" t="s">
        <v>546</v>
      </c>
      <c r="C31" s="30"/>
      <c r="D31" s="30"/>
      <c r="E31" s="30"/>
      <c r="F31" s="30"/>
      <c r="G31" s="30"/>
      <c r="H31" s="30"/>
      <c r="I31" s="30"/>
      <c r="J31" s="30"/>
      <c r="K31" s="30"/>
      <c r="L31" s="30"/>
      <c r="M31" s="30"/>
      <c r="N31" s="30"/>
      <c r="O31" s="30"/>
      <c r="P31" s="30"/>
      <c r="Q31" s="30"/>
      <c r="R31" s="30"/>
    </row>
    <row r="32" spans="1:18" ht="16.05" customHeight="1" x14ac:dyDescent="0.3">
      <c r="A32" s="28">
        <v>29</v>
      </c>
      <c r="B32" s="28" t="s">
        <v>547</v>
      </c>
      <c r="C32" s="28"/>
      <c r="D32" s="28"/>
      <c r="E32" s="28"/>
      <c r="F32" s="28"/>
      <c r="G32" s="28"/>
      <c r="H32" s="28"/>
      <c r="I32" s="28"/>
      <c r="J32" s="28"/>
      <c r="K32" s="28"/>
      <c r="L32" s="28"/>
      <c r="M32" s="28"/>
      <c r="N32" s="28"/>
      <c r="O32" s="28"/>
      <c r="P32" s="28"/>
      <c r="Q32" s="28"/>
      <c r="R32" s="28"/>
    </row>
    <row r="33" spans="1:18" ht="16.05" customHeight="1" x14ac:dyDescent="0.3">
      <c r="A33" s="30">
        <v>30</v>
      </c>
      <c r="B33" s="30" t="s">
        <v>548</v>
      </c>
      <c r="C33" s="30"/>
      <c r="D33" s="30"/>
      <c r="E33" s="30"/>
      <c r="F33" s="30"/>
      <c r="G33" s="30"/>
      <c r="H33" s="30"/>
      <c r="I33" s="30"/>
      <c r="J33" s="30"/>
      <c r="K33" s="30"/>
      <c r="L33" s="30"/>
      <c r="M33" s="30"/>
      <c r="N33" s="30"/>
      <c r="O33" s="30"/>
      <c r="P33" s="30"/>
      <c r="Q33" s="30"/>
      <c r="R33" s="30"/>
    </row>
    <row r="34" spans="1:18" ht="16.05" customHeight="1" x14ac:dyDescent="0.3">
      <c r="A34" s="28">
        <v>31</v>
      </c>
      <c r="B34" s="28" t="s">
        <v>549</v>
      </c>
      <c r="C34" s="28"/>
      <c r="D34" s="28"/>
      <c r="E34" s="28"/>
      <c r="F34" s="28"/>
      <c r="G34" s="28"/>
      <c r="H34" s="28"/>
      <c r="I34" s="28"/>
      <c r="J34" s="28"/>
      <c r="K34" s="28"/>
      <c r="L34" s="28"/>
      <c r="M34" s="28"/>
      <c r="N34" s="28"/>
      <c r="O34" s="28"/>
      <c r="P34" s="28"/>
      <c r="Q34" s="28"/>
      <c r="R34" s="28"/>
    </row>
    <row r="35" spans="1:18" ht="16.05" customHeight="1" x14ac:dyDescent="0.3">
      <c r="A35" s="30">
        <v>32</v>
      </c>
      <c r="B35" s="30" t="s">
        <v>550</v>
      </c>
      <c r="C35" s="30"/>
      <c r="D35" s="30"/>
      <c r="E35" s="30"/>
      <c r="F35" s="30"/>
      <c r="G35" s="30"/>
      <c r="H35" s="30"/>
      <c r="I35" s="30"/>
      <c r="J35" s="30"/>
      <c r="K35" s="30"/>
      <c r="L35" s="30"/>
      <c r="M35" s="30"/>
      <c r="N35" s="30"/>
      <c r="O35" s="30"/>
      <c r="P35" s="30"/>
      <c r="Q35" s="30"/>
      <c r="R35" s="30"/>
    </row>
    <row r="36" spans="1:18" ht="16.05" customHeight="1" x14ac:dyDescent="0.3">
      <c r="A36" s="28">
        <v>33</v>
      </c>
      <c r="B36" s="28" t="s">
        <v>551</v>
      </c>
      <c r="C36" s="28"/>
      <c r="D36" s="28"/>
      <c r="E36" s="28"/>
      <c r="F36" s="28"/>
      <c r="G36" s="28"/>
      <c r="H36" s="28"/>
      <c r="I36" s="28"/>
      <c r="J36" s="28"/>
      <c r="K36" s="28"/>
      <c r="L36" s="28"/>
      <c r="M36" s="28"/>
      <c r="N36" s="28"/>
      <c r="O36" s="28"/>
      <c r="P36" s="28"/>
      <c r="Q36" s="28"/>
      <c r="R36" s="28"/>
    </row>
    <row r="37" spans="1:18" ht="16.05" customHeight="1" x14ac:dyDescent="0.3">
      <c r="A37" s="30">
        <v>34</v>
      </c>
      <c r="B37" s="30" t="s">
        <v>552</v>
      </c>
      <c r="C37" s="30"/>
      <c r="D37" s="30"/>
      <c r="E37" s="30"/>
      <c r="F37" s="30"/>
      <c r="G37" s="30"/>
      <c r="H37" s="30"/>
      <c r="I37" s="30"/>
      <c r="J37" s="30"/>
      <c r="K37" s="30"/>
      <c r="L37" s="30"/>
      <c r="M37" s="30"/>
      <c r="N37" s="30"/>
      <c r="O37" s="30"/>
      <c r="P37" s="30"/>
      <c r="Q37" s="30"/>
      <c r="R37" s="30"/>
    </row>
    <row r="38" spans="1:18" ht="16.05" customHeight="1" x14ac:dyDescent="0.3">
      <c r="A38" s="28">
        <v>35</v>
      </c>
      <c r="B38" s="28" t="s">
        <v>553</v>
      </c>
      <c r="C38" s="28"/>
      <c r="D38" s="28"/>
      <c r="E38" s="28"/>
      <c r="F38" s="28"/>
      <c r="G38" s="28"/>
      <c r="H38" s="28"/>
      <c r="I38" s="28"/>
      <c r="J38" s="28"/>
      <c r="K38" s="28"/>
      <c r="L38" s="28"/>
      <c r="M38" s="28"/>
      <c r="N38" s="28"/>
      <c r="O38" s="28"/>
      <c r="P38" s="28"/>
      <c r="Q38" s="28"/>
      <c r="R38" s="28"/>
    </row>
    <row r="39" spans="1:18" ht="16.05" customHeight="1" x14ac:dyDescent="0.3">
      <c r="A39" s="30">
        <v>36</v>
      </c>
      <c r="B39" s="30" t="s">
        <v>554</v>
      </c>
      <c r="C39" s="30"/>
      <c r="D39" s="30"/>
      <c r="E39" s="30"/>
      <c r="F39" s="30"/>
      <c r="G39" s="30"/>
      <c r="H39" s="30"/>
      <c r="I39" s="30"/>
      <c r="J39" s="30"/>
      <c r="K39" s="30"/>
      <c r="L39" s="30"/>
      <c r="M39" s="30"/>
      <c r="N39" s="30"/>
      <c r="O39" s="30"/>
      <c r="P39" s="30"/>
      <c r="Q39" s="30"/>
      <c r="R39" s="30"/>
    </row>
  </sheetData>
  <autoFilter ref="A3:R39" xr:uid="{00000000-0009-0000-0000-00001D000000}"/>
  <mergeCells count="2">
    <mergeCell ref="A2:R2"/>
    <mergeCell ref="A1:R1"/>
  </mergeCell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1D00-000000000000}">
          <x14:formula1>
            <xm:f>REF!$A$2:$A$37</xm:f>
          </x14:formula1>
          <xm:sqref>B4:B39</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N54"/>
  <sheetViews>
    <sheetView showGridLines="0" workbookViewId="0">
      <selection sqref="A1:N1"/>
    </sheetView>
  </sheetViews>
  <sheetFormatPr defaultRowHeight="14.4" x14ac:dyDescent="0.3"/>
  <cols>
    <col min="1" max="1" width="4" customWidth="1"/>
    <col min="2" max="2" width="22" customWidth="1"/>
    <col min="3" max="3" width="28" customWidth="1"/>
    <col min="4" max="4" width="13" customWidth="1"/>
    <col min="5" max="13" width="12" customWidth="1"/>
    <col min="14" max="14" width="22" customWidth="1"/>
  </cols>
  <sheetData>
    <row r="1" spans="1:14" ht="28.05" customHeight="1" x14ac:dyDescent="0.3">
      <c r="A1" s="45" t="s">
        <v>1770</v>
      </c>
      <c r="B1" s="33"/>
      <c r="C1" s="33"/>
      <c r="D1" s="33"/>
      <c r="E1" s="33"/>
      <c r="F1" s="33"/>
      <c r="G1" s="33"/>
      <c r="H1" s="33"/>
      <c r="I1" s="33"/>
      <c r="J1" s="33"/>
      <c r="K1" s="33"/>
      <c r="L1" s="33"/>
      <c r="M1" s="33"/>
      <c r="N1" s="33"/>
    </row>
    <row r="2" spans="1:14" ht="16.05" customHeight="1" x14ac:dyDescent="0.3">
      <c r="A2" s="39" t="s">
        <v>1771</v>
      </c>
      <c r="B2" s="33"/>
      <c r="C2" s="33"/>
      <c r="D2" s="33"/>
      <c r="E2" s="33"/>
      <c r="F2" s="33"/>
      <c r="G2" s="33"/>
      <c r="H2" s="33"/>
      <c r="I2" s="33"/>
      <c r="J2" s="33"/>
      <c r="K2" s="33"/>
      <c r="L2" s="33"/>
      <c r="M2" s="33"/>
      <c r="N2" s="33"/>
    </row>
    <row r="3" spans="1:14" ht="31.95" customHeight="1" x14ac:dyDescent="0.3">
      <c r="A3" s="27" t="s">
        <v>78</v>
      </c>
      <c r="B3" s="27" t="s">
        <v>1772</v>
      </c>
      <c r="C3" s="27" t="s">
        <v>1773</v>
      </c>
      <c r="D3" s="27" t="s">
        <v>1774</v>
      </c>
      <c r="E3" s="27" t="s">
        <v>829</v>
      </c>
      <c r="F3" s="27" t="s">
        <v>831</v>
      </c>
      <c r="G3" s="27" t="s">
        <v>832</v>
      </c>
      <c r="H3" s="27" t="s">
        <v>833</v>
      </c>
      <c r="I3" s="27" t="s">
        <v>834</v>
      </c>
      <c r="J3" s="27" t="s">
        <v>835</v>
      </c>
      <c r="K3" s="27" t="s">
        <v>1775</v>
      </c>
      <c r="L3" s="27" t="s">
        <v>1776</v>
      </c>
      <c r="M3" s="27" t="s">
        <v>1777</v>
      </c>
      <c r="N3" s="27" t="s">
        <v>86</v>
      </c>
    </row>
    <row r="4" spans="1:14" ht="16.05" customHeight="1" x14ac:dyDescent="0.3">
      <c r="A4" s="28">
        <v>1</v>
      </c>
      <c r="B4" s="28" t="s">
        <v>519</v>
      </c>
      <c r="C4" s="28" t="s">
        <v>1778</v>
      </c>
      <c r="D4" s="28"/>
      <c r="E4" s="28"/>
      <c r="F4" s="28"/>
      <c r="G4" s="28"/>
      <c r="H4" s="28"/>
      <c r="I4" s="28"/>
      <c r="J4" s="28"/>
      <c r="K4" s="28"/>
      <c r="L4" s="28"/>
      <c r="M4" s="28"/>
      <c r="N4" s="28"/>
    </row>
    <row r="5" spans="1:14" ht="16.05" customHeight="1" x14ac:dyDescent="0.3">
      <c r="A5" s="30">
        <v>2</v>
      </c>
      <c r="B5" s="30" t="s">
        <v>520</v>
      </c>
      <c r="C5" s="30" t="s">
        <v>1778</v>
      </c>
      <c r="D5" s="30"/>
      <c r="E5" s="30"/>
      <c r="F5" s="30"/>
      <c r="G5" s="30"/>
      <c r="H5" s="30"/>
      <c r="I5" s="30"/>
      <c r="J5" s="30"/>
      <c r="K5" s="30"/>
      <c r="L5" s="30"/>
      <c r="M5" s="30"/>
      <c r="N5" s="30"/>
    </row>
    <row r="6" spans="1:14" ht="16.05" customHeight="1" x14ac:dyDescent="0.3">
      <c r="A6" s="28">
        <v>3</v>
      </c>
      <c r="B6" s="28" t="s">
        <v>521</v>
      </c>
      <c r="C6" s="28" t="s">
        <v>1778</v>
      </c>
      <c r="D6" s="28"/>
      <c r="E6" s="28"/>
      <c r="F6" s="28"/>
      <c r="G6" s="28"/>
      <c r="H6" s="28"/>
      <c r="I6" s="28"/>
      <c r="J6" s="28"/>
      <c r="K6" s="28"/>
      <c r="L6" s="28"/>
      <c r="M6" s="28"/>
      <c r="N6" s="28"/>
    </row>
    <row r="7" spans="1:14" ht="16.05" customHeight="1" x14ac:dyDescent="0.3">
      <c r="A7" s="30">
        <v>4</v>
      </c>
      <c r="B7" s="30" t="s">
        <v>522</v>
      </c>
      <c r="C7" s="30" t="s">
        <v>1778</v>
      </c>
      <c r="D7" s="30"/>
      <c r="E7" s="30"/>
      <c r="F7" s="30"/>
      <c r="G7" s="30"/>
      <c r="H7" s="30"/>
      <c r="I7" s="30"/>
      <c r="J7" s="30"/>
      <c r="K7" s="30"/>
      <c r="L7" s="30"/>
      <c r="M7" s="30"/>
      <c r="N7" s="30"/>
    </row>
    <row r="8" spans="1:14" ht="16.05" customHeight="1" x14ac:dyDescent="0.3">
      <c r="A8" s="28">
        <v>5</v>
      </c>
      <c r="B8" s="28" t="s">
        <v>523</v>
      </c>
      <c r="C8" s="28" t="s">
        <v>1778</v>
      </c>
      <c r="D8" s="28"/>
      <c r="E8" s="28"/>
      <c r="F8" s="28"/>
      <c r="G8" s="28"/>
      <c r="H8" s="28"/>
      <c r="I8" s="28"/>
      <c r="J8" s="28"/>
      <c r="K8" s="28"/>
      <c r="L8" s="28"/>
      <c r="M8" s="28"/>
      <c r="N8" s="28"/>
    </row>
    <row r="9" spans="1:14" ht="16.05" customHeight="1" x14ac:dyDescent="0.3">
      <c r="A9" s="30">
        <v>6</v>
      </c>
      <c r="B9" s="30" t="s">
        <v>524</v>
      </c>
      <c r="C9" s="30" t="s">
        <v>1778</v>
      </c>
      <c r="D9" s="30"/>
      <c r="E9" s="30"/>
      <c r="F9" s="30"/>
      <c r="G9" s="30"/>
      <c r="H9" s="30"/>
      <c r="I9" s="30"/>
      <c r="J9" s="30"/>
      <c r="K9" s="30"/>
      <c r="L9" s="30"/>
      <c r="M9" s="30"/>
      <c r="N9" s="30"/>
    </row>
    <row r="10" spans="1:14" ht="16.05" customHeight="1" x14ac:dyDescent="0.3">
      <c r="A10" s="28">
        <v>7</v>
      </c>
      <c r="B10" s="28" t="s">
        <v>525</v>
      </c>
      <c r="C10" s="28" t="s">
        <v>1778</v>
      </c>
      <c r="D10" s="28"/>
      <c r="E10" s="28"/>
      <c r="F10" s="28"/>
      <c r="G10" s="28"/>
      <c r="H10" s="28"/>
      <c r="I10" s="28"/>
      <c r="J10" s="28"/>
      <c r="K10" s="28"/>
      <c r="L10" s="28"/>
      <c r="M10" s="28"/>
      <c r="N10" s="28"/>
    </row>
    <row r="11" spans="1:14" ht="16.05" customHeight="1" x14ac:dyDescent="0.3">
      <c r="A11" s="30">
        <v>8</v>
      </c>
      <c r="B11" s="30" t="s">
        <v>526</v>
      </c>
      <c r="C11" s="30" t="s">
        <v>1778</v>
      </c>
      <c r="D11" s="30"/>
      <c r="E11" s="30"/>
      <c r="F11" s="30"/>
      <c r="G11" s="30"/>
      <c r="H11" s="30"/>
      <c r="I11" s="30"/>
      <c r="J11" s="30"/>
      <c r="K11" s="30"/>
      <c r="L11" s="30"/>
      <c r="M11" s="30"/>
      <c r="N11" s="30"/>
    </row>
    <row r="12" spans="1:14" ht="16.05" customHeight="1" x14ac:dyDescent="0.3">
      <c r="A12" s="28">
        <v>9</v>
      </c>
      <c r="B12" s="28" t="s">
        <v>527</v>
      </c>
      <c r="C12" s="28" t="s">
        <v>1778</v>
      </c>
      <c r="D12" s="28"/>
      <c r="E12" s="28"/>
      <c r="F12" s="28"/>
      <c r="G12" s="28"/>
      <c r="H12" s="28"/>
      <c r="I12" s="28"/>
      <c r="J12" s="28"/>
      <c r="K12" s="28"/>
      <c r="L12" s="28"/>
      <c r="M12" s="28"/>
      <c r="N12" s="28"/>
    </row>
    <row r="13" spans="1:14" ht="16.05" customHeight="1" x14ac:dyDescent="0.3">
      <c r="A13" s="30">
        <v>10</v>
      </c>
      <c r="B13" s="30" t="s">
        <v>528</v>
      </c>
      <c r="C13" s="30" t="s">
        <v>1778</v>
      </c>
      <c r="D13" s="30"/>
      <c r="E13" s="30"/>
      <c r="F13" s="30"/>
      <c r="G13" s="30"/>
      <c r="H13" s="30"/>
      <c r="I13" s="30"/>
      <c r="J13" s="30"/>
      <c r="K13" s="30"/>
      <c r="L13" s="30"/>
      <c r="M13" s="30"/>
      <c r="N13" s="30"/>
    </row>
    <row r="14" spans="1:14" ht="16.05" customHeight="1" x14ac:dyDescent="0.3">
      <c r="A14" s="28">
        <v>11</v>
      </c>
      <c r="B14" s="28" t="s">
        <v>529</v>
      </c>
      <c r="C14" s="28" t="s">
        <v>1778</v>
      </c>
      <c r="D14" s="28"/>
      <c r="E14" s="28"/>
      <c r="F14" s="28"/>
      <c r="G14" s="28"/>
      <c r="H14" s="28"/>
      <c r="I14" s="28"/>
      <c r="J14" s="28"/>
      <c r="K14" s="28"/>
      <c r="L14" s="28"/>
      <c r="M14" s="28"/>
      <c r="N14" s="28"/>
    </row>
    <row r="15" spans="1:14" ht="16.05" customHeight="1" x14ac:dyDescent="0.3">
      <c r="A15" s="30">
        <v>12</v>
      </c>
      <c r="B15" s="30" t="s">
        <v>530</v>
      </c>
      <c r="C15" s="30" t="s">
        <v>1778</v>
      </c>
      <c r="D15" s="30"/>
      <c r="E15" s="30"/>
      <c r="F15" s="30"/>
      <c r="G15" s="30"/>
      <c r="H15" s="30"/>
      <c r="I15" s="30"/>
      <c r="J15" s="30"/>
      <c r="K15" s="30"/>
      <c r="L15" s="30"/>
      <c r="M15" s="30"/>
      <c r="N15" s="30"/>
    </row>
    <row r="16" spans="1:14" ht="16.05" customHeight="1" x14ac:dyDescent="0.3">
      <c r="A16" s="28">
        <v>13</v>
      </c>
      <c r="B16" s="28" t="s">
        <v>531</v>
      </c>
      <c r="C16" s="28" t="s">
        <v>1778</v>
      </c>
      <c r="D16" s="28"/>
      <c r="E16" s="28"/>
      <c r="F16" s="28"/>
      <c r="G16" s="28"/>
      <c r="H16" s="28"/>
      <c r="I16" s="28"/>
      <c r="J16" s="28"/>
      <c r="K16" s="28"/>
      <c r="L16" s="28"/>
      <c r="M16" s="28"/>
      <c r="N16" s="28"/>
    </row>
    <row r="17" spans="1:14" ht="16.05" customHeight="1" x14ac:dyDescent="0.3">
      <c r="A17" s="30">
        <v>14</v>
      </c>
      <c r="B17" s="30" t="s">
        <v>532</v>
      </c>
      <c r="C17" s="30" t="s">
        <v>1778</v>
      </c>
      <c r="D17" s="30"/>
      <c r="E17" s="30"/>
      <c r="F17" s="30"/>
      <c r="G17" s="30"/>
      <c r="H17" s="30"/>
      <c r="I17" s="30"/>
      <c r="J17" s="30"/>
      <c r="K17" s="30"/>
      <c r="L17" s="30"/>
      <c r="M17" s="30"/>
      <c r="N17" s="30"/>
    </row>
    <row r="18" spans="1:14" ht="16.05" customHeight="1" x14ac:dyDescent="0.3">
      <c r="A18" s="28">
        <v>15</v>
      </c>
      <c r="B18" s="28" t="s">
        <v>533</v>
      </c>
      <c r="C18" s="28" t="s">
        <v>1778</v>
      </c>
      <c r="D18" s="28"/>
      <c r="E18" s="28"/>
      <c r="F18" s="28"/>
      <c r="G18" s="28"/>
      <c r="H18" s="28"/>
      <c r="I18" s="28"/>
      <c r="J18" s="28"/>
      <c r="K18" s="28"/>
      <c r="L18" s="28"/>
      <c r="M18" s="28"/>
      <c r="N18" s="28"/>
    </row>
    <row r="19" spans="1:14" ht="16.05" customHeight="1" x14ac:dyDescent="0.3">
      <c r="A19" s="30">
        <v>16</v>
      </c>
      <c r="B19" s="30" t="s">
        <v>534</v>
      </c>
      <c r="C19" s="30" t="s">
        <v>1778</v>
      </c>
      <c r="D19" s="30"/>
      <c r="E19" s="30"/>
      <c r="F19" s="30"/>
      <c r="G19" s="30"/>
      <c r="H19" s="30"/>
      <c r="I19" s="30"/>
      <c r="J19" s="30"/>
      <c r="K19" s="30"/>
      <c r="L19" s="30"/>
      <c r="M19" s="30"/>
      <c r="N19" s="30"/>
    </row>
    <row r="20" spans="1:14" ht="16.05" customHeight="1" x14ac:dyDescent="0.3">
      <c r="A20" s="28">
        <v>17</v>
      </c>
      <c r="B20" s="28" t="s">
        <v>535</v>
      </c>
      <c r="C20" s="28" t="s">
        <v>1778</v>
      </c>
      <c r="D20" s="28"/>
      <c r="E20" s="28"/>
      <c r="F20" s="28"/>
      <c r="G20" s="28"/>
      <c r="H20" s="28"/>
      <c r="I20" s="28"/>
      <c r="J20" s="28"/>
      <c r="K20" s="28"/>
      <c r="L20" s="28"/>
      <c r="M20" s="28"/>
      <c r="N20" s="28"/>
    </row>
    <row r="21" spans="1:14" ht="16.05" customHeight="1" x14ac:dyDescent="0.3">
      <c r="A21" s="30">
        <v>18</v>
      </c>
      <c r="B21" s="30" t="s">
        <v>536</v>
      </c>
      <c r="C21" s="30" t="s">
        <v>1778</v>
      </c>
      <c r="D21" s="30"/>
      <c r="E21" s="30"/>
      <c r="F21" s="30"/>
      <c r="G21" s="30"/>
      <c r="H21" s="30"/>
      <c r="I21" s="30"/>
      <c r="J21" s="30"/>
      <c r="K21" s="30"/>
      <c r="L21" s="30"/>
      <c r="M21" s="30"/>
      <c r="N21" s="30"/>
    </row>
    <row r="22" spans="1:14" ht="16.05" customHeight="1" x14ac:dyDescent="0.3">
      <c r="A22" s="28">
        <v>19</v>
      </c>
      <c r="B22" s="28" t="s">
        <v>537</v>
      </c>
      <c r="C22" s="28" t="s">
        <v>1778</v>
      </c>
      <c r="D22" s="28"/>
      <c r="E22" s="28"/>
      <c r="F22" s="28"/>
      <c r="G22" s="28"/>
      <c r="H22" s="28"/>
      <c r="I22" s="28"/>
      <c r="J22" s="28"/>
      <c r="K22" s="28"/>
      <c r="L22" s="28"/>
      <c r="M22" s="28"/>
      <c r="N22" s="28"/>
    </row>
    <row r="23" spans="1:14" ht="16.05" customHeight="1" x14ac:dyDescent="0.3">
      <c r="A23" s="30">
        <v>20</v>
      </c>
      <c r="B23" s="30" t="s">
        <v>538</v>
      </c>
      <c r="C23" s="30" t="s">
        <v>1778</v>
      </c>
      <c r="D23" s="30"/>
      <c r="E23" s="30"/>
      <c r="F23" s="30"/>
      <c r="G23" s="30"/>
      <c r="H23" s="30"/>
      <c r="I23" s="30"/>
      <c r="J23" s="30"/>
      <c r="K23" s="30"/>
      <c r="L23" s="30"/>
      <c r="M23" s="30"/>
      <c r="N23" s="30"/>
    </row>
    <row r="24" spans="1:14" ht="16.05" customHeight="1" x14ac:dyDescent="0.3">
      <c r="A24" s="28">
        <v>21</v>
      </c>
      <c r="B24" s="28" t="s">
        <v>539</v>
      </c>
      <c r="C24" s="28" t="s">
        <v>1778</v>
      </c>
      <c r="D24" s="28"/>
      <c r="E24" s="28"/>
      <c r="F24" s="28"/>
      <c r="G24" s="28"/>
      <c r="H24" s="28"/>
      <c r="I24" s="28"/>
      <c r="J24" s="28"/>
      <c r="K24" s="28"/>
      <c r="L24" s="28"/>
      <c r="M24" s="28"/>
      <c r="N24" s="28"/>
    </row>
    <row r="25" spans="1:14" ht="16.05" customHeight="1" x14ac:dyDescent="0.3">
      <c r="A25" s="30">
        <v>22</v>
      </c>
      <c r="B25" s="30" t="s">
        <v>540</v>
      </c>
      <c r="C25" s="30" t="s">
        <v>1778</v>
      </c>
      <c r="D25" s="30"/>
      <c r="E25" s="30"/>
      <c r="F25" s="30"/>
      <c r="G25" s="30"/>
      <c r="H25" s="30"/>
      <c r="I25" s="30"/>
      <c r="J25" s="30"/>
      <c r="K25" s="30"/>
      <c r="L25" s="30"/>
      <c r="M25" s="30"/>
      <c r="N25" s="30"/>
    </row>
    <row r="26" spans="1:14" ht="16.05" customHeight="1" x14ac:dyDescent="0.3">
      <c r="A26" s="28">
        <v>23</v>
      </c>
      <c r="B26" s="28" t="s">
        <v>541</v>
      </c>
      <c r="C26" s="28" t="s">
        <v>1778</v>
      </c>
      <c r="D26" s="28"/>
      <c r="E26" s="28"/>
      <c r="F26" s="28"/>
      <c r="G26" s="28"/>
      <c r="H26" s="28"/>
      <c r="I26" s="28"/>
      <c r="J26" s="28"/>
      <c r="K26" s="28"/>
      <c r="L26" s="28"/>
      <c r="M26" s="28"/>
      <c r="N26" s="28"/>
    </row>
    <row r="27" spans="1:14" ht="16.05" customHeight="1" x14ac:dyDescent="0.3">
      <c r="A27" s="30">
        <v>24</v>
      </c>
      <c r="B27" s="30" t="s">
        <v>542</v>
      </c>
      <c r="C27" s="30" t="s">
        <v>1778</v>
      </c>
      <c r="D27" s="30"/>
      <c r="E27" s="30"/>
      <c r="F27" s="30"/>
      <c r="G27" s="30"/>
      <c r="H27" s="30"/>
      <c r="I27" s="30"/>
      <c r="J27" s="30"/>
      <c r="K27" s="30"/>
      <c r="L27" s="30"/>
      <c r="M27" s="30"/>
      <c r="N27" s="30"/>
    </row>
    <row r="28" spans="1:14" ht="16.05" customHeight="1" x14ac:dyDescent="0.3">
      <c r="A28" s="28">
        <v>25</v>
      </c>
      <c r="B28" s="28" t="s">
        <v>543</v>
      </c>
      <c r="C28" s="28" t="s">
        <v>1778</v>
      </c>
      <c r="D28" s="28"/>
      <c r="E28" s="28"/>
      <c r="F28" s="28"/>
      <c r="G28" s="28"/>
      <c r="H28" s="28"/>
      <c r="I28" s="28"/>
      <c r="J28" s="28"/>
      <c r="K28" s="28"/>
      <c r="L28" s="28"/>
      <c r="M28" s="28"/>
      <c r="N28" s="28"/>
    </row>
    <row r="29" spans="1:14" ht="16.05" customHeight="1" x14ac:dyDescent="0.3">
      <c r="A29" s="30">
        <v>26</v>
      </c>
      <c r="B29" s="30" t="s">
        <v>544</v>
      </c>
      <c r="C29" s="30" t="s">
        <v>1778</v>
      </c>
      <c r="D29" s="30"/>
      <c r="E29" s="30"/>
      <c r="F29" s="30"/>
      <c r="G29" s="30"/>
      <c r="H29" s="30"/>
      <c r="I29" s="30"/>
      <c r="J29" s="30"/>
      <c r="K29" s="30"/>
      <c r="L29" s="30"/>
      <c r="M29" s="30"/>
      <c r="N29" s="30"/>
    </row>
    <row r="30" spans="1:14" ht="16.05" customHeight="1" x14ac:dyDescent="0.3">
      <c r="A30" s="28">
        <v>27</v>
      </c>
      <c r="B30" s="28" t="s">
        <v>545</v>
      </c>
      <c r="C30" s="28" t="s">
        <v>1778</v>
      </c>
      <c r="D30" s="28"/>
      <c r="E30" s="28"/>
      <c r="F30" s="28"/>
      <c r="G30" s="28"/>
      <c r="H30" s="28"/>
      <c r="I30" s="28"/>
      <c r="J30" s="28"/>
      <c r="K30" s="28"/>
      <c r="L30" s="28"/>
      <c r="M30" s="28"/>
      <c r="N30" s="28"/>
    </row>
    <row r="31" spans="1:14" ht="16.05" customHeight="1" x14ac:dyDescent="0.3">
      <c r="A31" s="30">
        <v>28</v>
      </c>
      <c r="B31" s="30" t="s">
        <v>546</v>
      </c>
      <c r="C31" s="30" t="s">
        <v>1778</v>
      </c>
      <c r="D31" s="30"/>
      <c r="E31" s="30"/>
      <c r="F31" s="30"/>
      <c r="G31" s="30"/>
      <c r="H31" s="30"/>
      <c r="I31" s="30"/>
      <c r="J31" s="30"/>
      <c r="K31" s="30"/>
      <c r="L31" s="30"/>
      <c r="M31" s="30"/>
      <c r="N31" s="30"/>
    </row>
    <row r="32" spans="1:14" ht="16.05" customHeight="1" x14ac:dyDescent="0.3">
      <c r="A32" s="28">
        <v>29</v>
      </c>
      <c r="B32" s="28" t="s">
        <v>547</v>
      </c>
      <c r="C32" s="28" t="s">
        <v>1778</v>
      </c>
      <c r="D32" s="28"/>
      <c r="E32" s="28"/>
      <c r="F32" s="28"/>
      <c r="G32" s="28"/>
      <c r="H32" s="28"/>
      <c r="I32" s="28"/>
      <c r="J32" s="28"/>
      <c r="K32" s="28"/>
      <c r="L32" s="28"/>
      <c r="M32" s="28"/>
      <c r="N32" s="28"/>
    </row>
    <row r="33" spans="1:14" ht="16.05" customHeight="1" x14ac:dyDescent="0.3">
      <c r="A33" s="30">
        <v>30</v>
      </c>
      <c r="B33" s="30" t="s">
        <v>548</v>
      </c>
      <c r="C33" s="30" t="s">
        <v>1778</v>
      </c>
      <c r="D33" s="30"/>
      <c r="E33" s="30"/>
      <c r="F33" s="30"/>
      <c r="G33" s="30"/>
      <c r="H33" s="30"/>
      <c r="I33" s="30"/>
      <c r="J33" s="30"/>
      <c r="K33" s="30"/>
      <c r="L33" s="30"/>
      <c r="M33" s="30"/>
      <c r="N33" s="30"/>
    </row>
    <row r="34" spans="1:14" ht="16.05" customHeight="1" x14ac:dyDescent="0.3">
      <c r="A34" s="28">
        <v>31</v>
      </c>
      <c r="B34" s="28" t="s">
        <v>549</v>
      </c>
      <c r="C34" s="28" t="s">
        <v>1778</v>
      </c>
      <c r="D34" s="28"/>
      <c r="E34" s="28"/>
      <c r="F34" s="28"/>
      <c r="G34" s="28"/>
      <c r="H34" s="28"/>
      <c r="I34" s="28"/>
      <c r="J34" s="28"/>
      <c r="K34" s="28"/>
      <c r="L34" s="28"/>
      <c r="M34" s="28"/>
      <c r="N34" s="28"/>
    </row>
    <row r="35" spans="1:14" ht="16.05" customHeight="1" x14ac:dyDescent="0.3">
      <c r="A35" s="30">
        <v>32</v>
      </c>
      <c r="B35" s="30" t="s">
        <v>550</v>
      </c>
      <c r="C35" s="30" t="s">
        <v>1778</v>
      </c>
      <c r="D35" s="30"/>
      <c r="E35" s="30"/>
      <c r="F35" s="30"/>
      <c r="G35" s="30"/>
      <c r="H35" s="30"/>
      <c r="I35" s="30"/>
      <c r="J35" s="30"/>
      <c r="K35" s="30"/>
      <c r="L35" s="30"/>
      <c r="M35" s="30"/>
      <c r="N35" s="30"/>
    </row>
    <row r="36" spans="1:14" ht="16.05" customHeight="1" x14ac:dyDescent="0.3">
      <c r="A36" s="28">
        <v>33</v>
      </c>
      <c r="B36" s="28" t="s">
        <v>551</v>
      </c>
      <c r="C36" s="28" t="s">
        <v>1778</v>
      </c>
      <c r="D36" s="28"/>
      <c r="E36" s="28"/>
      <c r="F36" s="28"/>
      <c r="G36" s="28"/>
      <c r="H36" s="28"/>
      <c r="I36" s="28"/>
      <c r="J36" s="28"/>
      <c r="K36" s="28"/>
      <c r="L36" s="28"/>
      <c r="M36" s="28"/>
      <c r="N36" s="28"/>
    </row>
    <row r="37" spans="1:14" ht="16.05" customHeight="1" x14ac:dyDescent="0.3">
      <c r="A37" s="30">
        <v>34</v>
      </c>
      <c r="B37" s="30" t="s">
        <v>552</v>
      </c>
      <c r="C37" s="30" t="s">
        <v>1778</v>
      </c>
      <c r="D37" s="30"/>
      <c r="E37" s="30"/>
      <c r="F37" s="30"/>
      <c r="G37" s="30"/>
      <c r="H37" s="30"/>
      <c r="I37" s="30"/>
      <c r="J37" s="30"/>
      <c r="K37" s="30"/>
      <c r="L37" s="30"/>
      <c r="M37" s="30"/>
      <c r="N37" s="30"/>
    </row>
    <row r="38" spans="1:14" ht="16.05" customHeight="1" x14ac:dyDescent="0.3">
      <c r="A38" s="28">
        <v>35</v>
      </c>
      <c r="B38" s="28" t="s">
        <v>553</v>
      </c>
      <c r="C38" s="28" t="s">
        <v>1778</v>
      </c>
      <c r="D38" s="28"/>
      <c r="E38" s="28"/>
      <c r="F38" s="28"/>
      <c r="G38" s="28"/>
      <c r="H38" s="28"/>
      <c r="I38" s="28"/>
      <c r="J38" s="28"/>
      <c r="K38" s="28"/>
      <c r="L38" s="28"/>
      <c r="M38" s="28"/>
      <c r="N38" s="28"/>
    </row>
    <row r="39" spans="1:14" ht="16.05" customHeight="1" x14ac:dyDescent="0.3">
      <c r="A39" s="30">
        <v>36</v>
      </c>
      <c r="B39" s="30" t="s">
        <v>554</v>
      </c>
      <c r="C39" s="30" t="s">
        <v>1778</v>
      </c>
      <c r="D39" s="30"/>
      <c r="E39" s="30"/>
      <c r="F39" s="30"/>
      <c r="G39" s="30"/>
      <c r="H39" s="30"/>
      <c r="I39" s="30"/>
      <c r="J39" s="30"/>
      <c r="K39" s="30"/>
      <c r="L39" s="30"/>
      <c r="M39" s="30"/>
      <c r="N39" s="30"/>
    </row>
    <row r="40" spans="1:14" ht="16.05" customHeight="1" x14ac:dyDescent="0.3">
      <c r="A40" s="28">
        <v>37</v>
      </c>
      <c r="B40" s="28" t="s">
        <v>163</v>
      </c>
      <c r="C40" s="28" t="s">
        <v>1779</v>
      </c>
      <c r="D40" s="28"/>
      <c r="E40" s="28"/>
      <c r="F40" s="28"/>
      <c r="G40" s="28"/>
      <c r="H40" s="28"/>
      <c r="I40" s="28"/>
      <c r="J40" s="28"/>
      <c r="K40" s="28"/>
      <c r="L40" s="28"/>
      <c r="M40" s="28"/>
      <c r="N40" s="28"/>
    </row>
    <row r="41" spans="1:14" ht="16.05" customHeight="1" x14ac:dyDescent="0.3">
      <c r="A41" s="30">
        <v>38</v>
      </c>
      <c r="B41" s="30" t="s">
        <v>167</v>
      </c>
      <c r="C41" s="30" t="s">
        <v>1779</v>
      </c>
      <c r="D41" s="30"/>
      <c r="E41" s="30"/>
      <c r="F41" s="30"/>
      <c r="G41" s="30"/>
      <c r="H41" s="30"/>
      <c r="I41" s="30"/>
      <c r="J41" s="30"/>
      <c r="K41" s="30"/>
      <c r="L41" s="30"/>
      <c r="M41" s="30"/>
      <c r="N41" s="30"/>
    </row>
    <row r="42" spans="1:14" ht="16.05" customHeight="1" x14ac:dyDescent="0.3">
      <c r="A42" s="28">
        <v>39</v>
      </c>
      <c r="B42" s="28" t="s">
        <v>170</v>
      </c>
      <c r="C42" s="28" t="s">
        <v>1779</v>
      </c>
      <c r="D42" s="28"/>
      <c r="E42" s="28"/>
      <c r="F42" s="28"/>
      <c r="G42" s="28"/>
      <c r="H42" s="28"/>
      <c r="I42" s="28"/>
      <c r="J42" s="28"/>
      <c r="K42" s="28"/>
      <c r="L42" s="28"/>
      <c r="M42" s="28"/>
      <c r="N42" s="28"/>
    </row>
    <row r="43" spans="1:14" ht="16.05" customHeight="1" x14ac:dyDescent="0.3">
      <c r="A43" s="30">
        <v>40</v>
      </c>
      <c r="B43" s="30" t="s">
        <v>171</v>
      </c>
      <c r="C43" s="30" t="s">
        <v>1779</v>
      </c>
      <c r="D43" s="30"/>
      <c r="E43" s="30"/>
      <c r="F43" s="30"/>
      <c r="G43" s="30"/>
      <c r="H43" s="30"/>
      <c r="I43" s="30"/>
      <c r="J43" s="30"/>
      <c r="K43" s="30"/>
      <c r="L43" s="30"/>
      <c r="M43" s="30"/>
      <c r="N43" s="30"/>
    </row>
    <row r="44" spans="1:14" ht="16.05" customHeight="1" x14ac:dyDescent="0.3">
      <c r="A44" s="28">
        <v>41</v>
      </c>
      <c r="B44" s="28" t="s">
        <v>174</v>
      </c>
      <c r="C44" s="28" t="s">
        <v>1779</v>
      </c>
      <c r="D44" s="28"/>
      <c r="E44" s="28"/>
      <c r="F44" s="28"/>
      <c r="G44" s="28"/>
      <c r="H44" s="28"/>
      <c r="I44" s="28"/>
      <c r="J44" s="28"/>
      <c r="K44" s="28"/>
      <c r="L44" s="28"/>
      <c r="M44" s="28"/>
      <c r="N44" s="28"/>
    </row>
    <row r="45" spans="1:14" ht="16.05" customHeight="1" x14ac:dyDescent="0.3">
      <c r="A45" s="30">
        <v>42</v>
      </c>
      <c r="B45" s="30" t="s">
        <v>175</v>
      </c>
      <c r="C45" s="30" t="s">
        <v>1779</v>
      </c>
      <c r="D45" s="30"/>
      <c r="E45" s="30"/>
      <c r="F45" s="30"/>
      <c r="G45" s="30"/>
      <c r="H45" s="30"/>
      <c r="I45" s="30"/>
      <c r="J45" s="30"/>
      <c r="K45" s="30"/>
      <c r="L45" s="30"/>
      <c r="M45" s="30"/>
      <c r="N45" s="30"/>
    </row>
    <row r="46" spans="1:14" ht="16.05" customHeight="1" x14ac:dyDescent="0.3">
      <c r="A46" s="28">
        <v>43</v>
      </c>
      <c r="B46" s="28" t="s">
        <v>177</v>
      </c>
      <c r="C46" s="28" t="s">
        <v>1779</v>
      </c>
      <c r="D46" s="28"/>
      <c r="E46" s="28"/>
      <c r="F46" s="28"/>
      <c r="G46" s="28"/>
      <c r="H46" s="28"/>
      <c r="I46" s="28"/>
      <c r="J46" s="28"/>
      <c r="K46" s="28"/>
      <c r="L46" s="28"/>
      <c r="M46" s="28"/>
      <c r="N46" s="28"/>
    </row>
    <row r="47" spans="1:14" ht="16.05" customHeight="1" x14ac:dyDescent="0.3">
      <c r="A47" s="30">
        <v>44</v>
      </c>
      <c r="B47" s="30" t="s">
        <v>178</v>
      </c>
      <c r="C47" s="30" t="s">
        <v>1779</v>
      </c>
      <c r="D47" s="30"/>
      <c r="E47" s="30"/>
      <c r="F47" s="30"/>
      <c r="G47" s="30"/>
      <c r="H47" s="30"/>
      <c r="I47" s="30"/>
      <c r="J47" s="30"/>
      <c r="K47" s="30"/>
      <c r="L47" s="30"/>
      <c r="M47" s="30"/>
      <c r="N47" s="30"/>
    </row>
    <row r="48" spans="1:14" ht="16.05" customHeight="1" x14ac:dyDescent="0.3">
      <c r="A48" s="28">
        <v>45</v>
      </c>
      <c r="B48" s="28" t="s">
        <v>180</v>
      </c>
      <c r="C48" s="28" t="s">
        <v>1779</v>
      </c>
      <c r="D48" s="28"/>
      <c r="E48" s="28"/>
      <c r="F48" s="28"/>
      <c r="G48" s="28"/>
      <c r="H48" s="28"/>
      <c r="I48" s="28"/>
      <c r="J48" s="28"/>
      <c r="K48" s="28"/>
      <c r="L48" s="28"/>
      <c r="M48" s="28"/>
      <c r="N48" s="28"/>
    </row>
    <row r="49" spans="1:14" ht="16.05" customHeight="1" x14ac:dyDescent="0.3">
      <c r="A49" s="30">
        <v>46</v>
      </c>
      <c r="B49" s="30" t="s">
        <v>183</v>
      </c>
      <c r="C49" s="30" t="s">
        <v>1779</v>
      </c>
      <c r="D49" s="30"/>
      <c r="E49" s="30"/>
      <c r="F49" s="30"/>
      <c r="G49" s="30"/>
      <c r="H49" s="30"/>
      <c r="I49" s="30"/>
      <c r="J49" s="30"/>
      <c r="K49" s="30"/>
      <c r="L49" s="30"/>
      <c r="M49" s="30"/>
      <c r="N49" s="30"/>
    </row>
    <row r="50" spans="1:14" ht="16.05" customHeight="1" x14ac:dyDescent="0.3">
      <c r="A50" s="28">
        <v>47</v>
      </c>
      <c r="B50" s="28" t="s">
        <v>184</v>
      </c>
      <c r="C50" s="28" t="s">
        <v>1779</v>
      </c>
      <c r="D50" s="28"/>
      <c r="E50" s="28"/>
      <c r="F50" s="28"/>
      <c r="G50" s="28"/>
      <c r="H50" s="28"/>
      <c r="I50" s="28"/>
      <c r="J50" s="28"/>
      <c r="K50" s="28"/>
      <c r="L50" s="28"/>
      <c r="M50" s="28"/>
      <c r="N50" s="28"/>
    </row>
    <row r="51" spans="1:14" ht="16.05" customHeight="1" x14ac:dyDescent="0.3">
      <c r="A51" s="30">
        <v>48</v>
      </c>
      <c r="B51" s="30" t="s">
        <v>185</v>
      </c>
      <c r="C51" s="30" t="s">
        <v>1779</v>
      </c>
      <c r="D51" s="30"/>
      <c r="E51" s="30"/>
      <c r="F51" s="30"/>
      <c r="G51" s="30"/>
      <c r="H51" s="30"/>
      <c r="I51" s="30"/>
      <c r="J51" s="30"/>
      <c r="K51" s="30"/>
      <c r="L51" s="30"/>
      <c r="M51" s="30"/>
      <c r="N51" s="30"/>
    </row>
    <row r="52" spans="1:14" ht="16.05" customHeight="1" x14ac:dyDescent="0.3">
      <c r="A52" s="28">
        <v>49</v>
      </c>
      <c r="B52" s="28" t="s">
        <v>186</v>
      </c>
      <c r="C52" s="28" t="s">
        <v>1779</v>
      </c>
      <c r="D52" s="28"/>
      <c r="E52" s="28"/>
      <c r="F52" s="28"/>
      <c r="G52" s="28"/>
      <c r="H52" s="28"/>
      <c r="I52" s="28"/>
      <c r="J52" s="28"/>
      <c r="K52" s="28"/>
      <c r="L52" s="28"/>
      <c r="M52" s="28"/>
      <c r="N52" s="28"/>
    </row>
    <row r="53" spans="1:14" ht="16.05" customHeight="1" x14ac:dyDescent="0.3">
      <c r="A53" s="30">
        <v>50</v>
      </c>
      <c r="B53" s="30" t="s">
        <v>187</v>
      </c>
      <c r="C53" s="30" t="s">
        <v>1779</v>
      </c>
      <c r="D53" s="30"/>
      <c r="E53" s="30"/>
      <c r="F53" s="30"/>
      <c r="G53" s="30"/>
      <c r="H53" s="30"/>
      <c r="I53" s="30"/>
      <c r="J53" s="30"/>
      <c r="K53" s="30"/>
      <c r="L53" s="30"/>
      <c r="M53" s="30"/>
      <c r="N53" s="30"/>
    </row>
    <row r="54" spans="1:14" ht="16.05" customHeight="1" x14ac:dyDescent="0.3">
      <c r="A54" s="28">
        <v>51</v>
      </c>
      <c r="B54" s="28" t="s">
        <v>188</v>
      </c>
      <c r="C54" s="28" t="s">
        <v>1779</v>
      </c>
      <c r="D54" s="28"/>
      <c r="E54" s="28"/>
      <c r="F54" s="28"/>
      <c r="G54" s="28"/>
      <c r="H54" s="28"/>
      <c r="I54" s="28"/>
      <c r="J54" s="28"/>
      <c r="K54" s="28"/>
      <c r="L54" s="28"/>
      <c r="M54" s="28"/>
      <c r="N54" s="28"/>
    </row>
  </sheetData>
  <autoFilter ref="A3:N54" xr:uid="{00000000-0009-0000-0000-00001E000000}"/>
  <mergeCells count="2">
    <mergeCell ref="A2:N2"/>
    <mergeCell ref="A1:N1"/>
  </mergeCell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1E00-000000000000}">
          <x14:formula1>
            <xm:f>REF!$A$2:$A$37</xm:f>
          </x14:formula1>
          <xm:sqref>B4:B39</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M39"/>
  <sheetViews>
    <sheetView showGridLines="0" workbookViewId="0">
      <selection sqref="A1:M1"/>
    </sheetView>
  </sheetViews>
  <sheetFormatPr defaultRowHeight="14.4" x14ac:dyDescent="0.3"/>
  <cols>
    <col min="1" max="1" width="4" customWidth="1"/>
    <col min="2" max="2" width="22" customWidth="1"/>
    <col min="3" max="4" width="13" customWidth="1"/>
    <col min="5" max="12" width="12" customWidth="1"/>
    <col min="13" max="13" width="22" customWidth="1"/>
  </cols>
  <sheetData>
    <row r="1" spans="1:13" ht="28.05" customHeight="1" x14ac:dyDescent="0.3">
      <c r="A1" s="45" t="s">
        <v>1780</v>
      </c>
      <c r="B1" s="33"/>
      <c r="C1" s="33"/>
      <c r="D1" s="33"/>
      <c r="E1" s="33"/>
      <c r="F1" s="33"/>
      <c r="G1" s="33"/>
      <c r="H1" s="33"/>
      <c r="I1" s="33"/>
      <c r="J1" s="33"/>
      <c r="K1" s="33"/>
      <c r="L1" s="33"/>
      <c r="M1" s="33"/>
    </row>
    <row r="2" spans="1:13" ht="16.05" customHeight="1" x14ac:dyDescent="0.3">
      <c r="A2" s="39" t="s">
        <v>1781</v>
      </c>
      <c r="B2" s="33"/>
      <c r="C2" s="33"/>
      <c r="D2" s="33"/>
      <c r="E2" s="33"/>
      <c r="F2" s="33"/>
      <c r="G2" s="33"/>
      <c r="H2" s="33"/>
      <c r="I2" s="33"/>
      <c r="J2" s="33"/>
      <c r="K2" s="33"/>
      <c r="L2" s="33"/>
      <c r="M2" s="33"/>
    </row>
    <row r="3" spans="1:13" ht="31.95" customHeight="1" x14ac:dyDescent="0.3">
      <c r="A3" s="27" t="s">
        <v>78</v>
      </c>
      <c r="B3" s="27" t="s">
        <v>192</v>
      </c>
      <c r="C3" s="27" t="s">
        <v>760</v>
      </c>
      <c r="D3" s="27" t="s">
        <v>761</v>
      </c>
      <c r="E3" s="27" t="s">
        <v>763</v>
      </c>
      <c r="F3" s="27" t="s">
        <v>1782</v>
      </c>
      <c r="G3" s="27" t="s">
        <v>1783</v>
      </c>
      <c r="H3" s="27" t="s">
        <v>1784</v>
      </c>
      <c r="I3" s="27" t="s">
        <v>1785</v>
      </c>
      <c r="J3" s="27" t="s">
        <v>1747</v>
      </c>
      <c r="K3" s="27" t="s">
        <v>755</v>
      </c>
      <c r="L3" s="27" t="s">
        <v>757</v>
      </c>
      <c r="M3" s="27" t="s">
        <v>86</v>
      </c>
    </row>
    <row r="4" spans="1:13" ht="16.05" customHeight="1" x14ac:dyDescent="0.3">
      <c r="A4" s="28">
        <v>1</v>
      </c>
      <c r="B4" s="28" t="s">
        <v>519</v>
      </c>
      <c r="C4" s="28"/>
      <c r="D4" s="28"/>
      <c r="E4" s="28"/>
      <c r="F4" s="28"/>
      <c r="G4" s="28"/>
      <c r="H4" s="28"/>
      <c r="I4" s="28"/>
      <c r="J4" s="28"/>
      <c r="K4" s="28"/>
      <c r="L4" s="28"/>
      <c r="M4" s="28"/>
    </row>
    <row r="5" spans="1:13" ht="16.05" customHeight="1" x14ac:dyDescent="0.3">
      <c r="A5" s="30">
        <v>2</v>
      </c>
      <c r="B5" s="30" t="s">
        <v>520</v>
      </c>
      <c r="C5" s="30"/>
      <c r="D5" s="30"/>
      <c r="E5" s="30"/>
      <c r="F5" s="30"/>
      <c r="G5" s="30"/>
      <c r="H5" s="30"/>
      <c r="I5" s="30"/>
      <c r="J5" s="30"/>
      <c r="K5" s="30"/>
      <c r="L5" s="30"/>
      <c r="M5" s="30"/>
    </row>
    <row r="6" spans="1:13" ht="16.05" customHeight="1" x14ac:dyDescent="0.3">
      <c r="A6" s="28">
        <v>3</v>
      </c>
      <c r="B6" s="28" t="s">
        <v>521</v>
      </c>
      <c r="C6" s="28"/>
      <c r="D6" s="28"/>
      <c r="E6" s="28"/>
      <c r="F6" s="28"/>
      <c r="G6" s="28"/>
      <c r="H6" s="28"/>
      <c r="I6" s="28"/>
      <c r="J6" s="28"/>
      <c r="K6" s="28"/>
      <c r="L6" s="28"/>
      <c r="M6" s="28"/>
    </row>
    <row r="7" spans="1:13" ht="16.05" customHeight="1" x14ac:dyDescent="0.3">
      <c r="A7" s="30">
        <v>4</v>
      </c>
      <c r="B7" s="30" t="s">
        <v>522</v>
      </c>
      <c r="C7" s="30"/>
      <c r="D7" s="30"/>
      <c r="E7" s="30"/>
      <c r="F7" s="30"/>
      <c r="G7" s="30"/>
      <c r="H7" s="30"/>
      <c r="I7" s="30"/>
      <c r="J7" s="30"/>
      <c r="K7" s="30"/>
      <c r="L7" s="30"/>
      <c r="M7" s="30"/>
    </row>
    <row r="8" spans="1:13" ht="16.05" customHeight="1" x14ac:dyDescent="0.3">
      <c r="A8" s="28">
        <v>5</v>
      </c>
      <c r="B8" s="28" t="s">
        <v>523</v>
      </c>
      <c r="C8" s="28"/>
      <c r="D8" s="28"/>
      <c r="E8" s="28"/>
      <c r="F8" s="28"/>
      <c r="G8" s="28"/>
      <c r="H8" s="28"/>
      <c r="I8" s="28"/>
      <c r="J8" s="28"/>
      <c r="K8" s="28"/>
      <c r="L8" s="28"/>
      <c r="M8" s="28"/>
    </row>
    <row r="9" spans="1:13" ht="16.05" customHeight="1" x14ac:dyDescent="0.3">
      <c r="A9" s="30">
        <v>6</v>
      </c>
      <c r="B9" s="30" t="s">
        <v>524</v>
      </c>
      <c r="C9" s="30"/>
      <c r="D9" s="30"/>
      <c r="E9" s="30"/>
      <c r="F9" s="30"/>
      <c r="G9" s="30"/>
      <c r="H9" s="30"/>
      <c r="I9" s="30"/>
      <c r="J9" s="30"/>
      <c r="K9" s="30"/>
      <c r="L9" s="30"/>
      <c r="M9" s="30"/>
    </row>
    <row r="10" spans="1:13" ht="16.05" customHeight="1" x14ac:dyDescent="0.3">
      <c r="A10" s="28">
        <v>7</v>
      </c>
      <c r="B10" s="28" t="s">
        <v>525</v>
      </c>
      <c r="C10" s="28"/>
      <c r="D10" s="28"/>
      <c r="E10" s="28"/>
      <c r="F10" s="28"/>
      <c r="G10" s="28"/>
      <c r="H10" s="28"/>
      <c r="I10" s="28"/>
      <c r="J10" s="28"/>
      <c r="K10" s="28"/>
      <c r="L10" s="28"/>
      <c r="M10" s="28"/>
    </row>
    <row r="11" spans="1:13" ht="16.05" customHeight="1" x14ac:dyDescent="0.3">
      <c r="A11" s="30">
        <v>8</v>
      </c>
      <c r="B11" s="30" t="s">
        <v>526</v>
      </c>
      <c r="C11" s="30"/>
      <c r="D11" s="30"/>
      <c r="E11" s="30"/>
      <c r="F11" s="30"/>
      <c r="G11" s="30"/>
      <c r="H11" s="30"/>
      <c r="I11" s="30"/>
      <c r="J11" s="30"/>
      <c r="K11" s="30"/>
      <c r="L11" s="30"/>
      <c r="M11" s="30"/>
    </row>
    <row r="12" spans="1:13" ht="16.05" customHeight="1" x14ac:dyDescent="0.3">
      <c r="A12" s="28">
        <v>9</v>
      </c>
      <c r="B12" s="28" t="s">
        <v>527</v>
      </c>
      <c r="C12" s="28"/>
      <c r="D12" s="28"/>
      <c r="E12" s="28"/>
      <c r="F12" s="28"/>
      <c r="G12" s="28"/>
      <c r="H12" s="28"/>
      <c r="I12" s="28"/>
      <c r="J12" s="28"/>
      <c r="K12" s="28"/>
      <c r="L12" s="28"/>
      <c r="M12" s="28"/>
    </row>
    <row r="13" spans="1:13" ht="16.05" customHeight="1" x14ac:dyDescent="0.3">
      <c r="A13" s="30">
        <v>10</v>
      </c>
      <c r="B13" s="30" t="s">
        <v>528</v>
      </c>
      <c r="C13" s="30"/>
      <c r="D13" s="30"/>
      <c r="E13" s="30"/>
      <c r="F13" s="30"/>
      <c r="G13" s="30"/>
      <c r="H13" s="30"/>
      <c r="I13" s="30"/>
      <c r="J13" s="30"/>
      <c r="K13" s="30"/>
      <c r="L13" s="30"/>
      <c r="M13" s="30"/>
    </row>
    <row r="14" spans="1:13" ht="16.05" customHeight="1" x14ac:dyDescent="0.3">
      <c r="A14" s="28">
        <v>11</v>
      </c>
      <c r="B14" s="28" t="s">
        <v>529</v>
      </c>
      <c r="C14" s="28"/>
      <c r="D14" s="28"/>
      <c r="E14" s="28"/>
      <c r="F14" s="28"/>
      <c r="G14" s="28"/>
      <c r="H14" s="28"/>
      <c r="I14" s="28"/>
      <c r="J14" s="28"/>
      <c r="K14" s="28"/>
      <c r="L14" s="28"/>
      <c r="M14" s="28"/>
    </row>
    <row r="15" spans="1:13" ht="16.05" customHeight="1" x14ac:dyDescent="0.3">
      <c r="A15" s="30">
        <v>12</v>
      </c>
      <c r="B15" s="30" t="s">
        <v>530</v>
      </c>
      <c r="C15" s="30"/>
      <c r="D15" s="30"/>
      <c r="E15" s="30"/>
      <c r="F15" s="30"/>
      <c r="G15" s="30"/>
      <c r="H15" s="30"/>
      <c r="I15" s="30"/>
      <c r="J15" s="30"/>
      <c r="K15" s="30"/>
      <c r="L15" s="30"/>
      <c r="M15" s="30"/>
    </row>
    <row r="16" spans="1:13" ht="16.05" customHeight="1" x14ac:dyDescent="0.3">
      <c r="A16" s="28">
        <v>13</v>
      </c>
      <c r="B16" s="28" t="s">
        <v>531</v>
      </c>
      <c r="C16" s="28"/>
      <c r="D16" s="28"/>
      <c r="E16" s="28"/>
      <c r="F16" s="28"/>
      <c r="G16" s="28"/>
      <c r="H16" s="28"/>
      <c r="I16" s="28"/>
      <c r="J16" s="28"/>
      <c r="K16" s="28"/>
      <c r="L16" s="28"/>
      <c r="M16" s="28"/>
    </row>
    <row r="17" spans="1:13" ht="16.05" customHeight="1" x14ac:dyDescent="0.3">
      <c r="A17" s="30">
        <v>14</v>
      </c>
      <c r="B17" s="30" t="s">
        <v>532</v>
      </c>
      <c r="C17" s="30"/>
      <c r="D17" s="30"/>
      <c r="E17" s="30"/>
      <c r="F17" s="30"/>
      <c r="G17" s="30"/>
      <c r="H17" s="30"/>
      <c r="I17" s="30"/>
      <c r="J17" s="30"/>
      <c r="K17" s="30"/>
      <c r="L17" s="30"/>
      <c r="M17" s="30"/>
    </row>
    <row r="18" spans="1:13" ht="16.05" customHeight="1" x14ac:dyDescent="0.3">
      <c r="A18" s="28">
        <v>15</v>
      </c>
      <c r="B18" s="28" t="s">
        <v>533</v>
      </c>
      <c r="C18" s="28"/>
      <c r="D18" s="28"/>
      <c r="E18" s="28"/>
      <c r="F18" s="28"/>
      <c r="G18" s="28"/>
      <c r="H18" s="28"/>
      <c r="I18" s="28"/>
      <c r="J18" s="28"/>
      <c r="K18" s="28"/>
      <c r="L18" s="28"/>
      <c r="M18" s="28"/>
    </row>
    <row r="19" spans="1:13" ht="16.05" customHeight="1" x14ac:dyDescent="0.3">
      <c r="A19" s="30">
        <v>16</v>
      </c>
      <c r="B19" s="30" t="s">
        <v>534</v>
      </c>
      <c r="C19" s="30"/>
      <c r="D19" s="30"/>
      <c r="E19" s="30"/>
      <c r="F19" s="30"/>
      <c r="G19" s="30"/>
      <c r="H19" s="30"/>
      <c r="I19" s="30"/>
      <c r="J19" s="30"/>
      <c r="K19" s="30"/>
      <c r="L19" s="30"/>
      <c r="M19" s="30"/>
    </row>
    <row r="20" spans="1:13" ht="16.05" customHeight="1" x14ac:dyDescent="0.3">
      <c r="A20" s="28">
        <v>17</v>
      </c>
      <c r="B20" s="28" t="s">
        <v>535</v>
      </c>
      <c r="C20" s="28"/>
      <c r="D20" s="28"/>
      <c r="E20" s="28"/>
      <c r="F20" s="28"/>
      <c r="G20" s="28"/>
      <c r="H20" s="28"/>
      <c r="I20" s="28"/>
      <c r="J20" s="28"/>
      <c r="K20" s="28"/>
      <c r="L20" s="28"/>
      <c r="M20" s="28"/>
    </row>
    <row r="21" spans="1:13" ht="16.05" customHeight="1" x14ac:dyDescent="0.3">
      <c r="A21" s="30">
        <v>18</v>
      </c>
      <c r="B21" s="30" t="s">
        <v>536</v>
      </c>
      <c r="C21" s="30"/>
      <c r="D21" s="30"/>
      <c r="E21" s="30"/>
      <c r="F21" s="30"/>
      <c r="G21" s="30"/>
      <c r="H21" s="30"/>
      <c r="I21" s="30"/>
      <c r="J21" s="30"/>
      <c r="K21" s="30"/>
      <c r="L21" s="30"/>
      <c r="M21" s="30"/>
    </row>
    <row r="22" spans="1:13" ht="16.05" customHeight="1" x14ac:dyDescent="0.3">
      <c r="A22" s="28">
        <v>19</v>
      </c>
      <c r="B22" s="28" t="s">
        <v>537</v>
      </c>
      <c r="C22" s="28"/>
      <c r="D22" s="28"/>
      <c r="E22" s="28"/>
      <c r="F22" s="28"/>
      <c r="G22" s="28"/>
      <c r="H22" s="28"/>
      <c r="I22" s="28"/>
      <c r="J22" s="28"/>
      <c r="K22" s="28"/>
      <c r="L22" s="28"/>
      <c r="M22" s="28"/>
    </row>
    <row r="23" spans="1:13" ht="16.05" customHeight="1" x14ac:dyDescent="0.3">
      <c r="A23" s="30">
        <v>20</v>
      </c>
      <c r="B23" s="30" t="s">
        <v>538</v>
      </c>
      <c r="C23" s="30"/>
      <c r="D23" s="30"/>
      <c r="E23" s="30"/>
      <c r="F23" s="30"/>
      <c r="G23" s="30"/>
      <c r="H23" s="30"/>
      <c r="I23" s="30"/>
      <c r="J23" s="30"/>
      <c r="K23" s="30"/>
      <c r="L23" s="30"/>
      <c r="M23" s="30"/>
    </row>
    <row r="24" spans="1:13" ht="16.05" customHeight="1" x14ac:dyDescent="0.3">
      <c r="A24" s="28">
        <v>21</v>
      </c>
      <c r="B24" s="28" t="s">
        <v>539</v>
      </c>
      <c r="C24" s="28"/>
      <c r="D24" s="28"/>
      <c r="E24" s="28"/>
      <c r="F24" s="28"/>
      <c r="G24" s="28"/>
      <c r="H24" s="28"/>
      <c r="I24" s="28"/>
      <c r="J24" s="28"/>
      <c r="K24" s="28"/>
      <c r="L24" s="28"/>
      <c r="M24" s="28"/>
    </row>
    <row r="25" spans="1:13" ht="16.05" customHeight="1" x14ac:dyDescent="0.3">
      <c r="A25" s="30">
        <v>22</v>
      </c>
      <c r="B25" s="30" t="s">
        <v>540</v>
      </c>
      <c r="C25" s="30"/>
      <c r="D25" s="30"/>
      <c r="E25" s="30"/>
      <c r="F25" s="30"/>
      <c r="G25" s="30"/>
      <c r="H25" s="30"/>
      <c r="I25" s="30"/>
      <c r="J25" s="30"/>
      <c r="K25" s="30"/>
      <c r="L25" s="30"/>
      <c r="M25" s="30"/>
    </row>
    <row r="26" spans="1:13" ht="16.05" customHeight="1" x14ac:dyDescent="0.3">
      <c r="A26" s="28">
        <v>23</v>
      </c>
      <c r="B26" s="28" t="s">
        <v>541</v>
      </c>
      <c r="C26" s="28"/>
      <c r="D26" s="28"/>
      <c r="E26" s="28"/>
      <c r="F26" s="28"/>
      <c r="G26" s="28"/>
      <c r="H26" s="28"/>
      <c r="I26" s="28"/>
      <c r="J26" s="28"/>
      <c r="K26" s="28"/>
      <c r="L26" s="28"/>
      <c r="M26" s="28"/>
    </row>
    <row r="27" spans="1:13" ht="16.05" customHeight="1" x14ac:dyDescent="0.3">
      <c r="A27" s="30">
        <v>24</v>
      </c>
      <c r="B27" s="30" t="s">
        <v>542</v>
      </c>
      <c r="C27" s="30"/>
      <c r="D27" s="30"/>
      <c r="E27" s="30"/>
      <c r="F27" s="30"/>
      <c r="G27" s="30"/>
      <c r="H27" s="30"/>
      <c r="I27" s="30"/>
      <c r="J27" s="30"/>
      <c r="K27" s="30"/>
      <c r="L27" s="30"/>
      <c r="M27" s="30"/>
    </row>
    <row r="28" spans="1:13" ht="16.05" customHeight="1" x14ac:dyDescent="0.3">
      <c r="A28" s="28">
        <v>25</v>
      </c>
      <c r="B28" s="28" t="s">
        <v>543</v>
      </c>
      <c r="C28" s="28"/>
      <c r="D28" s="28"/>
      <c r="E28" s="28"/>
      <c r="F28" s="28"/>
      <c r="G28" s="28"/>
      <c r="H28" s="28"/>
      <c r="I28" s="28"/>
      <c r="J28" s="28"/>
      <c r="K28" s="28"/>
      <c r="L28" s="28"/>
      <c r="M28" s="28"/>
    </row>
    <row r="29" spans="1:13" ht="16.05" customHeight="1" x14ac:dyDescent="0.3">
      <c r="A29" s="30">
        <v>26</v>
      </c>
      <c r="B29" s="30" t="s">
        <v>544</v>
      </c>
      <c r="C29" s="30"/>
      <c r="D29" s="30"/>
      <c r="E29" s="30"/>
      <c r="F29" s="30"/>
      <c r="G29" s="30"/>
      <c r="H29" s="30"/>
      <c r="I29" s="30"/>
      <c r="J29" s="30"/>
      <c r="K29" s="30"/>
      <c r="L29" s="30"/>
      <c r="M29" s="30"/>
    </row>
    <row r="30" spans="1:13" ht="16.05" customHeight="1" x14ac:dyDescent="0.3">
      <c r="A30" s="28">
        <v>27</v>
      </c>
      <c r="B30" s="28" t="s">
        <v>545</v>
      </c>
      <c r="C30" s="28"/>
      <c r="D30" s="28"/>
      <c r="E30" s="28"/>
      <c r="F30" s="28"/>
      <c r="G30" s="28"/>
      <c r="H30" s="28"/>
      <c r="I30" s="28"/>
      <c r="J30" s="28"/>
      <c r="K30" s="28"/>
      <c r="L30" s="28"/>
      <c r="M30" s="28"/>
    </row>
    <row r="31" spans="1:13" ht="16.05" customHeight="1" x14ac:dyDescent="0.3">
      <c r="A31" s="30">
        <v>28</v>
      </c>
      <c r="B31" s="30" t="s">
        <v>546</v>
      </c>
      <c r="C31" s="30"/>
      <c r="D31" s="30"/>
      <c r="E31" s="30"/>
      <c r="F31" s="30"/>
      <c r="G31" s="30"/>
      <c r="H31" s="30"/>
      <c r="I31" s="30"/>
      <c r="J31" s="30"/>
      <c r="K31" s="30"/>
      <c r="L31" s="30"/>
      <c r="M31" s="30"/>
    </row>
    <row r="32" spans="1:13" ht="16.05" customHeight="1" x14ac:dyDescent="0.3">
      <c r="A32" s="28">
        <v>29</v>
      </c>
      <c r="B32" s="28" t="s">
        <v>547</v>
      </c>
      <c r="C32" s="28"/>
      <c r="D32" s="28"/>
      <c r="E32" s="28"/>
      <c r="F32" s="28"/>
      <c r="G32" s="28"/>
      <c r="H32" s="28"/>
      <c r="I32" s="28"/>
      <c r="J32" s="28"/>
      <c r="K32" s="28"/>
      <c r="L32" s="28"/>
      <c r="M32" s="28"/>
    </row>
    <row r="33" spans="1:13" ht="16.05" customHeight="1" x14ac:dyDescent="0.3">
      <c r="A33" s="30">
        <v>30</v>
      </c>
      <c r="B33" s="30" t="s">
        <v>548</v>
      </c>
      <c r="C33" s="30"/>
      <c r="D33" s="30"/>
      <c r="E33" s="30"/>
      <c r="F33" s="30"/>
      <c r="G33" s="30"/>
      <c r="H33" s="30"/>
      <c r="I33" s="30"/>
      <c r="J33" s="30"/>
      <c r="K33" s="30"/>
      <c r="L33" s="30"/>
      <c r="M33" s="30"/>
    </row>
    <row r="34" spans="1:13" ht="16.05" customHeight="1" x14ac:dyDescent="0.3">
      <c r="A34" s="28">
        <v>31</v>
      </c>
      <c r="B34" s="28" t="s">
        <v>549</v>
      </c>
      <c r="C34" s="28"/>
      <c r="D34" s="28"/>
      <c r="E34" s="28"/>
      <c r="F34" s="28"/>
      <c r="G34" s="28"/>
      <c r="H34" s="28"/>
      <c r="I34" s="28"/>
      <c r="J34" s="28"/>
      <c r="K34" s="28"/>
      <c r="L34" s="28"/>
      <c r="M34" s="28"/>
    </row>
    <row r="35" spans="1:13" ht="16.05" customHeight="1" x14ac:dyDescent="0.3">
      <c r="A35" s="30">
        <v>32</v>
      </c>
      <c r="B35" s="30" t="s">
        <v>550</v>
      </c>
      <c r="C35" s="30"/>
      <c r="D35" s="30"/>
      <c r="E35" s="30"/>
      <c r="F35" s="30"/>
      <c r="G35" s="30"/>
      <c r="H35" s="30"/>
      <c r="I35" s="30"/>
      <c r="J35" s="30"/>
      <c r="K35" s="30"/>
      <c r="L35" s="30"/>
      <c r="M35" s="30"/>
    </row>
    <row r="36" spans="1:13" ht="16.05" customHeight="1" x14ac:dyDescent="0.3">
      <c r="A36" s="28">
        <v>33</v>
      </c>
      <c r="B36" s="28" t="s">
        <v>551</v>
      </c>
      <c r="C36" s="28"/>
      <c r="D36" s="28"/>
      <c r="E36" s="28"/>
      <c r="F36" s="28"/>
      <c r="G36" s="28"/>
      <c r="H36" s="28"/>
      <c r="I36" s="28"/>
      <c r="J36" s="28"/>
      <c r="K36" s="28"/>
      <c r="L36" s="28"/>
      <c r="M36" s="28"/>
    </row>
    <row r="37" spans="1:13" ht="16.05" customHeight="1" x14ac:dyDescent="0.3">
      <c r="A37" s="30">
        <v>34</v>
      </c>
      <c r="B37" s="30" t="s">
        <v>552</v>
      </c>
      <c r="C37" s="30"/>
      <c r="D37" s="30"/>
      <c r="E37" s="30"/>
      <c r="F37" s="30"/>
      <c r="G37" s="30"/>
      <c r="H37" s="30"/>
      <c r="I37" s="30"/>
      <c r="J37" s="30"/>
      <c r="K37" s="30"/>
      <c r="L37" s="30"/>
      <c r="M37" s="30"/>
    </row>
    <row r="38" spans="1:13" ht="16.05" customHeight="1" x14ac:dyDescent="0.3">
      <c r="A38" s="28">
        <v>35</v>
      </c>
      <c r="B38" s="28" t="s">
        <v>553</v>
      </c>
      <c r="C38" s="28"/>
      <c r="D38" s="28"/>
      <c r="E38" s="28"/>
      <c r="F38" s="28"/>
      <c r="G38" s="28"/>
      <c r="H38" s="28"/>
      <c r="I38" s="28"/>
      <c r="J38" s="28"/>
      <c r="K38" s="28"/>
      <c r="L38" s="28"/>
      <c r="M38" s="28"/>
    </row>
    <row r="39" spans="1:13" ht="16.05" customHeight="1" x14ac:dyDescent="0.3">
      <c r="A39" s="30">
        <v>36</v>
      </c>
      <c r="B39" s="30" t="s">
        <v>554</v>
      </c>
      <c r="C39" s="30"/>
      <c r="D39" s="30"/>
      <c r="E39" s="30"/>
      <c r="F39" s="30"/>
      <c r="G39" s="30"/>
      <c r="H39" s="30"/>
      <c r="I39" s="30"/>
      <c r="J39" s="30"/>
      <c r="K39" s="30"/>
      <c r="L39" s="30"/>
      <c r="M39" s="30"/>
    </row>
  </sheetData>
  <autoFilter ref="A3:M39" xr:uid="{00000000-0009-0000-0000-00001F000000}"/>
  <mergeCells count="2">
    <mergeCell ref="A2:M2"/>
    <mergeCell ref="A1:M1"/>
  </mergeCell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1F00-000000000000}">
          <x14:formula1>
            <xm:f>REF!$A$2:$A$37</xm:f>
          </x14:formula1>
          <xm:sqref>B4:B39</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M18"/>
  <sheetViews>
    <sheetView showGridLines="0" tabSelected="1" workbookViewId="0">
      <selection sqref="A1:M1"/>
    </sheetView>
  </sheetViews>
  <sheetFormatPr defaultRowHeight="14.4" x14ac:dyDescent="0.3"/>
  <cols>
    <col min="1" max="1" width="4" customWidth="1"/>
    <col min="2" max="2" width="26" customWidth="1"/>
    <col min="3" max="3" width="16" customWidth="1"/>
    <col min="4" max="4" width="22" customWidth="1"/>
    <col min="5" max="6" width="13" customWidth="1"/>
    <col min="7" max="10" width="12" customWidth="1"/>
    <col min="11" max="11" width="13" customWidth="1"/>
    <col min="12" max="12" width="12" customWidth="1"/>
    <col min="13" max="13" width="22" customWidth="1"/>
  </cols>
  <sheetData>
    <row r="1" spans="1:13" ht="28.05" customHeight="1" x14ac:dyDescent="0.3">
      <c r="A1" s="45" t="s">
        <v>1786</v>
      </c>
      <c r="B1" s="33"/>
      <c r="C1" s="33"/>
      <c r="D1" s="33"/>
      <c r="E1" s="33"/>
      <c r="F1" s="33"/>
      <c r="G1" s="33"/>
      <c r="H1" s="33"/>
      <c r="I1" s="33"/>
      <c r="J1" s="33"/>
      <c r="K1" s="33"/>
      <c r="L1" s="33"/>
      <c r="M1" s="33"/>
    </row>
    <row r="2" spans="1:13" ht="16.05" customHeight="1" x14ac:dyDescent="0.3">
      <c r="A2" s="39" t="s">
        <v>1787</v>
      </c>
      <c r="B2" s="33"/>
      <c r="C2" s="33"/>
      <c r="D2" s="33"/>
      <c r="E2" s="33"/>
      <c r="F2" s="33"/>
      <c r="G2" s="33"/>
      <c r="H2" s="33"/>
      <c r="I2" s="33"/>
      <c r="J2" s="33"/>
      <c r="K2" s="33"/>
      <c r="L2" s="33"/>
      <c r="M2" s="33"/>
    </row>
    <row r="3" spans="1:13" ht="31.95" customHeight="1" x14ac:dyDescent="0.3">
      <c r="A3" s="27" t="s">
        <v>78</v>
      </c>
      <c r="B3" s="27" t="s">
        <v>966</v>
      </c>
      <c r="C3" s="27" t="s">
        <v>807</v>
      </c>
      <c r="D3" s="27" t="s">
        <v>968</v>
      </c>
      <c r="E3" s="27" t="s">
        <v>969</v>
      </c>
      <c r="F3" s="27" t="s">
        <v>970</v>
      </c>
      <c r="G3" s="27" t="s">
        <v>698</v>
      </c>
      <c r="H3" s="27" t="s">
        <v>971</v>
      </c>
      <c r="I3" s="27" t="s">
        <v>159</v>
      </c>
      <c r="J3" s="27" t="s">
        <v>1788</v>
      </c>
      <c r="K3" s="27" t="s">
        <v>973</v>
      </c>
      <c r="L3" s="27" t="s">
        <v>980</v>
      </c>
      <c r="M3" s="27" t="s">
        <v>86</v>
      </c>
    </row>
    <row r="4" spans="1:13" ht="16.05" customHeight="1" x14ac:dyDescent="0.3">
      <c r="A4" s="28">
        <v>1</v>
      </c>
      <c r="B4" s="28" t="s">
        <v>1789</v>
      </c>
      <c r="C4" s="28" t="s">
        <v>1790</v>
      </c>
      <c r="D4" s="28" t="s">
        <v>539</v>
      </c>
      <c r="E4" s="28"/>
      <c r="F4" s="28"/>
      <c r="G4" s="28"/>
      <c r="H4" s="28"/>
      <c r="I4" s="28"/>
      <c r="J4" s="28"/>
      <c r="K4" s="28"/>
      <c r="L4" s="28"/>
      <c r="M4" s="28"/>
    </row>
    <row r="5" spans="1:13" ht="16.05" customHeight="1" x14ac:dyDescent="0.3">
      <c r="A5" s="30">
        <v>2</v>
      </c>
      <c r="B5" s="30" t="s">
        <v>1791</v>
      </c>
      <c r="C5" s="30" t="s">
        <v>1792</v>
      </c>
      <c r="D5" s="30" t="s">
        <v>66</v>
      </c>
      <c r="E5" s="30"/>
      <c r="F5" s="30"/>
      <c r="G5" s="30"/>
      <c r="H5" s="30"/>
      <c r="I5" s="30"/>
      <c r="J5" s="30"/>
      <c r="K5" s="30"/>
      <c r="L5" s="30"/>
      <c r="M5" s="30"/>
    </row>
    <row r="6" spans="1:13" ht="16.05" customHeight="1" x14ac:dyDescent="0.3">
      <c r="A6" s="28">
        <v>3</v>
      </c>
      <c r="B6" s="28" t="s">
        <v>1793</v>
      </c>
      <c r="C6" s="28" t="s">
        <v>1794</v>
      </c>
      <c r="D6" s="28" t="s">
        <v>552</v>
      </c>
      <c r="E6" s="28"/>
      <c r="F6" s="28"/>
      <c r="G6" s="28"/>
      <c r="H6" s="28"/>
      <c r="I6" s="28"/>
      <c r="J6" s="28"/>
      <c r="K6" s="28"/>
      <c r="L6" s="28"/>
      <c r="M6" s="28"/>
    </row>
    <row r="7" spans="1:13" ht="16.05" customHeight="1" x14ac:dyDescent="0.3">
      <c r="A7" s="30">
        <v>4</v>
      </c>
      <c r="B7" s="30" t="s">
        <v>1795</v>
      </c>
      <c r="C7" s="30" t="s">
        <v>1790</v>
      </c>
      <c r="D7" s="30" t="s">
        <v>66</v>
      </c>
      <c r="E7" s="30"/>
      <c r="F7" s="30"/>
      <c r="G7" s="30"/>
      <c r="H7" s="30"/>
      <c r="I7" s="30"/>
      <c r="J7" s="30"/>
      <c r="K7" s="30"/>
      <c r="L7" s="30"/>
      <c r="M7" s="30"/>
    </row>
    <row r="8" spans="1:13" ht="16.05" customHeight="1" x14ac:dyDescent="0.3">
      <c r="A8" s="28">
        <v>5</v>
      </c>
      <c r="B8" s="28" t="s">
        <v>1796</v>
      </c>
      <c r="C8" s="28" t="s">
        <v>1792</v>
      </c>
      <c r="D8" s="28" t="s">
        <v>527</v>
      </c>
      <c r="E8" s="28"/>
      <c r="F8" s="28"/>
      <c r="G8" s="28"/>
      <c r="H8" s="28"/>
      <c r="I8" s="28"/>
      <c r="J8" s="28"/>
      <c r="K8" s="28"/>
      <c r="L8" s="28"/>
      <c r="M8" s="28"/>
    </row>
    <row r="9" spans="1:13" ht="16.05" customHeight="1" x14ac:dyDescent="0.3">
      <c r="A9" s="30">
        <v>6</v>
      </c>
      <c r="B9" s="30" t="s">
        <v>1797</v>
      </c>
      <c r="C9" s="30"/>
      <c r="D9" s="30"/>
      <c r="E9" s="30"/>
      <c r="F9" s="30"/>
      <c r="G9" s="30"/>
      <c r="H9" s="30"/>
      <c r="I9" s="30"/>
      <c r="J9" s="30"/>
      <c r="K9" s="30"/>
      <c r="L9" s="30"/>
      <c r="M9" s="30"/>
    </row>
    <row r="10" spans="1:13" ht="16.05" customHeight="1" x14ac:dyDescent="0.3">
      <c r="A10" s="28">
        <v>7</v>
      </c>
      <c r="B10" s="28" t="s">
        <v>1797</v>
      </c>
      <c r="C10" s="28"/>
      <c r="D10" s="28"/>
      <c r="E10" s="28"/>
      <c r="F10" s="28"/>
      <c r="G10" s="28"/>
      <c r="H10" s="28"/>
      <c r="I10" s="28"/>
      <c r="J10" s="28"/>
      <c r="K10" s="28"/>
      <c r="L10" s="28"/>
      <c r="M10" s="28"/>
    </row>
    <row r="11" spans="1:13" ht="16.05" customHeight="1" x14ac:dyDescent="0.3">
      <c r="A11" s="30">
        <v>8</v>
      </c>
      <c r="B11" s="30" t="s">
        <v>1797</v>
      </c>
      <c r="C11" s="30"/>
      <c r="D11" s="30"/>
      <c r="E11" s="30"/>
      <c r="F11" s="30"/>
      <c r="G11" s="30"/>
      <c r="H11" s="30"/>
      <c r="I11" s="30"/>
      <c r="J11" s="30"/>
      <c r="K11" s="30"/>
      <c r="L11" s="30"/>
      <c r="M11" s="30"/>
    </row>
    <row r="12" spans="1:13" ht="16.05" customHeight="1" x14ac:dyDescent="0.3">
      <c r="A12" s="28">
        <v>9</v>
      </c>
      <c r="B12" s="28" t="s">
        <v>1797</v>
      </c>
      <c r="C12" s="28"/>
      <c r="D12" s="28"/>
      <c r="E12" s="28"/>
      <c r="F12" s="28"/>
      <c r="G12" s="28"/>
      <c r="H12" s="28"/>
      <c r="I12" s="28"/>
      <c r="J12" s="28"/>
      <c r="K12" s="28"/>
      <c r="L12" s="28"/>
      <c r="M12" s="28"/>
    </row>
    <row r="13" spans="1:13" ht="16.05" customHeight="1" x14ac:dyDescent="0.3">
      <c r="A13" s="30">
        <v>10</v>
      </c>
      <c r="B13" s="30" t="s">
        <v>1797</v>
      </c>
      <c r="C13" s="30"/>
      <c r="D13" s="30"/>
      <c r="E13" s="30"/>
      <c r="F13" s="30"/>
      <c r="G13" s="30"/>
      <c r="H13" s="30"/>
      <c r="I13" s="30"/>
      <c r="J13" s="30"/>
      <c r="K13" s="30"/>
      <c r="L13" s="30"/>
      <c r="M13" s="30"/>
    </row>
    <row r="14" spans="1:13" ht="16.05" customHeight="1" x14ac:dyDescent="0.3">
      <c r="A14" s="28">
        <v>11</v>
      </c>
      <c r="B14" s="28" t="s">
        <v>1797</v>
      </c>
      <c r="C14" s="28"/>
      <c r="D14" s="28"/>
      <c r="E14" s="28"/>
      <c r="F14" s="28"/>
      <c r="G14" s="28"/>
      <c r="H14" s="28"/>
      <c r="I14" s="28"/>
      <c r="J14" s="28"/>
      <c r="K14" s="28"/>
      <c r="L14" s="28"/>
      <c r="M14" s="28"/>
    </row>
    <row r="15" spans="1:13" ht="16.05" customHeight="1" x14ac:dyDescent="0.3">
      <c r="A15" s="30">
        <v>12</v>
      </c>
      <c r="B15" s="30" t="s">
        <v>1797</v>
      </c>
      <c r="C15" s="30"/>
      <c r="D15" s="30"/>
      <c r="E15" s="30"/>
      <c r="F15" s="30"/>
      <c r="G15" s="30"/>
      <c r="H15" s="30"/>
      <c r="I15" s="30"/>
      <c r="J15" s="30"/>
      <c r="K15" s="30"/>
      <c r="L15" s="30"/>
      <c r="M15" s="30"/>
    </row>
    <row r="16" spans="1:13" ht="16.05" customHeight="1" x14ac:dyDescent="0.3">
      <c r="A16" s="28">
        <v>13</v>
      </c>
      <c r="B16" s="28" t="s">
        <v>1797</v>
      </c>
      <c r="C16" s="28"/>
      <c r="D16" s="28"/>
      <c r="E16" s="28"/>
      <c r="F16" s="28"/>
      <c r="G16" s="28"/>
      <c r="H16" s="28"/>
      <c r="I16" s="28"/>
      <c r="J16" s="28"/>
      <c r="K16" s="28"/>
      <c r="L16" s="28"/>
      <c r="M16" s="28"/>
    </row>
    <row r="17" spans="1:13" ht="16.05" customHeight="1" x14ac:dyDescent="0.3">
      <c r="A17" s="30">
        <v>14</v>
      </c>
      <c r="B17" s="30" t="s">
        <v>1797</v>
      </c>
      <c r="C17" s="30"/>
      <c r="D17" s="30"/>
      <c r="E17" s="30"/>
      <c r="F17" s="30"/>
      <c r="G17" s="30"/>
      <c r="H17" s="30"/>
      <c r="I17" s="30"/>
      <c r="J17" s="30"/>
      <c r="K17" s="30"/>
      <c r="L17" s="30"/>
      <c r="M17" s="30"/>
    </row>
    <row r="18" spans="1:13" ht="16.05" customHeight="1" x14ac:dyDescent="0.3">
      <c r="A18" s="28">
        <v>15</v>
      </c>
      <c r="B18" s="28" t="s">
        <v>1797</v>
      </c>
      <c r="C18" s="28"/>
      <c r="D18" s="28"/>
      <c r="E18" s="28"/>
      <c r="F18" s="28"/>
      <c r="G18" s="28"/>
      <c r="H18" s="28"/>
      <c r="I18" s="28"/>
      <c r="J18" s="28"/>
      <c r="K18" s="28"/>
      <c r="L18" s="28"/>
      <c r="M18" s="28"/>
    </row>
  </sheetData>
  <mergeCells count="2">
    <mergeCell ref="A2:M2"/>
    <mergeCell ref="A1:M1"/>
  </mergeCell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2000-000000000000}">
          <x14:formula1>
            <xm:f>REF!$Q$2:$Q$5</xm:f>
          </x14:formula1>
          <xm:sqref>L4:L8</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S738"/>
  <sheetViews>
    <sheetView showGridLines="0" workbookViewId="0"/>
  </sheetViews>
  <sheetFormatPr defaultRowHeight="14.4" x14ac:dyDescent="0.3"/>
  <sheetData>
    <row r="1" spans="1:19" x14ac:dyDescent="0.3">
      <c r="A1" s="31" t="s">
        <v>1798</v>
      </c>
      <c r="B1" s="31" t="s">
        <v>1799</v>
      </c>
      <c r="C1" s="31" t="s">
        <v>1800</v>
      </c>
      <c r="D1" s="31" t="s">
        <v>1801</v>
      </c>
      <c r="E1" s="31" t="s">
        <v>1802</v>
      </c>
      <c r="F1" s="31" t="s">
        <v>1803</v>
      </c>
      <c r="G1" s="31" t="s">
        <v>1804</v>
      </c>
      <c r="H1" s="31" t="s">
        <v>1805</v>
      </c>
      <c r="I1" s="31" t="s">
        <v>1806</v>
      </c>
      <c r="J1" s="31" t="s">
        <v>1807</v>
      </c>
      <c r="K1" s="31" t="s">
        <v>1808</v>
      </c>
      <c r="L1" s="31" t="s">
        <v>1809</v>
      </c>
      <c r="M1" s="31" t="s">
        <v>1810</v>
      </c>
      <c r="N1" s="31" t="s">
        <v>1811</v>
      </c>
      <c r="O1" s="31" t="s">
        <v>1812</v>
      </c>
      <c r="P1" s="31" t="s">
        <v>1813</v>
      </c>
      <c r="Q1" s="31" t="s">
        <v>1814</v>
      </c>
      <c r="R1" s="31" t="s">
        <v>1815</v>
      </c>
      <c r="S1" s="31" t="s">
        <v>1816</v>
      </c>
    </row>
    <row r="2" spans="1:19" x14ac:dyDescent="0.3">
      <c r="A2" t="s">
        <v>519</v>
      </c>
      <c r="B2" t="s">
        <v>1579</v>
      </c>
      <c r="C2" t="s">
        <v>224</v>
      </c>
      <c r="D2" t="s">
        <v>142</v>
      </c>
      <c r="E2" t="s">
        <v>1817</v>
      </c>
      <c r="F2" t="s">
        <v>1818</v>
      </c>
      <c r="G2" t="s">
        <v>491</v>
      </c>
      <c r="H2" t="s">
        <v>295</v>
      </c>
      <c r="I2" t="s">
        <v>275</v>
      </c>
      <c r="J2" t="s">
        <v>1724</v>
      </c>
      <c r="K2" t="s">
        <v>1819</v>
      </c>
      <c r="L2" t="s">
        <v>1820</v>
      </c>
      <c r="M2" t="s">
        <v>665</v>
      </c>
      <c r="N2" t="s">
        <v>820</v>
      </c>
      <c r="O2" t="s">
        <v>272</v>
      </c>
      <c r="P2" t="s">
        <v>173</v>
      </c>
      <c r="Q2" t="s">
        <v>307</v>
      </c>
      <c r="R2" t="s">
        <v>209</v>
      </c>
      <c r="S2" t="s">
        <v>66</v>
      </c>
    </row>
    <row r="3" spans="1:19" x14ac:dyDescent="0.3">
      <c r="A3" t="s">
        <v>520</v>
      </c>
      <c r="B3" t="s">
        <v>1322</v>
      </c>
      <c r="C3" t="s">
        <v>225</v>
      </c>
      <c r="D3" t="s">
        <v>143</v>
      </c>
      <c r="E3" t="s">
        <v>1821</v>
      </c>
      <c r="F3" t="s">
        <v>1822</v>
      </c>
      <c r="G3" t="s">
        <v>492</v>
      </c>
      <c r="H3" t="s">
        <v>349</v>
      </c>
      <c r="I3" t="s">
        <v>295</v>
      </c>
      <c r="J3" t="s">
        <v>1823</v>
      </c>
      <c r="K3" t="s">
        <v>855</v>
      </c>
      <c r="L3" t="s">
        <v>1824</v>
      </c>
      <c r="M3" t="s">
        <v>666</v>
      </c>
      <c r="N3" t="s">
        <v>1825</v>
      </c>
      <c r="O3" t="s">
        <v>273</v>
      </c>
      <c r="P3" t="s">
        <v>165</v>
      </c>
      <c r="Q3" t="s">
        <v>1826</v>
      </c>
      <c r="R3" t="s">
        <v>211</v>
      </c>
      <c r="S3" t="s">
        <v>519</v>
      </c>
    </row>
    <row r="4" spans="1:19" x14ac:dyDescent="0.3">
      <c r="A4" t="s">
        <v>521</v>
      </c>
      <c r="B4" t="s">
        <v>1618</v>
      </c>
      <c r="C4" t="s">
        <v>226</v>
      </c>
      <c r="D4" t="s">
        <v>144</v>
      </c>
      <c r="E4" t="s">
        <v>1827</v>
      </c>
      <c r="F4" t="s">
        <v>1828</v>
      </c>
      <c r="G4" t="s">
        <v>493</v>
      </c>
      <c r="H4" t="s">
        <v>291</v>
      </c>
      <c r="I4" t="s">
        <v>349</v>
      </c>
      <c r="J4" t="s">
        <v>1829</v>
      </c>
      <c r="K4" t="s">
        <v>1830</v>
      </c>
      <c r="L4" t="s">
        <v>1831</v>
      </c>
      <c r="M4" t="s">
        <v>667</v>
      </c>
      <c r="N4" t="s">
        <v>1832</v>
      </c>
      <c r="O4" t="s">
        <v>274</v>
      </c>
      <c r="P4" t="s">
        <v>169</v>
      </c>
      <c r="Q4" t="s">
        <v>1830</v>
      </c>
      <c r="R4" t="s">
        <v>213</v>
      </c>
      <c r="S4" t="s">
        <v>520</v>
      </c>
    </row>
    <row r="5" spans="1:19" x14ac:dyDescent="0.3">
      <c r="A5" t="s">
        <v>522</v>
      </c>
      <c r="B5" t="s">
        <v>1172</v>
      </c>
      <c r="C5" t="s">
        <v>227</v>
      </c>
      <c r="D5" t="s">
        <v>145</v>
      </c>
      <c r="E5" t="s">
        <v>1833</v>
      </c>
      <c r="F5" t="s">
        <v>1834</v>
      </c>
      <c r="G5" t="s">
        <v>494</v>
      </c>
      <c r="H5" t="s">
        <v>1835</v>
      </c>
      <c r="I5" t="s">
        <v>291</v>
      </c>
      <c r="J5" t="s">
        <v>1836</v>
      </c>
      <c r="K5" t="s">
        <v>1837</v>
      </c>
      <c r="L5" t="s">
        <v>1838</v>
      </c>
      <c r="M5" t="s">
        <v>668</v>
      </c>
      <c r="N5" t="s">
        <v>823</v>
      </c>
      <c r="O5" t="s">
        <v>275</v>
      </c>
      <c r="P5" t="s">
        <v>182</v>
      </c>
      <c r="Q5" t="s">
        <v>1839</v>
      </c>
      <c r="R5" t="s">
        <v>214</v>
      </c>
      <c r="S5" t="s">
        <v>521</v>
      </c>
    </row>
    <row r="6" spans="1:19" x14ac:dyDescent="0.3">
      <c r="A6" t="s">
        <v>523</v>
      </c>
      <c r="B6" t="s">
        <v>1370</v>
      </c>
      <c r="C6" t="s">
        <v>149</v>
      </c>
      <c r="D6" t="s">
        <v>146</v>
      </c>
      <c r="E6" t="s">
        <v>1840</v>
      </c>
      <c r="F6" t="s">
        <v>1841</v>
      </c>
      <c r="L6" t="s">
        <v>1842</v>
      </c>
      <c r="M6" t="s">
        <v>669</v>
      </c>
      <c r="N6" t="s">
        <v>1843</v>
      </c>
      <c r="R6" t="s">
        <v>216</v>
      </c>
      <c r="S6" t="s">
        <v>522</v>
      </c>
    </row>
    <row r="7" spans="1:19" x14ac:dyDescent="0.3">
      <c r="A7" t="s">
        <v>524</v>
      </c>
      <c r="B7" t="s">
        <v>1427</v>
      </c>
      <c r="C7" t="s">
        <v>228</v>
      </c>
      <c r="D7" t="s">
        <v>147</v>
      </c>
      <c r="E7" t="s">
        <v>179</v>
      </c>
      <c r="F7" t="s">
        <v>1844</v>
      </c>
      <c r="N7" t="s">
        <v>1845</v>
      </c>
      <c r="R7" t="s">
        <v>218</v>
      </c>
      <c r="S7" t="s">
        <v>523</v>
      </c>
    </row>
    <row r="8" spans="1:19" x14ac:dyDescent="0.3">
      <c r="A8" t="s">
        <v>525</v>
      </c>
      <c r="B8" t="s">
        <v>1506</v>
      </c>
      <c r="C8" t="s">
        <v>150</v>
      </c>
      <c r="D8" t="s">
        <v>148</v>
      </c>
      <c r="E8" t="s">
        <v>172</v>
      </c>
      <c r="N8" t="s">
        <v>1846</v>
      </c>
      <c r="S8" t="s">
        <v>524</v>
      </c>
    </row>
    <row r="9" spans="1:19" x14ac:dyDescent="0.3">
      <c r="A9" t="s">
        <v>526</v>
      </c>
      <c r="B9" t="s">
        <v>1371</v>
      </c>
      <c r="C9" t="s">
        <v>229</v>
      </c>
      <c r="D9" t="s">
        <v>149</v>
      </c>
      <c r="E9" t="s">
        <v>164</v>
      </c>
      <c r="N9" t="s">
        <v>816</v>
      </c>
      <c r="S9" t="s">
        <v>525</v>
      </c>
    </row>
    <row r="10" spans="1:19" x14ac:dyDescent="0.3">
      <c r="A10" t="s">
        <v>527</v>
      </c>
      <c r="B10" t="s">
        <v>1306</v>
      </c>
      <c r="C10" t="s">
        <v>230</v>
      </c>
      <c r="D10" t="s">
        <v>150</v>
      </c>
      <c r="E10" t="s">
        <v>168</v>
      </c>
      <c r="N10" t="s">
        <v>814</v>
      </c>
      <c r="S10" t="s">
        <v>526</v>
      </c>
    </row>
    <row r="11" spans="1:19" x14ac:dyDescent="0.3">
      <c r="A11" t="s">
        <v>528</v>
      </c>
      <c r="B11" t="s">
        <v>1619</v>
      </c>
      <c r="C11" t="s">
        <v>231</v>
      </c>
      <c r="D11" t="s">
        <v>151</v>
      </c>
      <c r="E11" t="s">
        <v>176</v>
      </c>
      <c r="N11" t="s">
        <v>809</v>
      </c>
      <c r="S11" t="s">
        <v>527</v>
      </c>
    </row>
    <row r="12" spans="1:19" x14ac:dyDescent="0.3">
      <c r="A12" t="s">
        <v>529</v>
      </c>
      <c r="B12" t="s">
        <v>1700</v>
      </c>
      <c r="C12" t="s">
        <v>232</v>
      </c>
      <c r="D12" t="s">
        <v>152</v>
      </c>
      <c r="E12" t="s">
        <v>181</v>
      </c>
      <c r="N12" t="s">
        <v>811</v>
      </c>
      <c r="S12" t="s">
        <v>528</v>
      </c>
    </row>
    <row r="13" spans="1:19" x14ac:dyDescent="0.3">
      <c r="A13" t="s">
        <v>530</v>
      </c>
      <c r="B13" t="s">
        <v>571</v>
      </c>
      <c r="C13" t="s">
        <v>233</v>
      </c>
      <c r="D13" t="s">
        <v>153</v>
      </c>
      <c r="E13" t="s">
        <v>1847</v>
      </c>
      <c r="N13" t="s">
        <v>1848</v>
      </c>
      <c r="S13" t="s">
        <v>529</v>
      </c>
    </row>
    <row r="14" spans="1:19" x14ac:dyDescent="0.3">
      <c r="A14" t="s">
        <v>531</v>
      </c>
      <c r="B14" t="s">
        <v>1030</v>
      </c>
      <c r="C14" t="s">
        <v>234</v>
      </c>
      <c r="D14" t="s">
        <v>154</v>
      </c>
      <c r="S14" t="s">
        <v>530</v>
      </c>
    </row>
    <row r="15" spans="1:19" x14ac:dyDescent="0.3">
      <c r="A15" t="s">
        <v>532</v>
      </c>
      <c r="B15" t="s">
        <v>1687</v>
      </c>
      <c r="C15" t="s">
        <v>235</v>
      </c>
      <c r="S15" t="s">
        <v>531</v>
      </c>
    </row>
    <row r="16" spans="1:19" x14ac:dyDescent="0.3">
      <c r="A16" t="s">
        <v>533</v>
      </c>
      <c r="B16" t="s">
        <v>1507</v>
      </c>
      <c r="C16" t="s">
        <v>236</v>
      </c>
      <c r="S16" t="s">
        <v>532</v>
      </c>
    </row>
    <row r="17" spans="1:19" x14ac:dyDescent="0.3">
      <c r="A17" t="s">
        <v>534</v>
      </c>
      <c r="B17" t="s">
        <v>1204</v>
      </c>
      <c r="C17" t="s">
        <v>237</v>
      </c>
      <c r="S17" t="s">
        <v>533</v>
      </c>
    </row>
    <row r="18" spans="1:19" x14ac:dyDescent="0.3">
      <c r="A18" t="s">
        <v>535</v>
      </c>
      <c r="B18" t="s">
        <v>1620</v>
      </c>
      <c r="C18" t="s">
        <v>238</v>
      </c>
      <c r="S18" t="s">
        <v>534</v>
      </c>
    </row>
    <row r="19" spans="1:19" x14ac:dyDescent="0.3">
      <c r="A19" t="s">
        <v>536</v>
      </c>
      <c r="B19" t="s">
        <v>1621</v>
      </c>
      <c r="C19" t="s">
        <v>239</v>
      </c>
      <c r="S19" t="s">
        <v>535</v>
      </c>
    </row>
    <row r="20" spans="1:19" x14ac:dyDescent="0.3">
      <c r="A20" t="s">
        <v>537</v>
      </c>
      <c r="B20" t="s">
        <v>1372</v>
      </c>
      <c r="C20" t="s">
        <v>240</v>
      </c>
      <c r="S20" t="s">
        <v>536</v>
      </c>
    </row>
    <row r="21" spans="1:19" x14ac:dyDescent="0.3">
      <c r="A21" t="s">
        <v>538</v>
      </c>
      <c r="B21" t="s">
        <v>1173</v>
      </c>
      <c r="C21" t="s">
        <v>241</v>
      </c>
      <c r="S21" t="s">
        <v>537</v>
      </c>
    </row>
    <row r="22" spans="1:19" x14ac:dyDescent="0.3">
      <c r="A22" t="s">
        <v>539</v>
      </c>
      <c r="B22" t="s">
        <v>1483</v>
      </c>
      <c r="C22" t="s">
        <v>242</v>
      </c>
      <c r="S22" t="s">
        <v>538</v>
      </c>
    </row>
    <row r="23" spans="1:19" x14ac:dyDescent="0.3">
      <c r="A23" t="s">
        <v>540</v>
      </c>
      <c r="B23" t="s">
        <v>1622</v>
      </c>
      <c r="C23" t="s">
        <v>243</v>
      </c>
      <c r="S23" t="s">
        <v>539</v>
      </c>
    </row>
    <row r="24" spans="1:19" x14ac:dyDescent="0.3">
      <c r="A24" t="s">
        <v>541</v>
      </c>
      <c r="B24" t="s">
        <v>1031</v>
      </c>
      <c r="C24" t="s">
        <v>244</v>
      </c>
      <c r="S24" t="s">
        <v>540</v>
      </c>
    </row>
    <row r="25" spans="1:19" x14ac:dyDescent="0.3">
      <c r="A25" t="s">
        <v>542</v>
      </c>
      <c r="B25" t="s">
        <v>1174</v>
      </c>
      <c r="S25" t="s">
        <v>541</v>
      </c>
    </row>
    <row r="26" spans="1:19" x14ac:dyDescent="0.3">
      <c r="A26" t="s">
        <v>543</v>
      </c>
      <c r="B26" t="s">
        <v>1032</v>
      </c>
      <c r="S26" t="s">
        <v>542</v>
      </c>
    </row>
    <row r="27" spans="1:19" x14ac:dyDescent="0.3">
      <c r="A27" t="s">
        <v>544</v>
      </c>
      <c r="B27" t="s">
        <v>1236</v>
      </c>
      <c r="S27" t="s">
        <v>543</v>
      </c>
    </row>
    <row r="28" spans="1:19" x14ac:dyDescent="0.3">
      <c r="A28" t="s">
        <v>545</v>
      </c>
      <c r="B28" t="s">
        <v>1452</v>
      </c>
      <c r="S28" t="s">
        <v>544</v>
      </c>
    </row>
    <row r="29" spans="1:19" x14ac:dyDescent="0.3">
      <c r="A29" t="s">
        <v>546</v>
      </c>
      <c r="B29" t="s">
        <v>1050</v>
      </c>
      <c r="S29" t="s">
        <v>545</v>
      </c>
    </row>
    <row r="30" spans="1:19" x14ac:dyDescent="0.3">
      <c r="A30" t="s">
        <v>547</v>
      </c>
      <c r="B30" t="s">
        <v>1323</v>
      </c>
      <c r="S30" t="s">
        <v>546</v>
      </c>
    </row>
    <row r="31" spans="1:19" x14ac:dyDescent="0.3">
      <c r="A31" t="s">
        <v>548</v>
      </c>
      <c r="B31" t="s">
        <v>565</v>
      </c>
      <c r="S31" t="s">
        <v>547</v>
      </c>
    </row>
    <row r="32" spans="1:19" x14ac:dyDescent="0.3">
      <c r="A32" t="s">
        <v>549</v>
      </c>
      <c r="B32" t="s">
        <v>1175</v>
      </c>
      <c r="S32" t="s">
        <v>548</v>
      </c>
    </row>
    <row r="33" spans="1:19" x14ac:dyDescent="0.3">
      <c r="A33" t="s">
        <v>550</v>
      </c>
      <c r="B33" t="s">
        <v>1541</v>
      </c>
      <c r="S33" t="s">
        <v>549</v>
      </c>
    </row>
    <row r="34" spans="1:19" x14ac:dyDescent="0.3">
      <c r="A34" t="s">
        <v>551</v>
      </c>
      <c r="B34" t="s">
        <v>1098</v>
      </c>
      <c r="S34" t="s">
        <v>550</v>
      </c>
    </row>
    <row r="35" spans="1:19" x14ac:dyDescent="0.3">
      <c r="A35" t="s">
        <v>552</v>
      </c>
      <c r="B35" t="s">
        <v>1324</v>
      </c>
      <c r="S35" t="s">
        <v>551</v>
      </c>
    </row>
    <row r="36" spans="1:19" x14ac:dyDescent="0.3">
      <c r="A36" t="s">
        <v>553</v>
      </c>
      <c r="B36" t="s">
        <v>1623</v>
      </c>
      <c r="S36" t="s">
        <v>552</v>
      </c>
    </row>
    <row r="37" spans="1:19" x14ac:dyDescent="0.3">
      <c r="A37" t="s">
        <v>554</v>
      </c>
      <c r="B37" t="s">
        <v>1099</v>
      </c>
      <c r="S37" t="s">
        <v>553</v>
      </c>
    </row>
    <row r="38" spans="1:19" x14ac:dyDescent="0.3">
      <c r="B38" t="s">
        <v>1624</v>
      </c>
      <c r="S38" t="s">
        <v>554</v>
      </c>
    </row>
    <row r="39" spans="1:19" x14ac:dyDescent="0.3">
      <c r="B39" t="s">
        <v>1625</v>
      </c>
    </row>
    <row r="40" spans="1:19" x14ac:dyDescent="0.3">
      <c r="B40" t="s">
        <v>1277</v>
      </c>
    </row>
    <row r="41" spans="1:19" x14ac:dyDescent="0.3">
      <c r="B41" t="s">
        <v>1688</v>
      </c>
    </row>
    <row r="42" spans="1:19" x14ac:dyDescent="0.3">
      <c r="B42" t="s">
        <v>1626</v>
      </c>
    </row>
    <row r="43" spans="1:19" x14ac:dyDescent="0.3">
      <c r="B43" t="s">
        <v>617</v>
      </c>
    </row>
    <row r="44" spans="1:19" x14ac:dyDescent="0.3">
      <c r="B44" t="s">
        <v>1325</v>
      </c>
    </row>
    <row r="45" spans="1:19" x14ac:dyDescent="0.3">
      <c r="B45" t="s">
        <v>1453</v>
      </c>
    </row>
    <row r="46" spans="1:19" x14ac:dyDescent="0.3">
      <c r="B46" t="s">
        <v>1454</v>
      </c>
    </row>
    <row r="47" spans="1:19" x14ac:dyDescent="0.3">
      <c r="B47" t="s">
        <v>1278</v>
      </c>
    </row>
    <row r="48" spans="1:19" x14ac:dyDescent="0.3">
      <c r="B48" t="s">
        <v>1627</v>
      </c>
    </row>
    <row r="49" spans="2:2" x14ac:dyDescent="0.3">
      <c r="B49" t="s">
        <v>1133</v>
      </c>
    </row>
    <row r="50" spans="2:2" x14ac:dyDescent="0.3">
      <c r="B50" t="s">
        <v>1134</v>
      </c>
    </row>
    <row r="51" spans="2:2" x14ac:dyDescent="0.3">
      <c r="B51" t="s">
        <v>1135</v>
      </c>
    </row>
    <row r="52" spans="2:2" x14ac:dyDescent="0.3">
      <c r="B52" t="s">
        <v>1176</v>
      </c>
    </row>
    <row r="53" spans="2:2" x14ac:dyDescent="0.3">
      <c r="B53" t="s">
        <v>1628</v>
      </c>
    </row>
    <row r="54" spans="2:2" x14ac:dyDescent="0.3">
      <c r="B54" t="s">
        <v>1237</v>
      </c>
    </row>
    <row r="55" spans="2:2" x14ac:dyDescent="0.3">
      <c r="B55" t="s">
        <v>1100</v>
      </c>
    </row>
    <row r="56" spans="2:2" x14ac:dyDescent="0.3">
      <c r="B56" t="s">
        <v>1701</v>
      </c>
    </row>
    <row r="57" spans="2:2" x14ac:dyDescent="0.3">
      <c r="B57" t="s">
        <v>1508</v>
      </c>
    </row>
    <row r="58" spans="2:2" x14ac:dyDescent="0.3">
      <c r="B58" t="s">
        <v>1033</v>
      </c>
    </row>
    <row r="59" spans="2:2" x14ac:dyDescent="0.3">
      <c r="B59" t="s">
        <v>1629</v>
      </c>
    </row>
    <row r="60" spans="2:2" x14ac:dyDescent="0.3">
      <c r="B60" t="s">
        <v>1238</v>
      </c>
    </row>
    <row r="61" spans="2:2" x14ac:dyDescent="0.3">
      <c r="B61" t="s">
        <v>611</v>
      </c>
    </row>
    <row r="62" spans="2:2" x14ac:dyDescent="0.3">
      <c r="B62" t="s">
        <v>1630</v>
      </c>
    </row>
    <row r="63" spans="2:2" x14ac:dyDescent="0.3">
      <c r="B63" t="s">
        <v>1455</v>
      </c>
    </row>
    <row r="64" spans="2:2" x14ac:dyDescent="0.3">
      <c r="B64" t="s">
        <v>563</v>
      </c>
    </row>
    <row r="65" spans="2:2" x14ac:dyDescent="0.3">
      <c r="B65" t="s">
        <v>1484</v>
      </c>
    </row>
    <row r="66" spans="2:2" x14ac:dyDescent="0.3">
      <c r="B66" t="s">
        <v>1071</v>
      </c>
    </row>
    <row r="67" spans="2:2" x14ac:dyDescent="0.3">
      <c r="B67" t="s">
        <v>597</v>
      </c>
    </row>
    <row r="68" spans="2:2" x14ac:dyDescent="0.3">
      <c r="B68" t="s">
        <v>1136</v>
      </c>
    </row>
    <row r="69" spans="2:2" x14ac:dyDescent="0.3">
      <c r="B69" t="s">
        <v>1631</v>
      </c>
    </row>
    <row r="70" spans="2:2" x14ac:dyDescent="0.3">
      <c r="B70" t="s">
        <v>1485</v>
      </c>
    </row>
    <row r="71" spans="2:2" x14ac:dyDescent="0.3">
      <c r="B71" t="s">
        <v>1373</v>
      </c>
    </row>
    <row r="72" spans="2:2" x14ac:dyDescent="0.3">
      <c r="B72" t="s">
        <v>586</v>
      </c>
    </row>
    <row r="73" spans="2:2" x14ac:dyDescent="0.3">
      <c r="B73" t="s">
        <v>1279</v>
      </c>
    </row>
    <row r="74" spans="2:2" x14ac:dyDescent="0.3">
      <c r="B74" t="s">
        <v>1137</v>
      </c>
    </row>
    <row r="75" spans="2:2" x14ac:dyDescent="0.3">
      <c r="B75" t="s">
        <v>1280</v>
      </c>
    </row>
    <row r="76" spans="2:2" x14ac:dyDescent="0.3">
      <c r="B76" t="s">
        <v>1281</v>
      </c>
    </row>
    <row r="77" spans="2:2" x14ac:dyDescent="0.3">
      <c r="B77" t="s">
        <v>1326</v>
      </c>
    </row>
    <row r="78" spans="2:2" x14ac:dyDescent="0.3">
      <c r="B78" t="s">
        <v>1632</v>
      </c>
    </row>
    <row r="79" spans="2:2" x14ac:dyDescent="0.3">
      <c r="B79" t="s">
        <v>1580</v>
      </c>
    </row>
    <row r="80" spans="2:2" x14ac:dyDescent="0.3">
      <c r="B80" t="s">
        <v>1456</v>
      </c>
    </row>
    <row r="81" spans="2:2" x14ac:dyDescent="0.3">
      <c r="B81" t="s">
        <v>1101</v>
      </c>
    </row>
    <row r="82" spans="2:2" x14ac:dyDescent="0.3">
      <c r="B82" t="s">
        <v>1374</v>
      </c>
    </row>
    <row r="83" spans="2:2" x14ac:dyDescent="0.3">
      <c r="B83" t="s">
        <v>1509</v>
      </c>
    </row>
    <row r="84" spans="2:2" x14ac:dyDescent="0.3">
      <c r="B84" t="s">
        <v>1177</v>
      </c>
    </row>
    <row r="85" spans="2:2" x14ac:dyDescent="0.3">
      <c r="B85" t="s">
        <v>1178</v>
      </c>
    </row>
    <row r="86" spans="2:2" x14ac:dyDescent="0.3">
      <c r="B86" t="s">
        <v>1510</v>
      </c>
    </row>
    <row r="87" spans="2:2" x14ac:dyDescent="0.3">
      <c r="B87" t="s">
        <v>1327</v>
      </c>
    </row>
    <row r="88" spans="2:2" x14ac:dyDescent="0.3">
      <c r="B88" t="s">
        <v>1205</v>
      </c>
    </row>
    <row r="89" spans="2:2" x14ac:dyDescent="0.3">
      <c r="B89" t="s">
        <v>1102</v>
      </c>
    </row>
    <row r="90" spans="2:2" x14ac:dyDescent="0.3">
      <c r="B90" t="s">
        <v>1328</v>
      </c>
    </row>
    <row r="91" spans="2:2" x14ac:dyDescent="0.3">
      <c r="B91" t="s">
        <v>1282</v>
      </c>
    </row>
    <row r="92" spans="2:2" x14ac:dyDescent="0.3">
      <c r="B92" t="s">
        <v>587</v>
      </c>
    </row>
    <row r="93" spans="2:2" x14ac:dyDescent="0.3">
      <c r="B93" t="s">
        <v>1633</v>
      </c>
    </row>
    <row r="94" spans="2:2" x14ac:dyDescent="0.3">
      <c r="B94" t="s">
        <v>1511</v>
      </c>
    </row>
    <row r="95" spans="2:2" x14ac:dyDescent="0.3">
      <c r="B95" t="s">
        <v>1138</v>
      </c>
    </row>
    <row r="96" spans="2:2" x14ac:dyDescent="0.3">
      <c r="B96" t="s">
        <v>1702</v>
      </c>
    </row>
    <row r="97" spans="2:2" x14ac:dyDescent="0.3">
      <c r="B97" t="s">
        <v>1404</v>
      </c>
    </row>
    <row r="98" spans="2:2" x14ac:dyDescent="0.3">
      <c r="B98" t="s">
        <v>1072</v>
      </c>
    </row>
    <row r="99" spans="2:2" x14ac:dyDescent="0.3">
      <c r="B99" t="s">
        <v>1256</v>
      </c>
    </row>
    <row r="100" spans="2:2" x14ac:dyDescent="0.3">
      <c r="B100" t="s">
        <v>1073</v>
      </c>
    </row>
    <row r="101" spans="2:2" x14ac:dyDescent="0.3">
      <c r="B101" t="s">
        <v>1179</v>
      </c>
    </row>
    <row r="102" spans="2:2" x14ac:dyDescent="0.3">
      <c r="B102" t="s">
        <v>1457</v>
      </c>
    </row>
    <row r="103" spans="2:2" x14ac:dyDescent="0.3">
      <c r="B103" t="s">
        <v>1634</v>
      </c>
    </row>
    <row r="104" spans="2:2" x14ac:dyDescent="0.3">
      <c r="B104" t="s">
        <v>1239</v>
      </c>
    </row>
    <row r="105" spans="2:2" x14ac:dyDescent="0.3">
      <c r="B105" t="s">
        <v>1635</v>
      </c>
    </row>
    <row r="106" spans="2:2" x14ac:dyDescent="0.3">
      <c r="B106" t="s">
        <v>1375</v>
      </c>
    </row>
    <row r="107" spans="2:2" x14ac:dyDescent="0.3">
      <c r="B107" t="s">
        <v>1512</v>
      </c>
    </row>
    <row r="108" spans="2:2" x14ac:dyDescent="0.3">
      <c r="B108" t="s">
        <v>1329</v>
      </c>
    </row>
    <row r="109" spans="2:2" x14ac:dyDescent="0.3">
      <c r="B109" t="s">
        <v>1103</v>
      </c>
    </row>
    <row r="110" spans="2:2" x14ac:dyDescent="0.3">
      <c r="B110" t="s">
        <v>1074</v>
      </c>
    </row>
    <row r="111" spans="2:2" x14ac:dyDescent="0.3">
      <c r="B111" t="s">
        <v>1159</v>
      </c>
    </row>
    <row r="112" spans="2:2" x14ac:dyDescent="0.3">
      <c r="B112" t="s">
        <v>1283</v>
      </c>
    </row>
    <row r="113" spans="2:2" x14ac:dyDescent="0.3">
      <c r="B113" t="s">
        <v>591</v>
      </c>
    </row>
    <row r="114" spans="2:2" x14ac:dyDescent="0.3">
      <c r="B114" t="s">
        <v>1689</v>
      </c>
    </row>
    <row r="115" spans="2:2" x14ac:dyDescent="0.3">
      <c r="B115" t="s">
        <v>1690</v>
      </c>
    </row>
    <row r="116" spans="2:2" x14ac:dyDescent="0.3">
      <c r="B116" t="s">
        <v>1428</v>
      </c>
    </row>
    <row r="117" spans="2:2" x14ac:dyDescent="0.3">
      <c r="B117" t="s">
        <v>1636</v>
      </c>
    </row>
    <row r="118" spans="2:2" x14ac:dyDescent="0.3">
      <c r="B118" t="s">
        <v>603</v>
      </c>
    </row>
    <row r="119" spans="2:2" x14ac:dyDescent="0.3">
      <c r="B119" t="s">
        <v>524</v>
      </c>
    </row>
    <row r="120" spans="2:2" x14ac:dyDescent="0.3">
      <c r="B120" t="s">
        <v>1376</v>
      </c>
    </row>
    <row r="121" spans="2:2" x14ac:dyDescent="0.3">
      <c r="B121" t="s">
        <v>1051</v>
      </c>
    </row>
    <row r="122" spans="2:2" x14ac:dyDescent="0.3">
      <c r="B122" t="s">
        <v>1206</v>
      </c>
    </row>
    <row r="123" spans="2:2" x14ac:dyDescent="0.3">
      <c r="B123" t="s">
        <v>1257</v>
      </c>
    </row>
    <row r="124" spans="2:2" x14ac:dyDescent="0.3">
      <c r="B124" t="s">
        <v>1542</v>
      </c>
    </row>
    <row r="125" spans="2:2" x14ac:dyDescent="0.3">
      <c r="B125" t="s">
        <v>1543</v>
      </c>
    </row>
    <row r="126" spans="2:2" x14ac:dyDescent="0.3">
      <c r="B126" t="s">
        <v>1330</v>
      </c>
    </row>
    <row r="127" spans="2:2" x14ac:dyDescent="0.3">
      <c r="B127" t="s">
        <v>1331</v>
      </c>
    </row>
    <row r="128" spans="2:2" x14ac:dyDescent="0.3">
      <c r="B128" t="s">
        <v>1180</v>
      </c>
    </row>
    <row r="129" spans="2:2" x14ac:dyDescent="0.3">
      <c r="B129" t="s">
        <v>1284</v>
      </c>
    </row>
    <row r="130" spans="2:2" x14ac:dyDescent="0.3">
      <c r="B130" t="s">
        <v>1285</v>
      </c>
    </row>
    <row r="131" spans="2:2" x14ac:dyDescent="0.3">
      <c r="B131" t="s">
        <v>1075</v>
      </c>
    </row>
    <row r="132" spans="2:2" x14ac:dyDescent="0.3">
      <c r="B132" t="s">
        <v>1286</v>
      </c>
    </row>
    <row r="133" spans="2:2" x14ac:dyDescent="0.3">
      <c r="B133" t="s">
        <v>1637</v>
      </c>
    </row>
    <row r="134" spans="2:2" x14ac:dyDescent="0.3">
      <c r="B134" t="s">
        <v>1034</v>
      </c>
    </row>
    <row r="135" spans="2:2" x14ac:dyDescent="0.3">
      <c r="B135" t="s">
        <v>1513</v>
      </c>
    </row>
    <row r="136" spans="2:2" x14ac:dyDescent="0.3">
      <c r="B136" t="s">
        <v>1438</v>
      </c>
    </row>
    <row r="137" spans="2:2" x14ac:dyDescent="0.3">
      <c r="B137" t="s">
        <v>1405</v>
      </c>
    </row>
    <row r="138" spans="2:2" x14ac:dyDescent="0.3">
      <c r="B138" t="s">
        <v>1514</v>
      </c>
    </row>
    <row r="139" spans="2:2" x14ac:dyDescent="0.3">
      <c r="B139" t="s">
        <v>1544</v>
      </c>
    </row>
    <row r="140" spans="2:2" x14ac:dyDescent="0.3">
      <c r="B140" t="s">
        <v>1703</v>
      </c>
    </row>
    <row r="141" spans="2:2" x14ac:dyDescent="0.3">
      <c r="B141" t="s">
        <v>1545</v>
      </c>
    </row>
    <row r="142" spans="2:2" x14ac:dyDescent="0.3">
      <c r="B142" t="s">
        <v>1458</v>
      </c>
    </row>
    <row r="143" spans="2:2" x14ac:dyDescent="0.3">
      <c r="B143" t="s">
        <v>1156</v>
      </c>
    </row>
    <row r="144" spans="2:2" x14ac:dyDescent="0.3">
      <c r="B144" t="s">
        <v>1181</v>
      </c>
    </row>
    <row r="145" spans="2:2" x14ac:dyDescent="0.3">
      <c r="B145" t="s">
        <v>1704</v>
      </c>
    </row>
    <row r="146" spans="2:2" x14ac:dyDescent="0.3">
      <c r="B146" t="s">
        <v>1287</v>
      </c>
    </row>
    <row r="147" spans="2:2" x14ac:dyDescent="0.3">
      <c r="B147" t="s">
        <v>1157</v>
      </c>
    </row>
    <row r="148" spans="2:2" x14ac:dyDescent="0.3">
      <c r="B148" t="s">
        <v>1332</v>
      </c>
    </row>
    <row r="149" spans="2:2" x14ac:dyDescent="0.3">
      <c r="B149" t="s">
        <v>590</v>
      </c>
    </row>
    <row r="150" spans="2:2" x14ac:dyDescent="0.3">
      <c r="B150" t="s">
        <v>588</v>
      </c>
    </row>
    <row r="151" spans="2:2" x14ac:dyDescent="0.3">
      <c r="B151" t="s">
        <v>1104</v>
      </c>
    </row>
    <row r="152" spans="2:2" x14ac:dyDescent="0.3">
      <c r="B152" t="s">
        <v>1705</v>
      </c>
    </row>
    <row r="153" spans="2:2" x14ac:dyDescent="0.3">
      <c r="B153" t="s">
        <v>1076</v>
      </c>
    </row>
    <row r="154" spans="2:2" x14ac:dyDescent="0.3">
      <c r="B154" t="s">
        <v>1333</v>
      </c>
    </row>
    <row r="155" spans="2:2" x14ac:dyDescent="0.3">
      <c r="B155" t="s">
        <v>1515</v>
      </c>
    </row>
    <row r="156" spans="2:2" x14ac:dyDescent="0.3">
      <c r="B156" t="s">
        <v>1288</v>
      </c>
    </row>
    <row r="157" spans="2:2" x14ac:dyDescent="0.3">
      <c r="B157" t="s">
        <v>1691</v>
      </c>
    </row>
    <row r="158" spans="2:2" x14ac:dyDescent="0.3">
      <c r="B158" t="s">
        <v>1459</v>
      </c>
    </row>
    <row r="159" spans="2:2" x14ac:dyDescent="0.3">
      <c r="B159" t="s">
        <v>1258</v>
      </c>
    </row>
    <row r="160" spans="2:2" x14ac:dyDescent="0.3">
      <c r="B160" t="s">
        <v>1638</v>
      </c>
    </row>
    <row r="161" spans="2:2" x14ac:dyDescent="0.3">
      <c r="B161" t="s">
        <v>1182</v>
      </c>
    </row>
    <row r="162" spans="2:2" x14ac:dyDescent="0.3">
      <c r="B162" t="s">
        <v>1334</v>
      </c>
    </row>
    <row r="163" spans="2:2" x14ac:dyDescent="0.3">
      <c r="B163" t="s">
        <v>576</v>
      </c>
    </row>
    <row r="164" spans="2:2" x14ac:dyDescent="0.3">
      <c r="B164" t="s">
        <v>1139</v>
      </c>
    </row>
    <row r="165" spans="2:2" x14ac:dyDescent="0.3">
      <c r="B165" t="s">
        <v>1259</v>
      </c>
    </row>
    <row r="166" spans="2:2" x14ac:dyDescent="0.3">
      <c r="B166" t="s">
        <v>1335</v>
      </c>
    </row>
    <row r="167" spans="2:2" x14ac:dyDescent="0.3">
      <c r="B167" t="s">
        <v>1546</v>
      </c>
    </row>
    <row r="168" spans="2:2" x14ac:dyDescent="0.3">
      <c r="B168" t="s">
        <v>1289</v>
      </c>
    </row>
    <row r="169" spans="2:2" x14ac:dyDescent="0.3">
      <c r="B169" t="s">
        <v>1077</v>
      </c>
    </row>
    <row r="170" spans="2:2" x14ac:dyDescent="0.3">
      <c r="B170" t="s">
        <v>1460</v>
      </c>
    </row>
    <row r="171" spans="2:2" x14ac:dyDescent="0.3">
      <c r="B171" t="s">
        <v>1516</v>
      </c>
    </row>
    <row r="172" spans="2:2" x14ac:dyDescent="0.3">
      <c r="B172" t="s">
        <v>1078</v>
      </c>
    </row>
    <row r="173" spans="2:2" x14ac:dyDescent="0.3">
      <c r="B173" t="s">
        <v>1377</v>
      </c>
    </row>
    <row r="174" spans="2:2" x14ac:dyDescent="0.3">
      <c r="B174" t="s">
        <v>1052</v>
      </c>
    </row>
    <row r="175" spans="2:2" x14ac:dyDescent="0.3">
      <c r="B175" t="s">
        <v>1079</v>
      </c>
    </row>
    <row r="176" spans="2:2" x14ac:dyDescent="0.3">
      <c r="B176" t="s">
        <v>1080</v>
      </c>
    </row>
    <row r="177" spans="2:2" x14ac:dyDescent="0.3">
      <c r="B177" t="s">
        <v>1439</v>
      </c>
    </row>
    <row r="178" spans="2:2" x14ac:dyDescent="0.3">
      <c r="B178" t="s">
        <v>1547</v>
      </c>
    </row>
    <row r="179" spans="2:2" x14ac:dyDescent="0.3">
      <c r="B179" t="s">
        <v>1336</v>
      </c>
    </row>
    <row r="180" spans="2:2" x14ac:dyDescent="0.3">
      <c r="B180" t="s">
        <v>1158</v>
      </c>
    </row>
    <row r="181" spans="2:2" x14ac:dyDescent="0.3">
      <c r="B181" t="s">
        <v>1240</v>
      </c>
    </row>
    <row r="182" spans="2:2" x14ac:dyDescent="0.3">
      <c r="B182" t="s">
        <v>1260</v>
      </c>
    </row>
    <row r="183" spans="2:2" x14ac:dyDescent="0.3">
      <c r="B183" t="s">
        <v>1517</v>
      </c>
    </row>
    <row r="184" spans="2:2" x14ac:dyDescent="0.3">
      <c r="B184" t="s">
        <v>1140</v>
      </c>
    </row>
    <row r="185" spans="2:2" x14ac:dyDescent="0.3">
      <c r="B185" t="s">
        <v>1105</v>
      </c>
    </row>
    <row r="186" spans="2:2" x14ac:dyDescent="0.3">
      <c r="B186" t="s">
        <v>1160</v>
      </c>
    </row>
    <row r="187" spans="2:2" x14ac:dyDescent="0.3">
      <c r="B187" t="s">
        <v>572</v>
      </c>
    </row>
    <row r="188" spans="2:2" x14ac:dyDescent="0.3">
      <c r="B188" t="s">
        <v>1035</v>
      </c>
    </row>
    <row r="189" spans="2:2" x14ac:dyDescent="0.3">
      <c r="B189" t="s">
        <v>1418</v>
      </c>
    </row>
    <row r="190" spans="2:2" x14ac:dyDescent="0.3">
      <c r="B190" t="s">
        <v>1053</v>
      </c>
    </row>
    <row r="191" spans="2:2" x14ac:dyDescent="0.3">
      <c r="B191" t="s">
        <v>1419</v>
      </c>
    </row>
    <row r="192" spans="2:2" x14ac:dyDescent="0.3">
      <c r="B192" t="s">
        <v>1054</v>
      </c>
    </row>
    <row r="193" spans="2:2" x14ac:dyDescent="0.3">
      <c r="B193" t="s">
        <v>1261</v>
      </c>
    </row>
    <row r="194" spans="2:2" x14ac:dyDescent="0.3">
      <c r="B194" t="s">
        <v>1036</v>
      </c>
    </row>
    <row r="195" spans="2:2" x14ac:dyDescent="0.3">
      <c r="B195" t="s">
        <v>1307</v>
      </c>
    </row>
    <row r="196" spans="2:2" x14ac:dyDescent="0.3">
      <c r="B196" t="s">
        <v>1548</v>
      </c>
    </row>
    <row r="197" spans="2:2" x14ac:dyDescent="0.3">
      <c r="B197" t="s">
        <v>1639</v>
      </c>
    </row>
    <row r="198" spans="2:2" x14ac:dyDescent="0.3">
      <c r="B198" t="s">
        <v>1640</v>
      </c>
    </row>
    <row r="199" spans="2:2" x14ac:dyDescent="0.3">
      <c r="B199" t="s">
        <v>1207</v>
      </c>
    </row>
    <row r="200" spans="2:2" x14ac:dyDescent="0.3">
      <c r="B200" t="s">
        <v>1486</v>
      </c>
    </row>
    <row r="201" spans="2:2" x14ac:dyDescent="0.3">
      <c r="B201" t="s">
        <v>1641</v>
      </c>
    </row>
    <row r="202" spans="2:2" x14ac:dyDescent="0.3">
      <c r="B202" t="s">
        <v>1208</v>
      </c>
    </row>
    <row r="203" spans="2:2" x14ac:dyDescent="0.3">
      <c r="B203" t="s">
        <v>1487</v>
      </c>
    </row>
    <row r="204" spans="2:2" x14ac:dyDescent="0.3">
      <c r="B204" t="s">
        <v>1642</v>
      </c>
    </row>
    <row r="205" spans="2:2" x14ac:dyDescent="0.3">
      <c r="B205" t="s">
        <v>1488</v>
      </c>
    </row>
    <row r="206" spans="2:2" x14ac:dyDescent="0.3">
      <c r="B206" t="s">
        <v>1489</v>
      </c>
    </row>
    <row r="207" spans="2:2" x14ac:dyDescent="0.3">
      <c r="B207" t="s">
        <v>1643</v>
      </c>
    </row>
    <row r="208" spans="2:2" x14ac:dyDescent="0.3">
      <c r="B208" t="s">
        <v>1290</v>
      </c>
    </row>
    <row r="209" spans="2:2" x14ac:dyDescent="0.3">
      <c r="B209" t="s">
        <v>1378</v>
      </c>
    </row>
    <row r="210" spans="2:2" x14ac:dyDescent="0.3">
      <c r="B210" t="s">
        <v>1461</v>
      </c>
    </row>
    <row r="211" spans="2:2" x14ac:dyDescent="0.3">
      <c r="B211" t="s">
        <v>1241</v>
      </c>
    </row>
    <row r="212" spans="2:2" x14ac:dyDescent="0.3">
      <c r="B212" t="s">
        <v>1183</v>
      </c>
    </row>
    <row r="213" spans="2:2" x14ac:dyDescent="0.3">
      <c r="B213" t="s">
        <v>1518</v>
      </c>
    </row>
    <row r="214" spans="2:2" x14ac:dyDescent="0.3">
      <c r="B214" t="s">
        <v>1535</v>
      </c>
    </row>
    <row r="215" spans="2:2" x14ac:dyDescent="0.3">
      <c r="B215" t="s">
        <v>1462</v>
      </c>
    </row>
    <row r="216" spans="2:2" x14ac:dyDescent="0.3">
      <c r="B216" t="s">
        <v>1262</v>
      </c>
    </row>
    <row r="217" spans="2:2" x14ac:dyDescent="0.3">
      <c r="B217" t="s">
        <v>1141</v>
      </c>
    </row>
    <row r="218" spans="2:2" x14ac:dyDescent="0.3">
      <c r="B218" t="s">
        <v>1644</v>
      </c>
    </row>
    <row r="219" spans="2:2" x14ac:dyDescent="0.3">
      <c r="B219" t="s">
        <v>1106</v>
      </c>
    </row>
    <row r="220" spans="2:2" x14ac:dyDescent="0.3">
      <c r="B220" t="s">
        <v>1645</v>
      </c>
    </row>
    <row r="221" spans="2:2" x14ac:dyDescent="0.3">
      <c r="B221" t="s">
        <v>1646</v>
      </c>
    </row>
    <row r="222" spans="2:2" x14ac:dyDescent="0.3">
      <c r="B222" t="s">
        <v>1184</v>
      </c>
    </row>
    <row r="223" spans="2:2" x14ac:dyDescent="0.3">
      <c r="B223" t="s">
        <v>1263</v>
      </c>
    </row>
    <row r="224" spans="2:2" x14ac:dyDescent="0.3">
      <c r="B224" t="s">
        <v>1081</v>
      </c>
    </row>
    <row r="225" spans="2:2" x14ac:dyDescent="0.3">
      <c r="B225" t="s">
        <v>1264</v>
      </c>
    </row>
    <row r="226" spans="2:2" x14ac:dyDescent="0.3">
      <c r="B226" t="s">
        <v>1082</v>
      </c>
    </row>
    <row r="227" spans="2:2" x14ac:dyDescent="0.3">
      <c r="B227" t="s">
        <v>1611</v>
      </c>
    </row>
    <row r="228" spans="2:2" x14ac:dyDescent="0.3">
      <c r="B228" t="s">
        <v>1647</v>
      </c>
    </row>
    <row r="229" spans="2:2" x14ac:dyDescent="0.3">
      <c r="B229" t="s">
        <v>1379</v>
      </c>
    </row>
    <row r="230" spans="2:2" x14ac:dyDescent="0.3">
      <c r="B230" t="s">
        <v>1107</v>
      </c>
    </row>
    <row r="231" spans="2:2" x14ac:dyDescent="0.3">
      <c r="B231" t="s">
        <v>1648</v>
      </c>
    </row>
    <row r="232" spans="2:2" x14ac:dyDescent="0.3">
      <c r="B232" t="s">
        <v>1265</v>
      </c>
    </row>
    <row r="233" spans="2:2" x14ac:dyDescent="0.3">
      <c r="B233" t="s">
        <v>1337</v>
      </c>
    </row>
    <row r="234" spans="2:2" x14ac:dyDescent="0.3">
      <c r="B234" t="s">
        <v>1037</v>
      </c>
    </row>
    <row r="235" spans="2:2" x14ac:dyDescent="0.3">
      <c r="B235" t="s">
        <v>1490</v>
      </c>
    </row>
    <row r="236" spans="2:2" x14ac:dyDescent="0.3">
      <c r="B236" t="s">
        <v>1209</v>
      </c>
    </row>
    <row r="237" spans="2:2" x14ac:dyDescent="0.3">
      <c r="B237" t="s">
        <v>1338</v>
      </c>
    </row>
    <row r="238" spans="2:2" x14ac:dyDescent="0.3">
      <c r="B238" t="s">
        <v>1536</v>
      </c>
    </row>
    <row r="239" spans="2:2" x14ac:dyDescent="0.3">
      <c r="B239" t="s">
        <v>1083</v>
      </c>
    </row>
    <row r="240" spans="2:2" x14ac:dyDescent="0.3">
      <c r="B240" t="s">
        <v>1226</v>
      </c>
    </row>
    <row r="241" spans="2:2" x14ac:dyDescent="0.3">
      <c r="B241" t="s">
        <v>1581</v>
      </c>
    </row>
    <row r="242" spans="2:2" x14ac:dyDescent="0.3">
      <c r="B242" t="s">
        <v>1519</v>
      </c>
    </row>
    <row r="243" spans="2:2" x14ac:dyDescent="0.3">
      <c r="B243" t="s">
        <v>1649</v>
      </c>
    </row>
    <row r="244" spans="2:2" x14ac:dyDescent="0.3">
      <c r="B244" t="s">
        <v>1339</v>
      </c>
    </row>
    <row r="245" spans="2:2" x14ac:dyDescent="0.3">
      <c r="B245" t="s">
        <v>1650</v>
      </c>
    </row>
    <row r="246" spans="2:2" x14ac:dyDescent="0.3">
      <c r="B246" t="s">
        <v>1692</v>
      </c>
    </row>
    <row r="247" spans="2:2" x14ac:dyDescent="0.3">
      <c r="B247" t="s">
        <v>1291</v>
      </c>
    </row>
    <row r="248" spans="2:2" x14ac:dyDescent="0.3">
      <c r="B248" t="s">
        <v>1651</v>
      </c>
    </row>
    <row r="249" spans="2:2" x14ac:dyDescent="0.3">
      <c r="B249" t="s">
        <v>1292</v>
      </c>
    </row>
    <row r="250" spans="2:2" x14ac:dyDescent="0.3">
      <c r="B250" t="s">
        <v>1266</v>
      </c>
    </row>
    <row r="251" spans="2:2" x14ac:dyDescent="0.3">
      <c r="B251" t="s">
        <v>1380</v>
      </c>
    </row>
    <row r="252" spans="2:2" x14ac:dyDescent="0.3">
      <c r="B252" t="s">
        <v>1210</v>
      </c>
    </row>
    <row r="253" spans="2:2" x14ac:dyDescent="0.3">
      <c r="B253" t="s">
        <v>1429</v>
      </c>
    </row>
    <row r="254" spans="2:2" x14ac:dyDescent="0.3">
      <c r="B254" t="s">
        <v>1084</v>
      </c>
    </row>
    <row r="255" spans="2:2" x14ac:dyDescent="0.3">
      <c r="B255" t="s">
        <v>1706</v>
      </c>
    </row>
    <row r="256" spans="2:2" x14ac:dyDescent="0.3">
      <c r="B256" t="s">
        <v>1340</v>
      </c>
    </row>
    <row r="257" spans="2:2" x14ac:dyDescent="0.3">
      <c r="B257" t="s">
        <v>1491</v>
      </c>
    </row>
    <row r="258" spans="2:2" x14ac:dyDescent="0.3">
      <c r="B258" t="s">
        <v>1707</v>
      </c>
    </row>
    <row r="259" spans="2:2" x14ac:dyDescent="0.3">
      <c r="B259" t="s">
        <v>1582</v>
      </c>
    </row>
    <row r="260" spans="2:2" x14ac:dyDescent="0.3">
      <c r="B260" t="s">
        <v>1308</v>
      </c>
    </row>
    <row r="261" spans="2:2" x14ac:dyDescent="0.3">
      <c r="B261" t="s">
        <v>1406</v>
      </c>
    </row>
    <row r="262" spans="2:2" x14ac:dyDescent="0.3">
      <c r="B262" t="s">
        <v>1407</v>
      </c>
    </row>
    <row r="263" spans="2:2" x14ac:dyDescent="0.3">
      <c r="B263" t="s">
        <v>1341</v>
      </c>
    </row>
    <row r="264" spans="2:2" x14ac:dyDescent="0.3">
      <c r="B264" t="s">
        <v>1055</v>
      </c>
    </row>
    <row r="265" spans="2:2" x14ac:dyDescent="0.3">
      <c r="B265" t="s">
        <v>1342</v>
      </c>
    </row>
    <row r="266" spans="2:2" x14ac:dyDescent="0.3">
      <c r="B266" t="s">
        <v>1463</v>
      </c>
    </row>
    <row r="267" spans="2:2" x14ac:dyDescent="0.3">
      <c r="B267" t="s">
        <v>1583</v>
      </c>
    </row>
    <row r="268" spans="2:2" x14ac:dyDescent="0.3">
      <c r="B268" t="s">
        <v>1520</v>
      </c>
    </row>
    <row r="269" spans="2:2" x14ac:dyDescent="0.3">
      <c r="B269" t="s">
        <v>562</v>
      </c>
    </row>
    <row r="270" spans="2:2" x14ac:dyDescent="0.3">
      <c r="B270" t="s">
        <v>1464</v>
      </c>
    </row>
    <row r="271" spans="2:2" x14ac:dyDescent="0.3">
      <c r="B271" t="s">
        <v>1492</v>
      </c>
    </row>
    <row r="272" spans="2:2" x14ac:dyDescent="0.3">
      <c r="B272" t="s">
        <v>1652</v>
      </c>
    </row>
    <row r="273" spans="2:2" x14ac:dyDescent="0.3">
      <c r="B273" t="s">
        <v>1381</v>
      </c>
    </row>
    <row r="274" spans="2:2" x14ac:dyDescent="0.3">
      <c r="B274" t="s">
        <v>1382</v>
      </c>
    </row>
    <row r="275" spans="2:2" x14ac:dyDescent="0.3">
      <c r="B275" t="s">
        <v>613</v>
      </c>
    </row>
    <row r="276" spans="2:2" x14ac:dyDescent="0.3">
      <c r="B276" t="s">
        <v>1708</v>
      </c>
    </row>
    <row r="277" spans="2:2" x14ac:dyDescent="0.3">
      <c r="B277" t="s">
        <v>1242</v>
      </c>
    </row>
    <row r="278" spans="2:2" x14ac:dyDescent="0.3">
      <c r="B278" t="s">
        <v>1185</v>
      </c>
    </row>
    <row r="279" spans="2:2" x14ac:dyDescent="0.3">
      <c r="B279" t="s">
        <v>1267</v>
      </c>
    </row>
    <row r="280" spans="2:2" x14ac:dyDescent="0.3">
      <c r="B280" t="s">
        <v>1108</v>
      </c>
    </row>
    <row r="281" spans="2:2" x14ac:dyDescent="0.3">
      <c r="B281" t="s">
        <v>1584</v>
      </c>
    </row>
    <row r="282" spans="2:2" x14ac:dyDescent="0.3">
      <c r="B282" t="s">
        <v>1142</v>
      </c>
    </row>
    <row r="283" spans="2:2" x14ac:dyDescent="0.3">
      <c r="B283" t="s">
        <v>1143</v>
      </c>
    </row>
    <row r="284" spans="2:2" x14ac:dyDescent="0.3">
      <c r="B284" t="s">
        <v>1653</v>
      </c>
    </row>
    <row r="285" spans="2:2" x14ac:dyDescent="0.3">
      <c r="B285" t="s">
        <v>1585</v>
      </c>
    </row>
    <row r="286" spans="2:2" x14ac:dyDescent="0.3">
      <c r="B286" t="s">
        <v>1109</v>
      </c>
    </row>
    <row r="287" spans="2:2" x14ac:dyDescent="0.3">
      <c r="B287" t="s">
        <v>1343</v>
      </c>
    </row>
    <row r="288" spans="2:2" x14ac:dyDescent="0.3">
      <c r="B288" t="s">
        <v>1211</v>
      </c>
    </row>
    <row r="289" spans="2:2" x14ac:dyDescent="0.3">
      <c r="B289" t="s">
        <v>1521</v>
      </c>
    </row>
    <row r="290" spans="2:2" x14ac:dyDescent="0.3">
      <c r="B290" t="s">
        <v>1654</v>
      </c>
    </row>
    <row r="291" spans="2:2" x14ac:dyDescent="0.3">
      <c r="B291" t="s">
        <v>1709</v>
      </c>
    </row>
    <row r="292" spans="2:2" x14ac:dyDescent="0.3">
      <c r="B292" t="s">
        <v>1465</v>
      </c>
    </row>
    <row r="293" spans="2:2" x14ac:dyDescent="0.3">
      <c r="B293" t="s">
        <v>1522</v>
      </c>
    </row>
    <row r="294" spans="2:2" x14ac:dyDescent="0.3">
      <c r="B294" t="s">
        <v>1212</v>
      </c>
    </row>
    <row r="295" spans="2:2" x14ac:dyDescent="0.3">
      <c r="B295" t="s">
        <v>1408</v>
      </c>
    </row>
    <row r="296" spans="2:2" x14ac:dyDescent="0.3">
      <c r="B296" t="s">
        <v>1523</v>
      </c>
    </row>
    <row r="297" spans="2:2" x14ac:dyDescent="0.3">
      <c r="B297" t="s">
        <v>1586</v>
      </c>
    </row>
    <row r="298" spans="2:2" x14ac:dyDescent="0.3">
      <c r="B298" t="s">
        <v>1085</v>
      </c>
    </row>
    <row r="299" spans="2:2" x14ac:dyDescent="0.3">
      <c r="B299" t="s">
        <v>1186</v>
      </c>
    </row>
    <row r="300" spans="2:2" x14ac:dyDescent="0.3">
      <c r="B300" t="s">
        <v>1144</v>
      </c>
    </row>
    <row r="301" spans="2:2" x14ac:dyDescent="0.3">
      <c r="B301" t="s">
        <v>1110</v>
      </c>
    </row>
    <row r="302" spans="2:2" x14ac:dyDescent="0.3">
      <c r="B302" t="s">
        <v>1213</v>
      </c>
    </row>
    <row r="303" spans="2:2" x14ac:dyDescent="0.3">
      <c r="B303" t="s">
        <v>1409</v>
      </c>
    </row>
    <row r="304" spans="2:2" x14ac:dyDescent="0.3">
      <c r="B304" t="s">
        <v>1038</v>
      </c>
    </row>
    <row r="305" spans="2:2" x14ac:dyDescent="0.3">
      <c r="B305" t="s">
        <v>1293</v>
      </c>
    </row>
    <row r="306" spans="2:2" x14ac:dyDescent="0.3">
      <c r="B306" t="s">
        <v>1466</v>
      </c>
    </row>
    <row r="307" spans="2:2" x14ac:dyDescent="0.3">
      <c r="B307" t="s">
        <v>1710</v>
      </c>
    </row>
    <row r="308" spans="2:2" x14ac:dyDescent="0.3">
      <c r="B308" t="s">
        <v>1549</v>
      </c>
    </row>
    <row r="309" spans="2:2" x14ac:dyDescent="0.3">
      <c r="B309" t="s">
        <v>1587</v>
      </c>
    </row>
    <row r="310" spans="2:2" x14ac:dyDescent="0.3">
      <c r="B310" t="s">
        <v>1410</v>
      </c>
    </row>
    <row r="311" spans="2:2" x14ac:dyDescent="0.3">
      <c r="B311" t="s">
        <v>1056</v>
      </c>
    </row>
    <row r="312" spans="2:2" x14ac:dyDescent="0.3">
      <c r="B312" t="s">
        <v>1086</v>
      </c>
    </row>
    <row r="313" spans="2:2" x14ac:dyDescent="0.3">
      <c r="B313" t="s">
        <v>1087</v>
      </c>
    </row>
    <row r="314" spans="2:2" x14ac:dyDescent="0.3">
      <c r="B314" t="s">
        <v>1550</v>
      </c>
    </row>
    <row r="315" spans="2:2" x14ac:dyDescent="0.3">
      <c r="B315" t="s">
        <v>1467</v>
      </c>
    </row>
    <row r="316" spans="2:2" x14ac:dyDescent="0.3">
      <c r="B316" t="s">
        <v>1411</v>
      </c>
    </row>
    <row r="317" spans="2:2" x14ac:dyDescent="0.3">
      <c r="B317" t="s">
        <v>1227</v>
      </c>
    </row>
    <row r="318" spans="2:2" x14ac:dyDescent="0.3">
      <c r="B318" t="s">
        <v>1145</v>
      </c>
    </row>
    <row r="319" spans="2:2" x14ac:dyDescent="0.3">
      <c r="B319" t="s">
        <v>1655</v>
      </c>
    </row>
    <row r="320" spans="2:2" x14ac:dyDescent="0.3">
      <c r="B320" t="s">
        <v>1309</v>
      </c>
    </row>
    <row r="321" spans="2:2" x14ac:dyDescent="0.3">
      <c r="B321" t="s">
        <v>1656</v>
      </c>
    </row>
    <row r="322" spans="2:2" x14ac:dyDescent="0.3">
      <c r="B322" t="s">
        <v>1657</v>
      </c>
    </row>
    <row r="323" spans="2:2" x14ac:dyDescent="0.3">
      <c r="B323" t="s">
        <v>1551</v>
      </c>
    </row>
    <row r="324" spans="2:2" x14ac:dyDescent="0.3">
      <c r="B324" t="s">
        <v>1493</v>
      </c>
    </row>
    <row r="325" spans="2:2" x14ac:dyDescent="0.3">
      <c r="B325" t="s">
        <v>1480</v>
      </c>
    </row>
    <row r="326" spans="2:2" x14ac:dyDescent="0.3">
      <c r="B326" t="s">
        <v>1524</v>
      </c>
    </row>
    <row r="327" spans="2:2" x14ac:dyDescent="0.3">
      <c r="B327" t="s">
        <v>567</v>
      </c>
    </row>
    <row r="328" spans="2:2" x14ac:dyDescent="0.3">
      <c r="B328" t="s">
        <v>1320</v>
      </c>
    </row>
    <row r="329" spans="2:2" x14ac:dyDescent="0.3">
      <c r="B329" t="s">
        <v>1088</v>
      </c>
    </row>
    <row r="330" spans="2:2" x14ac:dyDescent="0.3">
      <c r="B330" t="s">
        <v>1588</v>
      </c>
    </row>
    <row r="331" spans="2:2" x14ac:dyDescent="0.3">
      <c r="B331" t="s">
        <v>1214</v>
      </c>
    </row>
    <row r="332" spans="2:2" x14ac:dyDescent="0.3">
      <c r="B332" t="s">
        <v>1552</v>
      </c>
    </row>
    <row r="333" spans="2:2" x14ac:dyDescent="0.3">
      <c r="B333" t="s">
        <v>1310</v>
      </c>
    </row>
    <row r="334" spans="2:2" x14ac:dyDescent="0.3">
      <c r="B334" t="s">
        <v>1658</v>
      </c>
    </row>
    <row r="335" spans="2:2" x14ac:dyDescent="0.3">
      <c r="B335" t="s">
        <v>1243</v>
      </c>
    </row>
    <row r="336" spans="2:2" x14ac:dyDescent="0.3">
      <c r="B336" t="s">
        <v>1111</v>
      </c>
    </row>
    <row r="337" spans="2:2" x14ac:dyDescent="0.3">
      <c r="B337" t="s">
        <v>1344</v>
      </c>
    </row>
    <row r="338" spans="2:2" x14ac:dyDescent="0.3">
      <c r="B338" t="s">
        <v>1659</v>
      </c>
    </row>
    <row r="339" spans="2:2" x14ac:dyDescent="0.3">
      <c r="B339" t="s">
        <v>1468</v>
      </c>
    </row>
    <row r="340" spans="2:2" x14ac:dyDescent="0.3">
      <c r="B340" t="s">
        <v>1469</v>
      </c>
    </row>
    <row r="341" spans="2:2" x14ac:dyDescent="0.3">
      <c r="B341" t="s">
        <v>1112</v>
      </c>
    </row>
    <row r="342" spans="2:2" x14ac:dyDescent="0.3">
      <c r="B342" t="s">
        <v>1589</v>
      </c>
    </row>
    <row r="343" spans="2:2" x14ac:dyDescent="0.3">
      <c r="B343" t="s">
        <v>1345</v>
      </c>
    </row>
    <row r="344" spans="2:2" x14ac:dyDescent="0.3">
      <c r="B344" t="s">
        <v>1346</v>
      </c>
    </row>
    <row r="345" spans="2:2" x14ac:dyDescent="0.3">
      <c r="B345" t="s">
        <v>1430</v>
      </c>
    </row>
    <row r="346" spans="2:2" x14ac:dyDescent="0.3">
      <c r="B346" t="s">
        <v>1187</v>
      </c>
    </row>
    <row r="347" spans="2:2" x14ac:dyDescent="0.3">
      <c r="B347" t="s">
        <v>1660</v>
      </c>
    </row>
    <row r="348" spans="2:2" x14ac:dyDescent="0.3">
      <c r="B348" t="s">
        <v>1470</v>
      </c>
    </row>
    <row r="349" spans="2:2" x14ac:dyDescent="0.3">
      <c r="B349" t="s">
        <v>1612</v>
      </c>
    </row>
    <row r="350" spans="2:2" x14ac:dyDescent="0.3">
      <c r="B350" t="s">
        <v>592</v>
      </c>
    </row>
    <row r="351" spans="2:2" x14ac:dyDescent="0.3">
      <c r="B351" t="s">
        <v>1228</v>
      </c>
    </row>
    <row r="352" spans="2:2" x14ac:dyDescent="0.3">
      <c r="B352" t="s">
        <v>1440</v>
      </c>
    </row>
    <row r="353" spans="2:2" x14ac:dyDescent="0.3">
      <c r="B353" t="s">
        <v>566</v>
      </c>
    </row>
    <row r="354" spans="2:2" x14ac:dyDescent="0.3">
      <c r="B354" t="s">
        <v>1244</v>
      </c>
    </row>
    <row r="355" spans="2:2" x14ac:dyDescent="0.3">
      <c r="B355" t="s">
        <v>1294</v>
      </c>
    </row>
    <row r="356" spans="2:2" x14ac:dyDescent="0.3">
      <c r="B356" t="s">
        <v>1268</v>
      </c>
    </row>
    <row r="357" spans="2:2" x14ac:dyDescent="0.3">
      <c r="B357" t="s">
        <v>1441</v>
      </c>
    </row>
    <row r="358" spans="2:2" x14ac:dyDescent="0.3">
      <c r="B358" t="s">
        <v>1089</v>
      </c>
    </row>
    <row r="359" spans="2:2" x14ac:dyDescent="0.3">
      <c r="B359" t="s">
        <v>1295</v>
      </c>
    </row>
    <row r="360" spans="2:2" x14ac:dyDescent="0.3">
      <c r="B360" t="s">
        <v>1431</v>
      </c>
    </row>
    <row r="361" spans="2:2" x14ac:dyDescent="0.3">
      <c r="B361" t="s">
        <v>1383</v>
      </c>
    </row>
    <row r="362" spans="2:2" x14ac:dyDescent="0.3">
      <c r="B362" t="s">
        <v>1711</v>
      </c>
    </row>
    <row r="363" spans="2:2" x14ac:dyDescent="0.3">
      <c r="B363" t="s">
        <v>1311</v>
      </c>
    </row>
    <row r="364" spans="2:2" x14ac:dyDescent="0.3">
      <c r="B364" t="s">
        <v>589</v>
      </c>
    </row>
    <row r="365" spans="2:2" x14ac:dyDescent="0.3">
      <c r="B365" t="s">
        <v>1296</v>
      </c>
    </row>
    <row r="366" spans="2:2" x14ac:dyDescent="0.3">
      <c r="B366" t="s">
        <v>1471</v>
      </c>
    </row>
    <row r="367" spans="2:2" x14ac:dyDescent="0.3">
      <c r="B367" t="s">
        <v>1146</v>
      </c>
    </row>
    <row r="368" spans="2:2" x14ac:dyDescent="0.3">
      <c r="B368" t="s">
        <v>1147</v>
      </c>
    </row>
    <row r="369" spans="2:2" x14ac:dyDescent="0.3">
      <c r="B369" t="s">
        <v>1525</v>
      </c>
    </row>
    <row r="370" spans="2:2" x14ac:dyDescent="0.3">
      <c r="B370" t="s">
        <v>1312</v>
      </c>
    </row>
    <row r="371" spans="2:2" x14ac:dyDescent="0.3">
      <c r="B371" t="s">
        <v>1313</v>
      </c>
    </row>
    <row r="372" spans="2:2" x14ac:dyDescent="0.3">
      <c r="B372" t="s">
        <v>1057</v>
      </c>
    </row>
    <row r="373" spans="2:2" x14ac:dyDescent="0.3">
      <c r="B373" t="s">
        <v>1039</v>
      </c>
    </row>
    <row r="374" spans="2:2" x14ac:dyDescent="0.3">
      <c r="B374" t="s">
        <v>1553</v>
      </c>
    </row>
    <row r="375" spans="2:2" x14ac:dyDescent="0.3">
      <c r="B375" t="s">
        <v>1245</v>
      </c>
    </row>
    <row r="376" spans="2:2" x14ac:dyDescent="0.3">
      <c r="B376" t="s">
        <v>1229</v>
      </c>
    </row>
    <row r="377" spans="2:2" x14ac:dyDescent="0.3">
      <c r="B377" t="s">
        <v>615</v>
      </c>
    </row>
    <row r="378" spans="2:2" x14ac:dyDescent="0.3">
      <c r="B378" t="s">
        <v>1246</v>
      </c>
    </row>
    <row r="379" spans="2:2" x14ac:dyDescent="0.3">
      <c r="B379" t="s">
        <v>1040</v>
      </c>
    </row>
    <row r="380" spans="2:2" x14ac:dyDescent="0.3">
      <c r="B380" t="s">
        <v>1215</v>
      </c>
    </row>
    <row r="381" spans="2:2" x14ac:dyDescent="0.3">
      <c r="B381" t="s">
        <v>574</v>
      </c>
    </row>
    <row r="382" spans="2:2" x14ac:dyDescent="0.3">
      <c r="B382" t="s">
        <v>1661</v>
      </c>
    </row>
    <row r="383" spans="2:2" x14ac:dyDescent="0.3">
      <c r="B383" t="s">
        <v>1188</v>
      </c>
    </row>
    <row r="384" spans="2:2" x14ac:dyDescent="0.3">
      <c r="B384" t="s">
        <v>1230</v>
      </c>
    </row>
    <row r="385" spans="2:2" x14ac:dyDescent="0.3">
      <c r="B385" t="s">
        <v>1090</v>
      </c>
    </row>
    <row r="386" spans="2:2" x14ac:dyDescent="0.3">
      <c r="B386" t="s">
        <v>1113</v>
      </c>
    </row>
    <row r="387" spans="2:2" x14ac:dyDescent="0.3">
      <c r="B387" t="s">
        <v>537</v>
      </c>
    </row>
    <row r="388" spans="2:2" x14ac:dyDescent="0.3">
      <c r="B388" t="s">
        <v>1662</v>
      </c>
    </row>
    <row r="389" spans="2:2" x14ac:dyDescent="0.3">
      <c r="B389" t="s">
        <v>1269</v>
      </c>
    </row>
    <row r="390" spans="2:2" x14ac:dyDescent="0.3">
      <c r="B390" t="s">
        <v>1384</v>
      </c>
    </row>
    <row r="391" spans="2:2" x14ac:dyDescent="0.3">
      <c r="B391" t="s">
        <v>1432</v>
      </c>
    </row>
    <row r="392" spans="2:2" x14ac:dyDescent="0.3">
      <c r="B392" t="s">
        <v>1321</v>
      </c>
    </row>
    <row r="393" spans="2:2" x14ac:dyDescent="0.3">
      <c r="B393" t="s">
        <v>1270</v>
      </c>
    </row>
    <row r="394" spans="2:2" x14ac:dyDescent="0.3">
      <c r="B394" t="s">
        <v>1058</v>
      </c>
    </row>
    <row r="395" spans="2:2" x14ac:dyDescent="0.3">
      <c r="B395" t="s">
        <v>1059</v>
      </c>
    </row>
    <row r="396" spans="2:2" x14ac:dyDescent="0.3">
      <c r="B396" t="s">
        <v>1442</v>
      </c>
    </row>
    <row r="397" spans="2:2" x14ac:dyDescent="0.3">
      <c r="B397" t="s">
        <v>1060</v>
      </c>
    </row>
    <row r="398" spans="2:2" x14ac:dyDescent="0.3">
      <c r="B398" t="s">
        <v>1061</v>
      </c>
    </row>
    <row r="399" spans="2:2" x14ac:dyDescent="0.3">
      <c r="B399" t="s">
        <v>1062</v>
      </c>
    </row>
    <row r="400" spans="2:2" x14ac:dyDescent="0.3">
      <c r="B400" t="s">
        <v>1663</v>
      </c>
    </row>
    <row r="401" spans="2:2" x14ac:dyDescent="0.3">
      <c r="B401" t="s">
        <v>1494</v>
      </c>
    </row>
    <row r="402" spans="2:2" x14ac:dyDescent="0.3">
      <c r="B402" t="s">
        <v>1433</v>
      </c>
    </row>
    <row r="403" spans="2:2" x14ac:dyDescent="0.3">
      <c r="B403" t="s">
        <v>1114</v>
      </c>
    </row>
    <row r="404" spans="2:2" x14ac:dyDescent="0.3">
      <c r="B404" t="s">
        <v>1115</v>
      </c>
    </row>
    <row r="405" spans="2:2" x14ac:dyDescent="0.3">
      <c r="B405" t="s">
        <v>1554</v>
      </c>
    </row>
    <row r="406" spans="2:2" x14ac:dyDescent="0.3">
      <c r="B406" t="s">
        <v>1590</v>
      </c>
    </row>
    <row r="407" spans="2:2" x14ac:dyDescent="0.3">
      <c r="B407" t="s">
        <v>1664</v>
      </c>
    </row>
    <row r="408" spans="2:2" x14ac:dyDescent="0.3">
      <c r="B408" t="s">
        <v>1148</v>
      </c>
    </row>
    <row r="409" spans="2:2" x14ac:dyDescent="0.3">
      <c r="B409" t="s">
        <v>1591</v>
      </c>
    </row>
    <row r="410" spans="2:2" x14ac:dyDescent="0.3">
      <c r="B410" t="s">
        <v>1481</v>
      </c>
    </row>
    <row r="411" spans="2:2" x14ac:dyDescent="0.3">
      <c r="B411" t="s">
        <v>1216</v>
      </c>
    </row>
    <row r="412" spans="2:2" x14ac:dyDescent="0.3">
      <c r="B412" t="s">
        <v>1189</v>
      </c>
    </row>
    <row r="413" spans="2:2" x14ac:dyDescent="0.3">
      <c r="B413" t="s">
        <v>1665</v>
      </c>
    </row>
    <row r="414" spans="2:2" x14ac:dyDescent="0.3">
      <c r="B414" t="s">
        <v>1666</v>
      </c>
    </row>
    <row r="415" spans="2:2" x14ac:dyDescent="0.3">
      <c r="B415" t="s">
        <v>1091</v>
      </c>
    </row>
    <row r="416" spans="2:2" x14ac:dyDescent="0.3">
      <c r="B416" t="s">
        <v>1314</v>
      </c>
    </row>
    <row r="417" spans="2:2" x14ac:dyDescent="0.3">
      <c r="B417" t="s">
        <v>1712</v>
      </c>
    </row>
    <row r="418" spans="2:2" x14ac:dyDescent="0.3">
      <c r="B418" t="s">
        <v>1495</v>
      </c>
    </row>
    <row r="419" spans="2:2" x14ac:dyDescent="0.3">
      <c r="B419" t="s">
        <v>569</v>
      </c>
    </row>
    <row r="420" spans="2:2" x14ac:dyDescent="0.3">
      <c r="B420" t="s">
        <v>1434</v>
      </c>
    </row>
    <row r="421" spans="2:2" x14ac:dyDescent="0.3">
      <c r="B421" t="s">
        <v>1592</v>
      </c>
    </row>
    <row r="422" spans="2:2" x14ac:dyDescent="0.3">
      <c r="B422" t="s">
        <v>1231</v>
      </c>
    </row>
    <row r="423" spans="2:2" x14ac:dyDescent="0.3">
      <c r="B423" t="s">
        <v>1347</v>
      </c>
    </row>
    <row r="424" spans="2:2" x14ac:dyDescent="0.3">
      <c r="B424" t="s">
        <v>1348</v>
      </c>
    </row>
    <row r="425" spans="2:2" x14ac:dyDescent="0.3">
      <c r="B425" t="s">
        <v>1297</v>
      </c>
    </row>
    <row r="426" spans="2:2" x14ac:dyDescent="0.3">
      <c r="B426" t="s">
        <v>1537</v>
      </c>
    </row>
    <row r="427" spans="2:2" x14ac:dyDescent="0.3">
      <c r="B427" t="s">
        <v>1496</v>
      </c>
    </row>
    <row r="428" spans="2:2" x14ac:dyDescent="0.3">
      <c r="B428" t="s">
        <v>1667</v>
      </c>
    </row>
    <row r="429" spans="2:2" x14ac:dyDescent="0.3">
      <c r="B429" t="s">
        <v>1668</v>
      </c>
    </row>
    <row r="430" spans="2:2" x14ac:dyDescent="0.3">
      <c r="B430" t="s">
        <v>1555</v>
      </c>
    </row>
    <row r="431" spans="2:2" x14ac:dyDescent="0.3">
      <c r="B431" t="s">
        <v>1472</v>
      </c>
    </row>
    <row r="432" spans="2:2" x14ac:dyDescent="0.3">
      <c r="B432" t="s">
        <v>1593</v>
      </c>
    </row>
    <row r="433" spans="2:2" x14ac:dyDescent="0.3">
      <c r="B433" t="s">
        <v>1594</v>
      </c>
    </row>
    <row r="434" spans="2:2" x14ac:dyDescent="0.3">
      <c r="B434" t="s">
        <v>1669</v>
      </c>
    </row>
    <row r="435" spans="2:2" x14ac:dyDescent="0.3">
      <c r="B435" t="s">
        <v>1190</v>
      </c>
    </row>
    <row r="436" spans="2:2" x14ac:dyDescent="0.3">
      <c r="B436" t="s">
        <v>1670</v>
      </c>
    </row>
    <row r="437" spans="2:2" x14ac:dyDescent="0.3">
      <c r="B437" t="s">
        <v>1497</v>
      </c>
    </row>
    <row r="438" spans="2:2" x14ac:dyDescent="0.3">
      <c r="B438" t="s">
        <v>1498</v>
      </c>
    </row>
    <row r="439" spans="2:2" x14ac:dyDescent="0.3">
      <c r="B439" t="s">
        <v>1443</v>
      </c>
    </row>
    <row r="440" spans="2:2" x14ac:dyDescent="0.3">
      <c r="B440" t="s">
        <v>573</v>
      </c>
    </row>
    <row r="441" spans="2:2" x14ac:dyDescent="0.3">
      <c r="B441" t="s">
        <v>1671</v>
      </c>
    </row>
    <row r="442" spans="2:2" x14ac:dyDescent="0.3">
      <c r="B442" t="s">
        <v>1191</v>
      </c>
    </row>
    <row r="443" spans="2:2" x14ac:dyDescent="0.3">
      <c r="B443" t="s">
        <v>1349</v>
      </c>
    </row>
    <row r="444" spans="2:2" x14ac:dyDescent="0.3">
      <c r="B444" t="s">
        <v>1092</v>
      </c>
    </row>
    <row r="445" spans="2:2" x14ac:dyDescent="0.3">
      <c r="B445" t="s">
        <v>1499</v>
      </c>
    </row>
    <row r="446" spans="2:2" x14ac:dyDescent="0.3">
      <c r="B446" t="s">
        <v>1595</v>
      </c>
    </row>
    <row r="447" spans="2:2" x14ac:dyDescent="0.3">
      <c r="B447" t="s">
        <v>1385</v>
      </c>
    </row>
    <row r="448" spans="2:2" x14ac:dyDescent="0.3">
      <c r="B448" t="s">
        <v>1386</v>
      </c>
    </row>
    <row r="449" spans="2:2" x14ac:dyDescent="0.3">
      <c r="B449" t="s">
        <v>1149</v>
      </c>
    </row>
    <row r="450" spans="2:2" x14ac:dyDescent="0.3">
      <c r="B450" t="s">
        <v>1116</v>
      </c>
    </row>
    <row r="451" spans="2:2" x14ac:dyDescent="0.3">
      <c r="B451" t="s">
        <v>1713</v>
      </c>
    </row>
    <row r="452" spans="2:2" x14ac:dyDescent="0.3">
      <c r="B452" t="s">
        <v>1672</v>
      </c>
    </row>
    <row r="453" spans="2:2" x14ac:dyDescent="0.3">
      <c r="B453" t="s">
        <v>1117</v>
      </c>
    </row>
    <row r="454" spans="2:2" x14ac:dyDescent="0.3">
      <c r="B454" t="s">
        <v>1298</v>
      </c>
    </row>
    <row r="455" spans="2:2" x14ac:dyDescent="0.3">
      <c r="B455" t="s">
        <v>1473</v>
      </c>
    </row>
    <row r="456" spans="2:2" x14ac:dyDescent="0.3">
      <c r="B456" t="s">
        <v>1714</v>
      </c>
    </row>
    <row r="457" spans="2:2" x14ac:dyDescent="0.3">
      <c r="B457" t="s">
        <v>1093</v>
      </c>
    </row>
    <row r="458" spans="2:2" x14ac:dyDescent="0.3">
      <c r="B458" t="s">
        <v>1556</v>
      </c>
    </row>
    <row r="459" spans="2:2" x14ac:dyDescent="0.3">
      <c r="B459" t="s">
        <v>1596</v>
      </c>
    </row>
    <row r="460" spans="2:2" x14ac:dyDescent="0.3">
      <c r="B460" t="s">
        <v>1526</v>
      </c>
    </row>
    <row r="461" spans="2:2" x14ac:dyDescent="0.3">
      <c r="B461" t="s">
        <v>1387</v>
      </c>
    </row>
    <row r="462" spans="2:2" x14ac:dyDescent="0.3">
      <c r="B462" t="s">
        <v>1693</v>
      </c>
    </row>
    <row r="463" spans="2:2" x14ac:dyDescent="0.3">
      <c r="B463" t="s">
        <v>1118</v>
      </c>
    </row>
    <row r="464" spans="2:2" x14ac:dyDescent="0.3">
      <c r="B464" t="s">
        <v>1094</v>
      </c>
    </row>
    <row r="465" spans="2:2" x14ac:dyDescent="0.3">
      <c r="B465" t="s">
        <v>1597</v>
      </c>
    </row>
    <row r="466" spans="2:2" x14ac:dyDescent="0.3">
      <c r="B466" t="s">
        <v>1557</v>
      </c>
    </row>
    <row r="467" spans="2:2" x14ac:dyDescent="0.3">
      <c r="B467" t="s">
        <v>1538</v>
      </c>
    </row>
    <row r="468" spans="2:2" x14ac:dyDescent="0.3">
      <c r="B468" t="s">
        <v>1063</v>
      </c>
    </row>
    <row r="469" spans="2:2" x14ac:dyDescent="0.3">
      <c r="B469" t="s">
        <v>1388</v>
      </c>
    </row>
    <row r="470" spans="2:2" x14ac:dyDescent="0.3">
      <c r="B470" t="s">
        <v>601</v>
      </c>
    </row>
    <row r="471" spans="2:2" x14ac:dyDescent="0.3">
      <c r="B471" t="s">
        <v>1041</v>
      </c>
    </row>
    <row r="472" spans="2:2" x14ac:dyDescent="0.3">
      <c r="B472" t="s">
        <v>1598</v>
      </c>
    </row>
    <row r="473" spans="2:2" x14ac:dyDescent="0.3">
      <c r="B473" t="s">
        <v>1150</v>
      </c>
    </row>
    <row r="474" spans="2:2" x14ac:dyDescent="0.3">
      <c r="B474" t="s">
        <v>1192</v>
      </c>
    </row>
    <row r="475" spans="2:2" x14ac:dyDescent="0.3">
      <c r="B475" t="s">
        <v>1350</v>
      </c>
    </row>
    <row r="476" spans="2:2" x14ac:dyDescent="0.3">
      <c r="B476" t="s">
        <v>1389</v>
      </c>
    </row>
    <row r="477" spans="2:2" x14ac:dyDescent="0.3">
      <c r="B477" t="s">
        <v>1193</v>
      </c>
    </row>
    <row r="478" spans="2:2" x14ac:dyDescent="0.3">
      <c r="B478" t="s">
        <v>1119</v>
      </c>
    </row>
    <row r="479" spans="2:2" x14ac:dyDescent="0.3">
      <c r="B479" t="s">
        <v>1500</v>
      </c>
    </row>
    <row r="480" spans="2:2" x14ac:dyDescent="0.3">
      <c r="B480" t="s">
        <v>1474</v>
      </c>
    </row>
    <row r="481" spans="2:2" x14ac:dyDescent="0.3">
      <c r="B481" t="s">
        <v>1351</v>
      </c>
    </row>
    <row r="482" spans="2:2" x14ac:dyDescent="0.3">
      <c r="B482" t="s">
        <v>1042</v>
      </c>
    </row>
    <row r="483" spans="2:2" x14ac:dyDescent="0.3">
      <c r="B483" t="s">
        <v>1161</v>
      </c>
    </row>
    <row r="484" spans="2:2" x14ac:dyDescent="0.3">
      <c r="B484" t="s">
        <v>1026</v>
      </c>
    </row>
    <row r="485" spans="2:2" x14ac:dyDescent="0.3">
      <c r="B485" t="s">
        <v>1558</v>
      </c>
    </row>
    <row r="486" spans="2:2" x14ac:dyDescent="0.3">
      <c r="B486" t="s">
        <v>1599</v>
      </c>
    </row>
    <row r="487" spans="2:2" x14ac:dyDescent="0.3">
      <c r="B487" t="s">
        <v>1444</v>
      </c>
    </row>
    <row r="488" spans="2:2" x14ac:dyDescent="0.3">
      <c r="B488" t="s">
        <v>1600</v>
      </c>
    </row>
    <row r="489" spans="2:2" x14ac:dyDescent="0.3">
      <c r="B489" t="s">
        <v>1445</v>
      </c>
    </row>
    <row r="490" spans="2:2" x14ac:dyDescent="0.3">
      <c r="B490" t="s">
        <v>1412</v>
      </c>
    </row>
    <row r="491" spans="2:2" x14ac:dyDescent="0.3">
      <c r="B491" t="s">
        <v>1715</v>
      </c>
    </row>
    <row r="492" spans="2:2" x14ac:dyDescent="0.3">
      <c r="B492" t="s">
        <v>1162</v>
      </c>
    </row>
    <row r="493" spans="2:2" x14ac:dyDescent="0.3">
      <c r="B493" t="s">
        <v>1163</v>
      </c>
    </row>
    <row r="494" spans="2:2" x14ac:dyDescent="0.3">
      <c r="B494" t="s">
        <v>1420</v>
      </c>
    </row>
    <row r="495" spans="2:2" x14ac:dyDescent="0.3">
      <c r="B495" t="s">
        <v>1170</v>
      </c>
    </row>
    <row r="496" spans="2:2" x14ac:dyDescent="0.3">
      <c r="B496" t="s">
        <v>1613</v>
      </c>
    </row>
    <row r="497" spans="2:2" x14ac:dyDescent="0.3">
      <c r="B497" t="s">
        <v>1164</v>
      </c>
    </row>
    <row r="498" spans="2:2" x14ac:dyDescent="0.3">
      <c r="B498" t="s">
        <v>1028</v>
      </c>
    </row>
    <row r="499" spans="2:2" x14ac:dyDescent="0.3">
      <c r="B499" t="s">
        <v>1475</v>
      </c>
    </row>
    <row r="500" spans="2:2" x14ac:dyDescent="0.3">
      <c r="B500" t="s">
        <v>1217</v>
      </c>
    </row>
    <row r="501" spans="2:2" x14ac:dyDescent="0.3">
      <c r="B501" t="s">
        <v>1390</v>
      </c>
    </row>
    <row r="502" spans="2:2" x14ac:dyDescent="0.3">
      <c r="B502" t="s">
        <v>593</v>
      </c>
    </row>
    <row r="503" spans="2:2" x14ac:dyDescent="0.3">
      <c r="B503" t="s">
        <v>1539</v>
      </c>
    </row>
    <row r="504" spans="2:2" x14ac:dyDescent="0.3">
      <c r="B504" t="s">
        <v>1315</v>
      </c>
    </row>
    <row r="505" spans="2:2" x14ac:dyDescent="0.3">
      <c r="B505" t="s">
        <v>1271</v>
      </c>
    </row>
    <row r="506" spans="2:2" x14ac:dyDescent="0.3">
      <c r="B506" t="s">
        <v>1391</v>
      </c>
    </row>
    <row r="507" spans="2:2" x14ac:dyDescent="0.3">
      <c r="B507" t="s">
        <v>1527</v>
      </c>
    </row>
    <row r="508" spans="2:2" x14ac:dyDescent="0.3">
      <c r="B508" t="s">
        <v>1043</v>
      </c>
    </row>
    <row r="509" spans="2:2" x14ac:dyDescent="0.3">
      <c r="B509" t="s">
        <v>1218</v>
      </c>
    </row>
    <row r="510" spans="2:2" x14ac:dyDescent="0.3">
      <c r="B510" t="s">
        <v>1219</v>
      </c>
    </row>
    <row r="511" spans="2:2" x14ac:dyDescent="0.3">
      <c r="B511" t="s">
        <v>1194</v>
      </c>
    </row>
    <row r="512" spans="2:2" x14ac:dyDescent="0.3">
      <c r="B512" t="s">
        <v>1220</v>
      </c>
    </row>
    <row r="513" spans="2:2" x14ac:dyDescent="0.3">
      <c r="B513" t="s">
        <v>1352</v>
      </c>
    </row>
    <row r="514" spans="2:2" x14ac:dyDescent="0.3">
      <c r="B514" t="s">
        <v>1064</v>
      </c>
    </row>
    <row r="515" spans="2:2" x14ac:dyDescent="0.3">
      <c r="B515" t="s">
        <v>1392</v>
      </c>
    </row>
    <row r="516" spans="2:2" x14ac:dyDescent="0.3">
      <c r="B516" t="s">
        <v>1716</v>
      </c>
    </row>
    <row r="517" spans="2:2" x14ac:dyDescent="0.3">
      <c r="B517" t="s">
        <v>1717</v>
      </c>
    </row>
    <row r="518" spans="2:2" x14ac:dyDescent="0.3">
      <c r="B518" t="s">
        <v>1195</v>
      </c>
    </row>
    <row r="519" spans="2:2" x14ac:dyDescent="0.3">
      <c r="B519" t="s">
        <v>1316</v>
      </c>
    </row>
    <row r="520" spans="2:2" x14ac:dyDescent="0.3">
      <c r="B520" t="s">
        <v>1501</v>
      </c>
    </row>
    <row r="521" spans="2:2" x14ac:dyDescent="0.3">
      <c r="B521" t="s">
        <v>1502</v>
      </c>
    </row>
    <row r="522" spans="2:2" x14ac:dyDescent="0.3">
      <c r="B522" t="s">
        <v>1120</v>
      </c>
    </row>
    <row r="523" spans="2:2" x14ac:dyDescent="0.3">
      <c r="B523" t="s">
        <v>1694</v>
      </c>
    </row>
    <row r="524" spans="2:2" x14ac:dyDescent="0.3">
      <c r="B524" t="s">
        <v>1601</v>
      </c>
    </row>
    <row r="525" spans="2:2" x14ac:dyDescent="0.3">
      <c r="B525" t="s">
        <v>1559</v>
      </c>
    </row>
    <row r="526" spans="2:2" x14ac:dyDescent="0.3">
      <c r="B526" t="s">
        <v>1446</v>
      </c>
    </row>
    <row r="527" spans="2:2" x14ac:dyDescent="0.3">
      <c r="B527" t="s">
        <v>1447</v>
      </c>
    </row>
    <row r="528" spans="2:2" x14ac:dyDescent="0.3">
      <c r="B528" t="s">
        <v>1413</v>
      </c>
    </row>
    <row r="529" spans="2:2" x14ac:dyDescent="0.3">
      <c r="B529" t="s">
        <v>1673</v>
      </c>
    </row>
    <row r="530" spans="2:2" x14ac:dyDescent="0.3">
      <c r="B530" t="s">
        <v>1695</v>
      </c>
    </row>
    <row r="531" spans="2:2" x14ac:dyDescent="0.3">
      <c r="B531" t="s">
        <v>1247</v>
      </c>
    </row>
    <row r="532" spans="2:2" x14ac:dyDescent="0.3">
      <c r="B532" t="s">
        <v>1196</v>
      </c>
    </row>
    <row r="533" spans="2:2" x14ac:dyDescent="0.3">
      <c r="B533" t="s">
        <v>1044</v>
      </c>
    </row>
    <row r="534" spans="2:2" x14ac:dyDescent="0.3">
      <c r="B534" t="s">
        <v>1528</v>
      </c>
    </row>
    <row r="535" spans="2:2" x14ac:dyDescent="0.3">
      <c r="B535" t="s">
        <v>1674</v>
      </c>
    </row>
    <row r="536" spans="2:2" x14ac:dyDescent="0.3">
      <c r="B536" t="s">
        <v>545</v>
      </c>
    </row>
    <row r="537" spans="2:2" x14ac:dyDescent="0.3">
      <c r="B537" t="s">
        <v>1560</v>
      </c>
    </row>
    <row r="538" spans="2:2" x14ac:dyDescent="0.3">
      <c r="B538" t="s">
        <v>1248</v>
      </c>
    </row>
    <row r="539" spans="2:2" x14ac:dyDescent="0.3">
      <c r="B539" t="s">
        <v>1393</v>
      </c>
    </row>
    <row r="540" spans="2:2" x14ac:dyDescent="0.3">
      <c r="B540" t="s">
        <v>1718</v>
      </c>
    </row>
    <row r="541" spans="2:2" x14ac:dyDescent="0.3">
      <c r="B541" t="s">
        <v>1719</v>
      </c>
    </row>
    <row r="542" spans="2:2" x14ac:dyDescent="0.3">
      <c r="B542" t="s">
        <v>1476</v>
      </c>
    </row>
    <row r="543" spans="2:2" x14ac:dyDescent="0.3">
      <c r="B543" t="s">
        <v>1121</v>
      </c>
    </row>
    <row r="544" spans="2:2" x14ac:dyDescent="0.3">
      <c r="B544" t="s">
        <v>1720</v>
      </c>
    </row>
    <row r="545" spans="2:2" x14ac:dyDescent="0.3">
      <c r="B545" t="s">
        <v>1675</v>
      </c>
    </row>
    <row r="546" spans="2:2" x14ac:dyDescent="0.3">
      <c r="B546" t="s">
        <v>594</v>
      </c>
    </row>
    <row r="547" spans="2:2" x14ac:dyDescent="0.3">
      <c r="B547" t="s">
        <v>1394</v>
      </c>
    </row>
    <row r="548" spans="2:2" x14ac:dyDescent="0.3">
      <c r="B548" t="s">
        <v>1151</v>
      </c>
    </row>
    <row r="549" spans="2:2" x14ac:dyDescent="0.3">
      <c r="B549" t="s">
        <v>1152</v>
      </c>
    </row>
    <row r="550" spans="2:2" x14ac:dyDescent="0.3">
      <c r="B550" t="s">
        <v>1353</v>
      </c>
    </row>
    <row r="551" spans="2:2" x14ac:dyDescent="0.3">
      <c r="B551" t="s">
        <v>1602</v>
      </c>
    </row>
    <row r="552" spans="2:2" x14ac:dyDescent="0.3">
      <c r="B552" t="s">
        <v>1354</v>
      </c>
    </row>
    <row r="553" spans="2:2" x14ac:dyDescent="0.3">
      <c r="B553" t="s">
        <v>1197</v>
      </c>
    </row>
    <row r="554" spans="2:2" x14ac:dyDescent="0.3">
      <c r="B554" t="s">
        <v>1153</v>
      </c>
    </row>
    <row r="555" spans="2:2" x14ac:dyDescent="0.3">
      <c r="B555" t="s">
        <v>1249</v>
      </c>
    </row>
    <row r="556" spans="2:2" x14ac:dyDescent="0.3">
      <c r="B556" t="s">
        <v>1529</v>
      </c>
    </row>
    <row r="557" spans="2:2" x14ac:dyDescent="0.3">
      <c r="B557" t="s">
        <v>1299</v>
      </c>
    </row>
    <row r="558" spans="2:2" x14ac:dyDescent="0.3">
      <c r="B558" t="s">
        <v>1561</v>
      </c>
    </row>
    <row r="559" spans="2:2" x14ac:dyDescent="0.3">
      <c r="B559" t="s">
        <v>1250</v>
      </c>
    </row>
    <row r="560" spans="2:2" x14ac:dyDescent="0.3">
      <c r="B560" t="s">
        <v>1272</v>
      </c>
    </row>
    <row r="561" spans="2:2" x14ac:dyDescent="0.3">
      <c r="B561" t="s">
        <v>1676</v>
      </c>
    </row>
    <row r="562" spans="2:2" x14ac:dyDescent="0.3">
      <c r="B562" t="s">
        <v>1273</v>
      </c>
    </row>
    <row r="563" spans="2:2" x14ac:dyDescent="0.3">
      <c r="B563" t="s">
        <v>1603</v>
      </c>
    </row>
    <row r="564" spans="2:2" x14ac:dyDescent="0.3">
      <c r="B564" t="s">
        <v>1562</v>
      </c>
    </row>
    <row r="565" spans="2:2" x14ac:dyDescent="0.3">
      <c r="B565" t="s">
        <v>1355</v>
      </c>
    </row>
    <row r="566" spans="2:2" x14ac:dyDescent="0.3">
      <c r="B566" t="s">
        <v>1395</v>
      </c>
    </row>
    <row r="567" spans="2:2" x14ac:dyDescent="0.3">
      <c r="B567" t="s">
        <v>609</v>
      </c>
    </row>
    <row r="568" spans="2:2" x14ac:dyDescent="0.3">
      <c r="B568" t="s">
        <v>1251</v>
      </c>
    </row>
    <row r="569" spans="2:2" x14ac:dyDescent="0.3">
      <c r="B569" t="s">
        <v>1356</v>
      </c>
    </row>
    <row r="570" spans="2:2" x14ac:dyDescent="0.3">
      <c r="B570" t="s">
        <v>1221</v>
      </c>
    </row>
    <row r="571" spans="2:2" x14ac:dyDescent="0.3">
      <c r="B571" t="s">
        <v>605</v>
      </c>
    </row>
    <row r="572" spans="2:2" x14ac:dyDescent="0.3">
      <c r="B572" t="s">
        <v>1222</v>
      </c>
    </row>
    <row r="573" spans="2:2" x14ac:dyDescent="0.3">
      <c r="B573" t="s">
        <v>1122</v>
      </c>
    </row>
    <row r="574" spans="2:2" x14ac:dyDescent="0.3">
      <c r="B574" t="s">
        <v>1696</v>
      </c>
    </row>
    <row r="575" spans="2:2" x14ac:dyDescent="0.3">
      <c r="B575" t="s">
        <v>1503</v>
      </c>
    </row>
    <row r="576" spans="2:2" x14ac:dyDescent="0.3">
      <c r="B576" t="s">
        <v>1198</v>
      </c>
    </row>
    <row r="577" spans="2:2" x14ac:dyDescent="0.3">
      <c r="B577" t="s">
        <v>1357</v>
      </c>
    </row>
    <row r="578" spans="2:2" x14ac:dyDescent="0.3">
      <c r="B578" t="s">
        <v>1677</v>
      </c>
    </row>
    <row r="579" spans="2:2" x14ac:dyDescent="0.3">
      <c r="B579" t="s">
        <v>1123</v>
      </c>
    </row>
    <row r="580" spans="2:2" x14ac:dyDescent="0.3">
      <c r="B580" t="s">
        <v>1274</v>
      </c>
    </row>
    <row r="581" spans="2:2" x14ac:dyDescent="0.3">
      <c r="B581" t="s">
        <v>1435</v>
      </c>
    </row>
    <row r="582" spans="2:2" x14ac:dyDescent="0.3">
      <c r="B582" t="s">
        <v>1436</v>
      </c>
    </row>
    <row r="583" spans="2:2" x14ac:dyDescent="0.3">
      <c r="B583" t="s">
        <v>1563</v>
      </c>
    </row>
    <row r="584" spans="2:2" x14ac:dyDescent="0.3">
      <c r="B584" t="s">
        <v>1124</v>
      </c>
    </row>
    <row r="585" spans="2:2" x14ac:dyDescent="0.3">
      <c r="B585" t="s">
        <v>1252</v>
      </c>
    </row>
    <row r="586" spans="2:2" x14ac:dyDescent="0.3">
      <c r="B586" t="s">
        <v>1477</v>
      </c>
    </row>
    <row r="587" spans="2:2" x14ac:dyDescent="0.3">
      <c r="B587" t="s">
        <v>1678</v>
      </c>
    </row>
    <row r="588" spans="2:2" x14ac:dyDescent="0.3">
      <c r="B588" t="s">
        <v>1604</v>
      </c>
    </row>
    <row r="589" spans="2:2" x14ac:dyDescent="0.3">
      <c r="B589" t="s">
        <v>1396</v>
      </c>
    </row>
    <row r="590" spans="2:2" x14ac:dyDescent="0.3">
      <c r="B590" t="s">
        <v>1504</v>
      </c>
    </row>
    <row r="591" spans="2:2" x14ac:dyDescent="0.3">
      <c r="B591" t="s">
        <v>1679</v>
      </c>
    </row>
    <row r="592" spans="2:2" x14ac:dyDescent="0.3">
      <c r="B592" t="s">
        <v>1125</v>
      </c>
    </row>
    <row r="593" spans="2:2" x14ac:dyDescent="0.3">
      <c r="B593" t="s">
        <v>1397</v>
      </c>
    </row>
    <row r="594" spans="2:2" x14ac:dyDescent="0.3">
      <c r="B594" t="s">
        <v>1358</v>
      </c>
    </row>
    <row r="595" spans="2:2" x14ac:dyDescent="0.3">
      <c r="B595" t="s">
        <v>1530</v>
      </c>
    </row>
    <row r="596" spans="2:2" x14ac:dyDescent="0.3">
      <c r="B596" t="s">
        <v>1359</v>
      </c>
    </row>
    <row r="597" spans="2:2" x14ac:dyDescent="0.3">
      <c r="B597" t="s">
        <v>1414</v>
      </c>
    </row>
    <row r="598" spans="2:2" x14ac:dyDescent="0.3">
      <c r="B598" t="s">
        <v>1360</v>
      </c>
    </row>
    <row r="599" spans="2:2" x14ac:dyDescent="0.3">
      <c r="B599" t="s">
        <v>1614</v>
      </c>
    </row>
    <row r="600" spans="2:2" x14ac:dyDescent="0.3">
      <c r="B600" t="s">
        <v>1275</v>
      </c>
    </row>
    <row r="601" spans="2:2" x14ac:dyDescent="0.3">
      <c r="B601" t="s">
        <v>1437</v>
      </c>
    </row>
    <row r="602" spans="2:2" x14ac:dyDescent="0.3">
      <c r="B602" t="s">
        <v>1165</v>
      </c>
    </row>
    <row r="603" spans="2:2" x14ac:dyDescent="0.3">
      <c r="B603" t="s">
        <v>1361</v>
      </c>
    </row>
    <row r="604" spans="2:2" x14ac:dyDescent="0.3">
      <c r="B604" t="s">
        <v>1680</v>
      </c>
    </row>
    <row r="605" spans="2:2" x14ac:dyDescent="0.3">
      <c r="B605" t="s">
        <v>1362</v>
      </c>
    </row>
    <row r="606" spans="2:2" x14ac:dyDescent="0.3">
      <c r="B606" t="s">
        <v>1448</v>
      </c>
    </row>
    <row r="607" spans="2:2" x14ac:dyDescent="0.3">
      <c r="B607" t="s">
        <v>1681</v>
      </c>
    </row>
    <row r="608" spans="2:2" x14ac:dyDescent="0.3">
      <c r="B608" t="s">
        <v>1126</v>
      </c>
    </row>
    <row r="609" spans="2:2" x14ac:dyDescent="0.3">
      <c r="B609" t="s">
        <v>1127</v>
      </c>
    </row>
    <row r="610" spans="2:2" x14ac:dyDescent="0.3">
      <c r="B610" t="s">
        <v>1363</v>
      </c>
    </row>
    <row r="611" spans="2:2" x14ac:dyDescent="0.3">
      <c r="B611" t="s">
        <v>1232</v>
      </c>
    </row>
    <row r="612" spans="2:2" x14ac:dyDescent="0.3">
      <c r="B612" t="s">
        <v>1300</v>
      </c>
    </row>
    <row r="613" spans="2:2" x14ac:dyDescent="0.3">
      <c r="B613" t="s">
        <v>1364</v>
      </c>
    </row>
    <row r="614" spans="2:2" x14ac:dyDescent="0.3">
      <c r="B614" t="s">
        <v>1253</v>
      </c>
    </row>
    <row r="615" spans="2:2" x14ac:dyDescent="0.3">
      <c r="B615" t="s">
        <v>1682</v>
      </c>
    </row>
    <row r="616" spans="2:2" x14ac:dyDescent="0.3">
      <c r="B616" t="s">
        <v>619</v>
      </c>
    </row>
    <row r="617" spans="2:2" x14ac:dyDescent="0.3">
      <c r="B617" t="s">
        <v>1605</v>
      </c>
    </row>
    <row r="618" spans="2:2" x14ac:dyDescent="0.3">
      <c r="B618" t="s">
        <v>1365</v>
      </c>
    </row>
    <row r="619" spans="2:2" x14ac:dyDescent="0.3">
      <c r="B619" t="s">
        <v>1531</v>
      </c>
    </row>
    <row r="620" spans="2:2" x14ac:dyDescent="0.3">
      <c r="B620" t="s">
        <v>1276</v>
      </c>
    </row>
    <row r="621" spans="2:2" x14ac:dyDescent="0.3">
      <c r="B621" t="s">
        <v>1398</v>
      </c>
    </row>
    <row r="622" spans="2:2" x14ac:dyDescent="0.3">
      <c r="B622" t="s">
        <v>1366</v>
      </c>
    </row>
    <row r="623" spans="2:2" x14ac:dyDescent="0.3">
      <c r="B623" t="s">
        <v>1233</v>
      </c>
    </row>
    <row r="624" spans="2:2" x14ac:dyDescent="0.3">
      <c r="B624" t="s">
        <v>1532</v>
      </c>
    </row>
    <row r="625" spans="2:2" x14ac:dyDescent="0.3">
      <c r="B625" t="s">
        <v>1223</v>
      </c>
    </row>
    <row r="626" spans="2:2" x14ac:dyDescent="0.3">
      <c r="B626" t="s">
        <v>1128</v>
      </c>
    </row>
    <row r="627" spans="2:2" x14ac:dyDescent="0.3">
      <c r="B627" t="s">
        <v>1683</v>
      </c>
    </row>
    <row r="628" spans="2:2" x14ac:dyDescent="0.3">
      <c r="B628" t="s">
        <v>1564</v>
      </c>
    </row>
    <row r="629" spans="2:2" x14ac:dyDescent="0.3">
      <c r="B629" t="s">
        <v>1095</v>
      </c>
    </row>
    <row r="630" spans="2:2" x14ac:dyDescent="0.3">
      <c r="B630" t="s">
        <v>1129</v>
      </c>
    </row>
    <row r="631" spans="2:2" x14ac:dyDescent="0.3">
      <c r="B631" t="s">
        <v>1234</v>
      </c>
    </row>
    <row r="632" spans="2:2" x14ac:dyDescent="0.3">
      <c r="B632" t="s">
        <v>1399</v>
      </c>
    </row>
    <row r="633" spans="2:2" x14ac:dyDescent="0.3">
      <c r="B633" t="s">
        <v>564</v>
      </c>
    </row>
    <row r="634" spans="2:2" x14ac:dyDescent="0.3">
      <c r="B634" t="s">
        <v>1224</v>
      </c>
    </row>
    <row r="635" spans="2:2" x14ac:dyDescent="0.3">
      <c r="B635" t="s">
        <v>1096</v>
      </c>
    </row>
    <row r="636" spans="2:2" x14ac:dyDescent="0.3">
      <c r="B636" t="s">
        <v>1540</v>
      </c>
    </row>
    <row r="637" spans="2:2" x14ac:dyDescent="0.3">
      <c r="B637" t="s">
        <v>1721</v>
      </c>
    </row>
    <row r="638" spans="2:2" x14ac:dyDescent="0.3">
      <c r="B638" t="s">
        <v>1029</v>
      </c>
    </row>
    <row r="639" spans="2:2" x14ac:dyDescent="0.3">
      <c r="B639" t="s">
        <v>1166</v>
      </c>
    </row>
    <row r="640" spans="2:2" x14ac:dyDescent="0.3">
      <c r="B640" t="s">
        <v>1167</v>
      </c>
    </row>
    <row r="641" spans="2:2" x14ac:dyDescent="0.3">
      <c r="B641" t="s">
        <v>1421</v>
      </c>
    </row>
    <row r="642" spans="2:2" x14ac:dyDescent="0.3">
      <c r="B642" t="s">
        <v>1171</v>
      </c>
    </row>
    <row r="643" spans="2:2" x14ac:dyDescent="0.3">
      <c r="B643" t="s">
        <v>1615</v>
      </c>
    </row>
    <row r="644" spans="2:2" x14ac:dyDescent="0.3">
      <c r="B644" t="s">
        <v>1168</v>
      </c>
    </row>
    <row r="645" spans="2:2" x14ac:dyDescent="0.3">
      <c r="B645" t="s">
        <v>1422</v>
      </c>
    </row>
    <row r="646" spans="2:2" x14ac:dyDescent="0.3">
      <c r="B646" t="s">
        <v>1423</v>
      </c>
    </row>
    <row r="647" spans="2:2" x14ac:dyDescent="0.3">
      <c r="B647" t="s">
        <v>1045</v>
      </c>
    </row>
    <row r="648" spans="2:2" x14ac:dyDescent="0.3">
      <c r="B648" t="s">
        <v>1254</v>
      </c>
    </row>
    <row r="649" spans="2:2" x14ac:dyDescent="0.3">
      <c r="B649" t="s">
        <v>1478</v>
      </c>
    </row>
    <row r="650" spans="2:2" x14ac:dyDescent="0.3">
      <c r="B650" t="s">
        <v>570</v>
      </c>
    </row>
    <row r="651" spans="2:2" x14ac:dyDescent="0.3">
      <c r="B651" t="s">
        <v>1684</v>
      </c>
    </row>
    <row r="652" spans="2:2" x14ac:dyDescent="0.3">
      <c r="B652" t="s">
        <v>1479</v>
      </c>
    </row>
    <row r="653" spans="2:2" x14ac:dyDescent="0.3">
      <c r="B653" t="s">
        <v>1130</v>
      </c>
    </row>
    <row r="654" spans="2:2" x14ac:dyDescent="0.3">
      <c r="B654" t="s">
        <v>1154</v>
      </c>
    </row>
    <row r="655" spans="2:2" x14ac:dyDescent="0.3">
      <c r="B655" t="s">
        <v>1199</v>
      </c>
    </row>
    <row r="656" spans="2:2" x14ac:dyDescent="0.3">
      <c r="B656" t="s">
        <v>1200</v>
      </c>
    </row>
    <row r="657" spans="2:2" x14ac:dyDescent="0.3">
      <c r="B657" t="s">
        <v>1155</v>
      </c>
    </row>
    <row r="658" spans="2:2" x14ac:dyDescent="0.3">
      <c r="B658" t="s">
        <v>1606</v>
      </c>
    </row>
    <row r="659" spans="2:2" x14ac:dyDescent="0.3">
      <c r="B659" t="s">
        <v>575</v>
      </c>
    </row>
    <row r="660" spans="2:2" x14ac:dyDescent="0.3">
      <c r="B660" t="s">
        <v>1201</v>
      </c>
    </row>
    <row r="661" spans="2:2" x14ac:dyDescent="0.3">
      <c r="B661" t="s">
        <v>1505</v>
      </c>
    </row>
    <row r="662" spans="2:2" x14ac:dyDescent="0.3">
      <c r="B662" t="s">
        <v>1065</v>
      </c>
    </row>
    <row r="663" spans="2:2" x14ac:dyDescent="0.3">
      <c r="B663" t="s">
        <v>1697</v>
      </c>
    </row>
    <row r="664" spans="2:2" x14ac:dyDescent="0.3">
      <c r="B664" t="s">
        <v>1415</v>
      </c>
    </row>
    <row r="665" spans="2:2" x14ac:dyDescent="0.3">
      <c r="B665" t="s">
        <v>1565</v>
      </c>
    </row>
    <row r="666" spans="2:2" x14ac:dyDescent="0.3">
      <c r="B666" t="s">
        <v>1400</v>
      </c>
    </row>
    <row r="667" spans="2:2" x14ac:dyDescent="0.3">
      <c r="B667" t="s">
        <v>1566</v>
      </c>
    </row>
    <row r="668" spans="2:2" x14ac:dyDescent="0.3">
      <c r="B668" t="s">
        <v>1567</v>
      </c>
    </row>
    <row r="669" spans="2:2" x14ac:dyDescent="0.3">
      <c r="B669" t="s">
        <v>1317</v>
      </c>
    </row>
    <row r="670" spans="2:2" x14ac:dyDescent="0.3">
      <c r="B670" t="s">
        <v>1568</v>
      </c>
    </row>
    <row r="671" spans="2:2" x14ac:dyDescent="0.3">
      <c r="B671" t="s">
        <v>1416</v>
      </c>
    </row>
    <row r="672" spans="2:2" x14ac:dyDescent="0.3">
      <c r="B672" t="s">
        <v>1318</v>
      </c>
    </row>
    <row r="673" spans="2:2" x14ac:dyDescent="0.3">
      <c r="B673" t="s">
        <v>1367</v>
      </c>
    </row>
    <row r="674" spans="2:2" x14ac:dyDescent="0.3">
      <c r="B674" t="s">
        <v>1097</v>
      </c>
    </row>
    <row r="675" spans="2:2" x14ac:dyDescent="0.3">
      <c r="B675" t="s">
        <v>1066</v>
      </c>
    </row>
    <row r="676" spans="2:2" x14ac:dyDescent="0.3">
      <c r="B676" t="s">
        <v>1569</v>
      </c>
    </row>
    <row r="677" spans="2:2" x14ac:dyDescent="0.3">
      <c r="B677" t="s">
        <v>1570</v>
      </c>
    </row>
    <row r="678" spans="2:2" x14ac:dyDescent="0.3">
      <c r="B678" t="s">
        <v>1571</v>
      </c>
    </row>
    <row r="679" spans="2:2" x14ac:dyDescent="0.3">
      <c r="B679" t="s">
        <v>1046</v>
      </c>
    </row>
    <row r="680" spans="2:2" x14ac:dyDescent="0.3">
      <c r="B680" t="s">
        <v>1572</v>
      </c>
    </row>
    <row r="681" spans="2:2" x14ac:dyDescent="0.3">
      <c r="B681" t="s">
        <v>1573</v>
      </c>
    </row>
    <row r="682" spans="2:2" x14ac:dyDescent="0.3">
      <c r="B682" t="s">
        <v>1574</v>
      </c>
    </row>
    <row r="683" spans="2:2" x14ac:dyDescent="0.3">
      <c r="B683" t="s">
        <v>1575</v>
      </c>
    </row>
    <row r="684" spans="2:2" x14ac:dyDescent="0.3">
      <c r="B684" t="s">
        <v>1533</v>
      </c>
    </row>
    <row r="685" spans="2:2" x14ac:dyDescent="0.3">
      <c r="B685" t="s">
        <v>1449</v>
      </c>
    </row>
    <row r="686" spans="2:2" x14ac:dyDescent="0.3">
      <c r="B686" t="s">
        <v>1301</v>
      </c>
    </row>
    <row r="687" spans="2:2" x14ac:dyDescent="0.3">
      <c r="B687" t="s">
        <v>1534</v>
      </c>
    </row>
    <row r="688" spans="2:2" x14ac:dyDescent="0.3">
      <c r="B688" t="s">
        <v>585</v>
      </c>
    </row>
    <row r="689" spans="2:2" x14ac:dyDescent="0.3">
      <c r="B689" t="s">
        <v>1698</v>
      </c>
    </row>
    <row r="690" spans="2:2" x14ac:dyDescent="0.3">
      <c r="B690" t="s">
        <v>1255</v>
      </c>
    </row>
    <row r="691" spans="2:2" x14ac:dyDescent="0.3">
      <c r="B691" t="s">
        <v>1302</v>
      </c>
    </row>
    <row r="692" spans="2:2" x14ac:dyDescent="0.3">
      <c r="B692" t="s">
        <v>1368</v>
      </c>
    </row>
    <row r="693" spans="2:2" x14ac:dyDescent="0.3">
      <c r="B693" t="s">
        <v>1417</v>
      </c>
    </row>
    <row r="694" spans="2:2" x14ac:dyDescent="0.3">
      <c r="B694" t="s">
        <v>1369</v>
      </c>
    </row>
    <row r="695" spans="2:2" x14ac:dyDescent="0.3">
      <c r="B695" t="s">
        <v>1235</v>
      </c>
    </row>
    <row r="696" spans="2:2" x14ac:dyDescent="0.3">
      <c r="B696" t="s">
        <v>1616</v>
      </c>
    </row>
    <row r="697" spans="2:2" x14ac:dyDescent="0.3">
      <c r="B697" t="s">
        <v>1685</v>
      </c>
    </row>
    <row r="698" spans="2:2" x14ac:dyDescent="0.3">
      <c r="B698" t="s">
        <v>1067</v>
      </c>
    </row>
    <row r="699" spans="2:2" x14ac:dyDescent="0.3">
      <c r="B699" t="s">
        <v>1068</v>
      </c>
    </row>
    <row r="700" spans="2:2" x14ac:dyDescent="0.3">
      <c r="B700" t="s">
        <v>621</v>
      </c>
    </row>
    <row r="701" spans="2:2" x14ac:dyDescent="0.3">
      <c r="B701" t="s">
        <v>1303</v>
      </c>
    </row>
    <row r="702" spans="2:2" x14ac:dyDescent="0.3">
      <c r="B702" t="s">
        <v>1699</v>
      </c>
    </row>
    <row r="703" spans="2:2" x14ac:dyDescent="0.3">
      <c r="B703" t="s">
        <v>1202</v>
      </c>
    </row>
    <row r="704" spans="2:2" x14ac:dyDescent="0.3">
      <c r="B704" t="s">
        <v>1131</v>
      </c>
    </row>
    <row r="705" spans="2:2" x14ac:dyDescent="0.3">
      <c r="B705" t="s">
        <v>1203</v>
      </c>
    </row>
    <row r="706" spans="2:2" x14ac:dyDescent="0.3">
      <c r="B706" t="s">
        <v>1686</v>
      </c>
    </row>
    <row r="707" spans="2:2" x14ac:dyDescent="0.3">
      <c r="B707" t="s">
        <v>1576</v>
      </c>
    </row>
    <row r="708" spans="2:2" x14ac:dyDescent="0.3">
      <c r="B708" t="s">
        <v>599</v>
      </c>
    </row>
    <row r="709" spans="2:2" x14ac:dyDescent="0.3">
      <c r="B709" t="s">
        <v>1304</v>
      </c>
    </row>
    <row r="710" spans="2:2" x14ac:dyDescent="0.3">
      <c r="B710" t="s">
        <v>1305</v>
      </c>
    </row>
    <row r="711" spans="2:2" x14ac:dyDescent="0.3">
      <c r="B711" t="s">
        <v>1607</v>
      </c>
    </row>
    <row r="712" spans="2:2" x14ac:dyDescent="0.3">
      <c r="B712" t="s">
        <v>1577</v>
      </c>
    </row>
    <row r="713" spans="2:2" x14ac:dyDescent="0.3">
      <c r="B713" t="s">
        <v>1578</v>
      </c>
    </row>
    <row r="714" spans="2:2" x14ac:dyDescent="0.3">
      <c r="B714" t="s">
        <v>1047</v>
      </c>
    </row>
    <row r="715" spans="2:2" x14ac:dyDescent="0.3">
      <c r="B715" t="s">
        <v>1048</v>
      </c>
    </row>
    <row r="716" spans="2:2" x14ac:dyDescent="0.3">
      <c r="B716" t="s">
        <v>1608</v>
      </c>
    </row>
    <row r="717" spans="2:2" x14ac:dyDescent="0.3">
      <c r="B717" t="s">
        <v>1609</v>
      </c>
    </row>
    <row r="718" spans="2:2" x14ac:dyDescent="0.3">
      <c r="B718" t="s">
        <v>1401</v>
      </c>
    </row>
    <row r="719" spans="2:2" x14ac:dyDescent="0.3">
      <c r="B719" t="s">
        <v>1402</v>
      </c>
    </row>
    <row r="720" spans="2:2" x14ac:dyDescent="0.3">
      <c r="B720" t="s">
        <v>1319</v>
      </c>
    </row>
    <row r="721" spans="2:2" x14ac:dyDescent="0.3">
      <c r="B721" t="s">
        <v>1132</v>
      </c>
    </row>
    <row r="722" spans="2:2" x14ac:dyDescent="0.3">
      <c r="B722" t="s">
        <v>1169</v>
      </c>
    </row>
    <row r="723" spans="2:2" x14ac:dyDescent="0.3">
      <c r="B723" t="s">
        <v>1424</v>
      </c>
    </row>
    <row r="724" spans="2:2" x14ac:dyDescent="0.3">
      <c r="B724" t="s">
        <v>1049</v>
      </c>
    </row>
    <row r="725" spans="2:2" x14ac:dyDescent="0.3">
      <c r="B725" t="s">
        <v>1425</v>
      </c>
    </row>
    <row r="726" spans="2:2" x14ac:dyDescent="0.3">
      <c r="B726" t="s">
        <v>1069</v>
      </c>
    </row>
    <row r="727" spans="2:2" x14ac:dyDescent="0.3">
      <c r="B727" t="s">
        <v>1426</v>
      </c>
    </row>
    <row r="728" spans="2:2" x14ac:dyDescent="0.3">
      <c r="B728" t="s">
        <v>1070</v>
      </c>
    </row>
    <row r="729" spans="2:2" x14ac:dyDescent="0.3">
      <c r="B729" t="s">
        <v>568</v>
      </c>
    </row>
    <row r="730" spans="2:2" x14ac:dyDescent="0.3">
      <c r="B730" t="s">
        <v>1617</v>
      </c>
    </row>
    <row r="731" spans="2:2" x14ac:dyDescent="0.3">
      <c r="B731" t="s">
        <v>1450</v>
      </c>
    </row>
    <row r="732" spans="2:2" x14ac:dyDescent="0.3">
      <c r="B732" t="s">
        <v>584</v>
      </c>
    </row>
    <row r="733" spans="2:2" x14ac:dyDescent="0.3">
      <c r="B733" t="s">
        <v>1610</v>
      </c>
    </row>
    <row r="734" spans="2:2" x14ac:dyDescent="0.3">
      <c r="B734" t="s">
        <v>595</v>
      </c>
    </row>
    <row r="735" spans="2:2" x14ac:dyDescent="0.3">
      <c r="B735" t="s">
        <v>1225</v>
      </c>
    </row>
    <row r="736" spans="2:2" x14ac:dyDescent="0.3">
      <c r="B736" t="s">
        <v>1482</v>
      </c>
    </row>
    <row r="737" spans="2:2" x14ac:dyDescent="0.3">
      <c r="B737" t="s">
        <v>1403</v>
      </c>
    </row>
    <row r="738" spans="2:2" x14ac:dyDescent="0.3">
      <c r="B738" t="s">
        <v>1451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2</vt:i4>
      </vt:variant>
    </vt:vector>
  </HeadingPairs>
  <TitlesOfParts>
    <vt:vector size="36" baseType="lpstr">
      <vt:lpstr>00. Instructions</vt:lpstr>
      <vt:lpstr>02. State Selector</vt:lpstr>
      <vt:lpstr>03. Reach &amp; Engagement</vt:lpstr>
      <vt:lpstr>04. Learning Outcomes</vt:lpstr>
      <vt:lpstr>05. District Drilldown</vt:lpstr>
      <vt:lpstr>06. Quiz Performance</vt:lpstr>
      <vt:lpstr>07. Curriculum Tracker</vt:lpstr>
      <vt:lpstr>08. Quiz Bank Tracker</vt:lpstr>
      <vt:lpstr>09. Compliance &amp; Alerts</vt:lpstr>
      <vt:lpstr>10. Govt KPI Summary</vt:lpstr>
      <vt:lpstr>11. School &amp; Block Reach</vt:lpstr>
      <vt:lpstr>S1. Session &amp; Engagement</vt:lpstr>
      <vt:lpstr>S2. Cohort &amp; Equity</vt:lpstr>
      <vt:lpstr>S3. Geographic &amp; Geofence</vt:lpstr>
      <vt:lpstr>S4. Device &amp; Connectivity</vt:lpstr>
      <vt:lpstr>S5. Language &amp; Accessibility</vt:lpstr>
      <vt:lpstr>S6. Notification &amp; Reengagement</vt:lpstr>
      <vt:lpstr>S7. CDN &amp; Content Sync</vt:lpstr>
      <vt:lpstr>S8. Predictive &amp; Churn</vt:lpstr>
      <vt:lpstr>S9. Feedback &amp; Sentiment</vt:lpstr>
      <vt:lpstr>S10. Platform Health &amp; SLA</vt:lpstr>
      <vt:lpstr>S11. Advertisement Analytics</vt:lpstr>
      <vt:lpstr>S12. Teacher &amp; Dashboard</vt:lpstr>
      <vt:lpstr>RAW_DISTRICT</vt:lpstr>
      <vt:lpstr>RAW_AR_CONTENT</vt:lpstr>
      <vt:lpstr>RAW_QUIZ</vt:lpstr>
      <vt:lpstr>RAW_SESSION</vt:lpstr>
      <vt:lpstr>RAW_LANGUAGE</vt:lpstr>
      <vt:lpstr>RAW_NOTIFICATION</vt:lpstr>
      <vt:lpstr>RAW_DEVICE</vt:lpstr>
      <vt:lpstr>RAW_FEEDBACK</vt:lpstr>
      <vt:lpstr>RAW_CDN</vt:lpstr>
      <vt:lpstr>RAW_ADS</vt:lpstr>
      <vt:lpstr>REF</vt:lpstr>
      <vt:lpstr>ScopeType</vt:lpstr>
      <vt:lpstr>SelectedScope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Ishika Chauhan</cp:lastModifiedBy>
  <dcterms:created xsi:type="dcterms:W3CDTF">2026-06-20T10:25:19Z</dcterms:created>
  <dcterms:modified xsi:type="dcterms:W3CDTF">2026-06-20T10:36:16Z</dcterms:modified>
</cp:coreProperties>
</file>